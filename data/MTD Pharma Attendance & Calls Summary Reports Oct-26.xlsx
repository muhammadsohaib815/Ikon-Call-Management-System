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ternMIS\Desktop\Sohaib\Ikon Call Management System\data\"/>
    </mc:Choice>
  </mc:AlternateContent>
  <xr:revisionPtr revIDLastSave="0" documentId="13_ncr:1_{F1929FCA-ECA5-423B-A929-C6A63FE9C51A}" xr6:coauthVersionLast="47" xr6:coauthVersionMax="47" xr10:uidLastSave="{00000000-0000-0000-0000-000000000000}"/>
  <bookViews>
    <workbookView minimized="1" xWindow="24" yWindow="0" windowWidth="23016" windowHeight="12336" xr2:uid="{3F1E3FDC-6739-495C-8104-67BA1D8CF828}"/>
  </bookViews>
  <sheets>
    <sheet name="Pharma" sheetId="1" r:id="rId1"/>
    <sheet name="ASM RSM" sheetId="3" r:id="rId2"/>
    <sheet name="TODAY" sheetId="4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</externalReferences>
  <definedNames>
    <definedName name="_xlnm._FilterDatabase" localSheetId="1" hidden="1">'ASM RSM'!$A$3:$Y$20</definedName>
    <definedName name="_xlnm._FilterDatabase" localSheetId="0" hidden="1">Pharma!$A$3:$LV$3</definedName>
    <definedName name="_xlnm._FilterDatabase" localSheetId="2" hidden="1">TODAY!$A$3:$L$20</definedName>
    <definedName name="a" localSheetId="1">#REF!</definedName>
    <definedName name="a" localSheetId="0">#REF!</definedName>
    <definedName name="a" localSheetId="2">#REF!</definedName>
    <definedName name="a">#REF!</definedName>
    <definedName name="aa" localSheetId="1">#REF!</definedName>
    <definedName name="aa" localSheetId="0">#REF!</definedName>
    <definedName name="aa" localSheetId="2">#REF!</definedName>
    <definedName name="aa">#REF!</definedName>
    <definedName name="aaaa">#REF!</definedName>
    <definedName name="ABC_1">'[1]3_2'!$A$11:$G$179</definedName>
    <definedName name="abc_18">[2]mfg!$A$10:$G$103</definedName>
    <definedName name="abc_20">[2]mfg!$A$10:$G$103</definedName>
    <definedName name="abc_21">[2]mfg!$A$10:$G$103</definedName>
    <definedName name="ABC_4">'[3]3_2'!$A$11:$G$179</definedName>
    <definedName name="ABC_7">'[3]3_2'!$A$11:$G$179</definedName>
    <definedName name="ABC_8">'[3]3_2'!$A$11:$G$179</definedName>
    <definedName name="Actual">(PeriodInActual*(#REF!&gt;0))*PeriodInPlan</definedName>
    <definedName name="ActualBeyond">PeriodInActual*(#REF!&gt;0)</definedName>
    <definedName name="Admin">'[4]Range Page'!$A$21</definedName>
    <definedName name="admin_cross">'[5]admin cross'!$A$1:$J$34</definedName>
    <definedName name="admin_cross_1">'[6]admin cross'!$A$1:$J$34</definedName>
    <definedName name="adminfee" localSheetId="1">#REF!</definedName>
    <definedName name="adminfee" localSheetId="0">#REF!</definedName>
    <definedName name="adminfee" localSheetId="2">#REF!</definedName>
    <definedName name="adminfee">#REF!</definedName>
    <definedName name="AJK">'[7]UC demographics'!$G$6918,'[7]UC demographics'!$G$6919</definedName>
    <definedName name="all.Regions">[8]Data!$B$4:$B$219</definedName>
    <definedName name="as">'[9]Travel by employee'!$J$4:$J$15</definedName>
    <definedName name="b" localSheetId="1">#REF!</definedName>
    <definedName name="b" localSheetId="0">#REF!</definedName>
    <definedName name="b" localSheetId="2">#REF!</definedName>
    <definedName name="b">#REF!</definedName>
    <definedName name="Bal">[10]Budget!$R$3</definedName>
    <definedName name="Balochistan1">'[7]UC demographics'!$G$5933,'[7]UC demographics'!$G$5941,'[7]UC demographics'!$G$5949,'[7]UC demographics'!$G$5956,'[7]UC demographics'!$G$5969,'[7]UC demographics'!$G$5975,'[7]UC demographics'!$G$5977,'[7]UC demographics'!$G$5985,'[7]UC demographics'!$G$5992,'[7]UC demographics'!$G$6002,'[7]UC demographics'!$G$6004,'[7]UC demographics'!$G$6008,'[7]UC demographics'!$G$6013,'[7]UC demographics'!$G$6017,'[7]UC demographics'!$G$6025,'[7]UC demographics'!$G$6031,'[7]UC demographics'!$G$6049,'[7]UC demographics'!$G$6064,'[7]UC demographics'!$G$6069,'[7]UC demographics'!$G$6074,'[7]UC demographics'!$G$6083,'[7]UC demographics'!$G$6092,'[7]UC demographics'!$G$6097,'[7]UC demographics'!$G$6101,'[7]UC demographics'!$G$6120,'[7]UC demographics'!$G$6128,'[7]UC demographics'!$G$6137,'[7]UC demographics'!$G$6139,'[7]UC demographics'!$G$6144,'[7]UC demographics'!$G$6158,'[7]UC demographics'!$G$6166,'[7]UC demographics'!$G$6175,'[7]UC demographics'!$G$6181,'[7]UC demographics'!$G$6186,'[7]UC demographics'!$G$6194,'[7]UC demographics'!$G$6201,'[7]UC demographics'!$G$6203,'[7]UC demographics'!$G$6207</definedName>
    <definedName name="Balochistan2">'[7]UC demographics'!$G$6209,'[7]UC demographics'!$G$6220,'[7]UC demographics'!$G$6222,'[7]UC demographics'!$G$6230,'[7]UC demographics'!$G$6231,'[7]UC demographics'!$G$6238,'[7]UC demographics'!$G$6251,'[7]UC demographics'!$G$6255,'[7]UC demographics'!$G$6259,'[7]UC demographics'!$G$6269,'[7]UC demographics'!$G$6280,'[7]UC demographics'!$G$6285,'[7]UC demographics'!$G$6298,'[7]UC demographics'!$G$6314,'[7]UC demographics'!$G$6321,'[7]UC demographics'!$G$6326,'[7]UC demographics'!$G$6341,'[7]UC demographics'!$G$6365,'[7]UC demographics'!$G$6396,'[7]UC demographics'!$G$6401,'[7]UC demographics'!$G$6411,'[7]UC demographics'!$G$6413,'[7]UC demographics'!$G$6420,'[7]UC demographics'!$G$6435</definedName>
    <definedName name="BUDGET">[11]CRITERIA13!$B$13</definedName>
    <definedName name="BUDGETCURRENCYCODE1">[11]CRITERIA1!$B$16</definedName>
    <definedName name="BUDGETCURRENCYCODE12">[11]CRITERIA12!$B$16</definedName>
    <definedName name="BUDGETCURRENCYCODE13">[11]CRITERIA13!$B$16</definedName>
    <definedName name="BUDGETCURRENCYCODE2">[11]CRITERIA2!$B$16</definedName>
    <definedName name="BUDGETCURRENCYCODE3">[11]CRITERIA3!$B$16</definedName>
    <definedName name="BUDGETCURRENCYCODE4">[11]CRITERIA4!$B$16</definedName>
    <definedName name="BUDGETCURRENCYCODE5">[11]CRITERIA5!$B$16</definedName>
    <definedName name="BUDGETCURRENCYCODE6">[11]CRITERIA6!$B$16</definedName>
    <definedName name="BUDGETNAME1">[11]CRITERIA1!$B$13</definedName>
    <definedName name="BUDGETNAME12">[11]CRITERIA12!$B$13</definedName>
    <definedName name="BUDGETNAME13">[11]CRITERIA13!$B$13</definedName>
    <definedName name="BUDGETNAME2">[11]CRITERIA2!$B$13</definedName>
    <definedName name="BUDGETNAME3">[11]CRITERIA3!$B$13</definedName>
    <definedName name="BUDGETNAME4">[11]CRITERIA4!$B$13</definedName>
    <definedName name="BUDGETNAME5">[11]CRITERIA5!$B$13</definedName>
    <definedName name="BUDGETNAME6">[11]CRITERIA6!$B$13</definedName>
    <definedName name="BUDGETORG1">[11]CRITERIA1!$B$14</definedName>
    <definedName name="BUDGETORG12">[11]CRITERIA12!$B$14</definedName>
    <definedName name="BUDGETORG13">[11]CRITERIA13!$B$14</definedName>
    <definedName name="BUDGETORG2">[11]CRITERIA2!$B$14</definedName>
    <definedName name="BUDGETORG3">[11]CRITERIA3!$B$14</definedName>
    <definedName name="BUDGETORG4">[11]CRITERIA4!$B$14</definedName>
    <definedName name="BUDGETORG5">[11]CRITERIA5!$B$14</definedName>
    <definedName name="BUDGETORG6">[11]CRITERIA6!$B$14</definedName>
    <definedName name="bus_catg">[12]Keys!$E$2:$E$5</definedName>
    <definedName name="Category">'[13]General Assumption(final)'!$I$10:$I$12</definedName>
    <definedName name="cogos_cross">'[5]Manu Crss'!$A$1:$J$30</definedName>
    <definedName name="cogos_cross_1">'[6]Manu Crss'!$A$1:$J$30</definedName>
    <definedName name="col_cumexp">'[14]Ledger Data'!$P$1:$P$65536</definedName>
    <definedName name="col_link">'[14]Ledger Data'!$D$1:$D$65536</definedName>
    <definedName name="col_periodexp">'[14]Ledger Data'!$M$1:$M$65536</definedName>
    <definedName name="commodities">[15]Commodities_Purchases!$A$1:$AM$601</definedName>
    <definedName name="COMMODITIESLC">[15]Cmty_LC_TC!$A$1:$AM$601</definedName>
    <definedName name="COMMODITIESPC">[15]Cmty_PC_TC!$A$1:$AM$601</definedName>
    <definedName name="COMMODITIESRM">[15]Cmty_RM_TC!$A$1:$AM$601</definedName>
    <definedName name="COMMODITIESTRC">[15]Cmty_TC_TC!$A$1:$AM$601</definedName>
    <definedName name="consumer">[16]recon_cons!$A$1:$W$47</definedName>
    <definedName name="consumer_1">[17]recon_cons!$A$1:$W$47</definedName>
    <definedName name="consumer_18">[18]recon_cons!$A$1:$W$47</definedName>
    <definedName name="consumer_20">[18]recon_cons!$A$1:$W$47</definedName>
    <definedName name="consumer_21">[18]recon_cons!$A$1:$W$47</definedName>
    <definedName name="consumer_4">[19]recon_cons!$A$1:$W$47</definedName>
    <definedName name="consumer_7">[19]recon_cons!$A$1:$W$47</definedName>
    <definedName name="consumer_8">[19]recon_cons!$A$1:$W$47</definedName>
    <definedName name="ConversionUSDtoGBP" localSheetId="1">#REF!</definedName>
    <definedName name="ConversionUSDtoGBP" localSheetId="0">#REF!</definedName>
    <definedName name="ConversionUSDtoGBP" localSheetId="2">#REF!</definedName>
    <definedName name="ConversionUSDtoGBP">#REF!</definedName>
    <definedName name="Cost_Category2">[20]Definitions!$F$3:$F$15</definedName>
    <definedName name="d" localSheetId="1">[21]!Region[[Jul-25]:[Jun-26]]</definedName>
    <definedName name="d" localSheetId="0">[21]!Region[[Jul-25]:[Jun-26]]</definedName>
    <definedName name="d" localSheetId="2">[21]!Region[[Jul-25]:[Jun-26]]</definedName>
    <definedName name="d">[21]!Region[[Jul-25]:[Jun-26]]</definedName>
    <definedName name="dangerpay" localSheetId="1">#REF!</definedName>
    <definedName name="dangerpay" localSheetId="0">#REF!</definedName>
    <definedName name="dangerpay" localSheetId="2">#REF!</definedName>
    <definedName name="dangerpay">#REF!</definedName>
    <definedName name="dangerpay.intlstaff2" localSheetId="1">#REF!</definedName>
    <definedName name="dangerpay.intlstaff2" localSheetId="0">#REF!</definedName>
    <definedName name="dangerpay.intlstaff2" localSheetId="2">#REF!</definedName>
    <definedName name="dangerpay.intlstaff2">#REF!</definedName>
    <definedName name="dangerpay.intlstaff3" localSheetId="1">#REF!</definedName>
    <definedName name="dangerpay.intlstaff3" localSheetId="0">#REF!</definedName>
    <definedName name="dangerpay.intlstaff3" localSheetId="2">#REF!</definedName>
    <definedName name="dangerpay.intlstaff3">#REF!</definedName>
    <definedName name="dangerpay.intlstaff4" localSheetId="1">#REF!</definedName>
    <definedName name="dangerpay.intlstaff4" localSheetId="0">#REF!</definedName>
    <definedName name="dangerpay.intlstaff4" localSheetId="2">#REF!</definedName>
    <definedName name="dangerpay.intlstaff4">#REF!</definedName>
    <definedName name="dangerpay.researcher" localSheetId="1">#REF!</definedName>
    <definedName name="dangerpay.researcher" localSheetId="0">#REF!</definedName>
    <definedName name="dangerpay.researcher" localSheetId="2">#REF!</definedName>
    <definedName name="dangerpay.researcher">#REF!</definedName>
    <definedName name="DBNAME1">[11]CRITERIA1!$B$39</definedName>
    <definedName name="DBNAME12">[11]CRITERIA12!$B$39</definedName>
    <definedName name="DBNAME13">[11]CRITERIA13!$B$39</definedName>
    <definedName name="DBNAME2">[11]CRITERIA2!$B$39</definedName>
    <definedName name="DBNAME3">[11]CRITERIA3!$B$39</definedName>
    <definedName name="DBNAME4">[11]CRITERIA4!$B$39</definedName>
    <definedName name="DBNAME5">[11]CRITERIA5!$B$39</definedName>
    <definedName name="DBNAME6">[11]CRITERIA6!$B$39</definedName>
    <definedName name="dd" localSheetId="1">#REF!</definedName>
    <definedName name="dd" localSheetId="0">#REF!</definedName>
    <definedName name="dd" localSheetId="2">#REF!</definedName>
    <definedName name="dd">#REF!</definedName>
    <definedName name="Depo_provera">'[22]% Allocation'!$B$10</definedName>
    <definedName name="Dept">[12]Keys!$J$2:$J$18</definedName>
    <definedName name="DesiredEvidence">'[23]Drop down'!$I$6:$I$9</definedName>
    <definedName name="Distrib_Disc">'[24]General Assumption(final)'!$J$4</definedName>
    <definedName name="donors" localSheetId="1">#REF!</definedName>
    <definedName name="donors" localSheetId="0">#REF!</definedName>
    <definedName name="donors" localSheetId="2">#REF!</definedName>
    <definedName name="donors">#REF!</definedName>
    <definedName name="ECP">'[22]% Allocation'!$B$4</definedName>
    <definedName name="eduallowance.expat1">'[25]Range Page'!$A$9</definedName>
    <definedName name="eduallowance.expat2">'[25]Range Page'!$A$10</definedName>
    <definedName name="eduallowance.expat3">'[26]Range Page'!$A$14</definedName>
    <definedName name="eduallowance.expat4">'[26]Range Page'!$A$15</definedName>
    <definedName name="education.intlstaff1" localSheetId="1">#REF!</definedName>
    <definedName name="education.intlstaff1" localSheetId="0">#REF!</definedName>
    <definedName name="education.intlstaff1" localSheetId="2">#REF!</definedName>
    <definedName name="education.intlstaff1">#REF!</definedName>
    <definedName name="education.intlstaff2" localSheetId="1">#REF!</definedName>
    <definedName name="education.intlstaff2" localSheetId="0">#REF!</definedName>
    <definedName name="education.intlstaff2" localSheetId="2">#REF!</definedName>
    <definedName name="education.intlstaff2">#REF!</definedName>
    <definedName name="education.intlstaff3" localSheetId="1">#REF!</definedName>
    <definedName name="education.intlstaff3" localSheetId="0">#REF!</definedName>
    <definedName name="education.intlstaff3" localSheetId="2">#REF!</definedName>
    <definedName name="education.intlstaff3">#REF!</definedName>
    <definedName name="education.intlstaff4" localSheetId="1">#REF!</definedName>
    <definedName name="education.intlstaff4" localSheetId="0">#REF!</definedName>
    <definedName name="education.intlstaff4" localSheetId="2">#REF!</definedName>
    <definedName name="education.intlstaff4">#REF!</definedName>
    <definedName name="education.researcher" localSheetId="1">#REF!</definedName>
    <definedName name="education.researcher" localSheetId="0">#REF!</definedName>
    <definedName name="education.researcher" localSheetId="2">#REF!</definedName>
    <definedName name="education.researcher">#REF!</definedName>
    <definedName name="emp_catg">[12]Keys!$G$2:$G$3</definedName>
    <definedName name="emp_level">[12]Keys!$I$2:$I$12</definedName>
    <definedName name="emp_status">[12]Keys!$F$2:$F$4</definedName>
    <definedName name="ES">[27]HIV!$F$4</definedName>
    <definedName name="Excel_BuiltIn_Print_Area_9">'[28]break up'!$B$1:$F$139</definedName>
    <definedName name="Excel_BuiltIn_Print_Titles_9">'[28]break up'!$B$1:$IV$10</definedName>
    <definedName name="FATA">'[7]UC demographics'!$G$6509,'[7]UC demographics'!$G$6561,'[7]UC demographics'!$G$6585,'[7]UC demographics'!$G$6646,'[7]UC demographics'!$G$6697,'[7]UC demographics'!$G$6725,'[7]UC demographics'!$G$6750</definedName>
    <definedName name="Femiject">'[22]% Allocation'!$B$8</definedName>
    <definedName name="fixedfee">'[29]Range Page'!$A$26</definedName>
    <definedName name="foreigntransferallowance" localSheetId="1">#REF!</definedName>
    <definedName name="foreigntransferallowance" localSheetId="0">#REF!</definedName>
    <definedName name="foreigntransferallowance" localSheetId="2">#REF!</definedName>
    <definedName name="foreigntransferallowance">#REF!</definedName>
    <definedName name="Frequency">'[23]Drop down'!$C$6:$C$13</definedName>
    <definedName name="GandA" localSheetId="1">#REF!</definedName>
    <definedName name="GandA" localSheetId="0">#REF!</definedName>
    <definedName name="GandA" localSheetId="2">#REF!</definedName>
    <definedName name="GandA">#REF!</definedName>
    <definedName name="GB">'[7]UC demographics'!$G$6920,'[7]UC demographics'!$G$6921</definedName>
    <definedName name="gender">[12]Keys!$K$2:$K$3</definedName>
    <definedName name="gg" localSheetId="1">#REF!</definedName>
    <definedName name="gg" localSheetId="0">#REF!</definedName>
    <definedName name="gg" localSheetId="2">#REF!</definedName>
    <definedName name="gg">#REF!</definedName>
    <definedName name="gloi">'[30]Range Page'!$A$23</definedName>
    <definedName name="HIVII">[31]HIV!$B$2:$B$7</definedName>
    <definedName name="HIVOI">[31]HIV!$D$2:$D$13</definedName>
    <definedName name="HIVSDA">[31]HIV!$A$2:$A$34</definedName>
    <definedName name="HIVSource">[27]HIV!$E$2:$E$19</definedName>
    <definedName name="HSSII">[31]HSS!$B$2:$B$20</definedName>
    <definedName name="HSSOI">[31]HSS!$C$2:$C$24</definedName>
    <definedName name="HSSSDA">[31]HSS!$A$2:$A$18</definedName>
    <definedName name="HSSSource">[27]HSS!$D$2:$D$31</definedName>
    <definedName name="incentive1" localSheetId="1">#REF!</definedName>
    <definedName name="incentive1" localSheetId="0">#REF!</definedName>
    <definedName name="incentive1" localSheetId="2">#REF!</definedName>
    <definedName name="incentive1">#REF!</definedName>
    <definedName name="incentive2" localSheetId="1">#REF!</definedName>
    <definedName name="incentive2" localSheetId="0">#REF!</definedName>
    <definedName name="incentive2" localSheetId="2">#REF!</definedName>
    <definedName name="incentive2">#REF!</definedName>
    <definedName name="incresae">'[32]Endowment Budget'!$C$1</definedName>
    <definedName name="IndicatorCoding">[31]HIV!$G$3:$G$29</definedName>
    <definedName name="INFLATION_YR_1">'[33]General Assumption'!$E$4</definedName>
    <definedName name="INFLATION_YR_1_COM">'[13]General Assumption(final)'!$F$4</definedName>
    <definedName name="INFLATION_YR_1_SALES">'[13]General Assumption(final)'!$E$4</definedName>
    <definedName name="INFLATION_YR_2">'[33]General Assumption'!$E$5</definedName>
    <definedName name="INFLATION_YR_2_COM">'[13]General Assumption(final)'!$F$5</definedName>
    <definedName name="INFLATION_YR_2_SALES">'[13]General Assumption(final)'!$E$5</definedName>
    <definedName name="INFLATION_YR_3">'[33]General Assumption'!$E$6</definedName>
    <definedName name="INFLATION_YR_3_COM">'[13]General Assumption(final)'!$F$6</definedName>
    <definedName name="INFLATION_YR_3_SALES">'[13]General Assumption(final)'!$E$6</definedName>
    <definedName name="Instit_Disc">'[24]General Assumption(final)'!$J$5</definedName>
    <definedName name="intlfringe" localSheetId="1">#REF!</definedName>
    <definedName name="intlfringe" localSheetId="0">#REF!</definedName>
    <definedName name="intlfringe" localSheetId="2">#REF!</definedName>
    <definedName name="intlfringe">#REF!</definedName>
    <definedName name="InvoicePI">[34]Budget!$R$3</definedName>
    <definedName name="KPK">'[7]UC demographics'!$G$4971,'[7]UC demographics'!$G$5021,'[7]UC demographics'!$G$5063,'[7]UC demographics'!$G$5071,'[7]UC demographics'!$G$5083,'[7]UC demographics'!$G$5110,'[7]UC demographics'!$G$5147,'[7]UC demographics'!$G$5159,'[7]UC demographics'!$G$5169,'[7]UC demographics'!$G$5176,'[7]UC demographics'!$G$5203,'[7]UC demographics'!$G$5212,'[7]UC demographics'!$G$5223,'[7]UC demographics'!$G$5242,'[7]UC demographics'!$G$5279,'[7]UC demographics'!$G$5286,'[7]UC demographics'!$G$5291,'[7]UC demographics'!$G$5302,'[7]UC demographics'!$G$5309,'[7]UC demographics'!$G$5341,'[7]UC demographics'!$G$5357,'[7]UC demographics'!$G$5367,'[7]UC demographics'!$G$5378,'[7]UC demographics'!$G$5412,'[7]UC demographics'!$G$5419,'[7]UC demographics'!$G$5438,'[7]UC demographics'!$G$5447,'[7]UC demographics'!$G$5459,'[7]UC demographics'!$G$5471,'[7]UC demographics'!$G$5476,'[7]UC demographics'!$G$5487,'[7]UC demographics'!$G$5523,'[7]UC demographics'!$G$5580,'[7]UC demographics'!$G$5598,'[7]UC demographics'!$G$5652,'[7]UC demographics'!$G$5746,'[7]UC demographics'!$G$5755,'[7]UC demographics'!$G$5758,'[7]UC demographics'!$G$5762,'[7]UC demographics'!$G$5765,'[7]UC demographics'!$G$5770,'[7]UC demographics'!$G$5787,'[7]UC demographics'!$G$5826,'[7]UC demographics'!$G$5839,'[7]UC demographics'!$G$5891,'[7]UC demographics'!$G$5907,'[7]UC demographics'!$G$5910,'[7]UC demographics'!$G$5920,'[7]UC demographics'!$G$5923,'[7]UC demographics'!$G$5926</definedName>
    <definedName name="l" localSheetId="1">#REF!</definedName>
    <definedName name="l" localSheetId="0">#REF!</definedName>
    <definedName name="l" localSheetId="2">#REF!</definedName>
    <definedName name="l">#REF!</definedName>
    <definedName name="LEVEL">'[35]General Assumption'!$B$44:$B$45</definedName>
    <definedName name="listie">'[36]Definitions (2)'!$B$31:$B$38</definedName>
    <definedName name="localfringe" localSheetId="1">#REF!</definedName>
    <definedName name="localfringe" localSheetId="0">#REF!</definedName>
    <definedName name="localfringe" localSheetId="2">#REF!</definedName>
    <definedName name="localfringe">#REF!</definedName>
    <definedName name="localinflation_yr2">'[25]Range Page'!$A$31</definedName>
    <definedName name="localinflation_yr3">'[25]Range Page'!$A$32</definedName>
    <definedName name="localinflation_yr4">'[25]Range Page'!$A$33</definedName>
    <definedName name="localinflation_yr5">'[25]Range Page'!$A$34</definedName>
    <definedName name="localinflation2" localSheetId="1">#REF!</definedName>
    <definedName name="localinflation2" localSheetId="0">#REF!</definedName>
    <definedName name="localinflation2" localSheetId="2">#REF!</definedName>
    <definedName name="localinflation2">#REF!</definedName>
    <definedName name="localinflation3" localSheetId="1">#REF!</definedName>
    <definedName name="localinflation3" localSheetId="0">#REF!</definedName>
    <definedName name="localinflation3" localSheetId="2">#REF!</definedName>
    <definedName name="localinflation3">#REF!</definedName>
    <definedName name="localinflation4" localSheetId="1">#REF!</definedName>
    <definedName name="localinflation4" localSheetId="0">#REF!</definedName>
    <definedName name="localinflation4" localSheetId="2">#REF!</definedName>
    <definedName name="localinflation4">#REF!</definedName>
    <definedName name="localinflation5" localSheetId="1">#REF!</definedName>
    <definedName name="localinflation5" localSheetId="0">#REF!</definedName>
    <definedName name="localinflation5" localSheetId="2">#REF!</definedName>
    <definedName name="localinflation5">#REF!</definedName>
    <definedName name="MacrocategoriesALL">'[36]Definitions (2)'!$B$127:$B$149</definedName>
    <definedName name="MalariaII">[31]Malaria!$B$2:$B$11</definedName>
    <definedName name="MalariaOI">[31]Malaria!$D$2:$D$11</definedName>
    <definedName name="MalariaSDA">[31]Malaria!$A$2:$A$29</definedName>
    <definedName name="MalariaSource">[27]Malaria!$E$2:$E$20</definedName>
    <definedName name="Master_Location">[12]List_Location!$A$2:INDEX([12]List_Location!$A:$A,COUNTA([12]List_Location!$A:$A))</definedName>
    <definedName name="medevac" localSheetId="1">#REF!</definedName>
    <definedName name="medevac" localSheetId="0">#REF!</definedName>
    <definedName name="medevac" localSheetId="2">#REF!</definedName>
    <definedName name="medevac">#REF!</definedName>
    <definedName name="medex.expat1">'[29]Range Page'!$A$17</definedName>
    <definedName name="medex.expat2">'[29]Range Page'!$A$18</definedName>
    <definedName name="medex.expat3">'[29]Range Page'!$A$19</definedName>
    <definedName name="medex.expat4">'[29]Range Page'!$A$20</definedName>
    <definedName name="medex.sttaday">'[29]Range Page'!$A$21</definedName>
    <definedName name="medex.sttamonth">'[29]Range Page'!$A$22</definedName>
    <definedName name="NA" localSheetId="1">#REF!</definedName>
    <definedName name="NA" localSheetId="0">#REF!</definedName>
    <definedName name="NA" localSheetId="2">#REF!</definedName>
    <definedName name="NA">#REF!</definedName>
    <definedName name="NewOH" localSheetId="1">#REF!</definedName>
    <definedName name="NewOH" localSheetId="0">#REF!</definedName>
    <definedName name="NewOH" localSheetId="2">#REF!</definedName>
    <definedName name="NewOH">#REF!</definedName>
    <definedName name="nid">[37]recon_cons!$A$1:$W$47</definedName>
    <definedName name="Novaject">'[22]% Allocation'!$B$9</definedName>
    <definedName name="NOVODOL">'[22]% Allocation'!$B$5</definedName>
    <definedName name="NUMB">[38]sheet2!$A$4:$B$13</definedName>
    <definedName name="OH">'[4]Country Budget x 6'!$E$503</definedName>
    <definedName name="otherchrages_10">'[39]OC _ L'!$A$1:$J$21</definedName>
    <definedName name="otherincome2">'[40]4'!$A$1:$H$26</definedName>
    <definedName name="otherincome2_1">'[41]4'!$A$1:$H$26</definedName>
    <definedName name="Over_Head">'[4]Range Page'!$A$19</definedName>
    <definedName name="overhead" localSheetId="1">#REF!</definedName>
    <definedName name="overhead" localSheetId="0">#REF!</definedName>
    <definedName name="overhead" localSheetId="2">#REF!</definedName>
    <definedName name="overhead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harma">#REF!</definedName>
    <definedName name="phrama">[16]recon_pharma!$A$1:$J$59</definedName>
    <definedName name="phrama_1">[17]recon_pharma!$A$1:$J$59</definedName>
    <definedName name="phrama_18">[18]recon_pharma!$A$1:$J$59</definedName>
    <definedName name="phrama_20">[18]recon_pharma!$A$1:$J$59</definedName>
    <definedName name="phrama_21">[18]recon_pharma!$A$1:$J$59</definedName>
    <definedName name="phrama_4">[19]recon_pharma!$A$1:$J$59</definedName>
    <definedName name="phrama_7">[19]recon_pharma!$A$1:$J$59</definedName>
    <definedName name="phrama_8">[19]recon_pharma!$A$1:$J$59</definedName>
    <definedName name="Plan">PeriodInPlan*(#REF!&gt;0)</definedName>
    <definedName name="postallowance" localSheetId="1">#REF!</definedName>
    <definedName name="postallowance" localSheetId="0">#REF!</definedName>
    <definedName name="postallowance" localSheetId="2">#REF!</definedName>
    <definedName name="postallowance">#REF!</definedName>
    <definedName name="postallowance.expat2">'[25]Range Page'!$A$7</definedName>
    <definedName name="postallowance.expat3">'[26]Range Page'!$A$8</definedName>
    <definedName name="postallowance.expat4">'[26]Range Page'!$A$9</definedName>
    <definedName name="postallowance.intlstaff2" localSheetId="1">#REF!</definedName>
    <definedName name="postallowance.intlstaff2" localSheetId="0">#REF!</definedName>
    <definedName name="postallowance.intlstaff2" localSheetId="2">#REF!</definedName>
    <definedName name="postallowance.intlstaff2">#REF!</definedName>
    <definedName name="postallowance.intlstaff3" localSheetId="1">#REF!</definedName>
    <definedName name="postallowance.intlstaff3" localSheetId="0">#REF!</definedName>
    <definedName name="postallowance.intlstaff3" localSheetId="2">#REF!</definedName>
    <definedName name="postallowance.intlstaff3">#REF!</definedName>
    <definedName name="postallowance.intlstaff4" localSheetId="1">#REF!</definedName>
    <definedName name="postallowance.intlstaff4" localSheetId="0">#REF!</definedName>
    <definedName name="postallowance.intlstaff4" localSheetId="2">#REF!</definedName>
    <definedName name="postallowance.intlstaff4">#REF!</definedName>
    <definedName name="postallowance.researcher" localSheetId="1">#REF!</definedName>
    <definedName name="postallowance.researcher" localSheetId="0">#REF!</definedName>
    <definedName name="postallowance.researcher" localSheetId="2">#REF!</definedName>
    <definedName name="postallowance.researcher">#REF!</definedName>
    <definedName name="postdifferential" localSheetId="1">#REF!</definedName>
    <definedName name="postdifferential" localSheetId="0">#REF!</definedName>
    <definedName name="postdifferential" localSheetId="2">#REF!</definedName>
    <definedName name="postdifferential">#REF!</definedName>
    <definedName name="postdifferential.intlstaff2" localSheetId="1">#REF!</definedName>
    <definedName name="postdifferential.intlstaff2" localSheetId="0">#REF!</definedName>
    <definedName name="postdifferential.intlstaff2" localSheetId="2">#REF!</definedName>
    <definedName name="postdifferential.intlstaff2">#REF!</definedName>
    <definedName name="postdifferential.intlstaff3" localSheetId="1">#REF!</definedName>
    <definedName name="postdifferential.intlstaff3" localSheetId="0">#REF!</definedName>
    <definedName name="postdifferential.intlstaff3" localSheetId="2">#REF!</definedName>
    <definedName name="postdifferential.intlstaff3">#REF!</definedName>
    <definedName name="postdifferential.intlstaff4" localSheetId="1">#REF!</definedName>
    <definedName name="postdifferential.intlstaff4" localSheetId="0">#REF!</definedName>
    <definedName name="postdifferential.intlstaff4" localSheetId="2">#REF!</definedName>
    <definedName name="postdifferential.intlstaff4">#REF!</definedName>
    <definedName name="postdifferential.researcher" localSheetId="1">#REF!</definedName>
    <definedName name="postdifferential.researcher" localSheetId="0">#REF!</definedName>
    <definedName name="postdifferential.researcher" localSheetId="2">#REF!</definedName>
    <definedName name="postdifferential.researcher">#REF!</definedName>
    <definedName name="Procure">'[4]Range Page'!$A$20</definedName>
    <definedName name="procurementfee" localSheetId="1">#REF!</definedName>
    <definedName name="procurementfee" localSheetId="0">#REF!</definedName>
    <definedName name="procurementfee" localSheetId="2">#REF!</definedName>
    <definedName name="procurementfee">#REF!</definedName>
    <definedName name="products">[8]Data!$C$4:$C$219</definedName>
    <definedName name="Protect_10__Safeload">'[22]% Allocation'!$B$16</definedName>
    <definedName name="Protect_3__3_Years">'[22]% Allocation'!$B$15</definedName>
    <definedName name="Protect_5__Multiload">'[22]% Allocation'!$B$13</definedName>
    <definedName name="Protect_5_Premium">'[22]% Allocation'!$B$14</definedName>
    <definedName name="PS">[31]HIV!$F$5</definedName>
    <definedName name="PSA">'[42]Range Page'!$A$6</definedName>
    <definedName name="Punjab1">'[7]UC demographics'!$G$6,'[7]UC demographics'!$G$35,'[7]UC demographics'!$G$49,'[7]UC demographics'!$G$57,'[7]UC demographics'!$G$69,'[7]UC demographics'!$G$82,'[7]UC demographics'!$G$114,'[7]UC demographics'!$G$143,'[7]UC demographics'!$G$159,'[7]UC demographics'!$G$184,'[7]UC demographics'!$G$206,'[7]UC demographics'!$G$238,'[7]UC demographics'!$G$275,'[7]UC demographics'!$G$289,'[7]UC demographics'!$G$309,'[7]UC demographics'!$G$317,'[7]UC demographics'!$G$334,'[7]UC demographics'!$G$345,'[7]UC demographics'!$G$356,'[7]UC demographics'!$G$364,'[7]UC demographics'!$G$403,'[7]UC demographics'!$G$411,'[7]UC demographics'!$G$434,'[7]UC demographics'!$G$480,'[7]UC demographics'!$G$493,'[7]UC demographics'!$G$654,'[7]UC demographics'!$G$710,'[7]UC demographics'!$G$725,'[7]UC demographics'!$G$753,'[7]UC demographics'!$G$781,'[7]UC demographics'!$G$885,'[7]UC demographics'!$G$925,'[7]UC demographics'!$G$949,'[7]UC demographics'!$G$974,'[7]UC demographics'!$G$1040,'[7]UC demographics'!$G$1086,'[7]UC demographics'!$G$1095,'[7]UC demographics'!$G$1123,'[7]UC demographics'!$G$1140,'[7]UC demographics'!$G$1185,'[7]UC demographics'!$G$1240,'[7]UC demographics'!$G$1270,'[7]UC demographics'!$G$1299,'[7]UC demographics'!$G$1316,'[7]UC demographics'!$G$1327,'[7]UC demographics'!$G$1354,'[7]UC demographics'!$G$1409,'[7]UC demographics'!$G$1440,'[7]UC demographics'!$G$1475,'[7]UC demographics'!$G$1506,'[7]UC demographics'!$G$1518,'[7]UC demographics'!$G$1544,'[7]UC demographics'!$G$1588</definedName>
    <definedName name="Punjab2">'[7]UC demographics'!$G$1599,'[7]UC demographics'!$G$1613,'[7]UC demographics'!$G$1646,'[7]UC demographics'!$G$1672,'[7]UC demographics'!$G$1699,'[7]UC demographics'!$G$1729,'[7]UC demographics'!$G$1752,'[7]UC demographics'!$G$1775,'[7]UC demographics'!$G$1782,'[7]UC demographics'!$G$1797,'[7]UC demographics'!$G$1826,'[7]UC demographics'!$G$1849,'[7]UC demographics'!$G$1872,'[7]UC demographics'!$G$1899,'[7]UC demographics'!$G$1918,'[7]UC demographics'!$G$1940,'[7]UC demographics'!$G$1968,'[7]UC demographics'!$G$1983,'[7]UC demographics'!$G$2000,'[7]UC demographics'!$G$2061,'[7]UC demographics'!$G$2099,'[7]UC demographics'!$G$2116,'[7]UC demographics'!$G$2133,'[7]UC demographics'!$G$2163,'[7]UC demographics'!$G$2202,'[7]UC demographics'!$G$2216,'[7]UC demographics'!$G$2234,'[7]UC demographics'!$G$2274,'[7]UC demographics'!$G$2309,'[7]UC demographics'!$G$2365,'[7]UC demographics'!$G$2410,'[7]UC demographics'!$G$2428,'[7]UC demographics'!$G$2458,'[7]UC demographics'!$G$2492,'[7]UC demographics'!$G$2519,'[7]UC demographics'!$G$2544,'[7]UC demographics'!$G$2584,'[7]UC demographics'!$G$2614,'[7]UC demographics'!$G$2634,'[7]UC demographics'!$G$2651,'[7]UC demographics'!$G$2660,'[7]UC demographics'!$G$2750,'[7]UC demographics'!$G$2784,'[7]UC demographics'!$G$2809,'[7]UC demographics'!$G$2818,'[7]UC demographics'!$G$2834</definedName>
    <definedName name="Punjab3">'[7]UC demographics'!$G$2848,'[7]UC demographics'!$G$2888,'[7]UC demographics'!$G$2942,'[7]UC demographics'!$G$2996,'[7]UC demographics'!$G$3060,'[7]UC demographics'!$G$3075,'[7]UC demographics'!$G$3091,'[7]UC demographics'!$G$3107,'[7]UC demographics'!$G$3157,'[7]UC demographics'!$G$3194,'[7]UC demographics'!$G$3225,'[7]UC demographics'!$G$3277,'[7]UC demographics'!$G$3321,'[7]UC demographics'!$G$3351,'[7]UC demographics'!$G$3408,'[7]UC demographics'!$G$3440,'[7]UC demographics'!$G$3464,'[7]UC demographics'!$G$3491,'[7]UC demographics'!$G$3523,'[7]UC demographics'!$G$3557</definedName>
    <definedName name="q" localSheetId="1">#REF!</definedName>
    <definedName name="q" localSheetId="0">#REF!</definedName>
    <definedName name="q" localSheetId="2">#REF!</definedName>
    <definedName name="q">#REF!</definedName>
    <definedName name="qq" localSheetId="1">#REF!</definedName>
    <definedName name="qq" localSheetId="0">#REF!</definedName>
    <definedName name="qq" localSheetId="2">#REF!</definedName>
    <definedName name="qq">#REF!</definedName>
    <definedName name="rate">'[43]Sub Accounts and Unit Costs'!$H$60</definedName>
    <definedName name="rate1">'[44]Sub Accounts and Unit Costs'!$H$60</definedName>
    <definedName name="regions">[8]Calc!$B$7:$B$15</definedName>
    <definedName name="RGNZON">'[35]General Assumption'!$B$25:$B$30</definedName>
    <definedName name="s" localSheetId="1">#REF!</definedName>
    <definedName name="s" localSheetId="0">#REF!</definedName>
    <definedName name="s" localSheetId="2">#REF!</definedName>
    <definedName name="s">#REF!</definedName>
    <definedName name="Sathi_3s">'[22]% Allocation'!$B$19</definedName>
    <definedName name="Sathi_3s__Dt___Dl">'[22]% Allocation'!$B$24</definedName>
    <definedName name="Sathi_3s__St___Rb">'[22]% Allocation'!$B$22</definedName>
    <definedName name="Sathi_6s__Dt___Dl">'[22]% Allocation'!$B$25</definedName>
    <definedName name="Sathi_6s__St___Rb">'[22]% Allocation'!$B$23</definedName>
    <definedName name="Sathi12s">'[22]% Allocation'!$B$21</definedName>
    <definedName name="Sathi6s">'[22]% Allocation'!$B$20</definedName>
    <definedName name="SDAList">[45]SDAs_impact_datasources!$A$2:$A$24</definedName>
    <definedName name="SETOFBOOKSNAME1">[11]CRITERIA1!$B$2</definedName>
    <definedName name="SETOFBOOKSNAME12">[11]CRITERIA12!$B$2</definedName>
    <definedName name="SETOFBOOKSNAME13">[11]CRITERIA13!$B$2</definedName>
    <definedName name="SETOFBOOKSNAME2">[11]CRITERIA2!$B$2</definedName>
    <definedName name="SETOFBOOKSNAME3">[11]CRITERIA3!$B$2</definedName>
    <definedName name="SETOFBOOKSNAME4">[11]CRITERIA4!$B$2</definedName>
    <definedName name="SETOFBOOKSNAME5">[11]CRITERIA5!$B$2</definedName>
    <definedName name="SETOFBOOKSNAME6">[11]CRITERIA6!$B$2</definedName>
    <definedName name="Sindh1">'[7]UC demographics'!$G$3583,'[7]UC demographics'!$G$3618,'[7]UC demographics'!$G$3644,'[7]UC demographics'!$G$3673,'[7]UC demographics'!$G$3699,'[7]UC demographics'!$G$3715,'[7]UC demographics'!$G$3725,'[7]UC demographics'!$G$3737,'[7]UC demographics'!$G$3751,'[7]UC demographics'!$G$3768,'[7]UC demographics'!$G$3778,'[7]UC demographics'!$G$3784,'[7]UC demographics'!$G$3800,'[7]UC demographics'!$G$3821,'[7]UC demographics'!$G$3834,'[7]UC demographics'!$G$3849,'[7]UC demographics'!$G$3864,'[7]UC demographics'!$G$3886,'[7]UC demographics'!$G$3900,'[7]UC demographics'!$G$3918,'[7]UC demographics'!$G$3921,'[7]UC demographics'!$G$3938,'[7]UC demographics'!$G$3941,'[7]UC demographics'!$G$3974,'[7]UC demographics'!$G$4008,'[7]UC demographics'!$G$4023,'[7]UC demographics'!$G$4030,'[7]UC demographics'!$G$4055,'[7]UC demographics'!$G$4074,'[7]UC demographics'!$G$4094,'[7]UC demographics'!$G$4102,'[7]UC demographics'!$G$4113,'[7]UC demographics'!$G$4123,'[7]UC demographics'!$G$4136,'[7]UC demographics'!$G$4149,'[7]UC demographics'!$G$4158,'[7]UC demographics'!$G$4170,'[7]UC demographics'!$G$4178,'[7]UC demographics'!$G$4188,'[7]UC demographics'!$G$4195,'[7]UC demographics'!$G$4203,'[7]UC demographics'!$G$4216,'[7]UC demographics'!$G$4227,'[7]UC demographics'!$G$4240,'[7]UC demographics'!$G$4248,'[7]UC demographics'!$G$4257,'[7]UC demographics'!$G$4270</definedName>
    <definedName name="Sindh2">'[7]UC demographics'!$G$4279,'[7]UC demographics'!$G$4288,'[7]UC demographics'!$G$4299,'[7]UC demographics'!$G$4315,'[7]UC demographics'!$G$4328,'[7]UC demographics'!$G$4340,'[7]UC demographics'!$G$4353,'[7]UC demographics'!$G$4358,'[7]UC demographics'!$G$4368,'[7]UC demographics'!$G$4384,'[7]UC demographics'!$G$4396,'[7]UC demographics'!$G$4415,'[7]UC demographics'!$G$4424,'[7]UC demographics'!$G$4434,'[7]UC demographics'!$G$4443,'[7]UC demographics'!$G$4456,'[7]UC demographics'!$G$4470,'[7]UC demographics'!$G$4479,'[7]UC demographics'!$G$4497,'[7]UC demographics'!$G$4543,'[7]UC demographics'!$G$4573,'[7]UC demographics'!$G$4592,'[7]UC demographics'!$G$4608,'[7]UC demographics'!$G$4625,'[7]UC demographics'!$G$4637,'[7]UC demographics'!$G$4651,'[7]UC demographics'!$G$4657,'[7]UC demographics'!$G$4670,'[7]UC demographics'!$G$4684,'[7]UC demographics'!$G$4700,'[7]UC demographics'!$G$4711,'[7]UC demographics'!$G$4721,'[7]UC demographics'!$G$4735,'[7]UC demographics'!$G$4745,'[7]UC demographics'!$G$4758,'[7]UC demographics'!$G$4773,'[7]UC demographics'!$G$4791,'[7]UC demographics'!$G$4805,'[7]UC demographics'!$G$4815,'[7]UC demographics'!$G$4828,'[7]UC demographics'!$G$4845,'[7]UC demographics'!$G$4854,'[7]UC demographics'!$G$4867,'[7]UC demographics'!$G$4874,'[7]UC demographics'!$G$4879,'[7]UC demographics'!$G$4886,'[7]UC demographics'!$G$4889,'[7]UC demographics'!$G$4899,'[7]UC demographics'!$G$4911,'[7]UC demographics'!$G$4917,'[7]UC demographics'!$G$4923,'[7]UC demographics'!$G$4937,'[7]UC demographics'!$G$4945,'[7]UC demographics'!$G$4950,'[7]UC demographics'!$G$4956</definedName>
    <definedName name="TBII">[31]TB!$B$2:$B$5</definedName>
    <definedName name="TBOI">[31]TB!$D$2:$D$6</definedName>
    <definedName name="TBSDA">[31]TB!$A$2:$A$32</definedName>
    <definedName name="TBSource">[27]TB!$E$2:$E$16</definedName>
    <definedName name="TitleRegion..BO60">#REF!</definedName>
    <definedName name="TOTAL_SATHI">'[22]% Allocation'!$B$26</definedName>
    <definedName name="TOTAL_TOUCH">'[22]% Allocation'!$B$34</definedName>
    <definedName name="Touch_Delay_3s">'[22]% Allocation'!$B$28</definedName>
    <definedName name="Touch_Delay_6s">'[22]% Allocation'!$B$29</definedName>
    <definedName name="Touch_Dotted_3s">'[22]% Allocation'!$B$32</definedName>
    <definedName name="Touch_Dotted6s">'[22]% Allocation'!$B$33</definedName>
    <definedName name="Touch_Ribbed_3s">'[22]% Allocation'!$B$30</definedName>
    <definedName name="Touch_Ribbed_6s">'[22]% Allocation'!$B$31</definedName>
    <definedName name="USD_YEAR_1">'[33]General Assumption'!$F$4</definedName>
    <definedName name="USD_YEAR_2">'[33]General Assumption'!$F$5</definedName>
    <definedName name="USD_YEAR_3">'[33]General Assumption'!$F$6</definedName>
    <definedName name="usinflation_yr2">'[25]Range Page'!$A$25</definedName>
    <definedName name="usinflation_yr3">'[25]Range Page'!$A$26</definedName>
    <definedName name="usinflation_yr4">'[25]Range Page'!$A$27</definedName>
    <definedName name="usinflation_yr5">'[25]Range Page'!$A$28</definedName>
    <definedName name="usinflation2" localSheetId="1">#REF!</definedName>
    <definedName name="usinflation2" localSheetId="0">#REF!</definedName>
    <definedName name="usinflation2" localSheetId="2">#REF!</definedName>
    <definedName name="usinflation2">#REF!</definedName>
    <definedName name="usinflation3" localSheetId="1">#REF!</definedName>
    <definedName name="usinflation3" localSheetId="0">#REF!</definedName>
    <definedName name="usinflation3" localSheetId="2">#REF!</definedName>
    <definedName name="usinflation3">#REF!</definedName>
    <definedName name="usinflation4" localSheetId="1">#REF!</definedName>
    <definedName name="usinflation4" localSheetId="0">#REF!</definedName>
    <definedName name="usinflation4" localSheetId="2">#REF!</definedName>
    <definedName name="usinflation4">#REF!</definedName>
    <definedName name="usinflation5" localSheetId="1">#REF!</definedName>
    <definedName name="usinflation5" localSheetId="0">#REF!</definedName>
    <definedName name="usinflation5" localSheetId="2">#REF!</definedName>
    <definedName name="usinflation5">#REF!</definedName>
    <definedName name="vector">ROW(OFFSET('[21]RSM Graph TGT 2025-26'!$A$1,,,ROWS('[21]RSM Graph TGT 2025-26'!$A$18:$P$25)))</definedName>
    <definedName name="workerscomp.expat">'[26]Range Page'!$A$17</definedName>
    <definedName name="workerscomp.intlstaff" localSheetId="1">#REF!</definedName>
    <definedName name="workerscomp.intlstaff" localSheetId="0">#REF!</definedName>
    <definedName name="workerscomp.intlstaff" localSheetId="2">#REF!</definedName>
    <definedName name="workerscomp.intlstaff">#REF!</definedName>
    <definedName name="workerscomp.STTA" localSheetId="1">#REF!</definedName>
    <definedName name="workerscomp.STTA" localSheetId="0">#REF!</definedName>
    <definedName name="workerscomp.STTA" localSheetId="2">#REF!</definedName>
    <definedName name="workerscomp.STTA">#REF!</definedName>
    <definedName name="wrn.ALI." hidden="1">{#N/A,#N/A,FALSE,"Balance Sheet";#N/A,#N/A,FALSE,"P&amp;L";#N/A,#N/A,FALSE,"Cashflow";#N/A,#N/A,FALSE,"Policy notes";#N/A,#N/A,FALSE,"FixedAssets";#N/A,#N/A,FALSE,"Policy notes";#N/A,#N/A,FALSE,"Notes3.5-17";#N/A,#N/A,FALSE,"P&amp;L notes"}</definedName>
    <definedName name="wwww" localSheetId="1">#REF!</definedName>
    <definedName name="wwww" localSheetId="0">#REF!</definedName>
    <definedName name="wwww" localSheetId="2">#REF!</definedName>
    <definedName name="wwww">#REF!</definedName>
    <definedName name="wwwww" localSheetId="1">#REF!</definedName>
    <definedName name="wwwww" localSheetId="0">#REF!</definedName>
    <definedName name="wwwww" localSheetId="2">#REF!</definedName>
    <definedName name="wwwww">#REF!</definedName>
    <definedName name="x" localSheetId="1">SUBTOTAL(2,OFFSET('ASM RSM'!d,[0]!vector-1,,1))</definedName>
    <definedName name="x" localSheetId="0">SUBTOTAL(2,OFFSET(Pharma!d,[0]!vector-1,,1))</definedName>
    <definedName name="x" localSheetId="2">SUBTOTAL(2,OFFSET(TODAY!d,[0]!vector-1,,1))</definedName>
    <definedName name="x">SUBTOTAL(2,OFFSET(d,vector-1,,1))</definedName>
    <definedName name="xWindow">14</definedName>
    <definedName name="y" localSheetId="1">IF('ASM RSM'!x&gt;0,N(OFFSET(OFFSET('ASM RSM'!d,,,1,1),[0]!vector-1,'ASM RSM'!x-1)),-99^99)</definedName>
    <definedName name="y" localSheetId="0">IF(Pharma!x&gt;0,N(OFFSET(OFFSET(Pharma!d,,,1,1),[0]!vector-1,Pharma!x-1)),-99^99)</definedName>
    <definedName name="y" localSheetId="2">IF(TODAY!x&gt;0,N(OFFSET(OFFSET(TODAY!d,,,1,1),[0]!vector-1,TODAY!x-1)),-99^99)</definedName>
    <definedName name="y">IF(x&gt;0,N(OFFSET(OFFSET(d,,,1,1),vector-1,x-1)),-99^99)</definedName>
    <definedName name="Y1depoprovera">[46]SALES_TARGETS_INPUT_SHEET!$AA$16</definedName>
    <definedName name="Y1ecp">[46]SALES_TARGETS_INPUT_SHEET!$AA$20</definedName>
    <definedName name="Y1femiject">[46]SALES_TARGETS_INPUT_SHEET!$AA$17</definedName>
    <definedName name="Y1implants">[46]SALES_TARGETS_INPUT_SHEET!$AA$27</definedName>
    <definedName name="Y1multiload">[46]SALES_TARGETS_INPUT_SHEET!$AA$23</definedName>
    <definedName name="Y1novaject">[46]SALES_TARGETS_INPUT_SHEET!$AA$18</definedName>
    <definedName name="Y1novodol">[46]SALES_TARGETS_INPUT_SHEET!$AA$21</definedName>
    <definedName name="Y1safeload">[46]SALES_TARGETS_INPUT_SHEET!$AA$24</definedName>
    <definedName name="Y1sathi10s">[46]SALES_TARGETS_INPUT_SHEET!$AA$8</definedName>
    <definedName name="Y1sathi3s">[46]SALES_TARGETS_INPUT_SHEET!$AA$6</definedName>
    <definedName name="Y1sathi6s">[46]SALES_TARGETS_INPUT_SHEET!$AA$7</definedName>
    <definedName name="Y1touch3sC">[46]SALES_TARGETS_INPUT_SHEET!$AA$10</definedName>
    <definedName name="Y1touch3sD">[46]SALES_TARGETS_INPUT_SHEET!$AA$12</definedName>
    <definedName name="Y1touch6sC">[46]SALES_TARGETS_INPUT_SHEET!$AA$11</definedName>
    <definedName name="Y1touch6sD">[46]SALES_TARGETS_INPUT_SHEET!$AA$13</definedName>
    <definedName name="Y1vsc">[46]SALES_TARGETS_INPUT_SHEET!$AA$30</definedName>
    <definedName name="Y2depoprovera">[46]SALES_TARGETS_INPUT_SHEET!$AH$16</definedName>
    <definedName name="Y2ecp">[46]SALES_TARGETS_INPUT_SHEET!$AH$20</definedName>
    <definedName name="Y2femiject">[46]SALES_TARGETS_INPUT_SHEET!$AH$17</definedName>
    <definedName name="Y2implants">[46]SALES_TARGETS_INPUT_SHEET!$AH$27</definedName>
    <definedName name="Y2multiload">[46]SALES_TARGETS_INPUT_SHEET!$AH$23</definedName>
    <definedName name="Y2novaject">[46]SALES_TARGETS_INPUT_SHEET!$AH$18</definedName>
    <definedName name="Y2novodol">[46]SALES_TARGETS_INPUT_SHEET!$AH$21</definedName>
    <definedName name="Y2safeload">[46]SALES_TARGETS_INPUT_SHEET!$AH$24</definedName>
    <definedName name="Y2sathi10s">[46]SALES_TARGETS_INPUT_SHEET!$AH$8</definedName>
    <definedName name="Y2sathi3s">[46]SALES_TARGETS_INPUT_SHEET!$AH$6</definedName>
    <definedName name="Y2sathi6s">[46]SALES_TARGETS_INPUT_SHEET!$AH$7</definedName>
    <definedName name="Y2touch3sC">[46]SALES_TARGETS_INPUT_SHEET!$AH$10</definedName>
    <definedName name="Y2touch3sD">[46]SALES_TARGETS_INPUT_SHEET!$AH$12</definedName>
    <definedName name="Y2touch6sC">[46]SALES_TARGETS_INPUT_SHEET!$AH$11</definedName>
    <definedName name="Y2touch6sD">[46]SALES_TARGETS_INPUT_SHEET!$AH$13</definedName>
    <definedName name="Y2vsc">[46]SALES_TARGETS_INPUT_SHEET!$AH$30</definedName>
    <definedName name="Y3depoprovera">[46]SALES_TARGETS_INPUT_SHEET!$AO$16</definedName>
    <definedName name="Y3ecp">[46]SALES_TARGETS_INPUT_SHEET!$AO$20</definedName>
    <definedName name="Y3femiject">[46]SALES_TARGETS_INPUT_SHEET!$AO$17</definedName>
    <definedName name="Y3implants">[46]SALES_TARGETS_INPUT_SHEET!$AO$27</definedName>
    <definedName name="Y3multiload">[46]SALES_TARGETS_INPUT_SHEET!$AO$23</definedName>
    <definedName name="Y3novaject">[46]SALES_TARGETS_INPUT_SHEET!$AO$18</definedName>
    <definedName name="Y3novodol">[46]SALES_TARGETS_INPUT_SHEET!$AO$21</definedName>
    <definedName name="Y3safeload">[46]SALES_TARGETS_INPUT_SHEET!$AO$24</definedName>
    <definedName name="Y3sathi10s">[46]SALES_TARGETS_INPUT_SHEET!$AO$8</definedName>
    <definedName name="Y3sathi3s">[46]SALES_TARGETS_INPUT_SHEET!$AO$6</definedName>
    <definedName name="Y3sathi6s">[46]SALES_TARGETS_INPUT_SHEET!$AO$7</definedName>
    <definedName name="Y3touch3sC">[46]SALES_TARGETS_INPUT_SHEET!$AO$10</definedName>
    <definedName name="Y3touch3sD">[46]SALES_TARGETS_INPUT_SHEET!$AO$12</definedName>
    <definedName name="Y3touch6sC">[46]SALES_TARGETS_INPUT_SHEET!$AO$11</definedName>
    <definedName name="Y3touch6sD">[46]SALES_TARGETS_INPUT_SHEET!$AO$13</definedName>
    <definedName name="Y3vsc">[46]SALES_TARGETS_INPUT_SHEET!$AO$30</definedName>
    <definedName name="YEAR2">'[32]Endowment Budget'!$D$1</definedName>
    <definedName name="YEAR3">'[32]Endowment Budget'!$E$1</definedName>
    <definedName name="YesNoNA">'[23]Drop down'!$G$6:$G$9</definedName>
    <definedName name="YLD1">'[47]FMCG Master File'!#REF!</definedName>
    <definedName name="yWindow">0</definedName>
    <definedName name="zones">[12]Keys!$C$2:$C$23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0" i="4" l="1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KT110" i="1"/>
  <c r="KR1" i="1"/>
  <c r="KS1" i="1" s="1"/>
  <c r="KU1" i="1" s="1"/>
  <c r="KV1" i="1" s="1"/>
  <c r="KW1" i="1" s="1"/>
  <c r="KX1" i="1" s="1"/>
  <c r="KY1" i="1" s="1"/>
  <c r="KZ1" i="1" s="1"/>
  <c r="LB1" i="1" s="1"/>
  <c r="LC1" i="1" s="1"/>
  <c r="LD1" i="1" s="1"/>
  <c r="LE1" i="1" s="1"/>
  <c r="LF1" i="1" s="1"/>
  <c r="LG1" i="1" s="1"/>
  <c r="LI1" i="1" s="1"/>
  <c r="LJ1" i="1" s="1"/>
  <c r="LK1" i="1" s="1"/>
  <c r="LL1" i="1" s="1"/>
  <c r="LM1" i="1" s="1"/>
  <c r="LN1" i="1" s="1"/>
  <c r="LP1" i="1" s="1"/>
  <c r="LQ1" i="1" s="1"/>
  <c r="LR1" i="1" s="1"/>
  <c r="LS1" i="1" s="1"/>
  <c r="LT1" i="1" s="1"/>
  <c r="LU1" i="1" s="1"/>
  <c r="L3" i="4"/>
  <c r="J3" i="4"/>
  <c r="N123" i="1"/>
  <c r="CF2" i="1"/>
  <c r="A1" i="3" l="1"/>
  <c r="Q8" i="1" l="1"/>
  <c r="AQ8" i="1"/>
  <c r="AP8" i="1"/>
  <c r="JK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N8" i="1" s="1"/>
  <c r="BJ8" i="1"/>
  <c r="BI8" i="1"/>
  <c r="BH8" i="1"/>
  <c r="BD8" i="1"/>
  <c r="BC8" i="1"/>
  <c r="BB8" i="1"/>
  <c r="BA8" i="1"/>
  <c r="AZ8" i="1"/>
  <c r="AY8" i="1"/>
  <c r="AX8" i="1"/>
  <c r="AU8" i="1"/>
  <c r="AT8" i="1"/>
  <c r="AS8" i="1"/>
  <c r="AR8" i="1"/>
  <c r="N2" i="3"/>
  <c r="BE8" i="1" l="1"/>
  <c r="BE59" i="1"/>
  <c r="J108" i="1"/>
  <c r="J69" i="1"/>
  <c r="BA59" i="1"/>
  <c r="AZ59" i="1"/>
  <c r="AY59" i="1"/>
  <c r="AX59" i="1"/>
  <c r="BB59" i="1"/>
  <c r="Q59" i="1"/>
  <c r="AP59" i="1"/>
  <c r="AQ59" i="1"/>
  <c r="AR59" i="1"/>
  <c r="AS59" i="1"/>
  <c r="AT59" i="1"/>
  <c r="AU59" i="1"/>
  <c r="BC59" i="1"/>
  <c r="BD59" i="1"/>
  <c r="BH59" i="1"/>
  <c r="BI59" i="1"/>
  <c r="BJ59" i="1"/>
  <c r="BK59" i="1"/>
  <c r="N59" i="1" s="1"/>
  <c r="BL59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JK59" i="1"/>
  <c r="BF14" i="1" l="1"/>
  <c r="BF8" i="1"/>
  <c r="BF51" i="1"/>
  <c r="BF83" i="1"/>
  <c r="BF78" i="1"/>
  <c r="BF43" i="1"/>
  <c r="BF35" i="1"/>
  <c r="BF59" i="1"/>
  <c r="BT104" i="1"/>
  <c r="BT99" i="1"/>
  <c r="BT92" i="1"/>
  <c r="BT87" i="1"/>
  <c r="BT80" i="1"/>
  <c r="BT75" i="1"/>
  <c r="BT63" i="1"/>
  <c r="BT55" i="1"/>
  <c r="BT50" i="1"/>
  <c r="BT43" i="1"/>
  <c r="BT41" i="1"/>
  <c r="BT39" i="1"/>
  <c r="BT37" i="1"/>
  <c r="BT27" i="1"/>
  <c r="BT26" i="1"/>
  <c r="BT19" i="1"/>
  <c r="BT14" i="1"/>
  <c r="BT7" i="1"/>
  <c r="AM104" i="1"/>
  <c r="AM99" i="1"/>
  <c r="AM84" i="1"/>
  <c r="AM76" i="1"/>
  <c r="AM39" i="1"/>
  <c r="AM31" i="1"/>
  <c r="AM23" i="1"/>
  <c r="AM19" i="1"/>
  <c r="AM15" i="1"/>
  <c r="BT100" i="1"/>
  <c r="BT51" i="1"/>
  <c r="BT15" i="1"/>
  <c r="BT6" i="1"/>
  <c r="BT5" i="1"/>
  <c r="A1" i="4"/>
  <c r="M1" i="4"/>
  <c r="K1" i="4"/>
  <c r="I1" i="4"/>
  <c r="I2" i="4"/>
  <c r="K3" i="4"/>
  <c r="I3" i="4"/>
  <c r="G3" i="4"/>
  <c r="BQ104" i="1"/>
  <c r="BQ100" i="1"/>
  <c r="BQ99" i="1"/>
  <c r="BQ91" i="1"/>
  <c r="BQ89" i="1"/>
  <c r="BQ88" i="1"/>
  <c r="BQ87" i="1"/>
  <c r="BQ78" i="1"/>
  <c r="BQ76" i="1"/>
  <c r="BQ75" i="1"/>
  <c r="BQ64" i="1"/>
  <c r="BQ63" i="1"/>
  <c r="BQ56" i="1"/>
  <c r="BQ55" i="1"/>
  <c r="BQ53" i="1"/>
  <c r="BQ52" i="1"/>
  <c r="BQ51" i="1"/>
  <c r="BQ50" i="1"/>
  <c r="BQ38" i="1"/>
  <c r="BQ43" i="1"/>
  <c r="BQ41" i="1"/>
  <c r="BQ39" i="1"/>
  <c r="BQ37" i="1"/>
  <c r="BQ31" i="1"/>
  <c r="BQ29" i="1"/>
  <c r="BQ27" i="1"/>
  <c r="BQ26" i="1"/>
  <c r="BQ20" i="1"/>
  <c r="BQ19" i="1"/>
  <c r="BQ17" i="1"/>
  <c r="BQ15" i="1"/>
  <c r="AJ99" i="1"/>
  <c r="AJ76" i="1"/>
  <c r="AJ39" i="1"/>
  <c r="AJ31" i="1"/>
  <c r="AJ15" i="1"/>
  <c r="AJ6" i="1"/>
  <c r="BS105" i="1"/>
  <c r="BS102" i="1"/>
  <c r="BS101" i="1"/>
  <c r="BS100" i="1"/>
  <c r="BS99" i="1"/>
  <c r="BS94" i="1"/>
  <c r="BS93" i="1"/>
  <c r="BS92" i="1"/>
  <c r="BS90" i="1"/>
  <c r="BS89" i="1"/>
  <c r="BS88" i="1"/>
  <c r="BS87" i="1"/>
  <c r="BS81" i="1"/>
  <c r="BS76" i="1"/>
  <c r="BS75" i="1"/>
  <c r="BS70" i="1"/>
  <c r="BS66" i="1"/>
  <c r="BS65" i="1"/>
  <c r="BS64" i="1"/>
  <c r="BS63" i="1"/>
  <c r="BS57" i="1"/>
  <c r="BS56" i="1"/>
  <c r="BS55" i="1"/>
  <c r="BS53" i="1"/>
  <c r="BS52" i="1"/>
  <c r="BS51" i="1"/>
  <c r="BS50" i="1"/>
  <c r="BS44" i="1"/>
  <c r="BS38" i="1"/>
  <c r="BS43" i="1"/>
  <c r="BS39" i="1"/>
  <c r="BS37" i="1"/>
  <c r="BS45" i="1"/>
  <c r="BS34" i="1"/>
  <c r="BS31" i="1"/>
  <c r="BS30" i="1"/>
  <c r="BS29" i="1"/>
  <c r="BS28" i="1"/>
  <c r="BS27" i="1"/>
  <c r="BS26" i="1"/>
  <c r="BS25" i="1"/>
  <c r="BS21" i="1"/>
  <c r="BS17" i="1"/>
  <c r="BS15" i="1"/>
  <c r="BS13" i="1"/>
  <c r="BS11" i="1"/>
  <c r="BS9" i="1"/>
  <c r="BS7" i="1"/>
  <c r="BS6" i="1"/>
  <c r="BS5" i="1"/>
  <c r="BS95" i="1"/>
  <c r="BS58" i="1"/>
  <c r="BS46" i="1"/>
  <c r="BS22" i="1"/>
  <c r="BS20" i="1"/>
  <c r="AL104" i="1"/>
  <c r="AL99" i="1"/>
  <c r="AL95" i="1"/>
  <c r="AL76" i="1"/>
  <c r="AL53" i="1"/>
  <c r="AL46" i="1"/>
  <c r="AL39" i="1"/>
  <c r="AL31" i="1"/>
  <c r="AL23" i="1"/>
  <c r="AL19" i="1"/>
  <c r="AL15" i="1"/>
  <c r="AL9" i="1"/>
  <c r="AL6" i="1"/>
  <c r="F3" i="3"/>
  <c r="F3" i="4" s="1"/>
  <c r="K2" i="4"/>
  <c r="BG106" i="1"/>
  <c r="BF106" i="1"/>
  <c r="AY106" i="1"/>
  <c r="BQ105" i="1"/>
  <c r="BD105" i="1"/>
  <c r="BK104" i="1"/>
  <c r="N104" i="1" s="1"/>
  <c r="BI104" i="1"/>
  <c r="BH104" i="1"/>
  <c r="BG104" i="1"/>
  <c r="BF104" i="1"/>
  <c r="BK102" i="1"/>
  <c r="N102" i="1" s="1"/>
  <c r="AX102" i="1"/>
  <c r="AX101" i="1"/>
  <c r="BK100" i="1"/>
  <c r="N100" i="1" s="1"/>
  <c r="BD100" i="1"/>
  <c r="AX100" i="1"/>
  <c r="BK99" i="1"/>
  <c r="N99" i="1" s="1"/>
  <c r="AY99" i="1"/>
  <c r="AX99" i="1"/>
  <c r="BD98" i="1"/>
  <c r="BD97" i="1"/>
  <c r="AX97" i="1"/>
  <c r="BO95" i="1"/>
  <c r="BN95" i="1"/>
  <c r="BH95" i="1"/>
  <c r="BG95" i="1"/>
  <c r="BF95" i="1"/>
  <c r="BE95" i="1"/>
  <c r="BD95" i="1"/>
  <c r="BC95" i="1"/>
  <c r="BB95" i="1"/>
  <c r="BA95" i="1"/>
  <c r="AX95" i="1"/>
  <c r="BQ94" i="1"/>
  <c r="BK94" i="1"/>
  <c r="N94" i="1" s="1"/>
  <c r="BD94" i="1"/>
  <c r="AX94" i="1"/>
  <c r="BQ93" i="1"/>
  <c r="BK93" i="1"/>
  <c r="N93" i="1" s="1"/>
  <c r="AY93" i="1"/>
  <c r="AX93" i="1"/>
  <c r="BK92" i="1"/>
  <c r="N92" i="1" s="1"/>
  <c r="BD92" i="1"/>
  <c r="AX92" i="1"/>
  <c r="BD91" i="1"/>
  <c r="AX91" i="1"/>
  <c r="BK90" i="1"/>
  <c r="N90" i="1" s="1"/>
  <c r="AX90" i="1"/>
  <c r="BD88" i="1"/>
  <c r="AY88" i="1"/>
  <c r="AX88" i="1"/>
  <c r="BK87" i="1"/>
  <c r="N87" i="1" s="1"/>
  <c r="AY87" i="1"/>
  <c r="AX87" i="1"/>
  <c r="BQ86" i="1"/>
  <c r="BQ84" i="1"/>
  <c r="BM84" i="1"/>
  <c r="BL84" i="1"/>
  <c r="BK84" i="1"/>
  <c r="N84" i="1" s="1"/>
  <c r="BJ84" i="1"/>
  <c r="BI84" i="1"/>
  <c r="BF84" i="1"/>
  <c r="BA84" i="1"/>
  <c r="AZ84" i="1"/>
  <c r="AY84" i="1"/>
  <c r="AX84" i="1"/>
  <c r="BQ83" i="1"/>
  <c r="BP83" i="1"/>
  <c r="BO83" i="1"/>
  <c r="BN83" i="1"/>
  <c r="BM83" i="1"/>
  <c r="BJ83" i="1"/>
  <c r="BI83" i="1"/>
  <c r="BH83" i="1"/>
  <c r="BE83" i="1"/>
  <c r="BD83" i="1"/>
  <c r="BB83" i="1"/>
  <c r="BQ82" i="1"/>
  <c r="BK82" i="1"/>
  <c r="N82" i="1" s="1"/>
  <c r="BD82" i="1"/>
  <c r="BQ81" i="1"/>
  <c r="BK81" i="1"/>
  <c r="N81" i="1" s="1"/>
  <c r="AY81" i="1"/>
  <c r="AX81" i="1"/>
  <c r="BQ80" i="1"/>
  <c r="BQ79" i="1"/>
  <c r="BD79" i="1"/>
  <c r="AX79" i="1"/>
  <c r="BN78" i="1"/>
  <c r="BM78" i="1"/>
  <c r="BL78" i="1"/>
  <c r="BK78" i="1"/>
  <c r="N78" i="1" s="1"/>
  <c r="BJ78" i="1"/>
  <c r="BH78" i="1"/>
  <c r="BE78" i="1"/>
  <c r="BC78" i="1"/>
  <c r="BB78" i="1"/>
  <c r="BA78" i="1"/>
  <c r="AZ78" i="1"/>
  <c r="AY78" i="1"/>
  <c r="AX78" i="1"/>
  <c r="BP76" i="1"/>
  <c r="BO76" i="1"/>
  <c r="BN76" i="1"/>
  <c r="BM76" i="1"/>
  <c r="BL76" i="1"/>
  <c r="BK76" i="1"/>
  <c r="N76" i="1" s="1"/>
  <c r="BJ76" i="1"/>
  <c r="BE76" i="1"/>
  <c r="BD76" i="1"/>
  <c r="BC76" i="1"/>
  <c r="BB76" i="1"/>
  <c r="BA76" i="1"/>
  <c r="AX76" i="1"/>
  <c r="BL75" i="1"/>
  <c r="BK75" i="1"/>
  <c r="N75" i="1" s="1"/>
  <c r="BJ75" i="1"/>
  <c r="BF75" i="1"/>
  <c r="BE75" i="1"/>
  <c r="BA75" i="1"/>
  <c r="AZ75" i="1"/>
  <c r="AY75" i="1"/>
  <c r="AX75" i="1"/>
  <c r="BQ74" i="1"/>
  <c r="BQ73" i="1"/>
  <c r="BK73" i="1"/>
  <c r="N73" i="1" s="1"/>
  <c r="BD73" i="1"/>
  <c r="AX73" i="1"/>
  <c r="BQ72" i="1"/>
  <c r="BK72" i="1"/>
  <c r="N72" i="1" s="1"/>
  <c r="AX72" i="1"/>
  <c r="BQ71" i="1"/>
  <c r="BK71" i="1"/>
  <c r="N71" i="1" s="1"/>
  <c r="BD71" i="1"/>
  <c r="BQ70" i="1"/>
  <c r="BK70" i="1"/>
  <c r="N70" i="1" s="1"/>
  <c r="BD70" i="1"/>
  <c r="AX70" i="1"/>
  <c r="BQ67" i="1"/>
  <c r="BO67" i="1"/>
  <c r="BN67" i="1"/>
  <c r="BK67" i="1"/>
  <c r="N67" i="1" s="1"/>
  <c r="BJ67" i="1"/>
  <c r="BI67" i="1"/>
  <c r="BE67" i="1"/>
  <c r="BD67" i="1"/>
  <c r="BC67" i="1"/>
  <c r="BB67" i="1"/>
  <c r="AX67" i="1"/>
  <c r="BK66" i="1"/>
  <c r="N66" i="1" s="1"/>
  <c r="AX66" i="1"/>
  <c r="BD65" i="1"/>
  <c r="AX65" i="1"/>
  <c r="BK64" i="1"/>
  <c r="N64" i="1" s="1"/>
  <c r="BD64" i="1"/>
  <c r="AX64" i="1"/>
  <c r="BK63" i="1"/>
  <c r="N63" i="1" s="1"/>
  <c r="AX63" i="1"/>
  <c r="AX62" i="1"/>
  <c r="BM60" i="1"/>
  <c r="BL60" i="1"/>
  <c r="BK60" i="1"/>
  <c r="N60" i="1" s="1"/>
  <c r="BJ60" i="1"/>
  <c r="BI60" i="1"/>
  <c r="BH60" i="1"/>
  <c r="BF60" i="1"/>
  <c r="BA60" i="1"/>
  <c r="AZ60" i="1"/>
  <c r="AY60" i="1"/>
  <c r="AX60" i="1"/>
  <c r="BK58" i="1"/>
  <c r="N58" i="1" s="1"/>
  <c r="AX58" i="1"/>
  <c r="BQ57" i="1"/>
  <c r="BK57" i="1"/>
  <c r="N57" i="1" s="1"/>
  <c r="BD57" i="1"/>
  <c r="AX57" i="1"/>
  <c r="BK56" i="1"/>
  <c r="N56" i="1" s="1"/>
  <c r="AX56" i="1"/>
  <c r="BD55" i="1"/>
  <c r="AX55" i="1"/>
  <c r="BM53" i="1"/>
  <c r="BL53" i="1"/>
  <c r="BK53" i="1"/>
  <c r="N53" i="1" s="1"/>
  <c r="BJ53" i="1"/>
  <c r="BI53" i="1"/>
  <c r="BH53" i="1"/>
  <c r="BG53" i="1"/>
  <c r="BF53" i="1"/>
  <c r="BA53" i="1"/>
  <c r="AZ53" i="1"/>
  <c r="AY53" i="1"/>
  <c r="AX53" i="1"/>
  <c r="BK52" i="1"/>
  <c r="N52" i="1" s="1"/>
  <c r="BD52" i="1"/>
  <c r="AX52" i="1"/>
  <c r="BP51" i="1"/>
  <c r="BN51" i="1"/>
  <c r="BL51" i="1"/>
  <c r="BK51" i="1"/>
  <c r="N51" i="1" s="1"/>
  <c r="BJ51" i="1"/>
  <c r="BE51" i="1"/>
  <c r="BD51" i="1"/>
  <c r="BC51" i="1"/>
  <c r="BB51" i="1"/>
  <c r="BA51" i="1"/>
  <c r="AZ51" i="1"/>
  <c r="AY51" i="1"/>
  <c r="BK50" i="1"/>
  <c r="N50" i="1" s="1"/>
  <c r="AY50" i="1"/>
  <c r="AX50" i="1"/>
  <c r="BQ49" i="1"/>
  <c r="BD49" i="1"/>
  <c r="BQ48" i="1"/>
  <c r="BK48" i="1"/>
  <c r="N48" i="1" s="1"/>
  <c r="BD48" i="1"/>
  <c r="AX48" i="1"/>
  <c r="BQ46" i="1"/>
  <c r="BP46" i="1"/>
  <c r="BO46" i="1"/>
  <c r="BN46" i="1"/>
  <c r="BM46" i="1"/>
  <c r="BI46" i="1"/>
  <c r="BH46" i="1"/>
  <c r="BG46" i="1"/>
  <c r="BF46" i="1"/>
  <c r="BE46" i="1"/>
  <c r="AY46" i="1"/>
  <c r="BQ44" i="1"/>
  <c r="BD44" i="1"/>
  <c r="AX44" i="1"/>
  <c r="BK38" i="1"/>
  <c r="N38" i="1" s="1"/>
  <c r="AY38" i="1"/>
  <c r="AX38" i="1"/>
  <c r="BP43" i="1"/>
  <c r="BN43" i="1"/>
  <c r="BM43" i="1"/>
  <c r="BJ43" i="1"/>
  <c r="BH43" i="1"/>
  <c r="BE43" i="1"/>
  <c r="BB43" i="1"/>
  <c r="AX43" i="1"/>
  <c r="BD42" i="1"/>
  <c r="AX42" i="1"/>
  <c r="BK41" i="1"/>
  <c r="N41" i="1" s="1"/>
  <c r="AY41" i="1"/>
  <c r="AX41" i="1"/>
  <c r="BP39" i="1"/>
  <c r="BO39" i="1"/>
  <c r="BN39" i="1"/>
  <c r="BJ39" i="1"/>
  <c r="BE39" i="1"/>
  <c r="BD39" i="1"/>
  <c r="BC39" i="1"/>
  <c r="BB39" i="1"/>
  <c r="BA39" i="1"/>
  <c r="AZ39" i="1"/>
  <c r="AX39" i="1"/>
  <c r="BM37" i="1"/>
  <c r="BL37" i="1"/>
  <c r="BK37" i="1"/>
  <c r="N37" i="1" s="1"/>
  <c r="BJ37" i="1"/>
  <c r="BF37" i="1"/>
  <c r="AZ37" i="1"/>
  <c r="AY37" i="1"/>
  <c r="AX37" i="1"/>
  <c r="BQ45" i="1"/>
  <c r="BK45" i="1"/>
  <c r="N45" i="1" s="1"/>
  <c r="BD45" i="1"/>
  <c r="AX45" i="1"/>
  <c r="BM35" i="1"/>
  <c r="BL35" i="1"/>
  <c r="BK35" i="1"/>
  <c r="N35" i="1" s="1"/>
  <c r="BJ35" i="1"/>
  <c r="BH35" i="1"/>
  <c r="BB35" i="1"/>
  <c r="BA35" i="1"/>
  <c r="AZ35" i="1"/>
  <c r="AY35" i="1"/>
  <c r="AX35" i="1"/>
  <c r="BP34" i="1"/>
  <c r="BO34" i="1"/>
  <c r="BN34" i="1"/>
  <c r="BM34" i="1"/>
  <c r="BK34" i="1"/>
  <c r="N34" i="1" s="1"/>
  <c r="BI34" i="1"/>
  <c r="BH34" i="1"/>
  <c r="BG34" i="1"/>
  <c r="BF34" i="1"/>
  <c r="BD34" i="1"/>
  <c r="BC34" i="1"/>
  <c r="BB34" i="1"/>
  <c r="BA34" i="1"/>
  <c r="BN31" i="1"/>
  <c r="BI31" i="1"/>
  <c r="BH31" i="1"/>
  <c r="BG31" i="1"/>
  <c r="BF31" i="1"/>
  <c r="BC31" i="1"/>
  <c r="BB31" i="1"/>
  <c r="BA31" i="1"/>
  <c r="BQ30" i="1"/>
  <c r="BK30" i="1"/>
  <c r="N30" i="1" s="1"/>
  <c r="BD30" i="1"/>
  <c r="AX30" i="1"/>
  <c r="BK29" i="1"/>
  <c r="N29" i="1" s="1"/>
  <c r="AX29" i="1"/>
  <c r="BK27" i="1"/>
  <c r="N27" i="1" s="1"/>
  <c r="BD27" i="1"/>
  <c r="AX27" i="1"/>
  <c r="BK26" i="1"/>
  <c r="N26" i="1" s="1"/>
  <c r="AX26" i="1"/>
  <c r="BQ25" i="1"/>
  <c r="BO25" i="1"/>
  <c r="BN25" i="1"/>
  <c r="BM25" i="1"/>
  <c r="BK25" i="1"/>
  <c r="N25" i="1" s="1"/>
  <c r="BH25" i="1"/>
  <c r="BF25" i="1"/>
  <c r="BD25" i="1"/>
  <c r="BB25" i="1"/>
  <c r="BN23" i="1"/>
  <c r="BM23" i="1"/>
  <c r="BL23" i="1"/>
  <c r="BK23" i="1"/>
  <c r="N23" i="1" s="1"/>
  <c r="BJ23" i="1"/>
  <c r="BH23" i="1"/>
  <c r="BG23" i="1"/>
  <c r="BF23" i="1"/>
  <c r="BE23" i="1"/>
  <c r="BB23" i="1"/>
  <c r="BA23" i="1"/>
  <c r="AZ23" i="1"/>
  <c r="AY23" i="1"/>
  <c r="AX23" i="1"/>
  <c r="BD22" i="1"/>
  <c r="AX22" i="1"/>
  <c r="BK21" i="1"/>
  <c r="N21" i="1" s="1"/>
  <c r="BD21" i="1"/>
  <c r="AX21" i="1"/>
  <c r="BK20" i="1"/>
  <c r="N20" i="1" s="1"/>
  <c r="AX20" i="1"/>
  <c r="BP19" i="1"/>
  <c r="BN19" i="1"/>
  <c r="BH19" i="1"/>
  <c r="BF19" i="1"/>
  <c r="BE19" i="1"/>
  <c r="BB19" i="1"/>
  <c r="BK18" i="1"/>
  <c r="N18" i="1" s="1"/>
  <c r="BD18" i="1"/>
  <c r="BK17" i="1"/>
  <c r="N17" i="1" s="1"/>
  <c r="AX17" i="1"/>
  <c r="BP15" i="1"/>
  <c r="BO15" i="1"/>
  <c r="BN15" i="1"/>
  <c r="BK15" i="1"/>
  <c r="N15" i="1" s="1"/>
  <c r="BI15" i="1"/>
  <c r="BE15" i="1"/>
  <c r="BD15" i="1"/>
  <c r="BC15" i="1"/>
  <c r="BB15" i="1"/>
  <c r="AZ15" i="1"/>
  <c r="AY15" i="1"/>
  <c r="AX15" i="1"/>
  <c r="BM14" i="1"/>
  <c r="BL14" i="1"/>
  <c r="BK14" i="1"/>
  <c r="N14" i="1" s="1"/>
  <c r="BJ14" i="1"/>
  <c r="BH14" i="1"/>
  <c r="BA14" i="1"/>
  <c r="AZ14" i="1"/>
  <c r="AY14" i="1"/>
  <c r="AX14" i="1"/>
  <c r="BQ13" i="1"/>
  <c r="BK13" i="1"/>
  <c r="N13" i="1" s="1"/>
  <c r="BD13" i="1"/>
  <c r="BQ12" i="1"/>
  <c r="BK12" i="1"/>
  <c r="N12" i="1" s="1"/>
  <c r="AX12" i="1"/>
  <c r="BQ11" i="1"/>
  <c r="BK11" i="1"/>
  <c r="N11" i="1" s="1"/>
  <c r="BD11" i="1"/>
  <c r="AY11" i="1"/>
  <c r="AX11" i="1"/>
  <c r="BQ9" i="1"/>
  <c r="BM9" i="1"/>
  <c r="BL9" i="1"/>
  <c r="BK9" i="1"/>
  <c r="N9" i="1" s="1"/>
  <c r="BJ9" i="1"/>
  <c r="BG9" i="1"/>
  <c r="BF9" i="1"/>
  <c r="BE9" i="1"/>
  <c r="AZ9" i="1"/>
  <c r="AY9" i="1"/>
  <c r="AX9" i="1"/>
  <c r="BD7" i="1"/>
  <c r="AX7" i="1"/>
  <c r="BQ6" i="1"/>
  <c r="BP6" i="1"/>
  <c r="BO6" i="1"/>
  <c r="BN6" i="1"/>
  <c r="BM6" i="1"/>
  <c r="BL6" i="1"/>
  <c r="BJ6" i="1"/>
  <c r="BI6" i="1"/>
  <c r="BF6" i="1"/>
  <c r="BD6" i="1"/>
  <c r="BC6" i="1"/>
  <c r="BB6" i="1"/>
  <c r="AZ6" i="1"/>
  <c r="AY6" i="1"/>
  <c r="BK5" i="1"/>
  <c r="N5" i="1" s="1"/>
  <c r="AY5" i="1"/>
  <c r="AX5" i="1"/>
  <c r="BM4" i="1"/>
  <c r="BI4" i="1"/>
  <c r="BG4" i="1"/>
  <c r="BF4" i="1"/>
  <c r="BE4" i="1"/>
  <c r="BC4" i="1"/>
  <c r="AK106" i="1"/>
  <c r="AG106" i="1"/>
  <c r="AE106" i="1"/>
  <c r="AD106" i="1"/>
  <c r="L106" i="1" s="1"/>
  <c r="AC106" i="1"/>
  <c r="Y106" i="1"/>
  <c r="X106" i="1"/>
  <c r="V106" i="1"/>
  <c r="U106" i="1"/>
  <c r="S106" i="1"/>
  <c r="R106" i="1"/>
  <c r="Q106" i="1"/>
  <c r="AK104" i="1"/>
  <c r="AJ104" i="1"/>
  <c r="AI104" i="1"/>
  <c r="AH104" i="1"/>
  <c r="AG104" i="1"/>
  <c r="AF104" i="1"/>
  <c r="AE104" i="1"/>
  <c r="AD104" i="1"/>
  <c r="L104" i="1" s="1"/>
  <c r="AC104" i="1"/>
  <c r="AB104" i="1"/>
  <c r="Z104" i="1"/>
  <c r="Y104" i="1"/>
  <c r="X104" i="1"/>
  <c r="W104" i="1"/>
  <c r="V104" i="1"/>
  <c r="U104" i="1"/>
  <c r="T104" i="1"/>
  <c r="S104" i="1"/>
  <c r="R104" i="1"/>
  <c r="AD99" i="1"/>
  <c r="L99" i="1" s="1"/>
  <c r="W99" i="1"/>
  <c r="AJ95" i="1"/>
  <c r="AI95" i="1"/>
  <c r="AH95" i="1"/>
  <c r="AG95" i="1"/>
  <c r="AF95" i="1"/>
  <c r="AE95" i="1"/>
  <c r="AD95" i="1"/>
  <c r="L95" i="1" s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Q94" i="1"/>
  <c r="AK84" i="1"/>
  <c r="AJ84" i="1"/>
  <c r="AI84" i="1"/>
  <c r="AH84" i="1"/>
  <c r="AG84" i="1"/>
  <c r="AF84" i="1"/>
  <c r="AE84" i="1"/>
  <c r="AD84" i="1"/>
  <c r="L84" i="1" s="1"/>
  <c r="AC84" i="1"/>
  <c r="AB84" i="1"/>
  <c r="AA84" i="1"/>
  <c r="Z84" i="1"/>
  <c r="Y84" i="1"/>
  <c r="X84" i="1"/>
  <c r="W84" i="1"/>
  <c r="V84" i="1"/>
  <c r="U84" i="1"/>
  <c r="T84" i="1"/>
  <c r="S84" i="1"/>
  <c r="R84" i="1"/>
  <c r="Q83" i="1"/>
  <c r="Q82" i="1"/>
  <c r="AK76" i="1"/>
  <c r="AI76" i="1"/>
  <c r="AH76" i="1"/>
  <c r="AG76" i="1"/>
  <c r="AF76" i="1"/>
  <c r="AE76" i="1"/>
  <c r="AD76" i="1"/>
  <c r="L76" i="1" s="1"/>
  <c r="AC76" i="1"/>
  <c r="AB76" i="1"/>
  <c r="AA76" i="1"/>
  <c r="Z76" i="1"/>
  <c r="Y76" i="1"/>
  <c r="X76" i="1"/>
  <c r="W76" i="1"/>
  <c r="V76" i="1"/>
  <c r="U76" i="1"/>
  <c r="T76" i="1"/>
  <c r="S76" i="1"/>
  <c r="R76" i="1"/>
  <c r="Q71" i="1"/>
  <c r="Q70" i="1"/>
  <c r="AK67" i="1"/>
  <c r="AI67" i="1"/>
  <c r="AH67" i="1"/>
  <c r="AG67" i="1"/>
  <c r="AF67" i="1"/>
  <c r="AE67" i="1"/>
  <c r="AD67" i="1"/>
  <c r="L67" i="1" s="1"/>
  <c r="AC67" i="1"/>
  <c r="AB67" i="1"/>
  <c r="AA67" i="1"/>
  <c r="Y67" i="1"/>
  <c r="W67" i="1"/>
  <c r="V67" i="1"/>
  <c r="U67" i="1"/>
  <c r="T67" i="1"/>
  <c r="S67" i="1"/>
  <c r="R67" i="1"/>
  <c r="AK60" i="1"/>
  <c r="AJ60" i="1"/>
  <c r="AI60" i="1"/>
  <c r="AH60" i="1"/>
  <c r="AG60" i="1"/>
  <c r="AF60" i="1"/>
  <c r="AE60" i="1"/>
  <c r="AD60" i="1"/>
  <c r="L60" i="1" s="1"/>
  <c r="AC60" i="1"/>
  <c r="AB60" i="1"/>
  <c r="AA60" i="1"/>
  <c r="Z60" i="1"/>
  <c r="Y60" i="1"/>
  <c r="X60" i="1"/>
  <c r="W60" i="1"/>
  <c r="V60" i="1"/>
  <c r="U60" i="1"/>
  <c r="T60" i="1"/>
  <c r="S60" i="1"/>
  <c r="R60" i="1"/>
  <c r="Q58" i="1"/>
  <c r="Q57" i="1"/>
  <c r="AK53" i="1"/>
  <c r="AJ53" i="1"/>
  <c r="AI53" i="1"/>
  <c r="AH53" i="1"/>
  <c r="AF53" i="1"/>
  <c r="AE53" i="1"/>
  <c r="AD53" i="1"/>
  <c r="L53" i="1" s="1"/>
  <c r="AC53" i="1"/>
  <c r="AB53" i="1"/>
  <c r="AA53" i="1"/>
  <c r="Z53" i="1"/>
  <c r="Y53" i="1"/>
  <c r="X53" i="1"/>
  <c r="W53" i="1"/>
  <c r="V53" i="1"/>
  <c r="U53" i="1"/>
  <c r="T53" i="1"/>
  <c r="S53" i="1"/>
  <c r="R53" i="1"/>
  <c r="AI46" i="1"/>
  <c r="AH46" i="1"/>
  <c r="AG46" i="1"/>
  <c r="AF46" i="1"/>
  <c r="AE46" i="1"/>
  <c r="AD46" i="1"/>
  <c r="L46" i="1" s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AK39" i="1"/>
  <c r="AI39" i="1"/>
  <c r="AH39" i="1"/>
  <c r="AG39" i="1"/>
  <c r="AF39" i="1"/>
  <c r="AE39" i="1"/>
  <c r="AD39" i="1"/>
  <c r="L39" i="1" s="1"/>
  <c r="AC39" i="1"/>
  <c r="AB39" i="1"/>
  <c r="AA39" i="1"/>
  <c r="Z39" i="1"/>
  <c r="Y39" i="1"/>
  <c r="X39" i="1"/>
  <c r="W39" i="1"/>
  <c r="V39" i="1"/>
  <c r="U39" i="1"/>
  <c r="T39" i="1"/>
  <c r="S39" i="1"/>
  <c r="R39" i="1"/>
  <c r="Q34" i="1"/>
  <c r="AK31" i="1"/>
  <c r="AI31" i="1"/>
  <c r="AH31" i="1"/>
  <c r="AG31" i="1"/>
  <c r="AF31" i="1"/>
  <c r="AE31" i="1"/>
  <c r="AD31" i="1"/>
  <c r="L31" i="1" s="1"/>
  <c r="AC31" i="1"/>
  <c r="AB31" i="1"/>
  <c r="AA31" i="1"/>
  <c r="Z31" i="1"/>
  <c r="Y31" i="1"/>
  <c r="X31" i="1"/>
  <c r="W31" i="1"/>
  <c r="V31" i="1"/>
  <c r="U31" i="1"/>
  <c r="T31" i="1"/>
  <c r="S31" i="1"/>
  <c r="R31" i="1"/>
  <c r="AK23" i="1"/>
  <c r="AJ23" i="1"/>
  <c r="AI23" i="1"/>
  <c r="AH23" i="1"/>
  <c r="AG23" i="1"/>
  <c r="AF23" i="1"/>
  <c r="AE23" i="1"/>
  <c r="AD23" i="1"/>
  <c r="L23" i="1" s="1"/>
  <c r="AC23" i="1"/>
  <c r="AB23" i="1"/>
  <c r="AA23" i="1"/>
  <c r="Z23" i="1"/>
  <c r="Y23" i="1"/>
  <c r="X23" i="1"/>
  <c r="W23" i="1"/>
  <c r="V23" i="1"/>
  <c r="U23" i="1"/>
  <c r="T23" i="1"/>
  <c r="S23" i="1"/>
  <c r="R23" i="1"/>
  <c r="Q22" i="1"/>
  <c r="Q21" i="1"/>
  <c r="AK19" i="1"/>
  <c r="AJ19" i="1"/>
  <c r="AI19" i="1"/>
  <c r="AH19" i="1"/>
  <c r="AG19" i="1"/>
  <c r="AF19" i="1"/>
  <c r="AE19" i="1"/>
  <c r="AD19" i="1"/>
  <c r="L19" i="1" s="1"/>
  <c r="AC19" i="1"/>
  <c r="AB19" i="1"/>
  <c r="AA19" i="1"/>
  <c r="Z19" i="1"/>
  <c r="T19" i="1"/>
  <c r="S19" i="1"/>
  <c r="R19" i="1"/>
  <c r="AK15" i="1"/>
  <c r="AI15" i="1"/>
  <c r="AH15" i="1"/>
  <c r="AG15" i="1"/>
  <c r="AF15" i="1"/>
  <c r="AE15" i="1"/>
  <c r="AD15" i="1"/>
  <c r="L15" i="1" s="1"/>
  <c r="AC15" i="1"/>
  <c r="AB15" i="1"/>
  <c r="AA15" i="1"/>
  <c r="Z15" i="1"/>
  <c r="Y15" i="1"/>
  <c r="X15" i="1"/>
  <c r="W15" i="1"/>
  <c r="V15" i="1"/>
  <c r="U15" i="1"/>
  <c r="T15" i="1"/>
  <c r="S15" i="1"/>
  <c r="R15" i="1"/>
  <c r="Q11" i="1"/>
  <c r="AK9" i="1"/>
  <c r="AJ9" i="1"/>
  <c r="AI9" i="1"/>
  <c r="AH9" i="1"/>
  <c r="AG9" i="1"/>
  <c r="AF9" i="1"/>
  <c r="AE9" i="1"/>
  <c r="AD9" i="1"/>
  <c r="L9" i="1" s="1"/>
  <c r="AC9" i="1"/>
  <c r="AB9" i="1"/>
  <c r="AA9" i="1"/>
  <c r="Z9" i="1"/>
  <c r="Y9" i="1"/>
  <c r="X9" i="1"/>
  <c r="W9" i="1"/>
  <c r="V9" i="1"/>
  <c r="U9" i="1"/>
  <c r="T9" i="1"/>
  <c r="S9" i="1"/>
  <c r="R9" i="1"/>
  <c r="AK6" i="1"/>
  <c r="AI6" i="1"/>
  <c r="AH6" i="1"/>
  <c r="AG6" i="1"/>
  <c r="AF6" i="1"/>
  <c r="AE6" i="1"/>
  <c r="AD6" i="1"/>
  <c r="L6" i="1" s="1"/>
  <c r="AC6" i="1"/>
  <c r="AB6" i="1"/>
  <c r="AA6" i="1"/>
  <c r="Z6" i="1"/>
  <c r="Y6" i="1"/>
  <c r="X6" i="1"/>
  <c r="W6" i="1"/>
  <c r="V6" i="1"/>
  <c r="U6" i="1"/>
  <c r="T6" i="1"/>
  <c r="S6" i="1"/>
  <c r="R6" i="1"/>
  <c r="BJ95" i="1"/>
  <c r="BI95" i="1"/>
  <c r="AZ95" i="1"/>
  <c r="AY95" i="1"/>
  <c r="BD90" i="1"/>
  <c r="AX89" i="1"/>
  <c r="BD87" i="1"/>
  <c r="BK86" i="1"/>
  <c r="N86" i="1" s="1"/>
  <c r="BD86" i="1"/>
  <c r="BN84" i="1"/>
  <c r="BH84" i="1"/>
  <c r="BE84" i="1"/>
  <c r="BB84" i="1"/>
  <c r="AZ83" i="1"/>
  <c r="AX83" i="1"/>
  <c r="AX82" i="1"/>
  <c r="BD81" i="1"/>
  <c r="BK80" i="1"/>
  <c r="N80" i="1" s="1"/>
  <c r="BD80" i="1"/>
  <c r="AX80" i="1"/>
  <c r="BK79" i="1"/>
  <c r="N79" i="1" s="1"/>
  <c r="AY79" i="1"/>
  <c r="BD78" i="1"/>
  <c r="BH76" i="1"/>
  <c r="BG76" i="1"/>
  <c r="BO75" i="1"/>
  <c r="BN75" i="1"/>
  <c r="BM75" i="1"/>
  <c r="BI75" i="1"/>
  <c r="BD75" i="1"/>
  <c r="BC75" i="1"/>
  <c r="BB75" i="1"/>
  <c r="BD74" i="1"/>
  <c r="AX74" i="1"/>
  <c r="BD72" i="1"/>
  <c r="AX71" i="1"/>
  <c r="BM67" i="1"/>
  <c r="BL67" i="1"/>
  <c r="BF67" i="1"/>
  <c r="BA67" i="1"/>
  <c r="AY67" i="1"/>
  <c r="BD66" i="1"/>
  <c r="AY64" i="1"/>
  <c r="BD63" i="1"/>
  <c r="BD62" i="1"/>
  <c r="BO60" i="1"/>
  <c r="BN60" i="1"/>
  <c r="BG60" i="1"/>
  <c r="BD60" i="1"/>
  <c r="BB60" i="1"/>
  <c r="BD58" i="1"/>
  <c r="BD53" i="1"/>
  <c r="BC53" i="1"/>
  <c r="BB53" i="1"/>
  <c r="BO51" i="1"/>
  <c r="BM51" i="1"/>
  <c r="BI51" i="1"/>
  <c r="BH51" i="1"/>
  <c r="BD50" i="1"/>
  <c r="AX49" i="1"/>
  <c r="BJ46" i="1"/>
  <c r="BD46" i="1"/>
  <c r="BC46" i="1"/>
  <c r="BB46" i="1"/>
  <c r="BA46" i="1"/>
  <c r="AZ46" i="1"/>
  <c r="AX46" i="1"/>
  <c r="BK44" i="1"/>
  <c r="N44" i="1" s="1"/>
  <c r="BD43" i="1"/>
  <c r="BC43" i="1"/>
  <c r="BA43" i="1"/>
  <c r="BD41" i="1"/>
  <c r="BI39" i="1"/>
  <c r="BH39" i="1"/>
  <c r="BG39" i="1"/>
  <c r="BF39" i="1"/>
  <c r="BO37" i="1"/>
  <c r="BN37" i="1"/>
  <c r="BI37" i="1"/>
  <c r="BA37" i="1"/>
  <c r="BD36" i="1"/>
  <c r="BN35" i="1"/>
  <c r="BI35" i="1"/>
  <c r="BE35" i="1"/>
  <c r="BD35" i="1"/>
  <c r="BC35" i="1"/>
  <c r="BJ34" i="1"/>
  <c r="AY34" i="1"/>
  <c r="AX34" i="1"/>
  <c r="BM31" i="1"/>
  <c r="BK31" i="1"/>
  <c r="N31" i="1" s="1"/>
  <c r="BJ31" i="1"/>
  <c r="BD31" i="1"/>
  <c r="AY31" i="1"/>
  <c r="AX31" i="1"/>
  <c r="BD29" i="1"/>
  <c r="AX28" i="1"/>
  <c r="BL25" i="1"/>
  <c r="BJ25" i="1"/>
  <c r="BE25" i="1"/>
  <c r="BC25" i="1"/>
  <c r="BA25" i="1"/>
  <c r="AX25" i="1"/>
  <c r="BD23" i="1"/>
  <c r="BD20" i="1"/>
  <c r="BO19" i="1"/>
  <c r="BM19" i="1"/>
  <c r="BK19" i="1"/>
  <c r="N19" i="1" s="1"/>
  <c r="BJ19" i="1"/>
  <c r="BD19" i="1"/>
  <c r="BC19" i="1"/>
  <c r="BA19" i="1"/>
  <c r="AZ19" i="1"/>
  <c r="AY19" i="1"/>
  <c r="AX19" i="1"/>
  <c r="BD17" i="1"/>
  <c r="BM15" i="1"/>
  <c r="BL15" i="1"/>
  <c r="BJ15" i="1"/>
  <c r="BG15" i="1"/>
  <c r="BF15" i="1"/>
  <c r="BA15" i="1"/>
  <c r="BO14" i="1"/>
  <c r="BN14" i="1"/>
  <c r="BC14" i="1"/>
  <c r="BB14" i="1"/>
  <c r="AX13" i="1"/>
  <c r="BD12" i="1"/>
  <c r="BH9" i="1"/>
  <c r="BA9" i="1"/>
  <c r="BK7" i="1"/>
  <c r="N7" i="1" s="1"/>
  <c r="BH6" i="1"/>
  <c r="BG6" i="1"/>
  <c r="BE6" i="1"/>
  <c r="BA6" i="1"/>
  <c r="AX6" i="1"/>
  <c r="BD5" i="1"/>
  <c r="BO4" i="1"/>
  <c r="BK4" i="1"/>
  <c r="N4" i="1" s="1"/>
  <c r="AZ4" i="1"/>
  <c r="AY4" i="1"/>
  <c r="AH106" i="1"/>
  <c r="W106" i="1"/>
  <c r="Z67" i="1"/>
  <c r="X67" i="1"/>
  <c r="AG53" i="1"/>
  <c r="Q44" i="1"/>
  <c r="BI9" i="1"/>
  <c r="BI14" i="1"/>
  <c r="BP14" i="1"/>
  <c r="BH15" i="1"/>
  <c r="BC23" i="1"/>
  <c r="AY25" i="1"/>
  <c r="AZ25" i="1"/>
  <c r="BI25" i="1"/>
  <c r="BE31" i="1"/>
  <c r="BL31" i="1"/>
  <c r="BP31" i="1"/>
  <c r="BE34" i="1"/>
  <c r="BL34" i="1"/>
  <c r="BB37" i="1"/>
  <c r="BC37" i="1"/>
  <c r="BE37" i="1"/>
  <c r="BH37" i="1"/>
  <c r="BP37" i="1"/>
  <c r="AY39" i="1"/>
  <c r="BL39" i="1"/>
  <c r="BO43" i="1"/>
  <c r="BL46" i="1"/>
  <c r="AX51" i="1"/>
  <c r="BE53" i="1"/>
  <c r="BN53" i="1"/>
  <c r="BO53" i="1"/>
  <c r="BP53" i="1"/>
  <c r="AZ67" i="1"/>
  <c r="BH67" i="1"/>
  <c r="AY76" i="1"/>
  <c r="AZ76" i="1"/>
  <c r="BO78" i="1"/>
  <c r="BP78" i="1"/>
  <c r="AY83" i="1"/>
  <c r="BA83" i="1"/>
  <c r="BC83" i="1"/>
  <c r="BL83" i="1"/>
  <c r="BG84" i="1"/>
  <c r="BO84" i="1"/>
  <c r="AX86" i="1"/>
  <c r="AY86" i="1"/>
  <c r="BM95" i="1"/>
  <c r="AX98" i="1"/>
  <c r="AX103" i="1"/>
  <c r="AX104" i="1"/>
  <c r="AY104" i="1"/>
  <c r="BA104" i="1"/>
  <c r="BB104" i="1"/>
  <c r="BC104" i="1"/>
  <c r="BE104" i="1"/>
  <c r="BM104" i="1"/>
  <c r="BN104" i="1"/>
  <c r="AX106" i="1"/>
  <c r="AZ106" i="1"/>
  <c r="BA106" i="1"/>
  <c r="BB106" i="1"/>
  <c r="BC106" i="1"/>
  <c r="BE106" i="1"/>
  <c r="BH106" i="1"/>
  <c r="BJ106" i="1"/>
  <c r="BL106" i="1"/>
  <c r="BM106" i="1"/>
  <c r="BN106" i="1"/>
  <c r="BO106" i="1"/>
  <c r="BP106" i="1"/>
  <c r="BL95" i="1"/>
  <c r="BP84" i="1"/>
  <c r="BC84" i="1"/>
  <c r="BI78" i="1"/>
  <c r="BF76" i="1"/>
  <c r="BP67" i="1"/>
  <c r="BP60" i="1"/>
  <c r="BE60" i="1"/>
  <c r="BC60" i="1"/>
  <c r="AZ43" i="1"/>
  <c r="AY43" i="1"/>
  <c r="AX36" i="1"/>
  <c r="BP35" i="1"/>
  <c r="BO35" i="1"/>
  <c r="AZ34" i="1"/>
  <c r="AZ31" i="1"/>
  <c r="BP23" i="1"/>
  <c r="BO23" i="1"/>
  <c r="BL19" i="1"/>
  <c r="AY13" i="1"/>
  <c r="BC9" i="1"/>
  <c r="BP4" i="1"/>
  <c r="BA4" i="1"/>
  <c r="AI106" i="1"/>
  <c r="AF106" i="1"/>
  <c r="T106" i="1"/>
  <c r="JM1" i="1"/>
  <c r="H3" i="3"/>
  <c r="E3" i="3"/>
  <c r="E3" i="4" s="1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D20" i="3"/>
  <c r="D20" i="4" s="1"/>
  <c r="C20" i="3"/>
  <c r="C20" i="4" s="1"/>
  <c r="B20" i="3"/>
  <c r="B20" i="4" s="1"/>
  <c r="A20" i="3"/>
  <c r="A20" i="4" s="1"/>
  <c r="D19" i="4"/>
  <c r="C19" i="3"/>
  <c r="C19" i="4" s="1"/>
  <c r="B19" i="3"/>
  <c r="B19" i="4" s="1"/>
  <c r="A19" i="3"/>
  <c r="A19" i="4" s="1"/>
  <c r="D18" i="4"/>
  <c r="C18" i="3"/>
  <c r="C18" i="4" s="1"/>
  <c r="B18" i="3"/>
  <c r="B18" i="4" s="1"/>
  <c r="A18" i="3"/>
  <c r="A18" i="4" s="1"/>
  <c r="D17" i="3"/>
  <c r="D17" i="4" s="1"/>
  <c r="C17" i="3"/>
  <c r="C17" i="4" s="1"/>
  <c r="B17" i="3"/>
  <c r="B17" i="4" s="1"/>
  <c r="A17" i="3"/>
  <c r="A17" i="4" s="1"/>
  <c r="D16" i="3"/>
  <c r="D16" i="4" s="1"/>
  <c r="C16" i="3"/>
  <c r="C16" i="4" s="1"/>
  <c r="B16" i="3"/>
  <c r="B16" i="4" s="1"/>
  <c r="A16" i="3"/>
  <c r="A16" i="4" s="1"/>
  <c r="D15" i="3"/>
  <c r="D15" i="4" s="1"/>
  <c r="C15" i="3"/>
  <c r="C15" i="4" s="1"/>
  <c r="B15" i="3"/>
  <c r="B15" i="4" s="1"/>
  <c r="A15" i="3"/>
  <c r="A15" i="4" s="1"/>
  <c r="D14" i="4"/>
  <c r="C14" i="3"/>
  <c r="C14" i="4" s="1"/>
  <c r="B14" i="3"/>
  <c r="B14" i="4" s="1"/>
  <c r="A14" i="3"/>
  <c r="A14" i="4" s="1"/>
  <c r="D13" i="3"/>
  <c r="D13" i="4" s="1"/>
  <c r="C13" i="3"/>
  <c r="C13" i="4" s="1"/>
  <c r="B13" i="3"/>
  <c r="B13" i="4" s="1"/>
  <c r="A13" i="3"/>
  <c r="A13" i="4" s="1"/>
  <c r="D12" i="3"/>
  <c r="D12" i="4" s="1"/>
  <c r="C12" i="3"/>
  <c r="C12" i="4" s="1"/>
  <c r="B12" i="3"/>
  <c r="B12" i="4" s="1"/>
  <c r="A12" i="3"/>
  <c r="A12" i="4" s="1"/>
  <c r="D11" i="3"/>
  <c r="D11" i="4" s="1"/>
  <c r="C11" i="3"/>
  <c r="C11" i="4" s="1"/>
  <c r="B11" i="3"/>
  <c r="B11" i="4" s="1"/>
  <c r="A11" i="3"/>
  <c r="A11" i="4" s="1"/>
  <c r="D10" i="3"/>
  <c r="D10" i="4" s="1"/>
  <c r="C10" i="3"/>
  <c r="C10" i="4" s="1"/>
  <c r="B10" i="3"/>
  <c r="B10" i="4" s="1"/>
  <c r="A10" i="3"/>
  <c r="A10" i="4" s="1"/>
  <c r="D9" i="3"/>
  <c r="D9" i="4" s="1"/>
  <c r="C9" i="3"/>
  <c r="C9" i="4" s="1"/>
  <c r="B9" i="3"/>
  <c r="B9" i="4" s="1"/>
  <c r="A9" i="3"/>
  <c r="A9" i="4" s="1"/>
  <c r="D8" i="3"/>
  <c r="D8" i="4" s="1"/>
  <c r="C8" i="3"/>
  <c r="C8" i="4" s="1"/>
  <c r="B8" i="3"/>
  <c r="B8" i="4" s="1"/>
  <c r="A8" i="3"/>
  <c r="A8" i="4" s="1"/>
  <c r="D7" i="3"/>
  <c r="D7" i="4" s="1"/>
  <c r="C7" i="3"/>
  <c r="C7" i="4" s="1"/>
  <c r="B7" i="3"/>
  <c r="B7" i="4" s="1"/>
  <c r="A7" i="3"/>
  <c r="A7" i="4" s="1"/>
  <c r="D6" i="3"/>
  <c r="D6" i="4" s="1"/>
  <c r="C6" i="3"/>
  <c r="C6" i="4" s="1"/>
  <c r="B6" i="3"/>
  <c r="B6" i="4" s="1"/>
  <c r="A6" i="3"/>
  <c r="A6" i="4" s="1"/>
  <c r="D5" i="3"/>
  <c r="D5" i="4" s="1"/>
  <c r="C5" i="3"/>
  <c r="C5" i="4" s="1"/>
  <c r="B5" i="3"/>
  <c r="B5" i="4" s="1"/>
  <c r="A5" i="3"/>
  <c r="A5" i="4" s="1"/>
  <c r="D4" i="3"/>
  <c r="D4" i="4" s="1"/>
  <c r="C4" i="3"/>
  <c r="C4" i="4" s="1"/>
  <c r="B4" i="3"/>
  <c r="B4" i="4" s="1"/>
  <c r="A4" i="3"/>
  <c r="A4" i="4" s="1"/>
  <c r="D3" i="3"/>
  <c r="D3" i="4" s="1"/>
  <c r="C3" i="3"/>
  <c r="C3" i="4" s="1"/>
  <c r="B3" i="3"/>
  <c r="B3" i="4" s="1"/>
  <c r="A3" i="3"/>
  <c r="A3" i="4" s="1"/>
  <c r="BD101" i="1"/>
  <c r="BK95" i="1"/>
  <c r="N95" i="1" s="1"/>
  <c r="BD93" i="1"/>
  <c r="BD84" i="1"/>
  <c r="BK74" i="1"/>
  <c r="N74" i="1" s="1"/>
  <c r="BG67" i="1"/>
  <c r="BK65" i="1"/>
  <c r="N65" i="1" s="1"/>
  <c r="BK62" i="1"/>
  <c r="N62" i="1" s="1"/>
  <c r="BD56" i="1"/>
  <c r="BK55" i="1"/>
  <c r="N55" i="1" s="1"/>
  <c r="BK49" i="1"/>
  <c r="N49" i="1" s="1"/>
  <c r="BK46" i="1"/>
  <c r="N46" i="1" s="1"/>
  <c r="BD38" i="1"/>
  <c r="BL43" i="1"/>
  <c r="BK43" i="1"/>
  <c r="N43" i="1" s="1"/>
  <c r="BO31" i="1"/>
  <c r="BD26" i="1"/>
  <c r="BI23" i="1"/>
  <c r="AX18" i="1"/>
  <c r="BE14" i="1"/>
  <c r="BD14" i="1"/>
  <c r="BL4" i="1"/>
  <c r="Q105" i="1"/>
  <c r="CB106" i="1"/>
  <c r="CA106" i="1"/>
  <c r="BZ106" i="1"/>
  <c r="BY106" i="1"/>
  <c r="BX106" i="1"/>
  <c r="BW106" i="1"/>
  <c r="BV106" i="1"/>
  <c r="BU106" i="1"/>
  <c r="BT106" i="1"/>
  <c r="BS106" i="1"/>
  <c r="BR106" i="1"/>
  <c r="BQ106" i="1"/>
  <c r="BK106" i="1"/>
  <c r="N106" i="1" s="1"/>
  <c r="BI106" i="1"/>
  <c r="BD106" i="1"/>
  <c r="CB105" i="1"/>
  <c r="CA105" i="1"/>
  <c r="BZ105" i="1"/>
  <c r="BY105" i="1"/>
  <c r="BX105" i="1"/>
  <c r="BW105" i="1"/>
  <c r="BV105" i="1"/>
  <c r="BU105" i="1"/>
  <c r="BT105" i="1"/>
  <c r="BR105" i="1"/>
  <c r="BK105" i="1"/>
  <c r="N105" i="1" s="1"/>
  <c r="AX105" i="1"/>
  <c r="CB104" i="1"/>
  <c r="CA104" i="1"/>
  <c r="BZ104" i="1"/>
  <c r="BY104" i="1"/>
  <c r="BX104" i="1"/>
  <c r="BW104" i="1"/>
  <c r="BV104" i="1"/>
  <c r="BU104" i="1"/>
  <c r="BS104" i="1"/>
  <c r="BR104" i="1"/>
  <c r="BP104" i="1"/>
  <c r="BO104" i="1"/>
  <c r="BL104" i="1"/>
  <c r="BJ104" i="1"/>
  <c r="BD104" i="1"/>
  <c r="AZ104" i="1"/>
  <c r="CB103" i="1"/>
  <c r="CA103" i="1"/>
  <c r="BZ103" i="1"/>
  <c r="BY103" i="1"/>
  <c r="BX103" i="1"/>
  <c r="BW103" i="1"/>
  <c r="BV103" i="1"/>
  <c r="BU103" i="1"/>
  <c r="BT103" i="1"/>
  <c r="BS103" i="1"/>
  <c r="BR103" i="1"/>
  <c r="BQ103" i="1"/>
  <c r="BK103" i="1"/>
  <c r="N103" i="1" s="1"/>
  <c r="BD103" i="1"/>
  <c r="CB102" i="1"/>
  <c r="CA102" i="1"/>
  <c r="BZ102" i="1"/>
  <c r="BY102" i="1"/>
  <c r="BX102" i="1"/>
  <c r="BW102" i="1"/>
  <c r="BV102" i="1"/>
  <c r="BU102" i="1"/>
  <c r="BT102" i="1"/>
  <c r="BR102" i="1"/>
  <c r="BQ102" i="1"/>
  <c r="BD102" i="1"/>
  <c r="CB101" i="1"/>
  <c r="CA101" i="1"/>
  <c r="BZ101" i="1"/>
  <c r="BY101" i="1"/>
  <c r="BX101" i="1"/>
  <c r="BW101" i="1"/>
  <c r="BV101" i="1"/>
  <c r="BU101" i="1"/>
  <c r="BT101" i="1"/>
  <c r="BR101" i="1"/>
  <c r="BQ101" i="1"/>
  <c r="BK101" i="1"/>
  <c r="N101" i="1" s="1"/>
  <c r="CB100" i="1"/>
  <c r="CA100" i="1"/>
  <c r="BZ100" i="1"/>
  <c r="BY100" i="1"/>
  <c r="BX100" i="1"/>
  <c r="BW100" i="1"/>
  <c r="BV100" i="1"/>
  <c r="BU100" i="1"/>
  <c r="BR100" i="1"/>
  <c r="CB99" i="1"/>
  <c r="CA99" i="1"/>
  <c r="BZ99" i="1"/>
  <c r="BY99" i="1"/>
  <c r="BX99" i="1"/>
  <c r="BW99" i="1"/>
  <c r="BV99" i="1"/>
  <c r="BU99" i="1"/>
  <c r="BR99" i="1"/>
  <c r="BD99" i="1"/>
  <c r="CB98" i="1"/>
  <c r="CA98" i="1"/>
  <c r="BZ98" i="1"/>
  <c r="BY98" i="1"/>
  <c r="BX98" i="1"/>
  <c r="BW98" i="1"/>
  <c r="BV98" i="1"/>
  <c r="BU98" i="1"/>
  <c r="BT98" i="1"/>
  <c r="BS98" i="1"/>
  <c r="BR98" i="1"/>
  <c r="BQ98" i="1"/>
  <c r="BK98" i="1"/>
  <c r="N98" i="1" s="1"/>
  <c r="CB97" i="1"/>
  <c r="CA97" i="1"/>
  <c r="BZ97" i="1"/>
  <c r="BY97" i="1"/>
  <c r="BX97" i="1"/>
  <c r="BW97" i="1"/>
  <c r="BV97" i="1"/>
  <c r="BU97" i="1"/>
  <c r="BT97" i="1"/>
  <c r="BS97" i="1"/>
  <c r="BR97" i="1"/>
  <c r="BQ97" i="1"/>
  <c r="BK97" i="1"/>
  <c r="N97" i="1" s="1"/>
  <c r="CB95" i="1"/>
  <c r="CA95" i="1"/>
  <c r="BZ95" i="1"/>
  <c r="BY95" i="1"/>
  <c r="BX95" i="1"/>
  <c r="BW95" i="1"/>
  <c r="BV95" i="1"/>
  <c r="BU95" i="1"/>
  <c r="BT95" i="1"/>
  <c r="BR95" i="1"/>
  <c r="BQ95" i="1"/>
  <c r="BP95" i="1"/>
  <c r="CB94" i="1"/>
  <c r="CA94" i="1"/>
  <c r="BZ94" i="1"/>
  <c r="BY94" i="1"/>
  <c r="BX94" i="1"/>
  <c r="BW94" i="1"/>
  <c r="BV94" i="1"/>
  <c r="BU94" i="1"/>
  <c r="BT94" i="1"/>
  <c r="BR94" i="1"/>
  <c r="CB93" i="1"/>
  <c r="CA93" i="1"/>
  <c r="BZ93" i="1"/>
  <c r="BY93" i="1"/>
  <c r="BX93" i="1"/>
  <c r="BW93" i="1"/>
  <c r="BV93" i="1"/>
  <c r="BU93" i="1"/>
  <c r="BT93" i="1"/>
  <c r="BR93" i="1"/>
  <c r="CB92" i="1"/>
  <c r="CA92" i="1"/>
  <c r="BZ92" i="1"/>
  <c r="BY92" i="1"/>
  <c r="BX92" i="1"/>
  <c r="BW92" i="1"/>
  <c r="BV92" i="1"/>
  <c r="BU92" i="1"/>
  <c r="BR92" i="1"/>
  <c r="BQ92" i="1"/>
  <c r="CB91" i="1"/>
  <c r="CA91" i="1"/>
  <c r="BZ91" i="1"/>
  <c r="BY91" i="1"/>
  <c r="BX91" i="1"/>
  <c r="BW91" i="1"/>
  <c r="BV91" i="1"/>
  <c r="BU91" i="1"/>
  <c r="BT91" i="1"/>
  <c r="BS91" i="1"/>
  <c r="BR91" i="1"/>
  <c r="BK91" i="1"/>
  <c r="N91" i="1" s="1"/>
  <c r="CB90" i="1"/>
  <c r="CA90" i="1"/>
  <c r="BZ90" i="1"/>
  <c r="BY90" i="1"/>
  <c r="BX90" i="1"/>
  <c r="BW90" i="1"/>
  <c r="BV90" i="1"/>
  <c r="BU90" i="1"/>
  <c r="BT90" i="1"/>
  <c r="BR90" i="1"/>
  <c r="BQ90" i="1"/>
  <c r="CB89" i="1"/>
  <c r="CA89" i="1"/>
  <c r="BZ89" i="1"/>
  <c r="BY89" i="1"/>
  <c r="BX89" i="1"/>
  <c r="BW89" i="1"/>
  <c r="BV89" i="1"/>
  <c r="BU89" i="1"/>
  <c r="BT89" i="1"/>
  <c r="BR89" i="1"/>
  <c r="BK89" i="1"/>
  <c r="N89" i="1" s="1"/>
  <c r="BD89" i="1"/>
  <c r="CB88" i="1"/>
  <c r="CA88" i="1"/>
  <c r="BZ88" i="1"/>
  <c r="BY88" i="1"/>
  <c r="BX88" i="1"/>
  <c r="BW88" i="1"/>
  <c r="BV88" i="1"/>
  <c r="BU88" i="1"/>
  <c r="BT88" i="1"/>
  <c r="BR88" i="1"/>
  <c r="BK88" i="1"/>
  <c r="N88" i="1" s="1"/>
  <c r="CB87" i="1"/>
  <c r="CA87" i="1"/>
  <c r="BZ87" i="1"/>
  <c r="BY87" i="1"/>
  <c r="BX87" i="1"/>
  <c r="BW87" i="1"/>
  <c r="BV87" i="1"/>
  <c r="BU87" i="1"/>
  <c r="BR87" i="1"/>
  <c r="CB86" i="1"/>
  <c r="CA86" i="1"/>
  <c r="BZ86" i="1"/>
  <c r="BY86" i="1"/>
  <c r="BX86" i="1"/>
  <c r="BW86" i="1"/>
  <c r="BV86" i="1"/>
  <c r="BU86" i="1"/>
  <c r="BT86" i="1"/>
  <c r="BS86" i="1"/>
  <c r="BR86" i="1"/>
  <c r="CB84" i="1"/>
  <c r="CA84" i="1"/>
  <c r="BZ84" i="1"/>
  <c r="BY84" i="1"/>
  <c r="BX84" i="1"/>
  <c r="BW84" i="1"/>
  <c r="BV84" i="1"/>
  <c r="BU84" i="1"/>
  <c r="BT84" i="1"/>
  <c r="BS84" i="1"/>
  <c r="BR84" i="1"/>
  <c r="CB83" i="1"/>
  <c r="CA83" i="1"/>
  <c r="BZ83" i="1"/>
  <c r="BY83" i="1"/>
  <c r="BX83" i="1"/>
  <c r="BW83" i="1"/>
  <c r="BV83" i="1"/>
  <c r="BU83" i="1"/>
  <c r="BT83" i="1"/>
  <c r="BS83" i="1"/>
  <c r="BR83" i="1"/>
  <c r="BK83" i="1"/>
  <c r="N83" i="1" s="1"/>
  <c r="CB82" i="1"/>
  <c r="CA82" i="1"/>
  <c r="BZ82" i="1"/>
  <c r="BY82" i="1"/>
  <c r="BX82" i="1"/>
  <c r="BW82" i="1"/>
  <c r="BV82" i="1"/>
  <c r="BU82" i="1"/>
  <c r="BT82" i="1"/>
  <c r="BS82" i="1"/>
  <c r="BR82" i="1"/>
  <c r="CB81" i="1"/>
  <c r="CA81" i="1"/>
  <c r="BZ81" i="1"/>
  <c r="BY81" i="1"/>
  <c r="BX81" i="1"/>
  <c r="BW81" i="1"/>
  <c r="BV81" i="1"/>
  <c r="BU81" i="1"/>
  <c r="BT81" i="1"/>
  <c r="BR81" i="1"/>
  <c r="CB80" i="1"/>
  <c r="CA80" i="1"/>
  <c r="BZ80" i="1"/>
  <c r="BY80" i="1"/>
  <c r="BX80" i="1"/>
  <c r="BW80" i="1"/>
  <c r="BV80" i="1"/>
  <c r="BU80" i="1"/>
  <c r="BS80" i="1"/>
  <c r="BR80" i="1"/>
  <c r="CB79" i="1"/>
  <c r="CA79" i="1"/>
  <c r="BZ79" i="1"/>
  <c r="BY79" i="1"/>
  <c r="BX79" i="1"/>
  <c r="BW79" i="1"/>
  <c r="BV79" i="1"/>
  <c r="BU79" i="1"/>
  <c r="BT79" i="1"/>
  <c r="BS79" i="1"/>
  <c r="BR79" i="1"/>
  <c r="CB78" i="1"/>
  <c r="CA78" i="1"/>
  <c r="BZ78" i="1"/>
  <c r="BY78" i="1"/>
  <c r="BX78" i="1"/>
  <c r="BW78" i="1"/>
  <c r="BV78" i="1"/>
  <c r="BU78" i="1"/>
  <c r="BT78" i="1"/>
  <c r="BS78" i="1"/>
  <c r="BR78" i="1"/>
  <c r="CB76" i="1"/>
  <c r="CA76" i="1"/>
  <c r="BZ76" i="1"/>
  <c r="BY76" i="1"/>
  <c r="BX76" i="1"/>
  <c r="BW76" i="1"/>
  <c r="BV76" i="1"/>
  <c r="BU76" i="1"/>
  <c r="BT76" i="1"/>
  <c r="BR76" i="1"/>
  <c r="BI76" i="1"/>
  <c r="CB75" i="1"/>
  <c r="CA75" i="1"/>
  <c r="BZ75" i="1"/>
  <c r="BY75" i="1"/>
  <c r="BX75" i="1"/>
  <c r="BW75" i="1"/>
  <c r="BV75" i="1"/>
  <c r="BU75" i="1"/>
  <c r="BR75" i="1"/>
  <c r="BP75" i="1"/>
  <c r="BH75" i="1"/>
  <c r="CB74" i="1"/>
  <c r="CA74" i="1"/>
  <c r="BZ74" i="1"/>
  <c r="BY74" i="1"/>
  <c r="BX74" i="1"/>
  <c r="BW74" i="1"/>
  <c r="BV74" i="1"/>
  <c r="BU74" i="1"/>
  <c r="BT74" i="1"/>
  <c r="BS74" i="1"/>
  <c r="BR74" i="1"/>
  <c r="CB73" i="1"/>
  <c r="CA73" i="1"/>
  <c r="BZ73" i="1"/>
  <c r="BY73" i="1"/>
  <c r="BX73" i="1"/>
  <c r="BW73" i="1"/>
  <c r="BV73" i="1"/>
  <c r="BU73" i="1"/>
  <c r="BT73" i="1"/>
  <c r="BS73" i="1"/>
  <c r="BR73" i="1"/>
  <c r="CB72" i="1"/>
  <c r="CA72" i="1"/>
  <c r="BZ72" i="1"/>
  <c r="BY72" i="1"/>
  <c r="BX72" i="1"/>
  <c r="BW72" i="1"/>
  <c r="BV72" i="1"/>
  <c r="BU72" i="1"/>
  <c r="BT72" i="1"/>
  <c r="BS72" i="1"/>
  <c r="BR72" i="1"/>
  <c r="CB71" i="1"/>
  <c r="CA71" i="1"/>
  <c r="BZ71" i="1"/>
  <c r="BY71" i="1"/>
  <c r="BX71" i="1"/>
  <c r="BW71" i="1"/>
  <c r="BV71" i="1"/>
  <c r="BU71" i="1"/>
  <c r="BT71" i="1"/>
  <c r="BS71" i="1"/>
  <c r="BR71" i="1"/>
  <c r="CB70" i="1"/>
  <c r="CA70" i="1"/>
  <c r="BZ70" i="1"/>
  <c r="BY70" i="1"/>
  <c r="BX70" i="1"/>
  <c r="BW70" i="1"/>
  <c r="BV70" i="1"/>
  <c r="BU70" i="1"/>
  <c r="BT70" i="1"/>
  <c r="BR70" i="1"/>
  <c r="CB67" i="1"/>
  <c r="CA67" i="1"/>
  <c r="BZ67" i="1"/>
  <c r="BY67" i="1"/>
  <c r="BX67" i="1"/>
  <c r="BW67" i="1"/>
  <c r="BV67" i="1"/>
  <c r="BU67" i="1"/>
  <c r="BT67" i="1"/>
  <c r="BS67" i="1"/>
  <c r="BR67" i="1"/>
  <c r="CB66" i="1"/>
  <c r="CA66" i="1"/>
  <c r="BZ66" i="1"/>
  <c r="BY66" i="1"/>
  <c r="BX66" i="1"/>
  <c r="BW66" i="1"/>
  <c r="BV66" i="1"/>
  <c r="BU66" i="1"/>
  <c r="BT66" i="1"/>
  <c r="BR66" i="1"/>
  <c r="BQ66" i="1"/>
  <c r="CB65" i="1"/>
  <c r="CA65" i="1"/>
  <c r="BZ65" i="1"/>
  <c r="BY65" i="1"/>
  <c r="BX65" i="1"/>
  <c r="BW65" i="1"/>
  <c r="BV65" i="1"/>
  <c r="BU65" i="1"/>
  <c r="BT65" i="1"/>
  <c r="BR65" i="1"/>
  <c r="BQ65" i="1"/>
  <c r="CB64" i="1"/>
  <c r="CA64" i="1"/>
  <c r="BZ64" i="1"/>
  <c r="BY64" i="1"/>
  <c r="BX64" i="1"/>
  <c r="BW64" i="1"/>
  <c r="BV64" i="1"/>
  <c r="BU64" i="1"/>
  <c r="BT64" i="1"/>
  <c r="BR64" i="1"/>
  <c r="CB63" i="1"/>
  <c r="CA63" i="1"/>
  <c r="BZ63" i="1"/>
  <c r="BY63" i="1"/>
  <c r="BX63" i="1"/>
  <c r="BW63" i="1"/>
  <c r="BV63" i="1"/>
  <c r="BU63" i="1"/>
  <c r="BR63" i="1"/>
  <c r="CB62" i="1"/>
  <c r="CA62" i="1"/>
  <c r="BZ62" i="1"/>
  <c r="BY62" i="1"/>
  <c r="BX62" i="1"/>
  <c r="BW62" i="1"/>
  <c r="BV62" i="1"/>
  <c r="BU62" i="1"/>
  <c r="BT62" i="1"/>
  <c r="BS62" i="1"/>
  <c r="BR62" i="1"/>
  <c r="BQ62" i="1"/>
  <c r="CB60" i="1"/>
  <c r="CA60" i="1"/>
  <c r="BZ60" i="1"/>
  <c r="BY60" i="1"/>
  <c r="BX60" i="1"/>
  <c r="BW60" i="1"/>
  <c r="BV60" i="1"/>
  <c r="BU60" i="1"/>
  <c r="BT60" i="1"/>
  <c r="BS60" i="1"/>
  <c r="BR60" i="1"/>
  <c r="BQ60" i="1"/>
  <c r="CB58" i="1"/>
  <c r="CA58" i="1"/>
  <c r="BZ58" i="1"/>
  <c r="BY58" i="1"/>
  <c r="BX58" i="1"/>
  <c r="BW58" i="1"/>
  <c r="BV58" i="1"/>
  <c r="BU58" i="1"/>
  <c r="BT58" i="1"/>
  <c r="BR58" i="1"/>
  <c r="BQ58" i="1"/>
  <c r="CB57" i="1"/>
  <c r="CA57" i="1"/>
  <c r="BZ57" i="1"/>
  <c r="BY57" i="1"/>
  <c r="BX57" i="1"/>
  <c r="BW57" i="1"/>
  <c r="BV57" i="1"/>
  <c r="BU57" i="1"/>
  <c r="BT57" i="1"/>
  <c r="BR57" i="1"/>
  <c r="CB56" i="1"/>
  <c r="CA56" i="1"/>
  <c r="BZ56" i="1"/>
  <c r="BY56" i="1"/>
  <c r="BX56" i="1"/>
  <c r="BW56" i="1"/>
  <c r="BV56" i="1"/>
  <c r="BU56" i="1"/>
  <c r="BT56" i="1"/>
  <c r="BR56" i="1"/>
  <c r="CB55" i="1"/>
  <c r="CA55" i="1"/>
  <c r="BZ55" i="1"/>
  <c r="BY55" i="1"/>
  <c r="BX55" i="1"/>
  <c r="BW55" i="1"/>
  <c r="BV55" i="1"/>
  <c r="BU55" i="1"/>
  <c r="BR55" i="1"/>
  <c r="CB53" i="1"/>
  <c r="CA53" i="1"/>
  <c r="BZ53" i="1"/>
  <c r="BY53" i="1"/>
  <c r="BX53" i="1"/>
  <c r="BW53" i="1"/>
  <c r="BV53" i="1"/>
  <c r="BU53" i="1"/>
  <c r="BT53" i="1"/>
  <c r="BR53" i="1"/>
  <c r="CB52" i="1"/>
  <c r="CA52" i="1"/>
  <c r="BZ52" i="1"/>
  <c r="BY52" i="1"/>
  <c r="BX52" i="1"/>
  <c r="BW52" i="1"/>
  <c r="BV52" i="1"/>
  <c r="BU52" i="1"/>
  <c r="BT52" i="1"/>
  <c r="BR52" i="1"/>
  <c r="CB51" i="1"/>
  <c r="CA51" i="1"/>
  <c r="BZ51" i="1"/>
  <c r="BY51" i="1"/>
  <c r="BX51" i="1"/>
  <c r="BW51" i="1"/>
  <c r="BV51" i="1"/>
  <c r="BU51" i="1"/>
  <c r="BR51" i="1"/>
  <c r="CB50" i="1"/>
  <c r="CA50" i="1"/>
  <c r="BZ50" i="1"/>
  <c r="BY50" i="1"/>
  <c r="BX50" i="1"/>
  <c r="BW50" i="1"/>
  <c r="BV50" i="1"/>
  <c r="BU50" i="1"/>
  <c r="BR50" i="1"/>
  <c r="CB49" i="1"/>
  <c r="CA49" i="1"/>
  <c r="BZ49" i="1"/>
  <c r="BY49" i="1"/>
  <c r="BX49" i="1"/>
  <c r="BW49" i="1"/>
  <c r="BV49" i="1"/>
  <c r="BU49" i="1"/>
  <c r="BT49" i="1"/>
  <c r="BS49" i="1"/>
  <c r="BR49" i="1"/>
  <c r="CB48" i="1"/>
  <c r="CA48" i="1"/>
  <c r="BZ48" i="1"/>
  <c r="BY48" i="1"/>
  <c r="BX48" i="1"/>
  <c r="BW48" i="1"/>
  <c r="BV48" i="1"/>
  <c r="BU48" i="1"/>
  <c r="BT48" i="1"/>
  <c r="BS48" i="1"/>
  <c r="BR48" i="1"/>
  <c r="CB46" i="1"/>
  <c r="CA46" i="1"/>
  <c r="BZ46" i="1"/>
  <c r="BY46" i="1"/>
  <c r="BX46" i="1"/>
  <c r="BW46" i="1"/>
  <c r="BV46" i="1"/>
  <c r="BU46" i="1"/>
  <c r="BT46" i="1"/>
  <c r="BR46" i="1"/>
  <c r="CB44" i="1"/>
  <c r="CA44" i="1"/>
  <c r="BZ44" i="1"/>
  <c r="BY44" i="1"/>
  <c r="BX44" i="1"/>
  <c r="BW44" i="1"/>
  <c r="BV44" i="1"/>
  <c r="BU44" i="1"/>
  <c r="BT44" i="1"/>
  <c r="BR44" i="1"/>
  <c r="CB38" i="1"/>
  <c r="CA38" i="1"/>
  <c r="BZ38" i="1"/>
  <c r="BY38" i="1"/>
  <c r="BX38" i="1"/>
  <c r="BW38" i="1"/>
  <c r="BV38" i="1"/>
  <c r="BU38" i="1"/>
  <c r="BT38" i="1"/>
  <c r="BR38" i="1"/>
  <c r="CB43" i="1"/>
  <c r="CA43" i="1"/>
  <c r="BZ43" i="1"/>
  <c r="BY43" i="1"/>
  <c r="BX43" i="1"/>
  <c r="BW43" i="1"/>
  <c r="BV43" i="1"/>
  <c r="BU43" i="1"/>
  <c r="BR43" i="1"/>
  <c r="BI43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K42" i="1"/>
  <c r="N42" i="1" s="1"/>
  <c r="CB41" i="1"/>
  <c r="CA41" i="1"/>
  <c r="BZ41" i="1"/>
  <c r="BY41" i="1"/>
  <c r="BX41" i="1"/>
  <c r="BW41" i="1"/>
  <c r="BV41" i="1"/>
  <c r="BU41" i="1"/>
  <c r="BS41" i="1"/>
  <c r="BR41" i="1"/>
  <c r="CB39" i="1"/>
  <c r="CA39" i="1"/>
  <c r="BZ39" i="1"/>
  <c r="BY39" i="1"/>
  <c r="BX39" i="1"/>
  <c r="BW39" i="1"/>
  <c r="BV39" i="1"/>
  <c r="BU39" i="1"/>
  <c r="BR39" i="1"/>
  <c r="BM39" i="1"/>
  <c r="BK39" i="1"/>
  <c r="N39" i="1" s="1"/>
  <c r="CB37" i="1"/>
  <c r="CA37" i="1"/>
  <c r="BZ37" i="1"/>
  <c r="BY37" i="1"/>
  <c r="BX37" i="1"/>
  <c r="BW37" i="1"/>
  <c r="BV37" i="1"/>
  <c r="BU37" i="1"/>
  <c r="BR37" i="1"/>
  <c r="BD37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K36" i="1"/>
  <c r="N36" i="1" s="1"/>
  <c r="CB45" i="1"/>
  <c r="CA45" i="1"/>
  <c r="BZ45" i="1"/>
  <c r="BY45" i="1"/>
  <c r="BX45" i="1"/>
  <c r="BW45" i="1"/>
  <c r="BV45" i="1"/>
  <c r="BU45" i="1"/>
  <c r="BT45" i="1"/>
  <c r="BR4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CB34" i="1"/>
  <c r="CA34" i="1"/>
  <c r="BZ34" i="1"/>
  <c r="BY34" i="1"/>
  <c r="BX34" i="1"/>
  <c r="BW34" i="1"/>
  <c r="BV34" i="1"/>
  <c r="BU34" i="1"/>
  <c r="BT34" i="1"/>
  <c r="BR34" i="1"/>
  <c r="BQ34" i="1"/>
  <c r="CB31" i="1"/>
  <c r="CA31" i="1"/>
  <c r="BZ31" i="1"/>
  <c r="BY31" i="1"/>
  <c r="BX31" i="1"/>
  <c r="BW31" i="1"/>
  <c r="BV31" i="1"/>
  <c r="BU31" i="1"/>
  <c r="BT31" i="1"/>
  <c r="BR31" i="1"/>
  <c r="CB30" i="1"/>
  <c r="CA30" i="1"/>
  <c r="BZ30" i="1"/>
  <c r="BY30" i="1"/>
  <c r="BX30" i="1"/>
  <c r="BW30" i="1"/>
  <c r="BV30" i="1"/>
  <c r="BU30" i="1"/>
  <c r="BT30" i="1"/>
  <c r="BR30" i="1"/>
  <c r="CB29" i="1"/>
  <c r="CA29" i="1"/>
  <c r="BZ29" i="1"/>
  <c r="BY29" i="1"/>
  <c r="BX29" i="1"/>
  <c r="BW29" i="1"/>
  <c r="BV29" i="1"/>
  <c r="BU29" i="1"/>
  <c r="BT29" i="1"/>
  <c r="BR29" i="1"/>
  <c r="CB28" i="1"/>
  <c r="CA28" i="1"/>
  <c r="BZ28" i="1"/>
  <c r="BY28" i="1"/>
  <c r="BX28" i="1"/>
  <c r="BW28" i="1"/>
  <c r="BV28" i="1"/>
  <c r="BU28" i="1"/>
  <c r="BT28" i="1"/>
  <c r="BR28" i="1"/>
  <c r="BQ28" i="1"/>
  <c r="BK28" i="1"/>
  <c r="N28" i="1" s="1"/>
  <c r="BD28" i="1"/>
  <c r="CB27" i="1"/>
  <c r="CA27" i="1"/>
  <c r="BZ27" i="1"/>
  <c r="BY27" i="1"/>
  <c r="BX27" i="1"/>
  <c r="BW27" i="1"/>
  <c r="BV27" i="1"/>
  <c r="BU27" i="1"/>
  <c r="BR27" i="1"/>
  <c r="CB26" i="1"/>
  <c r="CA26" i="1"/>
  <c r="BZ26" i="1"/>
  <c r="BY26" i="1"/>
  <c r="BX26" i="1"/>
  <c r="BW26" i="1"/>
  <c r="BV26" i="1"/>
  <c r="BU26" i="1"/>
  <c r="BR26" i="1"/>
  <c r="CB25" i="1"/>
  <c r="CA25" i="1"/>
  <c r="BZ25" i="1"/>
  <c r="BY25" i="1"/>
  <c r="BX25" i="1"/>
  <c r="BW25" i="1"/>
  <c r="BV25" i="1"/>
  <c r="BU25" i="1"/>
  <c r="BT25" i="1"/>
  <c r="BR25" i="1"/>
  <c r="BP25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CB22" i="1"/>
  <c r="CA22" i="1"/>
  <c r="BZ22" i="1"/>
  <c r="BY22" i="1"/>
  <c r="BX22" i="1"/>
  <c r="BW22" i="1"/>
  <c r="BV22" i="1"/>
  <c r="BU22" i="1"/>
  <c r="BT22" i="1"/>
  <c r="BR22" i="1"/>
  <c r="BQ22" i="1"/>
  <c r="BK22" i="1"/>
  <c r="N22" i="1" s="1"/>
  <c r="CB21" i="1"/>
  <c r="CA21" i="1"/>
  <c r="BZ21" i="1"/>
  <c r="BY21" i="1"/>
  <c r="BX21" i="1"/>
  <c r="BW21" i="1"/>
  <c r="BV21" i="1"/>
  <c r="BU21" i="1"/>
  <c r="BT21" i="1"/>
  <c r="BR21" i="1"/>
  <c r="BQ21" i="1"/>
  <c r="CB20" i="1"/>
  <c r="CA20" i="1"/>
  <c r="BZ20" i="1"/>
  <c r="BY20" i="1"/>
  <c r="BX20" i="1"/>
  <c r="BW20" i="1"/>
  <c r="BV20" i="1"/>
  <c r="BU20" i="1"/>
  <c r="BT20" i="1"/>
  <c r="BR20" i="1"/>
  <c r="CB19" i="1"/>
  <c r="CA19" i="1"/>
  <c r="BZ19" i="1"/>
  <c r="BY19" i="1"/>
  <c r="BX19" i="1"/>
  <c r="BW19" i="1"/>
  <c r="BV19" i="1"/>
  <c r="BU19" i="1"/>
  <c r="BS19" i="1"/>
  <c r="BR19" i="1"/>
  <c r="BI19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CB17" i="1"/>
  <c r="CA17" i="1"/>
  <c r="BZ17" i="1"/>
  <c r="BY17" i="1"/>
  <c r="BX17" i="1"/>
  <c r="BW17" i="1"/>
  <c r="BV17" i="1"/>
  <c r="BU17" i="1"/>
  <c r="BT17" i="1"/>
  <c r="BR17" i="1"/>
  <c r="CB15" i="1"/>
  <c r="CA15" i="1"/>
  <c r="BZ15" i="1"/>
  <c r="BY15" i="1"/>
  <c r="BX15" i="1"/>
  <c r="BW15" i="1"/>
  <c r="BV15" i="1"/>
  <c r="BU15" i="1"/>
  <c r="BR15" i="1"/>
  <c r="CB14" i="1"/>
  <c r="CA14" i="1"/>
  <c r="BZ14" i="1"/>
  <c r="BY14" i="1"/>
  <c r="BX14" i="1"/>
  <c r="BW14" i="1"/>
  <c r="BV14" i="1"/>
  <c r="BU14" i="1"/>
  <c r="BR14" i="1"/>
  <c r="CB13" i="1"/>
  <c r="CA13" i="1"/>
  <c r="BZ13" i="1"/>
  <c r="BY13" i="1"/>
  <c r="BX13" i="1"/>
  <c r="BW13" i="1"/>
  <c r="BV13" i="1"/>
  <c r="BU13" i="1"/>
  <c r="BT13" i="1"/>
  <c r="BR13" i="1"/>
  <c r="CB12" i="1"/>
  <c r="CA12" i="1"/>
  <c r="BZ12" i="1"/>
  <c r="BY12" i="1"/>
  <c r="BX12" i="1"/>
  <c r="BW12" i="1"/>
  <c r="BV12" i="1"/>
  <c r="BU12" i="1"/>
  <c r="BT12" i="1"/>
  <c r="BS12" i="1"/>
  <c r="BR12" i="1"/>
  <c r="CB11" i="1"/>
  <c r="CA11" i="1"/>
  <c r="BZ11" i="1"/>
  <c r="BY11" i="1"/>
  <c r="BX11" i="1"/>
  <c r="BW11" i="1"/>
  <c r="BV11" i="1"/>
  <c r="BU11" i="1"/>
  <c r="BT11" i="1"/>
  <c r="BR11" i="1"/>
  <c r="CB9" i="1"/>
  <c r="CA9" i="1"/>
  <c r="BZ9" i="1"/>
  <c r="BY9" i="1"/>
  <c r="BX9" i="1"/>
  <c r="BW9" i="1"/>
  <c r="BV9" i="1"/>
  <c r="BU9" i="1"/>
  <c r="BT9" i="1"/>
  <c r="BR9" i="1"/>
  <c r="BO9" i="1"/>
  <c r="BN9" i="1"/>
  <c r="BB9" i="1"/>
  <c r="CB7" i="1"/>
  <c r="CA7" i="1"/>
  <c r="BZ7" i="1"/>
  <c r="BY7" i="1"/>
  <c r="BX7" i="1"/>
  <c r="BW7" i="1"/>
  <c r="BV7" i="1"/>
  <c r="BU7" i="1"/>
  <c r="BR7" i="1"/>
  <c r="BQ7" i="1"/>
  <c r="CB6" i="1"/>
  <c r="CA6" i="1"/>
  <c r="BZ6" i="1"/>
  <c r="BY6" i="1"/>
  <c r="BX6" i="1"/>
  <c r="BW6" i="1"/>
  <c r="BV6" i="1"/>
  <c r="BU6" i="1"/>
  <c r="BR6" i="1"/>
  <c r="BK6" i="1"/>
  <c r="N6" i="1" s="1"/>
  <c r="CB5" i="1"/>
  <c r="CA5" i="1"/>
  <c r="BZ5" i="1"/>
  <c r="BY5" i="1"/>
  <c r="BX5" i="1"/>
  <c r="BW5" i="1"/>
  <c r="BV5" i="1"/>
  <c r="BU5" i="1"/>
  <c r="BR5" i="1"/>
  <c r="BQ5" i="1"/>
  <c r="CB4" i="1"/>
  <c r="CA4" i="1"/>
  <c r="BZ4" i="1"/>
  <c r="BY4" i="1"/>
  <c r="BX4" i="1"/>
  <c r="BW4" i="1"/>
  <c r="BV4" i="1"/>
  <c r="BU4" i="1"/>
  <c r="BT4" i="1"/>
  <c r="BS4" i="1"/>
  <c r="BR4" i="1"/>
  <c r="BQ4" i="1"/>
  <c r="BD4" i="1"/>
  <c r="AU106" i="1"/>
  <c r="AT106" i="1"/>
  <c r="AS106" i="1"/>
  <c r="AR106" i="1"/>
  <c r="AQ106" i="1"/>
  <c r="AP106" i="1"/>
  <c r="AO106" i="1"/>
  <c r="AN106" i="1"/>
  <c r="AM106" i="1"/>
  <c r="AL106" i="1"/>
  <c r="AJ106" i="1"/>
  <c r="AB106" i="1"/>
  <c r="AA106" i="1"/>
  <c r="Z106" i="1"/>
  <c r="AU105" i="1"/>
  <c r="AT105" i="1"/>
  <c r="AS105" i="1"/>
  <c r="AR105" i="1"/>
  <c r="AQ105" i="1"/>
  <c r="AP105" i="1"/>
  <c r="AU104" i="1"/>
  <c r="AT104" i="1"/>
  <c r="AS104" i="1"/>
  <c r="AR104" i="1"/>
  <c r="AQ104" i="1"/>
  <c r="AP104" i="1"/>
  <c r="AO104" i="1"/>
  <c r="AN104" i="1"/>
  <c r="AA104" i="1"/>
  <c r="AU103" i="1"/>
  <c r="AT103" i="1"/>
  <c r="AS103" i="1"/>
  <c r="AR103" i="1"/>
  <c r="AQ103" i="1"/>
  <c r="AP103" i="1"/>
  <c r="AU102" i="1"/>
  <c r="AT102" i="1"/>
  <c r="AS102" i="1"/>
  <c r="AR102" i="1"/>
  <c r="AQ102" i="1"/>
  <c r="AP102" i="1"/>
  <c r="AU101" i="1"/>
  <c r="AT101" i="1"/>
  <c r="AS101" i="1"/>
  <c r="AR101" i="1"/>
  <c r="AQ101" i="1"/>
  <c r="AP101" i="1"/>
  <c r="AU100" i="1"/>
  <c r="AT100" i="1"/>
  <c r="AS100" i="1"/>
  <c r="AR100" i="1"/>
  <c r="AQ100" i="1"/>
  <c r="AP100" i="1"/>
  <c r="AU99" i="1"/>
  <c r="AT99" i="1"/>
  <c r="AS99" i="1"/>
  <c r="AR99" i="1"/>
  <c r="AQ99" i="1"/>
  <c r="AP99" i="1"/>
  <c r="AO99" i="1"/>
  <c r="AN99" i="1"/>
  <c r="AU98" i="1"/>
  <c r="AT98" i="1"/>
  <c r="AS98" i="1"/>
  <c r="AR98" i="1"/>
  <c r="AQ98" i="1"/>
  <c r="AP98" i="1"/>
  <c r="AU97" i="1"/>
  <c r="AT97" i="1"/>
  <c r="AS97" i="1"/>
  <c r="AR97" i="1"/>
  <c r="AQ97" i="1"/>
  <c r="AP97" i="1"/>
  <c r="AU95" i="1"/>
  <c r="AT95" i="1"/>
  <c r="AS95" i="1"/>
  <c r="AR95" i="1"/>
  <c r="AQ95" i="1"/>
  <c r="AP95" i="1"/>
  <c r="AO95" i="1"/>
  <c r="AN95" i="1"/>
  <c r="AM95" i="1"/>
  <c r="AK95" i="1"/>
  <c r="AU94" i="1"/>
  <c r="AT94" i="1"/>
  <c r="AS94" i="1"/>
  <c r="AR94" i="1"/>
  <c r="AQ94" i="1"/>
  <c r="AP94" i="1"/>
  <c r="AU93" i="1"/>
  <c r="AT93" i="1"/>
  <c r="AS93" i="1"/>
  <c r="AR93" i="1"/>
  <c r="AQ93" i="1"/>
  <c r="AP93" i="1"/>
  <c r="AU92" i="1"/>
  <c r="AT92" i="1"/>
  <c r="AS92" i="1"/>
  <c r="AR92" i="1"/>
  <c r="AQ92" i="1"/>
  <c r="AP92" i="1"/>
  <c r="AU91" i="1"/>
  <c r="AT91" i="1"/>
  <c r="AS91" i="1"/>
  <c r="AR91" i="1"/>
  <c r="AQ91" i="1"/>
  <c r="AP91" i="1"/>
  <c r="AU90" i="1"/>
  <c r="AT90" i="1"/>
  <c r="AS90" i="1"/>
  <c r="AR90" i="1"/>
  <c r="AQ90" i="1"/>
  <c r="AP90" i="1"/>
  <c r="AU89" i="1"/>
  <c r="AT89" i="1"/>
  <c r="AS89" i="1"/>
  <c r="AR89" i="1"/>
  <c r="AQ89" i="1"/>
  <c r="AP89" i="1"/>
  <c r="AU88" i="1"/>
  <c r="AT88" i="1"/>
  <c r="AS88" i="1"/>
  <c r="AR88" i="1"/>
  <c r="AQ88" i="1"/>
  <c r="AP88" i="1"/>
  <c r="AU87" i="1"/>
  <c r="AT87" i="1"/>
  <c r="AS87" i="1"/>
  <c r="AR87" i="1"/>
  <c r="AQ87" i="1"/>
  <c r="AP87" i="1"/>
  <c r="AU86" i="1"/>
  <c r="AT86" i="1"/>
  <c r="AS86" i="1"/>
  <c r="AR86" i="1"/>
  <c r="AQ86" i="1"/>
  <c r="AP86" i="1"/>
  <c r="AU84" i="1"/>
  <c r="AT84" i="1"/>
  <c r="AS84" i="1"/>
  <c r="AR84" i="1"/>
  <c r="AQ84" i="1"/>
  <c r="AP84" i="1"/>
  <c r="AO84" i="1"/>
  <c r="AN84" i="1"/>
  <c r="AL84" i="1"/>
  <c r="AU83" i="1"/>
  <c r="AT83" i="1"/>
  <c r="AS83" i="1"/>
  <c r="AR83" i="1"/>
  <c r="AQ83" i="1"/>
  <c r="AP83" i="1"/>
  <c r="AU82" i="1"/>
  <c r="AT82" i="1"/>
  <c r="AS82" i="1"/>
  <c r="AR82" i="1"/>
  <c r="AQ82" i="1"/>
  <c r="AP82" i="1"/>
  <c r="AU81" i="1"/>
  <c r="AT81" i="1"/>
  <c r="AS81" i="1"/>
  <c r="AR81" i="1"/>
  <c r="AQ81" i="1"/>
  <c r="AP81" i="1"/>
  <c r="AU80" i="1"/>
  <c r="AT80" i="1"/>
  <c r="AS80" i="1"/>
  <c r="AR80" i="1"/>
  <c r="AQ80" i="1"/>
  <c r="AP80" i="1"/>
  <c r="AU79" i="1"/>
  <c r="AT79" i="1"/>
  <c r="AS79" i="1"/>
  <c r="AR79" i="1"/>
  <c r="AQ79" i="1"/>
  <c r="AP79" i="1"/>
  <c r="AU78" i="1"/>
  <c r="AT78" i="1"/>
  <c r="AS78" i="1"/>
  <c r="AR78" i="1"/>
  <c r="AQ78" i="1"/>
  <c r="AP78" i="1"/>
  <c r="AU76" i="1"/>
  <c r="AT76" i="1"/>
  <c r="AS76" i="1"/>
  <c r="AR76" i="1"/>
  <c r="AQ76" i="1"/>
  <c r="AP76" i="1"/>
  <c r="AO76" i="1"/>
  <c r="AN76" i="1"/>
  <c r="AU75" i="1"/>
  <c r="AT75" i="1"/>
  <c r="AS75" i="1"/>
  <c r="AR75" i="1"/>
  <c r="AQ75" i="1"/>
  <c r="AP75" i="1"/>
  <c r="AU74" i="1"/>
  <c r="AT74" i="1"/>
  <c r="AS74" i="1"/>
  <c r="AR74" i="1"/>
  <c r="AQ74" i="1"/>
  <c r="AP74" i="1"/>
  <c r="AU73" i="1"/>
  <c r="AT73" i="1"/>
  <c r="AS73" i="1"/>
  <c r="AR73" i="1"/>
  <c r="AQ73" i="1"/>
  <c r="AP73" i="1"/>
  <c r="AU72" i="1"/>
  <c r="AT72" i="1"/>
  <c r="AS72" i="1"/>
  <c r="AR72" i="1"/>
  <c r="AQ72" i="1"/>
  <c r="AP72" i="1"/>
  <c r="AU71" i="1"/>
  <c r="AT71" i="1"/>
  <c r="AS71" i="1"/>
  <c r="AR71" i="1"/>
  <c r="AQ71" i="1"/>
  <c r="AP71" i="1"/>
  <c r="AU70" i="1"/>
  <c r="AT70" i="1"/>
  <c r="AS70" i="1"/>
  <c r="AR70" i="1"/>
  <c r="AQ70" i="1"/>
  <c r="AP70" i="1"/>
  <c r="AU67" i="1"/>
  <c r="AT67" i="1"/>
  <c r="AS67" i="1"/>
  <c r="AR67" i="1"/>
  <c r="AQ67" i="1"/>
  <c r="AP67" i="1"/>
  <c r="AO67" i="1"/>
  <c r="AN67" i="1"/>
  <c r="AM67" i="1"/>
  <c r="AL67" i="1"/>
  <c r="AJ67" i="1"/>
  <c r="AU66" i="1"/>
  <c r="AT66" i="1"/>
  <c r="AS66" i="1"/>
  <c r="AR66" i="1"/>
  <c r="AQ66" i="1"/>
  <c r="AP66" i="1"/>
  <c r="AU65" i="1"/>
  <c r="AT65" i="1"/>
  <c r="AS65" i="1"/>
  <c r="AR65" i="1"/>
  <c r="AQ65" i="1"/>
  <c r="AP65" i="1"/>
  <c r="AU64" i="1"/>
  <c r="AT64" i="1"/>
  <c r="AS64" i="1"/>
  <c r="AR64" i="1"/>
  <c r="AQ64" i="1"/>
  <c r="AP64" i="1"/>
  <c r="AU63" i="1"/>
  <c r="AT63" i="1"/>
  <c r="AS63" i="1"/>
  <c r="AR63" i="1"/>
  <c r="AQ63" i="1"/>
  <c r="AP63" i="1"/>
  <c r="AU62" i="1"/>
  <c r="AT62" i="1"/>
  <c r="AS62" i="1"/>
  <c r="AR62" i="1"/>
  <c r="AQ62" i="1"/>
  <c r="AP62" i="1"/>
  <c r="AU60" i="1"/>
  <c r="AT60" i="1"/>
  <c r="AS60" i="1"/>
  <c r="AR60" i="1"/>
  <c r="AQ60" i="1"/>
  <c r="AP60" i="1"/>
  <c r="AO60" i="1"/>
  <c r="AN60" i="1"/>
  <c r="AM60" i="1"/>
  <c r="AL60" i="1"/>
  <c r="AU58" i="1"/>
  <c r="AT58" i="1"/>
  <c r="AS58" i="1"/>
  <c r="AR58" i="1"/>
  <c r="AQ58" i="1"/>
  <c r="AP58" i="1"/>
  <c r="AU57" i="1"/>
  <c r="AT57" i="1"/>
  <c r="AS57" i="1"/>
  <c r="AR57" i="1"/>
  <c r="AQ57" i="1"/>
  <c r="AP57" i="1"/>
  <c r="AU56" i="1"/>
  <c r="AT56" i="1"/>
  <c r="AS56" i="1"/>
  <c r="AR56" i="1"/>
  <c r="AQ56" i="1"/>
  <c r="AP56" i="1"/>
  <c r="AU55" i="1"/>
  <c r="AT55" i="1"/>
  <c r="AS55" i="1"/>
  <c r="AR55" i="1"/>
  <c r="AQ55" i="1"/>
  <c r="AP55" i="1"/>
  <c r="AU53" i="1"/>
  <c r="AT53" i="1"/>
  <c r="AS53" i="1"/>
  <c r="AR53" i="1"/>
  <c r="AQ53" i="1"/>
  <c r="AP53" i="1"/>
  <c r="AO53" i="1"/>
  <c r="AN53" i="1"/>
  <c r="AM53" i="1"/>
  <c r="AU52" i="1"/>
  <c r="AT52" i="1"/>
  <c r="AS52" i="1"/>
  <c r="AR52" i="1"/>
  <c r="AQ52" i="1"/>
  <c r="AP52" i="1"/>
  <c r="AU51" i="1"/>
  <c r="AT51" i="1"/>
  <c r="AS51" i="1"/>
  <c r="AR51" i="1"/>
  <c r="AQ51" i="1"/>
  <c r="AP51" i="1"/>
  <c r="AU50" i="1"/>
  <c r="AT50" i="1"/>
  <c r="AS50" i="1"/>
  <c r="AR50" i="1"/>
  <c r="AQ50" i="1"/>
  <c r="AP50" i="1"/>
  <c r="AU49" i="1"/>
  <c r="AT49" i="1"/>
  <c r="AS49" i="1"/>
  <c r="AR49" i="1"/>
  <c r="AQ49" i="1"/>
  <c r="AP49" i="1"/>
  <c r="AU48" i="1"/>
  <c r="AT48" i="1"/>
  <c r="AS48" i="1"/>
  <c r="AR48" i="1"/>
  <c r="AQ48" i="1"/>
  <c r="AP48" i="1"/>
  <c r="AU46" i="1"/>
  <c r="AT46" i="1"/>
  <c r="AS46" i="1"/>
  <c r="AR46" i="1"/>
  <c r="AQ46" i="1"/>
  <c r="AP46" i="1"/>
  <c r="AO46" i="1"/>
  <c r="AN46" i="1"/>
  <c r="AM46" i="1"/>
  <c r="AK46" i="1"/>
  <c r="AJ46" i="1"/>
  <c r="AU44" i="1"/>
  <c r="AT44" i="1"/>
  <c r="AS44" i="1"/>
  <c r="AR44" i="1"/>
  <c r="AQ44" i="1"/>
  <c r="AP44" i="1"/>
  <c r="AU38" i="1"/>
  <c r="AT38" i="1"/>
  <c r="AS38" i="1"/>
  <c r="AR38" i="1"/>
  <c r="AQ38" i="1"/>
  <c r="AP38" i="1"/>
  <c r="AU43" i="1"/>
  <c r="AT43" i="1"/>
  <c r="AS43" i="1"/>
  <c r="AR43" i="1"/>
  <c r="AQ43" i="1"/>
  <c r="AP43" i="1"/>
  <c r="AU42" i="1"/>
  <c r="AT42" i="1"/>
  <c r="AS42" i="1"/>
  <c r="AR42" i="1"/>
  <c r="AQ42" i="1"/>
  <c r="AP42" i="1"/>
  <c r="AU41" i="1"/>
  <c r="AT41" i="1"/>
  <c r="AS41" i="1"/>
  <c r="AR41" i="1"/>
  <c r="AQ41" i="1"/>
  <c r="AP41" i="1"/>
  <c r="AU39" i="1"/>
  <c r="AT39" i="1"/>
  <c r="AS39" i="1"/>
  <c r="AR39" i="1"/>
  <c r="AQ39" i="1"/>
  <c r="AP39" i="1"/>
  <c r="AO39" i="1"/>
  <c r="AN39" i="1"/>
  <c r="AU37" i="1"/>
  <c r="AT37" i="1"/>
  <c r="AS37" i="1"/>
  <c r="AR37" i="1"/>
  <c r="AQ37" i="1"/>
  <c r="AP37" i="1"/>
  <c r="AU36" i="1"/>
  <c r="AT36" i="1"/>
  <c r="AS36" i="1"/>
  <c r="AR36" i="1"/>
  <c r="AQ36" i="1"/>
  <c r="AP36" i="1"/>
  <c r="AU45" i="1"/>
  <c r="AT45" i="1"/>
  <c r="AS45" i="1"/>
  <c r="AR45" i="1"/>
  <c r="AQ45" i="1"/>
  <c r="AP45" i="1"/>
  <c r="AU35" i="1"/>
  <c r="AT35" i="1"/>
  <c r="AS35" i="1"/>
  <c r="AR35" i="1"/>
  <c r="AQ35" i="1"/>
  <c r="AP35" i="1"/>
  <c r="AU34" i="1"/>
  <c r="AT34" i="1"/>
  <c r="AS34" i="1"/>
  <c r="AR34" i="1"/>
  <c r="AQ34" i="1"/>
  <c r="AP34" i="1"/>
  <c r="AU31" i="1"/>
  <c r="AT31" i="1"/>
  <c r="AS31" i="1"/>
  <c r="AR31" i="1"/>
  <c r="AQ31" i="1"/>
  <c r="AP31" i="1"/>
  <c r="AO31" i="1"/>
  <c r="AN31" i="1"/>
  <c r="AU30" i="1"/>
  <c r="AT30" i="1"/>
  <c r="AS30" i="1"/>
  <c r="AR30" i="1"/>
  <c r="AQ30" i="1"/>
  <c r="AP30" i="1"/>
  <c r="AU29" i="1"/>
  <c r="AT29" i="1"/>
  <c r="AS29" i="1"/>
  <c r="AR29" i="1"/>
  <c r="AQ29" i="1"/>
  <c r="AP29" i="1"/>
  <c r="AU28" i="1"/>
  <c r="AT28" i="1"/>
  <c r="AS28" i="1"/>
  <c r="AR28" i="1"/>
  <c r="AQ28" i="1"/>
  <c r="AP28" i="1"/>
  <c r="AU27" i="1"/>
  <c r="AT27" i="1"/>
  <c r="AS27" i="1"/>
  <c r="AR27" i="1"/>
  <c r="AQ27" i="1"/>
  <c r="AP27" i="1"/>
  <c r="AU26" i="1"/>
  <c r="AT26" i="1"/>
  <c r="AS26" i="1"/>
  <c r="AR26" i="1"/>
  <c r="AQ26" i="1"/>
  <c r="AP26" i="1"/>
  <c r="AU25" i="1"/>
  <c r="AT25" i="1"/>
  <c r="AS25" i="1"/>
  <c r="AR25" i="1"/>
  <c r="AQ25" i="1"/>
  <c r="AP25" i="1"/>
  <c r="AU23" i="1"/>
  <c r="AT23" i="1"/>
  <c r="AS23" i="1"/>
  <c r="AR23" i="1"/>
  <c r="AQ23" i="1"/>
  <c r="AP23" i="1"/>
  <c r="AO23" i="1"/>
  <c r="AN23" i="1"/>
  <c r="AU22" i="1"/>
  <c r="AT22" i="1"/>
  <c r="AS22" i="1"/>
  <c r="AR22" i="1"/>
  <c r="AQ22" i="1"/>
  <c r="AP22" i="1"/>
  <c r="AU21" i="1"/>
  <c r="AT21" i="1"/>
  <c r="AS21" i="1"/>
  <c r="AR21" i="1"/>
  <c r="AQ21" i="1"/>
  <c r="AP21" i="1"/>
  <c r="AU20" i="1"/>
  <c r="AT20" i="1"/>
  <c r="AS20" i="1"/>
  <c r="AR20" i="1"/>
  <c r="AQ20" i="1"/>
  <c r="AP20" i="1"/>
  <c r="AU19" i="1"/>
  <c r="AT19" i="1"/>
  <c r="AS19" i="1"/>
  <c r="AR19" i="1"/>
  <c r="AQ19" i="1"/>
  <c r="AP19" i="1"/>
  <c r="AO19" i="1"/>
  <c r="AN19" i="1"/>
  <c r="AU18" i="1"/>
  <c r="AT18" i="1"/>
  <c r="AS18" i="1"/>
  <c r="AR18" i="1"/>
  <c r="AQ18" i="1"/>
  <c r="AP18" i="1"/>
  <c r="AU17" i="1"/>
  <c r="AT17" i="1"/>
  <c r="AS17" i="1"/>
  <c r="AR17" i="1"/>
  <c r="AQ17" i="1"/>
  <c r="AP17" i="1"/>
  <c r="AU15" i="1"/>
  <c r="AT15" i="1"/>
  <c r="AS15" i="1"/>
  <c r="AR15" i="1"/>
  <c r="AQ15" i="1"/>
  <c r="AP15" i="1"/>
  <c r="AO15" i="1"/>
  <c r="AN15" i="1"/>
  <c r="AU14" i="1"/>
  <c r="AT14" i="1"/>
  <c r="AS14" i="1"/>
  <c r="AR14" i="1"/>
  <c r="AQ14" i="1"/>
  <c r="AP14" i="1"/>
  <c r="AU13" i="1"/>
  <c r="AT13" i="1"/>
  <c r="AS13" i="1"/>
  <c r="AR13" i="1"/>
  <c r="AQ13" i="1"/>
  <c r="AP13" i="1"/>
  <c r="AU12" i="1"/>
  <c r="AT12" i="1"/>
  <c r="AS12" i="1"/>
  <c r="AR12" i="1"/>
  <c r="AQ12" i="1"/>
  <c r="AP12" i="1"/>
  <c r="AU11" i="1"/>
  <c r="AT11" i="1"/>
  <c r="AS11" i="1"/>
  <c r="AR11" i="1"/>
  <c r="AQ11" i="1"/>
  <c r="AP11" i="1"/>
  <c r="AU9" i="1"/>
  <c r="AT9" i="1"/>
  <c r="AS9" i="1"/>
  <c r="AR9" i="1"/>
  <c r="AQ9" i="1"/>
  <c r="AP9" i="1"/>
  <c r="AO9" i="1"/>
  <c r="AN9" i="1"/>
  <c r="AM9" i="1"/>
  <c r="AU7" i="1"/>
  <c r="AT7" i="1"/>
  <c r="AS7" i="1"/>
  <c r="AR7" i="1"/>
  <c r="AQ7" i="1"/>
  <c r="AP7" i="1"/>
  <c r="AU6" i="1"/>
  <c r="AT6" i="1"/>
  <c r="AS6" i="1"/>
  <c r="AR6" i="1"/>
  <c r="AQ6" i="1"/>
  <c r="AP6" i="1"/>
  <c r="AO6" i="1"/>
  <c r="AN6" i="1"/>
  <c r="AM6" i="1"/>
  <c r="AU5" i="1"/>
  <c r="AT5" i="1"/>
  <c r="AS5" i="1"/>
  <c r="AR5" i="1"/>
  <c r="AQ5" i="1"/>
  <c r="AP5" i="1"/>
  <c r="AU4" i="1"/>
  <c r="AT4" i="1"/>
  <c r="AS4" i="1"/>
  <c r="AR4" i="1"/>
  <c r="AQ4" i="1"/>
  <c r="AP4" i="1"/>
  <c r="LU110" i="1"/>
  <c r="LT110" i="1"/>
  <c r="LS110" i="1"/>
  <c r="LR110" i="1"/>
  <c r="LQ110" i="1"/>
  <c r="LP110" i="1"/>
  <c r="LO110" i="1"/>
  <c r="LN110" i="1"/>
  <c r="LK110" i="1"/>
  <c r="KP110" i="1"/>
  <c r="KO110" i="1"/>
  <c r="KN110" i="1"/>
  <c r="KM110" i="1"/>
  <c r="KL110" i="1"/>
  <c r="KK110" i="1"/>
  <c r="JM3" i="1"/>
  <c r="JN3" i="1" s="1"/>
  <c r="JO3" i="1" s="1"/>
  <c r="JP3" i="1" s="1"/>
  <c r="JQ3" i="1" s="1"/>
  <c r="JR3" i="1" s="1"/>
  <c r="JS3" i="1" s="1"/>
  <c r="JT3" i="1" s="1"/>
  <c r="JU3" i="1" s="1"/>
  <c r="JV3" i="1" s="1"/>
  <c r="JW3" i="1" s="1"/>
  <c r="JX3" i="1" s="1"/>
  <c r="JY3" i="1" s="1"/>
  <c r="JZ3" i="1" s="1"/>
  <c r="KA3" i="1" s="1"/>
  <c r="KB3" i="1" s="1"/>
  <c r="KC3" i="1" s="1"/>
  <c r="KD3" i="1" s="1"/>
  <c r="KE3" i="1" s="1"/>
  <c r="KF3" i="1" s="1"/>
  <c r="KG3" i="1" s="1"/>
  <c r="KH3" i="1" s="1"/>
  <c r="KI3" i="1" s="1"/>
  <c r="KJ3" i="1" s="1"/>
  <c r="KK3" i="1" s="1"/>
  <c r="KL3" i="1" s="1"/>
  <c r="KM3" i="1" s="1"/>
  <c r="KN3" i="1" s="1"/>
  <c r="KO3" i="1" s="1"/>
  <c r="KP3" i="1" s="1"/>
  <c r="KR3" i="1" s="1"/>
  <c r="KS3" i="1" s="1"/>
  <c r="KT3" i="1" s="1"/>
  <c r="KU3" i="1" s="1"/>
  <c r="KV3" i="1" s="1"/>
  <c r="KW3" i="1" s="1"/>
  <c r="KX3" i="1" s="1"/>
  <c r="KY3" i="1" s="1"/>
  <c r="KZ3" i="1" s="1"/>
  <c r="LA3" i="1" s="1"/>
  <c r="LB3" i="1" s="1"/>
  <c r="LC3" i="1" s="1"/>
  <c r="LD3" i="1" s="1"/>
  <c r="LE3" i="1" s="1"/>
  <c r="LF3" i="1" s="1"/>
  <c r="LG3" i="1" s="1"/>
  <c r="LH3" i="1" s="1"/>
  <c r="LI3" i="1" s="1"/>
  <c r="AY3" i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M3" i="1" s="1"/>
  <c r="BN3" i="1" s="1"/>
  <c r="BO3" i="1" s="1"/>
  <c r="BP3" i="1" s="1"/>
  <c r="BQ3" i="1" s="1"/>
  <c r="BR3" i="1" s="1"/>
  <c r="BS3" i="1" s="1"/>
  <c r="BT3" i="1" s="1"/>
  <c r="BU3" i="1" s="1"/>
  <c r="BV3" i="1" s="1"/>
  <c r="BW3" i="1" s="1"/>
  <c r="BX3" i="1" s="1"/>
  <c r="BY3" i="1" s="1"/>
  <c r="BZ3" i="1" s="1"/>
  <c r="CA3" i="1" s="1"/>
  <c r="CB3" i="1" s="1"/>
  <c r="R3" i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JK109" i="1"/>
  <c r="JK108" i="1"/>
  <c r="JK107" i="1"/>
  <c r="JK106" i="1"/>
  <c r="JK105" i="1"/>
  <c r="JK104" i="1"/>
  <c r="JK103" i="1"/>
  <c r="JK102" i="1"/>
  <c r="JK101" i="1"/>
  <c r="JK100" i="1"/>
  <c r="JK99" i="1"/>
  <c r="JK98" i="1"/>
  <c r="JK97" i="1"/>
  <c r="JK96" i="1"/>
  <c r="JK95" i="1"/>
  <c r="JK94" i="1"/>
  <c r="JK93" i="1"/>
  <c r="JK92" i="1"/>
  <c r="JK91" i="1"/>
  <c r="JK90" i="1"/>
  <c r="JK89" i="1"/>
  <c r="JK88" i="1"/>
  <c r="JK87" i="1"/>
  <c r="JK86" i="1"/>
  <c r="JK85" i="1"/>
  <c r="JK84" i="1"/>
  <c r="JK83" i="1"/>
  <c r="JK82" i="1"/>
  <c r="JK81" i="1"/>
  <c r="JK80" i="1"/>
  <c r="JK79" i="1"/>
  <c r="JK78" i="1"/>
  <c r="JK77" i="1"/>
  <c r="JK76" i="1"/>
  <c r="JK75" i="1"/>
  <c r="JK74" i="1"/>
  <c r="JK73" i="1"/>
  <c r="JK72" i="1"/>
  <c r="JK71" i="1"/>
  <c r="JK70" i="1"/>
  <c r="JK69" i="1"/>
  <c r="JK68" i="1"/>
  <c r="JK67" i="1"/>
  <c r="JK66" i="1"/>
  <c r="JK65" i="1"/>
  <c r="JK64" i="1"/>
  <c r="JK63" i="1"/>
  <c r="JK62" i="1"/>
  <c r="JK61" i="1"/>
  <c r="JK60" i="1"/>
  <c r="JK58" i="1"/>
  <c r="JK57" i="1"/>
  <c r="JK56" i="1"/>
  <c r="JK55" i="1"/>
  <c r="JK54" i="1"/>
  <c r="JK53" i="1"/>
  <c r="JK52" i="1"/>
  <c r="JK51" i="1"/>
  <c r="JK50" i="1"/>
  <c r="JK49" i="1"/>
  <c r="JK48" i="1"/>
  <c r="JK47" i="1"/>
  <c r="JK46" i="1"/>
  <c r="JK44" i="1"/>
  <c r="JK38" i="1"/>
  <c r="JK43" i="1"/>
  <c r="JK42" i="1"/>
  <c r="JK41" i="1"/>
  <c r="JK40" i="1"/>
  <c r="JK39" i="1"/>
  <c r="JK37" i="1"/>
  <c r="JK36" i="1"/>
  <c r="JK45" i="1"/>
  <c r="JK35" i="1"/>
  <c r="JK34" i="1"/>
  <c r="JK33" i="1"/>
  <c r="JK32" i="1"/>
  <c r="JK31" i="1"/>
  <c r="JK30" i="1"/>
  <c r="JK29" i="1"/>
  <c r="JK28" i="1"/>
  <c r="JK27" i="1"/>
  <c r="JK26" i="1"/>
  <c r="JK25" i="1"/>
  <c r="JK24" i="1"/>
  <c r="JK23" i="1"/>
  <c r="JK22" i="1"/>
  <c r="JK21" i="1"/>
  <c r="JK20" i="1"/>
  <c r="JK19" i="1"/>
  <c r="JK18" i="1"/>
  <c r="JK17" i="1"/>
  <c r="JK16" i="1"/>
  <c r="JK15" i="1"/>
  <c r="JK14" i="1"/>
  <c r="JK13" i="1"/>
  <c r="JK12" i="1"/>
  <c r="JK11" i="1"/>
  <c r="JK10" i="1"/>
  <c r="JK9" i="1"/>
  <c r="JK7" i="1"/>
  <c r="JK6" i="1"/>
  <c r="JK5" i="1"/>
  <c r="JK4" i="1"/>
  <c r="BG14" i="1" l="1"/>
  <c r="BG8" i="1"/>
  <c r="CC8" i="1" s="1"/>
  <c r="CD8" i="1" s="1"/>
  <c r="BG75" i="1"/>
  <c r="CC75" i="1" s="1"/>
  <c r="CD75" i="1" s="1"/>
  <c r="BG51" i="1"/>
  <c r="CC51" i="1" s="1"/>
  <c r="CD51" i="1" s="1"/>
  <c r="BG35" i="1"/>
  <c r="CC35" i="1" s="1"/>
  <c r="CD35" i="1" s="1"/>
  <c r="BG78" i="1"/>
  <c r="CC78" i="1" s="1"/>
  <c r="CD78" i="1" s="1"/>
  <c r="BG25" i="1"/>
  <c r="CC25" i="1" s="1"/>
  <c r="CD25" i="1" s="1"/>
  <c r="BG59" i="1"/>
  <c r="CC59" i="1" s="1"/>
  <c r="BG19" i="1"/>
  <c r="CC19" i="1" s="1"/>
  <c r="CD19" i="1" s="1"/>
  <c r="BG37" i="1"/>
  <c r="CC37" i="1" s="1"/>
  <c r="CD37" i="1" s="1"/>
  <c r="BG83" i="1"/>
  <c r="CC83" i="1" s="1"/>
  <c r="CD83" i="1" s="1"/>
  <c r="BG43" i="1"/>
  <c r="CC43" i="1" s="1"/>
  <c r="CD43" i="1" s="1"/>
  <c r="JN1" i="1"/>
  <c r="JP1" i="1" s="1"/>
  <c r="R78" i="1"/>
  <c r="R70" i="1"/>
  <c r="R42" i="1"/>
  <c r="R34" i="1"/>
  <c r="R22" i="1"/>
  <c r="R103" i="1"/>
  <c r="R75" i="1"/>
  <c r="R41" i="1"/>
  <c r="R83" i="1"/>
  <c r="R57" i="1"/>
  <c r="R38" i="1"/>
  <c r="R29" i="1"/>
  <c r="R90" i="1"/>
  <c r="R82" i="1"/>
  <c r="R20" i="1"/>
  <c r="R11" i="1"/>
  <c r="R73" i="1"/>
  <c r="R64" i="1"/>
  <c r="R37" i="1"/>
  <c r="R28" i="1"/>
  <c r="R8" i="1"/>
  <c r="R44" i="1"/>
  <c r="R36" i="1"/>
  <c r="R7" i="1"/>
  <c r="R26" i="1"/>
  <c r="R71" i="1"/>
  <c r="R43" i="1"/>
  <c r="R35" i="1"/>
  <c r="R5" i="1"/>
  <c r="R93" i="1"/>
  <c r="R59" i="1"/>
  <c r="R51" i="1"/>
  <c r="R25" i="1"/>
  <c r="R14" i="1"/>
  <c r="R30" i="1"/>
  <c r="R12" i="1"/>
  <c r="R21" i="1"/>
  <c r="R13" i="1"/>
  <c r="U34" i="1"/>
  <c r="U4" i="1"/>
  <c r="E11" i="4"/>
  <c r="E12" i="4"/>
  <c r="E13" i="4"/>
  <c r="E8" i="4"/>
  <c r="E9" i="4"/>
  <c r="E14" i="4"/>
  <c r="E15" i="4"/>
  <c r="E4" i="4"/>
  <c r="E16" i="4"/>
  <c r="E5" i="4"/>
  <c r="E17" i="4"/>
  <c r="E20" i="4"/>
  <c r="E10" i="4"/>
  <c r="E6" i="4"/>
  <c r="E18" i="4"/>
  <c r="E19" i="4"/>
  <c r="E7" i="4"/>
  <c r="LM110" i="1"/>
  <c r="LJ110" i="1"/>
  <c r="BQ14" i="1"/>
  <c r="LL110" i="1"/>
  <c r="BS14" i="1"/>
  <c r="Q97" i="1"/>
  <c r="Q101" i="1"/>
  <c r="Q66" i="1"/>
  <c r="Q78" i="1"/>
  <c r="Q90" i="1"/>
  <c r="Q103" i="1"/>
  <c r="Q60" i="1"/>
  <c r="Q84" i="1"/>
  <c r="Q98" i="1"/>
  <c r="AK99" i="1"/>
  <c r="Q30" i="1"/>
  <c r="Q67" i="1"/>
  <c r="Q79" i="1"/>
  <c r="Q91" i="1"/>
  <c r="R63" i="1"/>
  <c r="Q93" i="1"/>
  <c r="Q81" i="1"/>
  <c r="Q37" i="1"/>
  <c r="Q50" i="1"/>
  <c r="Q63" i="1"/>
  <c r="Q75" i="1"/>
  <c r="Q99" i="1"/>
  <c r="AY28" i="1"/>
  <c r="AY52" i="1"/>
  <c r="AY58" i="1"/>
  <c r="AY105" i="1"/>
  <c r="AY100" i="1"/>
  <c r="AY98" i="1"/>
  <c r="AY103" i="1"/>
  <c r="AY101" i="1"/>
  <c r="AY97" i="1"/>
  <c r="AY17" i="1"/>
  <c r="AY20" i="1"/>
  <c r="AY29" i="1"/>
  <c r="AY45" i="1"/>
  <c r="AY55" i="1"/>
  <c r="AY62" i="1"/>
  <c r="AY65" i="1"/>
  <c r="AY70" i="1"/>
  <c r="AY74" i="1"/>
  <c r="AY12" i="1"/>
  <c r="AY18" i="1"/>
  <c r="AY21" i="1"/>
  <c r="AY26" i="1"/>
  <c r="AY30" i="1"/>
  <c r="AY36" i="1"/>
  <c r="AY56" i="1"/>
  <c r="AY63" i="1"/>
  <c r="AY66" i="1"/>
  <c r="AY71" i="1"/>
  <c r="AY90" i="1"/>
  <c r="AY22" i="1"/>
  <c r="AY27" i="1"/>
  <c r="AY42" i="1"/>
  <c r="AY49" i="1"/>
  <c r="AY57" i="1"/>
  <c r="AY72" i="1"/>
  <c r="AY82" i="1"/>
  <c r="AY91" i="1"/>
  <c r="Q72" i="1"/>
  <c r="Q73" i="1"/>
  <c r="Q74" i="1"/>
  <c r="Q86" i="1"/>
  <c r="Q87" i="1"/>
  <c r="Q26" i="1"/>
  <c r="Q102" i="1"/>
  <c r="Q42" i="1"/>
  <c r="R89" i="1"/>
  <c r="R105" i="1"/>
  <c r="R102" i="1"/>
  <c r="R100" i="1"/>
  <c r="R98" i="1"/>
  <c r="R101" i="1"/>
  <c r="R94" i="1"/>
  <c r="R86" i="1"/>
  <c r="R79" i="1"/>
  <c r="R50" i="1"/>
  <c r="R99" i="1"/>
  <c r="R72" i="1"/>
  <c r="R65" i="1"/>
  <c r="R52" i="1"/>
  <c r="R91" i="1"/>
  <c r="R62" i="1"/>
  <c r="R45" i="1"/>
  <c r="R27" i="1"/>
  <c r="R18" i="1"/>
  <c r="R88" i="1"/>
  <c r="R81" i="1"/>
  <c r="R74" i="1"/>
  <c r="R56" i="1"/>
  <c r="R49" i="1"/>
  <c r="R80" i="1"/>
  <c r="R58" i="1"/>
  <c r="R97" i="1"/>
  <c r="R87" i="1"/>
  <c r="R66" i="1"/>
  <c r="R55" i="1"/>
  <c r="R92" i="1"/>
  <c r="R17" i="1"/>
  <c r="R48" i="1"/>
  <c r="Q13" i="1"/>
  <c r="Q25" i="1"/>
  <c r="Q36" i="1"/>
  <c r="Q49" i="1"/>
  <c r="Q62" i="1"/>
  <c r="Q7" i="1"/>
  <c r="Q19" i="1"/>
  <c r="Q31" i="1"/>
  <c r="Q43" i="1"/>
  <c r="Q55" i="1"/>
  <c r="Q80" i="1"/>
  <c r="Q92" i="1"/>
  <c r="Q104" i="1"/>
  <c r="Q20" i="1"/>
  <c r="Q56" i="1"/>
  <c r="Q9" i="1"/>
  <c r="Q38" i="1"/>
  <c r="Q27" i="1"/>
  <c r="Q39" i="1"/>
  <c r="Q51" i="1"/>
  <c r="Q64" i="1"/>
  <c r="Q76" i="1"/>
  <c r="Q88" i="1"/>
  <c r="Q100" i="1"/>
  <c r="AI3" i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Q45" i="1"/>
  <c r="Q48" i="1"/>
  <c r="Q15" i="1"/>
  <c r="Q41" i="1"/>
  <c r="Q53" i="1"/>
  <c r="AY73" i="1"/>
  <c r="AY48" i="1"/>
  <c r="AY94" i="1"/>
  <c r="AY102" i="1"/>
  <c r="AY80" i="1"/>
  <c r="AY89" i="1"/>
  <c r="AY92" i="1"/>
  <c r="AY44" i="1"/>
  <c r="CC23" i="1"/>
  <c r="CD23" i="1" s="1"/>
  <c r="CC67" i="1"/>
  <c r="CD67" i="1" s="1"/>
  <c r="CC95" i="1"/>
  <c r="CD95" i="1" s="1"/>
  <c r="KW110" i="1"/>
  <c r="LD110" i="1"/>
  <c r="KQ110" i="1"/>
  <c r="BJ4" i="1"/>
  <c r="BH4" i="1"/>
  <c r="AY7" i="1"/>
  <c r="AX4" i="1"/>
  <c r="BP9" i="1"/>
  <c r="BN4" i="1"/>
  <c r="BD9" i="1"/>
  <c r="BD10" i="1" s="1"/>
  <c r="BB4" i="1"/>
  <c r="Q5" i="1"/>
  <c r="Q17" i="1"/>
  <c r="Q29" i="1"/>
  <c r="Q6" i="1"/>
  <c r="Q18" i="1"/>
  <c r="Q12" i="1"/>
  <c r="Q23" i="1"/>
  <c r="Q35" i="1"/>
  <c r="Q28" i="1"/>
  <c r="Q52" i="1"/>
  <c r="Q65" i="1"/>
  <c r="Q89" i="1"/>
  <c r="R4" i="1"/>
  <c r="Q14" i="1"/>
  <c r="CC84" i="1"/>
  <c r="CD84" i="1" s="1"/>
  <c r="CC6" i="1"/>
  <c r="CD6" i="1" s="1"/>
  <c r="CC60" i="1"/>
  <c r="CD60" i="1" s="1"/>
  <c r="CC34" i="1"/>
  <c r="CD34" i="1" s="1"/>
  <c r="CC104" i="1"/>
  <c r="CD104" i="1" s="1"/>
  <c r="CC31" i="1"/>
  <c r="CD31" i="1" s="1"/>
  <c r="CC46" i="1"/>
  <c r="CD46" i="1" s="1"/>
  <c r="CC76" i="1"/>
  <c r="CD76" i="1" s="1"/>
  <c r="CC106" i="1"/>
  <c r="CD106" i="1" s="1"/>
  <c r="CC15" i="1"/>
  <c r="CD15" i="1" s="1"/>
  <c r="CC39" i="1"/>
  <c r="CD39" i="1" s="1"/>
  <c r="CC53" i="1"/>
  <c r="CD53" i="1" s="1"/>
  <c r="LJ3" i="1"/>
  <c r="LK3" i="1" s="1"/>
  <c r="LL3" i="1" s="1"/>
  <c r="LM3" i="1" s="1"/>
  <c r="LN3" i="1" s="1"/>
  <c r="LO3" i="1" s="1"/>
  <c r="LP3" i="1" s="1"/>
  <c r="LQ3" i="1" s="1"/>
  <c r="LR3" i="1" s="1"/>
  <c r="LS3" i="1" s="1"/>
  <c r="LT3" i="1" s="1"/>
  <c r="LU3" i="1" s="1"/>
  <c r="BU61" i="1"/>
  <c r="BR77" i="1"/>
  <c r="BZ16" i="1"/>
  <c r="BS54" i="1"/>
  <c r="AQ24" i="1"/>
  <c r="BT54" i="1"/>
  <c r="BZ24" i="1"/>
  <c r="BV32" i="1"/>
  <c r="CA47" i="1"/>
  <c r="BV96" i="1"/>
  <c r="BW32" i="1"/>
  <c r="BD47" i="1"/>
  <c r="CB10" i="1"/>
  <c r="BX16" i="1"/>
  <c r="AQ85" i="1"/>
  <c r="AP96" i="1"/>
  <c r="AR107" i="1"/>
  <c r="BS10" i="1"/>
  <c r="BX40" i="1"/>
  <c r="BX77" i="1"/>
  <c r="AX107" i="1"/>
  <c r="CB96" i="1"/>
  <c r="BT10" i="1"/>
  <c r="CB47" i="1"/>
  <c r="AQ61" i="1"/>
  <c r="BT68" i="1"/>
  <c r="CB32" i="1"/>
  <c r="BD96" i="1"/>
  <c r="BQ10" i="1"/>
  <c r="BK68" i="1"/>
  <c r="O13" i="3" s="1"/>
  <c r="BW68" i="1"/>
  <c r="BV61" i="1"/>
  <c r="CA61" i="1"/>
  <c r="BT61" i="1"/>
  <c r="AX32" i="1"/>
  <c r="BU68" i="1"/>
  <c r="CA107" i="1"/>
  <c r="AQ68" i="1"/>
  <c r="BR32" i="1"/>
  <c r="BQ47" i="1"/>
  <c r="BZ85" i="1"/>
  <c r="BR107" i="1"/>
  <c r="BD107" i="1"/>
  <c r="CB107" i="1"/>
  <c r="AU10" i="1"/>
  <c r="AP61" i="1"/>
  <c r="AT85" i="1"/>
  <c r="BU24" i="1"/>
  <c r="BS24" i="1"/>
  <c r="BS32" i="1"/>
  <c r="BX32" i="1"/>
  <c r="CA40" i="1"/>
  <c r="BR40" i="1"/>
  <c r="BR47" i="1"/>
  <c r="BY61" i="1"/>
  <c r="BZ77" i="1"/>
  <c r="BQ107" i="1"/>
  <c r="CA16" i="1"/>
  <c r="BY40" i="1"/>
  <c r="BD32" i="1"/>
  <c r="BZ40" i="1"/>
  <c r="BU54" i="1"/>
  <c r="BU10" i="1"/>
  <c r="BR16" i="1"/>
  <c r="BK16" i="1"/>
  <c r="O5" i="3" s="1"/>
  <c r="BW16" i="1"/>
  <c r="BV24" i="1"/>
  <c r="BD40" i="1"/>
  <c r="CB40" i="1"/>
  <c r="BK54" i="1"/>
  <c r="O11" i="3" s="1"/>
  <c r="BW54" i="1"/>
  <c r="BZ54" i="1"/>
  <c r="BX68" i="1"/>
  <c r="CA77" i="1"/>
  <c r="BU96" i="1"/>
  <c r="AR24" i="1"/>
  <c r="CA10" i="1"/>
  <c r="BK24" i="1"/>
  <c r="O6" i="3" s="1"/>
  <c r="CB24" i="1"/>
  <c r="BX54" i="1"/>
  <c r="BY68" i="1"/>
  <c r="CA96" i="1"/>
  <c r="BV107" i="1"/>
  <c r="CA32" i="1"/>
  <c r="BU47" i="1"/>
  <c r="BZ61" i="1"/>
  <c r="BV77" i="1"/>
  <c r="BY85" i="1"/>
  <c r="BW96" i="1"/>
  <c r="AT24" i="1"/>
  <c r="AU47" i="1"/>
  <c r="BU16" i="1"/>
  <c r="BY24" i="1"/>
  <c r="BK32" i="1"/>
  <c r="O7" i="3" s="1"/>
  <c r="AX47" i="1"/>
  <c r="BV47" i="1"/>
  <c r="BQ61" i="1"/>
  <c r="CA68" i="1"/>
  <c r="BR68" i="1"/>
  <c r="BK77" i="1"/>
  <c r="O15" i="3" s="1"/>
  <c r="BW77" i="1"/>
  <c r="BS85" i="1"/>
  <c r="BX96" i="1"/>
  <c r="BQ96" i="1"/>
  <c r="BU32" i="1"/>
  <c r="BX85" i="1"/>
  <c r="BT85" i="1"/>
  <c r="BU107" i="1"/>
  <c r="BK40" i="1"/>
  <c r="O9" i="3" s="1"/>
  <c r="BY54" i="1"/>
  <c r="BZ68" i="1"/>
  <c r="BQ77" i="1"/>
  <c r="BK96" i="1"/>
  <c r="O17" i="3" s="1"/>
  <c r="BY10" i="1"/>
  <c r="BT16" i="1"/>
  <c r="BQ32" i="1"/>
  <c r="BT40" i="1"/>
  <c r="BW40" i="1"/>
  <c r="BK47" i="1"/>
  <c r="O10" i="3" s="1"/>
  <c r="BW47" i="1"/>
  <c r="CA54" i="1"/>
  <c r="BD68" i="1"/>
  <c r="CB68" i="1"/>
  <c r="BY96" i="1"/>
  <c r="CA24" i="1"/>
  <c r="BT24" i="1"/>
  <c r="BX47" i="1"/>
  <c r="BQ68" i="1"/>
  <c r="AU32" i="1"/>
  <c r="BD24" i="1"/>
  <c r="BY47" i="1"/>
  <c r="BQ54" i="1"/>
  <c r="BU77" i="1"/>
  <c r="BQ85" i="1"/>
  <c r="AT16" i="1"/>
  <c r="AP32" i="1"/>
  <c r="AR61" i="1"/>
  <c r="BW24" i="1"/>
  <c r="BQ40" i="1"/>
  <c r="AS40" i="1"/>
  <c r="BY32" i="1"/>
  <c r="BU40" i="1"/>
  <c r="BY77" i="1"/>
  <c r="BD85" i="1"/>
  <c r="CB85" i="1"/>
  <c r="BU85" i="1"/>
  <c r="BY107" i="1"/>
  <c r="AP68" i="1"/>
  <c r="AU68" i="1"/>
  <c r="BZ10" i="1"/>
  <c r="BY16" i="1"/>
  <c r="BQ24" i="1"/>
  <c r="BZ47" i="1"/>
  <c r="BS61" i="1"/>
  <c r="AQ16" i="1"/>
  <c r="AS24" i="1"/>
  <c r="AU85" i="1"/>
  <c r="AQ107" i="1"/>
  <c r="AV106" i="1"/>
  <c r="AW106" i="1" s="1"/>
  <c r="BD16" i="1"/>
  <c r="CB16" i="1"/>
  <c r="AX24" i="1"/>
  <c r="BT32" i="1"/>
  <c r="AX54" i="1"/>
  <c r="BV54" i="1"/>
  <c r="BD77" i="1"/>
  <c r="CB77" i="1"/>
  <c r="AS16" i="1"/>
  <c r="AU24" i="1"/>
  <c r="AQ32" i="1"/>
  <c r="AQ54" i="1"/>
  <c r="BR10" i="1"/>
  <c r="BX24" i="1"/>
  <c r="BK61" i="1"/>
  <c r="O12" i="3" s="1"/>
  <c r="BW61" i="1"/>
  <c r="BD61" i="1"/>
  <c r="CB61" i="1"/>
  <c r="BK107" i="1"/>
  <c r="O18" i="3" s="1"/>
  <c r="BW107" i="1"/>
  <c r="AR16" i="1"/>
  <c r="AR32" i="1"/>
  <c r="AP47" i="1"/>
  <c r="AR54" i="1"/>
  <c r="AP54" i="1"/>
  <c r="AT61" i="1"/>
  <c r="AR68" i="1"/>
  <c r="AR77" i="1"/>
  <c r="AT96" i="1"/>
  <c r="BX61" i="1"/>
  <c r="BS77" i="1"/>
  <c r="AX85" i="1"/>
  <c r="BV85" i="1"/>
  <c r="BS107" i="1"/>
  <c r="BX107" i="1"/>
  <c r="AU16" i="1"/>
  <c r="AS32" i="1"/>
  <c r="AS54" i="1"/>
  <c r="AU61" i="1"/>
  <c r="AS61" i="1"/>
  <c r="AP77" i="1"/>
  <c r="AU96" i="1"/>
  <c r="BS40" i="1"/>
  <c r="BS68" i="1"/>
  <c r="BT77" i="1"/>
  <c r="BK85" i="1"/>
  <c r="O16" i="3" s="1"/>
  <c r="BW85" i="1"/>
  <c r="BT107" i="1"/>
  <c r="AS10" i="1"/>
  <c r="AQ10" i="1"/>
  <c r="AT32" i="1"/>
  <c r="AP40" i="1"/>
  <c r="AR47" i="1"/>
  <c r="AV46" i="1"/>
  <c r="AW46" i="1" s="1"/>
  <c r="AT54" i="1"/>
  <c r="AQ77" i="1"/>
  <c r="AT10" i="1"/>
  <c r="AQ40" i="1"/>
  <c r="AS47" i="1"/>
  <c r="AQ47" i="1"/>
  <c r="AU54" i="1"/>
  <c r="BV10" i="1"/>
  <c r="AX16" i="1"/>
  <c r="BV16" i="1"/>
  <c r="BZ32" i="1"/>
  <c r="BS47" i="1"/>
  <c r="BD54" i="1"/>
  <c r="CB54" i="1"/>
  <c r="BR85" i="1"/>
  <c r="AT47" i="1"/>
  <c r="AS68" i="1"/>
  <c r="AS77" i="1"/>
  <c r="AP85" i="1"/>
  <c r="BK10" i="1"/>
  <c r="O4" i="3" s="1"/>
  <c r="BW10" i="1"/>
  <c r="BV40" i="1"/>
  <c r="BT47" i="1"/>
  <c r="BV68" i="1"/>
  <c r="BR96" i="1"/>
  <c r="AP16" i="1"/>
  <c r="AT68" i="1"/>
  <c r="AT77" i="1"/>
  <c r="BX10" i="1"/>
  <c r="BR24" i="1"/>
  <c r="BR54" i="1"/>
  <c r="CA85" i="1"/>
  <c r="BS96" i="1"/>
  <c r="AR10" i="1"/>
  <c r="AP10" i="1"/>
  <c r="AP24" i="1"/>
  <c r="AT40" i="1"/>
  <c r="AR40" i="1"/>
  <c r="AU77" i="1"/>
  <c r="AR85" i="1"/>
  <c r="BR61" i="1"/>
  <c r="BT96" i="1"/>
  <c r="AX96" i="1"/>
  <c r="AU40" i="1"/>
  <c r="AS85" i="1"/>
  <c r="AR96" i="1"/>
  <c r="BZ96" i="1"/>
  <c r="BZ107" i="1"/>
  <c r="AS96" i="1"/>
  <c r="AP107" i="1"/>
  <c r="AX40" i="1"/>
  <c r="AX68" i="1"/>
  <c r="AX77" i="1"/>
  <c r="AS107" i="1"/>
  <c r="AT107" i="1"/>
  <c r="AX61" i="1"/>
  <c r="AU107" i="1"/>
  <c r="AV95" i="1"/>
  <c r="AW95" i="1" s="1"/>
  <c r="AQ96" i="1"/>
  <c r="O59" i="1" l="1"/>
  <c r="CD59" i="1"/>
  <c r="O8" i="1"/>
  <c r="R16" i="1"/>
  <c r="R47" i="1"/>
  <c r="S75" i="1"/>
  <c r="S41" i="1"/>
  <c r="S83" i="1"/>
  <c r="S82" i="1"/>
  <c r="S37" i="1"/>
  <c r="S45" i="1"/>
  <c r="S43" i="1"/>
  <c r="S35" i="1"/>
  <c r="S59" i="1"/>
  <c r="S51" i="1"/>
  <c r="S25" i="1"/>
  <c r="S14" i="1"/>
  <c r="S78" i="1"/>
  <c r="S34" i="1"/>
  <c r="S30" i="1"/>
  <c r="S8" i="1"/>
  <c r="BS16" i="1"/>
  <c r="BQ16" i="1"/>
  <c r="AY10" i="1"/>
  <c r="R40" i="1"/>
  <c r="R32" i="1"/>
  <c r="R10" i="1"/>
  <c r="AX10" i="1"/>
  <c r="AV31" i="1"/>
  <c r="AV39" i="1"/>
  <c r="AV84" i="1"/>
  <c r="AW84" i="1" s="1"/>
  <c r="AV60" i="1"/>
  <c r="AW60" i="1" s="1"/>
  <c r="AV67" i="1"/>
  <c r="AW67" i="1" s="1"/>
  <c r="AV53" i="1"/>
  <c r="AV15" i="1"/>
  <c r="AV9" i="1"/>
  <c r="AV23" i="1"/>
  <c r="AV76" i="1"/>
  <c r="AW76" i="1" s="1"/>
  <c r="CC14" i="1"/>
  <c r="CD14" i="1" s="1"/>
  <c r="AY47" i="1"/>
  <c r="AY32" i="1"/>
  <c r="AY24" i="1"/>
  <c r="Q85" i="1"/>
  <c r="AY40" i="1"/>
  <c r="AY61" i="1"/>
  <c r="Q107" i="1"/>
  <c r="R77" i="1"/>
  <c r="R85" i="1"/>
  <c r="R68" i="1"/>
  <c r="AY16" i="1"/>
  <c r="AY77" i="1"/>
  <c r="AV104" i="1"/>
  <c r="AW104" i="1" s="1"/>
  <c r="Q77" i="1"/>
  <c r="Q47" i="1"/>
  <c r="R24" i="1"/>
  <c r="AZ100" i="1"/>
  <c r="AZ98" i="1"/>
  <c r="AZ90" i="1"/>
  <c r="AZ80" i="1"/>
  <c r="AZ74" i="1"/>
  <c r="AZ66" i="1"/>
  <c r="AZ62" i="1"/>
  <c r="AZ57" i="1"/>
  <c r="AZ29" i="1"/>
  <c r="AZ27" i="1"/>
  <c r="AZ21" i="1"/>
  <c r="AZ17" i="1"/>
  <c r="AZ103" i="1"/>
  <c r="AZ101" i="1"/>
  <c r="AZ91" i="1"/>
  <c r="AZ42" i="1"/>
  <c r="AZ22" i="1"/>
  <c r="AZ56" i="1"/>
  <c r="AZ26" i="1"/>
  <c r="AZ65" i="1"/>
  <c r="AZ45" i="1"/>
  <c r="AZ73" i="1"/>
  <c r="AZ58" i="1"/>
  <c r="AZ28" i="1"/>
  <c r="AY54" i="1"/>
  <c r="R54" i="1"/>
  <c r="R61" i="1"/>
  <c r="R107" i="1"/>
  <c r="S105" i="1"/>
  <c r="S102" i="1"/>
  <c r="S100" i="1"/>
  <c r="S98" i="1"/>
  <c r="S94" i="1"/>
  <c r="S92" i="1"/>
  <c r="S90" i="1"/>
  <c r="S88" i="1"/>
  <c r="S86" i="1"/>
  <c r="S80" i="1"/>
  <c r="S74" i="1"/>
  <c r="S72" i="1"/>
  <c r="S70" i="1"/>
  <c r="S66" i="1"/>
  <c r="S64" i="1"/>
  <c r="S62" i="1"/>
  <c r="S57" i="1"/>
  <c r="S55" i="1"/>
  <c r="S49" i="1"/>
  <c r="S44" i="1"/>
  <c r="S36" i="1"/>
  <c r="S29" i="1"/>
  <c r="S27" i="1"/>
  <c r="S21" i="1"/>
  <c r="S17" i="1"/>
  <c r="S13" i="1"/>
  <c r="S12" i="1"/>
  <c r="S103" i="1"/>
  <c r="S101" i="1"/>
  <c r="S99" i="1"/>
  <c r="S65" i="1"/>
  <c r="S52" i="1"/>
  <c r="S7" i="1"/>
  <c r="S5" i="1"/>
  <c r="S91" i="1"/>
  <c r="S81" i="1"/>
  <c r="S20" i="1"/>
  <c r="S93" i="1"/>
  <c r="S42" i="1"/>
  <c r="S97" i="1"/>
  <c r="S87" i="1"/>
  <c r="S73" i="1"/>
  <c r="S48" i="1"/>
  <c r="S79" i="1"/>
  <c r="S63" i="1"/>
  <c r="S26" i="1"/>
  <c r="S89" i="1"/>
  <c r="S56" i="1"/>
  <c r="S38" i="1"/>
  <c r="S71" i="1"/>
  <c r="S22" i="1"/>
  <c r="S50" i="1"/>
  <c r="S58" i="1"/>
  <c r="S28" i="1"/>
  <c r="S18" i="1"/>
  <c r="S11" i="1"/>
  <c r="Q61" i="1"/>
  <c r="R96" i="1"/>
  <c r="O19" i="1"/>
  <c r="O15" i="1"/>
  <c r="O75" i="1"/>
  <c r="O37" i="1"/>
  <c r="M46" i="1"/>
  <c r="O106" i="1"/>
  <c r="O60" i="1"/>
  <c r="O95" i="1"/>
  <c r="M106" i="1"/>
  <c r="O53" i="1"/>
  <c r="O34" i="1"/>
  <c r="O67" i="1"/>
  <c r="O25" i="1"/>
  <c r="O23" i="1"/>
  <c r="O51" i="1"/>
  <c r="O76" i="1"/>
  <c r="O35" i="1"/>
  <c r="O46" i="1"/>
  <c r="O6" i="1"/>
  <c r="M95" i="1"/>
  <c r="O31" i="1"/>
  <c r="O84" i="1"/>
  <c r="O104" i="1"/>
  <c r="O78" i="1"/>
  <c r="O39" i="1"/>
  <c r="O83" i="1"/>
  <c r="O43" i="1"/>
  <c r="Q54" i="1"/>
  <c r="AY68" i="1"/>
  <c r="Q40" i="1"/>
  <c r="AY85" i="1"/>
  <c r="AY96" i="1"/>
  <c r="AY107" i="1"/>
  <c r="KR110" i="1"/>
  <c r="AZ92" i="1"/>
  <c r="AZ55" i="1"/>
  <c r="AZ7" i="1"/>
  <c r="AZ105" i="1"/>
  <c r="AZ86" i="1"/>
  <c r="AZ72" i="1"/>
  <c r="AZ20" i="1"/>
  <c r="AZ70" i="1"/>
  <c r="AZ52" i="1"/>
  <c r="AZ49" i="1"/>
  <c r="AZ30" i="1"/>
  <c r="AZ99" i="1"/>
  <c r="AZ71" i="1"/>
  <c r="AZ94" i="1"/>
  <c r="AZ38" i="1"/>
  <c r="AZ13" i="1"/>
  <c r="AZ82" i="1"/>
  <c r="AZ81" i="1"/>
  <c r="AZ79" i="1"/>
  <c r="AZ44" i="1"/>
  <c r="AZ12" i="1"/>
  <c r="AZ64" i="1"/>
  <c r="AZ63" i="1"/>
  <c r="AZ50" i="1"/>
  <c r="AZ41" i="1"/>
  <c r="AZ88" i="1"/>
  <c r="AZ102" i="1"/>
  <c r="AZ93" i="1"/>
  <c r="AZ89" i="1"/>
  <c r="AZ87" i="1"/>
  <c r="AZ36" i="1"/>
  <c r="AZ18" i="1"/>
  <c r="AZ97" i="1"/>
  <c r="AZ48" i="1"/>
  <c r="AZ11" i="1"/>
  <c r="P46" i="1"/>
  <c r="P95" i="1"/>
  <c r="P106" i="1"/>
  <c r="Q68" i="1"/>
  <c r="AV6" i="1"/>
  <c r="AW6" i="1" s="1"/>
  <c r="Q24" i="1"/>
  <c r="CC9" i="1"/>
  <c r="CD9" i="1" s="1"/>
  <c r="Q96" i="1"/>
  <c r="Q16" i="1"/>
  <c r="Q32" i="1"/>
  <c r="CC4" i="1"/>
  <c r="CD4" i="1" s="1"/>
  <c r="S4" i="1"/>
  <c r="JM110" i="1"/>
  <c r="BT69" i="1"/>
  <c r="BW33" i="1"/>
  <c r="BU108" i="1"/>
  <c r="AR33" i="1"/>
  <c r="BU33" i="1"/>
  <c r="AR69" i="1"/>
  <c r="AQ108" i="1"/>
  <c r="BQ69" i="1"/>
  <c r="CA69" i="1"/>
  <c r="BD33" i="1"/>
  <c r="BD108" i="1"/>
  <c r="BU69" i="1"/>
  <c r="CA33" i="1"/>
  <c r="BR33" i="1"/>
  <c r="CB108" i="1"/>
  <c r="BW69" i="1"/>
  <c r="CB69" i="1"/>
  <c r="AU33" i="1"/>
  <c r="BV33" i="1"/>
  <c r="AR108" i="1"/>
  <c r="AP108" i="1"/>
  <c r="BR69" i="1"/>
  <c r="BY108" i="1"/>
  <c r="BQ108" i="1"/>
  <c r="BK69" i="1"/>
  <c r="O14" i="3" s="1"/>
  <c r="AU108" i="1"/>
  <c r="AQ69" i="1"/>
  <c r="BR108" i="1"/>
  <c r="AS108" i="1"/>
  <c r="AS69" i="1"/>
  <c r="BK108" i="1"/>
  <c r="O19" i="3" s="1"/>
  <c r="BY69" i="1"/>
  <c r="BZ33" i="1"/>
  <c r="AP69" i="1"/>
  <c r="CA108" i="1"/>
  <c r="CB33" i="1"/>
  <c r="BZ69" i="1"/>
  <c r="AU69" i="1"/>
  <c r="AS33" i="1"/>
  <c r="BV108" i="1"/>
  <c r="BZ108" i="1"/>
  <c r="AT69" i="1"/>
  <c r="BT33" i="1"/>
  <c r="BX33" i="1"/>
  <c r="AP33" i="1"/>
  <c r="BX69" i="1"/>
  <c r="BY33" i="1"/>
  <c r="BK33" i="1"/>
  <c r="O8" i="3" s="1"/>
  <c r="BX108" i="1"/>
  <c r="AT108" i="1"/>
  <c r="AQ33" i="1"/>
  <c r="AT33" i="1"/>
  <c r="BS69" i="1"/>
  <c r="AX69" i="1"/>
  <c r="BV69" i="1"/>
  <c r="BS108" i="1"/>
  <c r="BD69" i="1"/>
  <c r="BT108" i="1"/>
  <c r="BW108" i="1"/>
  <c r="AX108" i="1"/>
  <c r="M31" i="1" l="1"/>
  <c r="AW31" i="1"/>
  <c r="M39" i="1"/>
  <c r="AW39" i="1"/>
  <c r="M53" i="1"/>
  <c r="AW53" i="1"/>
  <c r="P15" i="1"/>
  <c r="AW15" i="1"/>
  <c r="M9" i="1"/>
  <c r="AW9" i="1"/>
  <c r="M23" i="1"/>
  <c r="AW23" i="1"/>
  <c r="JQ1" i="1"/>
  <c r="U43" i="1"/>
  <c r="U75" i="1"/>
  <c r="U83" i="1"/>
  <c r="U25" i="1"/>
  <c r="U8" i="1"/>
  <c r="U37" i="1"/>
  <c r="U41" i="1"/>
  <c r="U78" i="1"/>
  <c r="U19" i="1"/>
  <c r="U14" i="1"/>
  <c r="U35" i="1"/>
  <c r="U59" i="1"/>
  <c r="U51" i="1"/>
  <c r="T59" i="1"/>
  <c r="T86" i="1"/>
  <c r="T34" i="1"/>
  <c r="T43" i="1"/>
  <c r="T51" i="1"/>
  <c r="T41" i="1"/>
  <c r="T35" i="1"/>
  <c r="T37" i="1"/>
  <c r="T14" i="1"/>
  <c r="T30" i="1"/>
  <c r="T8" i="1"/>
  <c r="T91" i="1"/>
  <c r="T100" i="1"/>
  <c r="T4" i="1"/>
  <c r="T75" i="1"/>
  <c r="T45" i="1"/>
  <c r="T78" i="1"/>
  <c r="T83" i="1"/>
  <c r="T25" i="1"/>
  <c r="T26" i="1"/>
  <c r="AI102" i="1"/>
  <c r="AI101" i="1"/>
  <c r="AI83" i="1"/>
  <c r="AI25" i="1"/>
  <c r="AI75" i="1"/>
  <c r="AI13" i="1"/>
  <c r="AI4" i="1"/>
  <c r="AI92" i="1"/>
  <c r="AI81" i="1"/>
  <c r="AI14" i="1"/>
  <c r="AI59" i="1"/>
  <c r="AI7" i="1"/>
  <c r="AI93" i="1"/>
  <c r="AI8" i="1"/>
  <c r="BS33" i="1"/>
  <c r="BQ33" i="1"/>
  <c r="R33" i="1"/>
  <c r="P53" i="1"/>
  <c r="M15" i="1"/>
  <c r="P39" i="1"/>
  <c r="M76" i="1"/>
  <c r="P67" i="1"/>
  <c r="AX33" i="1"/>
  <c r="P60" i="1"/>
  <c r="P84" i="1"/>
  <c r="M84" i="1"/>
  <c r="P76" i="1"/>
  <c r="P31" i="1"/>
  <c r="M60" i="1"/>
  <c r="M67" i="1"/>
  <c r="P23" i="1"/>
  <c r="O14" i="1"/>
  <c r="AY33" i="1"/>
  <c r="S32" i="1"/>
  <c r="R69" i="1"/>
  <c r="S40" i="1"/>
  <c r="S47" i="1"/>
  <c r="P104" i="1"/>
  <c r="M104" i="1"/>
  <c r="R108" i="1"/>
  <c r="S85" i="1"/>
  <c r="AY69" i="1"/>
  <c r="BA105" i="1"/>
  <c r="BA82" i="1"/>
  <c r="BA72" i="1"/>
  <c r="BA57" i="1"/>
  <c r="BA27" i="1"/>
  <c r="BA52" i="1"/>
  <c r="BA22" i="1"/>
  <c r="BA28" i="1"/>
  <c r="BA71" i="1"/>
  <c r="BA18" i="1"/>
  <c r="BA90" i="1"/>
  <c r="BA66" i="1"/>
  <c r="BA12" i="1"/>
  <c r="BA73" i="1"/>
  <c r="BA97" i="1"/>
  <c r="BA65" i="1"/>
  <c r="BA45" i="1"/>
  <c r="BA20" i="1"/>
  <c r="BA29" i="1"/>
  <c r="BA17" i="1"/>
  <c r="BA80" i="1"/>
  <c r="BA100" i="1"/>
  <c r="BA42" i="1"/>
  <c r="S24" i="1"/>
  <c r="S54" i="1"/>
  <c r="S77" i="1"/>
  <c r="S16" i="1"/>
  <c r="T105" i="1"/>
  <c r="T102" i="1"/>
  <c r="T103" i="1"/>
  <c r="T101" i="1"/>
  <c r="T72" i="1"/>
  <c r="T44" i="1"/>
  <c r="T18" i="1"/>
  <c r="T12" i="1"/>
  <c r="T81" i="1"/>
  <c r="T62" i="1"/>
  <c r="T88" i="1"/>
  <c r="T56" i="1"/>
  <c r="T93" i="1"/>
  <c r="T74" i="1"/>
  <c r="T98" i="1"/>
  <c r="T71" i="1"/>
  <c r="T64" i="1"/>
  <c r="T38" i="1"/>
  <c r="T73" i="1"/>
  <c r="T66" i="1"/>
  <c r="T55" i="1"/>
  <c r="T48" i="1"/>
  <c r="T92" i="1"/>
  <c r="T63" i="1"/>
  <c r="T94" i="1"/>
  <c r="T21" i="1"/>
  <c r="T80" i="1"/>
  <c r="T20" i="1"/>
  <c r="T99" i="1"/>
  <c r="T89" i="1"/>
  <c r="T49" i="1"/>
  <c r="T97" i="1"/>
  <c r="T50" i="1"/>
  <c r="T42" i="1"/>
  <c r="T87" i="1"/>
  <c r="T79" i="1"/>
  <c r="T52" i="1"/>
  <c r="T36" i="1"/>
  <c r="T22" i="1"/>
  <c r="T29" i="1"/>
  <c r="T65" i="1"/>
  <c r="T57" i="1"/>
  <c r="T13" i="1"/>
  <c r="T58" i="1"/>
  <c r="T70" i="1"/>
  <c r="T82" i="1"/>
  <c r="T90" i="1"/>
  <c r="T28" i="1"/>
  <c r="T27" i="1"/>
  <c r="T17" i="1"/>
  <c r="T11" i="1"/>
  <c r="T7" i="1"/>
  <c r="JN110" i="1"/>
  <c r="S61" i="1"/>
  <c r="S107" i="1"/>
  <c r="S96" i="1"/>
  <c r="S68" i="1"/>
  <c r="M6" i="1"/>
  <c r="O9" i="1"/>
  <c r="O4" i="1"/>
  <c r="AZ40" i="1"/>
  <c r="AZ47" i="1"/>
  <c r="AZ85" i="1"/>
  <c r="AZ32" i="1"/>
  <c r="AY108" i="1"/>
  <c r="AZ107" i="1"/>
  <c r="AZ61" i="1"/>
  <c r="AZ54" i="1"/>
  <c r="AZ5" i="1"/>
  <c r="AZ10" i="1" s="1"/>
  <c r="KS110" i="1"/>
  <c r="AZ24" i="1"/>
  <c r="AZ68" i="1"/>
  <c r="AZ96" i="1"/>
  <c r="BA99" i="1"/>
  <c r="BA87" i="1"/>
  <c r="BA63" i="1"/>
  <c r="BA50" i="1"/>
  <c r="BA26" i="1"/>
  <c r="BA101" i="1"/>
  <c r="BA89" i="1"/>
  <c r="BA38" i="1"/>
  <c r="BA103" i="1"/>
  <c r="BA21" i="1"/>
  <c r="BA13" i="1"/>
  <c r="BA93" i="1"/>
  <c r="BA94" i="1"/>
  <c r="BA48" i="1"/>
  <c r="BA81" i="1"/>
  <c r="BA79" i="1"/>
  <c r="BA58" i="1"/>
  <c r="BA56" i="1"/>
  <c r="BA55" i="1"/>
  <c r="BA44" i="1"/>
  <c r="BA64" i="1"/>
  <c r="BA62" i="1"/>
  <c r="BA49" i="1"/>
  <c r="BA11" i="1"/>
  <c r="BA7" i="1"/>
  <c r="BA102" i="1"/>
  <c r="BA86" i="1"/>
  <c r="BA70" i="1"/>
  <c r="BA30" i="1"/>
  <c r="BA91" i="1"/>
  <c r="BA92" i="1"/>
  <c r="BA88" i="1"/>
  <c r="BA74" i="1"/>
  <c r="BA36" i="1"/>
  <c r="BA41" i="1"/>
  <c r="BA98" i="1"/>
  <c r="AZ77" i="1"/>
  <c r="AZ16" i="1"/>
  <c r="P9" i="1"/>
  <c r="P6" i="1"/>
  <c r="Q69" i="1"/>
  <c r="Q108" i="1"/>
  <c r="S10" i="1"/>
  <c r="CB109" i="1"/>
  <c r="AR109" i="1"/>
  <c r="AQ109" i="1"/>
  <c r="AU109" i="1"/>
  <c r="BW109" i="1"/>
  <c r="BU109" i="1"/>
  <c r="CA109" i="1"/>
  <c r="BD109" i="1"/>
  <c r="BX109" i="1"/>
  <c r="AS109" i="1"/>
  <c r="BR109" i="1"/>
  <c r="BK109" i="1"/>
  <c r="O20" i="3" s="1"/>
  <c r="BV109" i="1"/>
  <c r="AT109" i="1"/>
  <c r="BY109" i="1"/>
  <c r="BT109" i="1"/>
  <c r="AP109" i="1"/>
  <c r="BZ109" i="1"/>
  <c r="V8" i="1" l="1"/>
  <c r="V59" i="1"/>
  <c r="V19" i="1"/>
  <c r="JR1" i="1"/>
  <c r="BQ109" i="1"/>
  <c r="V75" i="1"/>
  <c r="V41" i="1"/>
  <c r="V4" i="1"/>
  <c r="V35" i="1"/>
  <c r="V34" i="1"/>
  <c r="V14" i="1"/>
  <c r="V51" i="1"/>
  <c r="V43" i="1"/>
  <c r="V37" i="1"/>
  <c r="V83" i="1"/>
  <c r="V78" i="1"/>
  <c r="V25" i="1"/>
  <c r="BS109" i="1"/>
  <c r="AX109" i="1"/>
  <c r="T32" i="1"/>
  <c r="AY109" i="1"/>
  <c r="R109" i="1"/>
  <c r="T40" i="1"/>
  <c r="T24" i="1"/>
  <c r="T85" i="1"/>
  <c r="T47" i="1"/>
  <c r="BB27" i="1"/>
  <c r="BB71" i="1"/>
  <c r="BB63" i="1"/>
  <c r="BB56" i="1"/>
  <c r="BB26" i="1"/>
  <c r="BB18" i="1"/>
  <c r="BB66" i="1"/>
  <c r="BB80" i="1"/>
  <c r="BB45" i="1"/>
  <c r="BB20" i="1"/>
  <c r="BB62" i="1"/>
  <c r="BB29" i="1"/>
  <c r="BB17" i="1"/>
  <c r="BB52" i="1"/>
  <c r="BB28" i="1"/>
  <c r="BB82" i="1"/>
  <c r="BB72" i="1"/>
  <c r="BB100" i="1"/>
  <c r="BB22" i="1"/>
  <c r="S69" i="1"/>
  <c r="T5" i="1"/>
  <c r="T10" i="1" s="1"/>
  <c r="JO110" i="1"/>
  <c r="T77" i="1"/>
  <c r="T96" i="1"/>
  <c r="T107" i="1"/>
  <c r="T54" i="1"/>
  <c r="T68" i="1"/>
  <c r="U105" i="1"/>
  <c r="U102" i="1"/>
  <c r="U103" i="1"/>
  <c r="U101" i="1"/>
  <c r="U81" i="1"/>
  <c r="U62" i="1"/>
  <c r="U27" i="1"/>
  <c r="U20" i="1"/>
  <c r="U88" i="1"/>
  <c r="U56" i="1"/>
  <c r="U93" i="1"/>
  <c r="U74" i="1"/>
  <c r="U49" i="1"/>
  <c r="U42" i="1"/>
  <c r="U13" i="1"/>
  <c r="U98" i="1"/>
  <c r="U71" i="1"/>
  <c r="U90" i="1"/>
  <c r="U58" i="1"/>
  <c r="U92" i="1"/>
  <c r="U63" i="1"/>
  <c r="U100" i="1"/>
  <c r="U89" i="1"/>
  <c r="U82" i="1"/>
  <c r="U70" i="1"/>
  <c r="U80" i="1"/>
  <c r="U72" i="1"/>
  <c r="U55" i="1"/>
  <c r="U12" i="1"/>
  <c r="U99" i="1"/>
  <c r="U97" i="1"/>
  <c r="U73" i="1"/>
  <c r="U64" i="1"/>
  <c r="U50" i="1"/>
  <c r="U91" i="1"/>
  <c r="U52" i="1"/>
  <c r="U36" i="1"/>
  <c r="U22" i="1"/>
  <c r="U48" i="1"/>
  <c r="U65" i="1"/>
  <c r="U57" i="1"/>
  <c r="U44" i="1"/>
  <c r="U21" i="1"/>
  <c r="U30" i="1"/>
  <c r="U29" i="1"/>
  <c r="U28" i="1"/>
  <c r="U86" i="1"/>
  <c r="U66" i="1"/>
  <c r="U26" i="1"/>
  <c r="U18" i="1"/>
  <c r="U17" i="1"/>
  <c r="U11" i="1"/>
  <c r="U94" i="1"/>
  <c r="U87" i="1"/>
  <c r="U79" i="1"/>
  <c r="U7" i="1"/>
  <c r="U45" i="1"/>
  <c r="U38" i="1"/>
  <c r="T16" i="1"/>
  <c r="T61" i="1"/>
  <c r="S108" i="1"/>
  <c r="BA47" i="1"/>
  <c r="BA40" i="1"/>
  <c r="BA85" i="1"/>
  <c r="BA32" i="1"/>
  <c r="BA24" i="1"/>
  <c r="BA61" i="1"/>
  <c r="BA77" i="1"/>
  <c r="BA16" i="1"/>
  <c r="BA96" i="1"/>
  <c r="BA54" i="1"/>
  <c r="AZ69" i="1"/>
  <c r="AZ108" i="1"/>
  <c r="BA68" i="1"/>
  <c r="BA107" i="1"/>
  <c r="BA5" i="1"/>
  <c r="BA10" i="1" s="1"/>
  <c r="AZ33" i="1"/>
  <c r="BB105" i="1"/>
  <c r="BB94" i="1"/>
  <c r="BB70" i="1"/>
  <c r="BB57" i="1"/>
  <c r="BB44" i="1"/>
  <c r="BB21" i="1"/>
  <c r="BB98" i="1"/>
  <c r="BB92" i="1"/>
  <c r="BB103" i="1"/>
  <c r="BB50" i="1"/>
  <c r="BB41" i="1"/>
  <c r="BB90" i="1"/>
  <c r="BB87" i="1"/>
  <c r="BB73" i="1"/>
  <c r="BB99" i="1"/>
  <c r="BB101" i="1"/>
  <c r="BB81" i="1"/>
  <c r="BB79" i="1"/>
  <c r="BB58" i="1"/>
  <c r="BB55" i="1"/>
  <c r="BB38" i="1"/>
  <c r="BB13" i="1"/>
  <c r="BB65" i="1"/>
  <c r="BB64" i="1"/>
  <c r="BB12" i="1"/>
  <c r="BB11" i="1"/>
  <c r="BB7" i="1"/>
  <c r="BB97" i="1"/>
  <c r="BB49" i="1"/>
  <c r="BB48" i="1"/>
  <c r="BB91" i="1"/>
  <c r="BB5" i="1"/>
  <c r="BB88" i="1"/>
  <c r="BB74" i="1"/>
  <c r="BB36" i="1"/>
  <c r="BB93" i="1"/>
  <c r="BB89" i="1"/>
  <c r="BB86" i="1"/>
  <c r="BB30" i="1"/>
  <c r="BB42" i="1"/>
  <c r="BB102" i="1"/>
  <c r="S33" i="1"/>
  <c r="W38" i="1" l="1"/>
  <c r="W62" i="1"/>
  <c r="W44" i="1"/>
  <c r="W37" i="1"/>
  <c r="W78" i="1"/>
  <c r="W8" i="1"/>
  <c r="W90" i="1"/>
  <c r="W79" i="1"/>
  <c r="W27" i="1"/>
  <c r="W48" i="1"/>
  <c r="W88" i="1"/>
  <c r="W18" i="1"/>
  <c r="W86" i="1"/>
  <c r="W21" i="1"/>
  <c r="W89" i="1"/>
  <c r="W101" i="1"/>
  <c r="W83" i="1"/>
  <c r="W82" i="1"/>
  <c r="W75" i="1"/>
  <c r="W98" i="1"/>
  <c r="W17" i="1"/>
  <c r="W49" i="1"/>
  <c r="W73" i="1"/>
  <c r="W43" i="1"/>
  <c r="W13" i="1"/>
  <c r="W51" i="1"/>
  <c r="W72" i="1"/>
  <c r="W52" i="1"/>
  <c r="W56" i="1"/>
  <c r="W70" i="1"/>
  <c r="W28" i="1"/>
  <c r="W63" i="1"/>
  <c r="W66" i="1"/>
  <c r="W35" i="1"/>
  <c r="W64" i="1"/>
  <c r="W97" i="1"/>
  <c r="W58" i="1"/>
  <c r="W25" i="1"/>
  <c r="W57" i="1"/>
  <c r="W71" i="1"/>
  <c r="W36" i="1"/>
  <c r="W55" i="1"/>
  <c r="W59" i="1"/>
  <c r="W20" i="1"/>
  <c r="W45" i="1"/>
  <c r="W74" i="1"/>
  <c r="W94" i="1"/>
  <c r="W81" i="1"/>
  <c r="W14" i="1"/>
  <c r="W11" i="1"/>
  <c r="W30" i="1"/>
  <c r="W91" i="1"/>
  <c r="W19" i="1"/>
  <c r="W93" i="1"/>
  <c r="W102" i="1"/>
  <c r="W65" i="1"/>
  <c r="JS1" i="1"/>
  <c r="W34" i="1"/>
  <c r="W92" i="1"/>
  <c r="W41" i="1"/>
  <c r="W22" i="1"/>
  <c r="W103" i="1"/>
  <c r="W29" i="1"/>
  <c r="W5" i="1"/>
  <c r="W87" i="1"/>
  <c r="W7" i="1"/>
  <c r="W50" i="1"/>
  <c r="W100" i="1"/>
  <c r="W105" i="1"/>
  <c r="W26" i="1"/>
  <c r="W42" i="1"/>
  <c r="W80" i="1"/>
  <c r="W12" i="1"/>
  <c r="U32" i="1"/>
  <c r="T108" i="1"/>
  <c r="U85" i="1"/>
  <c r="U40" i="1"/>
  <c r="U47" i="1"/>
  <c r="T33" i="1"/>
  <c r="BC105" i="1"/>
  <c r="BC103" i="1"/>
  <c r="BC101" i="1"/>
  <c r="BC91" i="1"/>
  <c r="BC58" i="1"/>
  <c r="BC56" i="1"/>
  <c r="BC48" i="1"/>
  <c r="BC42" i="1"/>
  <c r="BC30" i="1"/>
  <c r="BC28" i="1"/>
  <c r="BC90" i="1"/>
  <c r="BC66" i="1"/>
  <c r="BC36" i="1"/>
  <c r="BC21" i="1"/>
  <c r="BC12" i="1"/>
  <c r="BC98" i="1"/>
  <c r="BC74" i="1"/>
  <c r="BC70" i="1"/>
  <c r="BC29" i="1"/>
  <c r="BC80" i="1"/>
  <c r="BC100" i="1"/>
  <c r="BC82" i="1"/>
  <c r="BC72" i="1"/>
  <c r="BC49" i="1"/>
  <c r="BC27" i="1"/>
  <c r="T69" i="1"/>
  <c r="U5" i="1"/>
  <c r="JP110" i="1"/>
  <c r="U107" i="1"/>
  <c r="U68" i="1"/>
  <c r="U16" i="1"/>
  <c r="U24" i="1"/>
  <c r="U61" i="1"/>
  <c r="U54" i="1"/>
  <c r="U77" i="1"/>
  <c r="U96" i="1"/>
  <c r="V105" i="1"/>
  <c r="V102" i="1"/>
  <c r="V88" i="1"/>
  <c r="V56" i="1"/>
  <c r="V93" i="1"/>
  <c r="V74" i="1"/>
  <c r="V49" i="1"/>
  <c r="V98" i="1"/>
  <c r="V71" i="1"/>
  <c r="V64" i="1"/>
  <c r="V38" i="1"/>
  <c r="V29" i="1"/>
  <c r="V22" i="1"/>
  <c r="V90" i="1"/>
  <c r="V97" i="1"/>
  <c r="V87" i="1"/>
  <c r="V80" i="1"/>
  <c r="V100" i="1"/>
  <c r="V89" i="1"/>
  <c r="V82" i="1"/>
  <c r="V70" i="1"/>
  <c r="V79" i="1"/>
  <c r="V57" i="1"/>
  <c r="V50" i="1"/>
  <c r="V99" i="1"/>
  <c r="V94" i="1"/>
  <c r="V92" i="1"/>
  <c r="V20" i="1"/>
  <c r="V101" i="1"/>
  <c r="V73" i="1"/>
  <c r="V81" i="1"/>
  <c r="V86" i="1"/>
  <c r="V65" i="1"/>
  <c r="V36" i="1"/>
  <c r="V91" i="1"/>
  <c r="V48" i="1"/>
  <c r="V72" i="1"/>
  <c r="V66" i="1"/>
  <c r="V26" i="1"/>
  <c r="V44" i="1"/>
  <c r="V21" i="1"/>
  <c r="V13" i="1"/>
  <c r="V42" i="1"/>
  <c r="V103" i="1"/>
  <c r="V28" i="1"/>
  <c r="V63" i="1"/>
  <c r="V58" i="1"/>
  <c r="V55" i="1"/>
  <c r="V30" i="1"/>
  <c r="V12" i="1"/>
  <c r="V27" i="1"/>
  <c r="V45" i="1"/>
  <c r="V62" i="1"/>
  <c r="V7" i="1"/>
  <c r="V18" i="1"/>
  <c r="V52" i="1"/>
  <c r="V11" i="1"/>
  <c r="V17" i="1"/>
  <c r="BB40" i="1"/>
  <c r="BB85" i="1"/>
  <c r="BB32" i="1"/>
  <c r="BB10" i="1"/>
  <c r="BB24" i="1"/>
  <c r="BB16" i="1"/>
  <c r="AZ109" i="1"/>
  <c r="BA69" i="1"/>
  <c r="BA108" i="1"/>
  <c r="BB47" i="1"/>
  <c r="BB68" i="1"/>
  <c r="BB54" i="1"/>
  <c r="BB77" i="1"/>
  <c r="BB107" i="1"/>
  <c r="KU110" i="1"/>
  <c r="BB61" i="1"/>
  <c r="BA33" i="1"/>
  <c r="BB96" i="1"/>
  <c r="BC89" i="1"/>
  <c r="BC65" i="1"/>
  <c r="BC52" i="1"/>
  <c r="BC102" i="1"/>
  <c r="BC38" i="1"/>
  <c r="BC45" i="1"/>
  <c r="BC88" i="1"/>
  <c r="BC79" i="1"/>
  <c r="BC62" i="1"/>
  <c r="BC22" i="1"/>
  <c r="BC93" i="1"/>
  <c r="BC81" i="1"/>
  <c r="BC64" i="1"/>
  <c r="BC99" i="1"/>
  <c r="BC44" i="1"/>
  <c r="BC11" i="1"/>
  <c r="BC7" i="1"/>
  <c r="BC97" i="1"/>
  <c r="BC63" i="1"/>
  <c r="BC20" i="1"/>
  <c r="BC50" i="1"/>
  <c r="BC18" i="1"/>
  <c r="BC17" i="1"/>
  <c r="BC92" i="1"/>
  <c r="BC86" i="1"/>
  <c r="BC94" i="1"/>
  <c r="BC55" i="1"/>
  <c r="BC87" i="1"/>
  <c r="BC73" i="1"/>
  <c r="BC71" i="1"/>
  <c r="BC26" i="1"/>
  <c r="BC57" i="1"/>
  <c r="BC41" i="1"/>
  <c r="BC13" i="1"/>
  <c r="BC5" i="1"/>
  <c r="S109" i="1"/>
  <c r="X51" i="1" l="1"/>
  <c r="X52" i="1"/>
  <c r="X55" i="1"/>
  <c r="X58" i="1"/>
  <c r="X56" i="1"/>
  <c r="X11" i="1"/>
  <c r="X62" i="1"/>
  <c r="X41" i="1"/>
  <c r="X65" i="1"/>
  <c r="X43" i="1"/>
  <c r="X49" i="1"/>
  <c r="X74" i="1"/>
  <c r="X81" i="1"/>
  <c r="X82" i="1"/>
  <c r="X48" i="1"/>
  <c r="X83" i="1"/>
  <c r="X91" i="1"/>
  <c r="X92" i="1"/>
  <c r="X38" i="1"/>
  <c r="X93" i="1"/>
  <c r="X94" i="1"/>
  <c r="X97" i="1"/>
  <c r="X37" i="1"/>
  <c r="X101" i="1"/>
  <c r="X103" i="1"/>
  <c r="X8" i="1"/>
  <c r="X36" i="1"/>
  <c r="X13" i="1"/>
  <c r="X17" i="1"/>
  <c r="X18" i="1"/>
  <c r="X35" i="1"/>
  <c r="X21" i="1"/>
  <c r="X19" i="1"/>
  <c r="X20" i="1"/>
  <c r="X27" i="1"/>
  <c r="X25" i="1"/>
  <c r="X28" i="1"/>
  <c r="X14" i="1"/>
  <c r="X29" i="1"/>
  <c r="X30" i="1"/>
  <c r="X63" i="1"/>
  <c r="X66" i="1"/>
  <c r="X78" i="1"/>
  <c r="X79" i="1"/>
  <c r="X88" i="1"/>
  <c r="X89" i="1"/>
  <c r="X98" i="1"/>
  <c r="X45" i="1"/>
  <c r="X57" i="1"/>
  <c r="X64" i="1"/>
  <c r="X102" i="1"/>
  <c r="X70" i="1"/>
  <c r="X71" i="1"/>
  <c r="X72" i="1"/>
  <c r="X73" i="1"/>
  <c r="X75" i="1"/>
  <c r="X86" i="1"/>
  <c r="X90" i="1"/>
  <c r="X44" i="1"/>
  <c r="X59" i="1"/>
  <c r="JT1" i="1"/>
  <c r="U10" i="1"/>
  <c r="U33" i="1" s="1"/>
  <c r="W54" i="1"/>
  <c r="W85" i="1"/>
  <c r="W107" i="1"/>
  <c r="W32" i="1"/>
  <c r="W61" i="1"/>
  <c r="W16" i="1"/>
  <c r="W96" i="1"/>
  <c r="W4" i="1"/>
  <c r="W10" i="1" s="1"/>
  <c r="JR110" i="1"/>
  <c r="W47" i="1"/>
  <c r="W40" i="1"/>
  <c r="W68" i="1"/>
  <c r="W24" i="1"/>
  <c r="W77" i="1"/>
  <c r="X34" i="1"/>
  <c r="X87" i="1"/>
  <c r="X100" i="1"/>
  <c r="X22" i="1"/>
  <c r="X4" i="1"/>
  <c r="X12" i="1"/>
  <c r="V32" i="1"/>
  <c r="V40" i="1"/>
  <c r="V47" i="1"/>
  <c r="X99" i="1"/>
  <c r="X50" i="1"/>
  <c r="X80" i="1"/>
  <c r="V85" i="1"/>
  <c r="T109" i="1"/>
  <c r="BE103" i="1"/>
  <c r="BE97" i="1"/>
  <c r="BE105" i="1"/>
  <c r="BE98" i="1"/>
  <c r="BE72" i="1"/>
  <c r="BE12" i="1"/>
  <c r="BE74" i="1"/>
  <c r="BE70" i="1"/>
  <c r="BE65" i="1"/>
  <c r="BE55" i="1"/>
  <c r="BE29" i="1"/>
  <c r="BE17" i="1"/>
  <c r="BE49" i="1"/>
  <c r="BE36" i="1"/>
  <c r="BE57" i="1"/>
  <c r="BE21" i="1"/>
  <c r="BE80" i="1"/>
  <c r="BE73" i="1"/>
  <c r="BE52" i="1"/>
  <c r="BE28" i="1"/>
  <c r="BE82" i="1"/>
  <c r="BE48" i="1"/>
  <c r="BE22" i="1"/>
  <c r="BE63" i="1"/>
  <c r="BE90" i="1"/>
  <c r="BE71" i="1"/>
  <c r="BE66" i="1"/>
  <c r="BE56" i="1"/>
  <c r="V16" i="1"/>
  <c r="V107" i="1"/>
  <c r="V61" i="1"/>
  <c r="U69" i="1"/>
  <c r="V96" i="1"/>
  <c r="V68" i="1"/>
  <c r="V77" i="1"/>
  <c r="V5" i="1"/>
  <c r="JQ110" i="1"/>
  <c r="V24" i="1"/>
  <c r="V54" i="1"/>
  <c r="X105" i="1"/>
  <c r="X42" i="1"/>
  <c r="X26" i="1"/>
  <c r="X7" i="1"/>
  <c r="U108" i="1"/>
  <c r="BB33" i="1"/>
  <c r="BC40" i="1"/>
  <c r="BC32" i="1"/>
  <c r="BC85" i="1"/>
  <c r="BC47" i="1"/>
  <c r="BA109" i="1"/>
  <c r="BC16" i="1"/>
  <c r="BC96" i="1"/>
  <c r="BB69" i="1"/>
  <c r="BC107" i="1"/>
  <c r="BC24" i="1"/>
  <c r="BC68" i="1"/>
  <c r="BC54" i="1"/>
  <c r="BC61" i="1"/>
  <c r="BB108" i="1"/>
  <c r="BC77" i="1"/>
  <c r="KV110" i="1"/>
  <c r="BE50" i="1"/>
  <c r="BE41" i="1"/>
  <c r="BE102" i="1"/>
  <c r="BE99" i="1"/>
  <c r="BE26" i="1"/>
  <c r="BE64" i="1"/>
  <c r="BE62" i="1"/>
  <c r="BE11" i="1"/>
  <c r="BE7" i="1"/>
  <c r="BE20" i="1"/>
  <c r="BE42" i="1"/>
  <c r="BE91" i="1"/>
  <c r="BE18" i="1"/>
  <c r="BE5" i="1"/>
  <c r="BE79" i="1"/>
  <c r="BE92" i="1"/>
  <c r="BE88" i="1"/>
  <c r="BE86" i="1"/>
  <c r="BE30" i="1"/>
  <c r="BE44" i="1"/>
  <c r="BE93" i="1"/>
  <c r="BE89" i="1"/>
  <c r="BE87" i="1"/>
  <c r="BE45" i="1"/>
  <c r="BE27" i="1"/>
  <c r="BE101" i="1"/>
  <c r="BE94" i="1"/>
  <c r="BE58" i="1"/>
  <c r="BE13" i="1"/>
  <c r="BE81" i="1"/>
  <c r="BE38" i="1"/>
  <c r="BE100" i="1"/>
  <c r="BC10" i="1"/>
  <c r="Y81" i="1" l="1"/>
  <c r="Y83" i="1"/>
  <c r="Y8" i="1"/>
  <c r="Y30" i="1"/>
  <c r="Y73" i="1"/>
  <c r="Y21" i="1"/>
  <c r="Y72" i="1"/>
  <c r="Y29" i="1"/>
  <c r="Y58" i="1"/>
  <c r="Y71" i="1"/>
  <c r="Y35" i="1"/>
  <c r="Y55" i="1"/>
  <c r="Y37" i="1"/>
  <c r="Y45" i="1"/>
  <c r="Y70" i="1"/>
  <c r="Y57" i="1"/>
  <c r="Y28" i="1"/>
  <c r="Y13" i="1"/>
  <c r="Y65" i="1"/>
  <c r="Y97" i="1"/>
  <c r="Y64" i="1"/>
  <c r="Y11" i="1"/>
  <c r="Y52" i="1"/>
  <c r="Y49" i="1"/>
  <c r="Y63" i="1"/>
  <c r="Y56" i="1"/>
  <c r="Y14" i="1"/>
  <c r="Y51" i="1"/>
  <c r="Y41" i="1"/>
  <c r="Y27" i="1"/>
  <c r="Y19" i="1"/>
  <c r="Y74" i="1"/>
  <c r="Y98" i="1"/>
  <c r="Y94" i="1"/>
  <c r="Y75" i="1"/>
  <c r="Y43" i="1"/>
  <c r="Y101" i="1"/>
  <c r="Y102" i="1"/>
  <c r="Y48" i="1"/>
  <c r="Y93" i="1"/>
  <c r="Y25" i="1"/>
  <c r="Y82" i="1"/>
  <c r="Y36" i="1"/>
  <c r="Y89" i="1"/>
  <c r="Y20" i="1"/>
  <c r="Y66" i="1"/>
  <c r="Y88" i="1"/>
  <c r="Y86" i="1"/>
  <c r="Y79" i="1"/>
  <c r="Y78" i="1"/>
  <c r="Y62" i="1"/>
  <c r="Y18" i="1"/>
  <c r="Y38" i="1"/>
  <c r="Y44" i="1"/>
  <c r="Y59" i="1"/>
  <c r="Y103" i="1"/>
  <c r="Y92" i="1"/>
  <c r="Y17" i="1"/>
  <c r="Y90" i="1"/>
  <c r="Y91" i="1"/>
  <c r="JU1" i="1"/>
  <c r="JW1" i="1" s="1"/>
  <c r="JX1" i="1" s="1"/>
  <c r="JY1" i="1" s="1"/>
  <c r="JZ1" i="1" s="1"/>
  <c r="KA1" i="1" s="1"/>
  <c r="KB1" i="1" s="1"/>
  <c r="KD1" i="1" s="1"/>
  <c r="KE1" i="1" s="1"/>
  <c r="W69" i="1"/>
  <c r="Y4" i="1"/>
  <c r="Y26" i="1"/>
  <c r="Y100" i="1"/>
  <c r="Y105" i="1"/>
  <c r="Y42" i="1"/>
  <c r="Y7" i="1"/>
  <c r="Y87" i="1"/>
  <c r="W33" i="1"/>
  <c r="W108" i="1"/>
  <c r="X32" i="1"/>
  <c r="BE40" i="1"/>
  <c r="X40" i="1"/>
  <c r="Y50" i="1"/>
  <c r="Y34" i="1"/>
  <c r="Y80" i="1"/>
  <c r="Y12" i="1"/>
  <c r="Y22" i="1"/>
  <c r="X85" i="1"/>
  <c r="V10" i="1"/>
  <c r="X47" i="1"/>
  <c r="BF103" i="1"/>
  <c r="BF73" i="1"/>
  <c r="BF71" i="1"/>
  <c r="BF63" i="1"/>
  <c r="BF58" i="1"/>
  <c r="BF56" i="1"/>
  <c r="BF52" i="1"/>
  <c r="BF48" i="1"/>
  <c r="BF42" i="1"/>
  <c r="BF45" i="1"/>
  <c r="BF26" i="1"/>
  <c r="BF22" i="1"/>
  <c r="BF18" i="1"/>
  <c r="BF105" i="1"/>
  <c r="BF102" i="1"/>
  <c r="BF100" i="1"/>
  <c r="BF98" i="1"/>
  <c r="BF74" i="1"/>
  <c r="BF70" i="1"/>
  <c r="BF29" i="1"/>
  <c r="BF17" i="1"/>
  <c r="BF82" i="1"/>
  <c r="BF72" i="1"/>
  <c r="BF57" i="1"/>
  <c r="BF49" i="1"/>
  <c r="BF27" i="1"/>
  <c r="BF66" i="1"/>
  <c r="BF21" i="1"/>
  <c r="BF12" i="1"/>
  <c r="V108" i="1"/>
  <c r="U109" i="1"/>
  <c r="X77" i="1"/>
  <c r="V69" i="1"/>
  <c r="X107" i="1"/>
  <c r="Y99" i="1"/>
  <c r="X96" i="1"/>
  <c r="X54" i="1"/>
  <c r="X68" i="1"/>
  <c r="X61" i="1"/>
  <c r="X5" i="1"/>
  <c r="JS110" i="1"/>
  <c r="X16" i="1"/>
  <c r="X24" i="1"/>
  <c r="BE32" i="1"/>
  <c r="BE85" i="1"/>
  <c r="BE10" i="1"/>
  <c r="BE24" i="1"/>
  <c r="BE68" i="1"/>
  <c r="BE61" i="1"/>
  <c r="BE16" i="1"/>
  <c r="BB109" i="1"/>
  <c r="BE54" i="1"/>
  <c r="BC69" i="1"/>
  <c r="BE107" i="1"/>
  <c r="BE96" i="1"/>
  <c r="BE47" i="1"/>
  <c r="BC33" i="1"/>
  <c r="BC108" i="1"/>
  <c r="BE77" i="1"/>
  <c r="BF91" i="1"/>
  <c r="BF79" i="1"/>
  <c r="BF30" i="1"/>
  <c r="BF88" i="1"/>
  <c r="BF62" i="1"/>
  <c r="BF94" i="1"/>
  <c r="BF65" i="1"/>
  <c r="BF11" i="1"/>
  <c r="BF86" i="1"/>
  <c r="BF44" i="1"/>
  <c r="BF20" i="1"/>
  <c r="BF92" i="1"/>
  <c r="BF97" i="1"/>
  <c r="BF50" i="1"/>
  <c r="BF41" i="1"/>
  <c r="BF90" i="1"/>
  <c r="BF36" i="1"/>
  <c r="BF93" i="1"/>
  <c r="BF89" i="1"/>
  <c r="BF87" i="1"/>
  <c r="BF64" i="1"/>
  <c r="BF13" i="1"/>
  <c r="BF80" i="1"/>
  <c r="BF101" i="1"/>
  <c r="BF81" i="1"/>
  <c r="BF55" i="1"/>
  <c r="BF38" i="1"/>
  <c r="BF28" i="1"/>
  <c r="BF99" i="1"/>
  <c r="BF7" i="1"/>
  <c r="KX110" i="1"/>
  <c r="BF5" i="1"/>
  <c r="AV19" i="1" l="1"/>
  <c r="AW19" i="1" s="1"/>
  <c r="W109" i="1"/>
  <c r="Z66" i="1"/>
  <c r="Z18" i="1"/>
  <c r="Z86" i="1"/>
  <c r="Z41" i="1"/>
  <c r="Z78" i="1"/>
  <c r="Z21" i="1"/>
  <c r="Z13" i="1"/>
  <c r="Z8" i="1"/>
  <c r="Z62" i="1"/>
  <c r="Z98" i="1"/>
  <c r="Z72" i="1"/>
  <c r="Z90" i="1"/>
  <c r="Z14" i="1"/>
  <c r="Z64" i="1"/>
  <c r="Z75" i="1"/>
  <c r="Z26" i="1"/>
  <c r="Z59" i="1"/>
  <c r="Z4" i="1"/>
  <c r="Z89" i="1"/>
  <c r="Z37" i="1"/>
  <c r="Z101" i="1"/>
  <c r="Z80" i="1"/>
  <c r="Z48" i="1"/>
  <c r="Z105" i="1"/>
  <c r="Z50" i="1"/>
  <c r="Z82" i="1"/>
  <c r="Z20" i="1"/>
  <c r="Z52" i="1"/>
  <c r="Z83" i="1"/>
  <c r="Z79" i="1"/>
  <c r="Z91" i="1"/>
  <c r="Z94" i="1"/>
  <c r="Z25" i="1"/>
  <c r="Z42" i="1"/>
  <c r="Z103" i="1"/>
  <c r="Z22" i="1"/>
  <c r="X10" i="1"/>
  <c r="V33" i="1"/>
  <c r="V109" i="1" s="1"/>
  <c r="Y32" i="1"/>
  <c r="Y40" i="1"/>
  <c r="Z99" i="1"/>
  <c r="Z100" i="1"/>
  <c r="Z88" i="1"/>
  <c r="Z97" i="1"/>
  <c r="Z87" i="1"/>
  <c r="Z44" i="1"/>
  <c r="Z65" i="1"/>
  <c r="Z36" i="1"/>
  <c r="Z35" i="1"/>
  <c r="Z30" i="1"/>
  <c r="Z27" i="1"/>
  <c r="Z28" i="1"/>
  <c r="Z51" i="1"/>
  <c r="Z38" i="1"/>
  <c r="Z34" i="1"/>
  <c r="Z17" i="1"/>
  <c r="Z58" i="1"/>
  <c r="Z55" i="1"/>
  <c r="Z73" i="1"/>
  <c r="Z70" i="1"/>
  <c r="Z11" i="1"/>
  <c r="Z63" i="1"/>
  <c r="Z49" i="1"/>
  <c r="Z71" i="1"/>
  <c r="Z74" i="1"/>
  <c r="Z56" i="1"/>
  <c r="Z12" i="1"/>
  <c r="Z43" i="1"/>
  <c r="Z29" i="1"/>
  <c r="Z45" i="1"/>
  <c r="Z57" i="1"/>
  <c r="Y85" i="1"/>
  <c r="Y47" i="1"/>
  <c r="Y16" i="1"/>
  <c r="BG103" i="1"/>
  <c r="BG101" i="1"/>
  <c r="BG98" i="1"/>
  <c r="BG74" i="1"/>
  <c r="BG62" i="1"/>
  <c r="BG29" i="1"/>
  <c r="BG17" i="1"/>
  <c r="BG65" i="1"/>
  <c r="BG45" i="1"/>
  <c r="BG80" i="1"/>
  <c r="BG73" i="1"/>
  <c r="BG52" i="1"/>
  <c r="BG91" i="1"/>
  <c r="BG82" i="1"/>
  <c r="BG72" i="1"/>
  <c r="BG57" i="1"/>
  <c r="BG49" i="1"/>
  <c r="BG100" i="1"/>
  <c r="BG42" i="1"/>
  <c r="BG66" i="1"/>
  <c r="BG36" i="1"/>
  <c r="BG21" i="1"/>
  <c r="BG12" i="1"/>
  <c r="BG63" i="1"/>
  <c r="BG56" i="1"/>
  <c r="BG48" i="1"/>
  <c r="BG30" i="1"/>
  <c r="BG26" i="1"/>
  <c r="Y24" i="1"/>
  <c r="X108" i="1"/>
  <c r="Y61" i="1"/>
  <c r="Y5" i="1"/>
  <c r="JT110" i="1"/>
  <c r="Y68" i="1"/>
  <c r="Y77" i="1"/>
  <c r="X69" i="1"/>
  <c r="Y54" i="1"/>
  <c r="Y107" i="1"/>
  <c r="Y96" i="1"/>
  <c r="Z102" i="1"/>
  <c r="Z92" i="1"/>
  <c r="Z81" i="1"/>
  <c r="Z93" i="1"/>
  <c r="Z7" i="1"/>
  <c r="BF40" i="1"/>
  <c r="BF85" i="1"/>
  <c r="BF32" i="1"/>
  <c r="BE33" i="1"/>
  <c r="BF54" i="1"/>
  <c r="BC109" i="1"/>
  <c r="BE69" i="1"/>
  <c r="BF61" i="1"/>
  <c r="BE108" i="1"/>
  <c r="BF96" i="1"/>
  <c r="BF77" i="1"/>
  <c r="BF24" i="1"/>
  <c r="BF16" i="1"/>
  <c r="BF47" i="1"/>
  <c r="BF68" i="1"/>
  <c r="BF107" i="1"/>
  <c r="BG86" i="1"/>
  <c r="BG13" i="1"/>
  <c r="BG105" i="1"/>
  <c r="BG97" i="1"/>
  <c r="BG79" i="1"/>
  <c r="BG55" i="1"/>
  <c r="BG102" i="1"/>
  <c r="BG70" i="1"/>
  <c r="BG22" i="1"/>
  <c r="BG20" i="1"/>
  <c r="BG50" i="1"/>
  <c r="BG41" i="1"/>
  <c r="BG93" i="1"/>
  <c r="BG92" i="1"/>
  <c r="BG89" i="1"/>
  <c r="BG88" i="1"/>
  <c r="BG87" i="1"/>
  <c r="BG71" i="1"/>
  <c r="BG27" i="1"/>
  <c r="BG94" i="1"/>
  <c r="BG81" i="1"/>
  <c r="BG58" i="1"/>
  <c r="BG38" i="1"/>
  <c r="BG28" i="1"/>
  <c r="BG99" i="1"/>
  <c r="BG64" i="1"/>
  <c r="BG44" i="1"/>
  <c r="BG7" i="1"/>
  <c r="BG11" i="1"/>
  <c r="BG90" i="1"/>
  <c r="BG18" i="1"/>
  <c r="KY110" i="1"/>
  <c r="BF10" i="1"/>
  <c r="M19" i="1" l="1"/>
  <c r="P19" i="1"/>
  <c r="AA105" i="1"/>
  <c r="AA98" i="1"/>
  <c r="AA17" i="1"/>
  <c r="AA52" i="1"/>
  <c r="AA49" i="1"/>
  <c r="AA63" i="1"/>
  <c r="AA89" i="1"/>
  <c r="AA25" i="1"/>
  <c r="AA8" i="1"/>
  <c r="AA27" i="1"/>
  <c r="AA62" i="1"/>
  <c r="AA75" i="1"/>
  <c r="AA42" i="1"/>
  <c r="AA22" i="1"/>
  <c r="AA28" i="1"/>
  <c r="AA4" i="1"/>
  <c r="AA65" i="1"/>
  <c r="AA78" i="1"/>
  <c r="AA56" i="1"/>
  <c r="AA73" i="1"/>
  <c r="AA48" i="1"/>
  <c r="AA59" i="1"/>
  <c r="AA97" i="1"/>
  <c r="AA14" i="1"/>
  <c r="AA50" i="1"/>
  <c r="AA37" i="1"/>
  <c r="AA71" i="1"/>
  <c r="AA41" i="1"/>
  <c r="AA64" i="1"/>
  <c r="AA83" i="1"/>
  <c r="AA88" i="1"/>
  <c r="AA91" i="1"/>
  <c r="AA66" i="1"/>
  <c r="AA93" i="1"/>
  <c r="X33" i="1"/>
  <c r="Z32" i="1"/>
  <c r="AA103" i="1"/>
  <c r="AA99" i="1"/>
  <c r="AA100" i="1"/>
  <c r="AA80" i="1"/>
  <c r="AA72" i="1"/>
  <c r="AA55" i="1"/>
  <c r="AA51" i="1"/>
  <c r="AA43" i="1"/>
  <c r="AA35" i="1"/>
  <c r="AA12" i="1"/>
  <c r="AA94" i="1"/>
  <c r="AA90" i="1"/>
  <c r="AA36" i="1"/>
  <c r="AA30" i="1"/>
  <c r="AA20" i="1"/>
  <c r="AA38" i="1"/>
  <c r="AA34" i="1"/>
  <c r="AA82" i="1"/>
  <c r="AA79" i="1"/>
  <c r="AA58" i="1"/>
  <c r="AA70" i="1"/>
  <c r="AA21" i="1"/>
  <c r="AA11" i="1"/>
  <c r="AA44" i="1"/>
  <c r="AA86" i="1"/>
  <c r="AA74" i="1"/>
  <c r="AA18" i="1"/>
  <c r="AA57" i="1"/>
  <c r="AA29" i="1"/>
  <c r="AA26" i="1"/>
  <c r="AA45" i="1"/>
  <c r="AA87" i="1"/>
  <c r="Z40" i="1"/>
  <c r="Y10" i="1"/>
  <c r="Z85" i="1"/>
  <c r="Z16" i="1"/>
  <c r="Z47" i="1"/>
  <c r="BH103" i="1"/>
  <c r="BH101" i="1"/>
  <c r="BH102" i="1"/>
  <c r="BH100" i="1"/>
  <c r="BH97" i="1"/>
  <c r="BH20" i="1"/>
  <c r="BH36" i="1"/>
  <c r="BH29" i="1"/>
  <c r="BH17" i="1"/>
  <c r="BH73" i="1"/>
  <c r="BH52" i="1"/>
  <c r="BH28" i="1"/>
  <c r="BH21" i="1"/>
  <c r="BH57" i="1"/>
  <c r="BH49" i="1"/>
  <c r="BH27" i="1"/>
  <c r="BH42" i="1"/>
  <c r="BH90" i="1"/>
  <c r="BH91" i="1"/>
  <c r="BH71" i="1"/>
  <c r="BH56" i="1"/>
  <c r="BH48" i="1"/>
  <c r="BH30" i="1"/>
  <c r="BH26" i="1"/>
  <c r="BH18" i="1"/>
  <c r="BH98" i="1"/>
  <c r="BH74" i="1"/>
  <c r="BH62" i="1"/>
  <c r="Z68" i="1"/>
  <c r="Z107" i="1"/>
  <c r="Z5" i="1"/>
  <c r="JU110" i="1"/>
  <c r="Z54" i="1"/>
  <c r="Z61" i="1"/>
  <c r="Y108" i="1"/>
  <c r="Z96" i="1"/>
  <c r="Z77" i="1"/>
  <c r="Y69" i="1"/>
  <c r="AA101" i="1"/>
  <c r="AA102" i="1"/>
  <c r="AA92" i="1"/>
  <c r="AA81" i="1"/>
  <c r="AA7" i="1"/>
  <c r="AA13" i="1"/>
  <c r="Z24" i="1"/>
  <c r="BG40" i="1"/>
  <c r="BG32" i="1"/>
  <c r="BG61" i="1"/>
  <c r="BG85" i="1"/>
  <c r="BE109" i="1"/>
  <c r="BF33" i="1"/>
  <c r="BG107" i="1"/>
  <c r="BF108" i="1"/>
  <c r="BF69" i="1"/>
  <c r="BG68" i="1"/>
  <c r="BG96" i="1"/>
  <c r="BG47" i="1"/>
  <c r="BG77" i="1"/>
  <c r="KZ110" i="1"/>
  <c r="BG16" i="1"/>
  <c r="BG54" i="1"/>
  <c r="BG5" i="1"/>
  <c r="BG24" i="1"/>
  <c r="BH93" i="1"/>
  <c r="BH81" i="1"/>
  <c r="BH38" i="1"/>
  <c r="BH105" i="1"/>
  <c r="BH94" i="1"/>
  <c r="BH82" i="1"/>
  <c r="BH65" i="1"/>
  <c r="BH58" i="1"/>
  <c r="BH11" i="1"/>
  <c r="BH87" i="1"/>
  <c r="BH13" i="1"/>
  <c r="BH7" i="1"/>
  <c r="BH92" i="1"/>
  <c r="BH89" i="1"/>
  <c r="BH80" i="1"/>
  <c r="BH66" i="1"/>
  <c r="BH63" i="1"/>
  <c r="BH50" i="1"/>
  <c r="BH41" i="1"/>
  <c r="BH86" i="1"/>
  <c r="BH72" i="1"/>
  <c r="BH70" i="1"/>
  <c r="BH99" i="1"/>
  <c r="BH64" i="1"/>
  <c r="BH55" i="1"/>
  <c r="BH44" i="1"/>
  <c r="BH79" i="1"/>
  <c r="BH12" i="1"/>
  <c r="BH22" i="1"/>
  <c r="BH45" i="1"/>
  <c r="BH88" i="1"/>
  <c r="BH5" i="1"/>
  <c r="X109" i="1" l="1"/>
  <c r="AB82" i="1"/>
  <c r="AB20" i="1"/>
  <c r="AB56" i="1"/>
  <c r="AB70" i="1"/>
  <c r="AB83" i="1"/>
  <c r="AB92" i="1"/>
  <c r="AB72" i="1"/>
  <c r="AB35" i="1"/>
  <c r="AB59" i="1"/>
  <c r="AB55" i="1"/>
  <c r="AB8" i="1"/>
  <c r="AB25" i="1"/>
  <c r="AB34" i="1"/>
  <c r="AB75" i="1"/>
  <c r="AB88" i="1"/>
  <c r="AB89" i="1"/>
  <c r="AB44" i="1"/>
  <c r="AB80" i="1"/>
  <c r="AB42" i="1"/>
  <c r="AB37" i="1"/>
  <c r="AB105" i="1"/>
  <c r="AB49" i="1"/>
  <c r="AB21" i="1"/>
  <c r="AB4" i="1"/>
  <c r="AB78" i="1"/>
  <c r="AB94" i="1"/>
  <c r="AB14" i="1"/>
  <c r="AB91" i="1"/>
  <c r="AB27" i="1"/>
  <c r="AB17" i="1"/>
  <c r="AB90" i="1"/>
  <c r="AB74" i="1"/>
  <c r="AB30" i="1"/>
  <c r="AB18" i="1"/>
  <c r="AB86" i="1"/>
  <c r="BG10" i="1"/>
  <c r="Z10" i="1"/>
  <c r="Y33" i="1"/>
  <c r="AA32" i="1"/>
  <c r="AB103" i="1"/>
  <c r="AB99" i="1"/>
  <c r="AB100" i="1"/>
  <c r="AB98" i="1"/>
  <c r="AB97" i="1"/>
  <c r="AB52" i="1"/>
  <c r="AB38" i="1"/>
  <c r="AB41" i="1"/>
  <c r="AB79" i="1"/>
  <c r="AB66" i="1"/>
  <c r="AB58" i="1"/>
  <c r="AB51" i="1"/>
  <c r="AB48" i="1"/>
  <c r="AB73" i="1"/>
  <c r="AB11" i="1"/>
  <c r="AB63" i="1"/>
  <c r="AB28" i="1"/>
  <c r="AB29" i="1"/>
  <c r="AB12" i="1"/>
  <c r="AB65" i="1"/>
  <c r="AB36" i="1"/>
  <c r="AB71" i="1"/>
  <c r="AB64" i="1"/>
  <c r="AB45" i="1"/>
  <c r="AB22" i="1"/>
  <c r="AB87" i="1"/>
  <c r="AB50" i="1"/>
  <c r="AB43" i="1"/>
  <c r="AB57" i="1"/>
  <c r="AB26" i="1"/>
  <c r="AB62" i="1"/>
  <c r="AA40" i="1"/>
  <c r="AA47" i="1"/>
  <c r="Z108" i="1"/>
  <c r="AA85" i="1"/>
  <c r="Z69" i="1"/>
  <c r="AA68" i="1"/>
  <c r="BI101" i="1"/>
  <c r="BI72" i="1"/>
  <c r="BI70" i="1"/>
  <c r="BI66" i="1"/>
  <c r="BI62" i="1"/>
  <c r="BI12" i="1"/>
  <c r="BI56" i="1"/>
  <c r="BI26" i="1"/>
  <c r="BI65" i="1"/>
  <c r="BI71" i="1"/>
  <c r="BI52" i="1"/>
  <c r="BI28" i="1"/>
  <c r="BI42" i="1"/>
  <c r="BI22" i="1"/>
  <c r="BI48" i="1"/>
  <c r="BI45" i="1"/>
  <c r="BI91" i="1"/>
  <c r="BI18" i="1"/>
  <c r="BI97" i="1"/>
  <c r="AA77" i="1"/>
  <c r="AA107" i="1"/>
  <c r="AA54" i="1"/>
  <c r="AA96" i="1"/>
  <c r="AA61" i="1"/>
  <c r="AA24" i="1"/>
  <c r="AB101" i="1"/>
  <c r="AB102" i="1"/>
  <c r="AB93" i="1"/>
  <c r="AB81" i="1"/>
  <c r="AB13" i="1"/>
  <c r="AB7" i="1"/>
  <c r="AA16" i="1"/>
  <c r="AA5" i="1"/>
  <c r="JV110" i="1"/>
  <c r="BH32" i="1"/>
  <c r="BH40" i="1"/>
  <c r="BH85" i="1"/>
  <c r="BH10" i="1"/>
  <c r="BH24" i="1"/>
  <c r="BG69" i="1"/>
  <c r="BH54" i="1"/>
  <c r="BG108" i="1"/>
  <c r="BH16" i="1"/>
  <c r="BH47" i="1"/>
  <c r="BF109" i="1"/>
  <c r="BH96" i="1"/>
  <c r="BH77" i="1"/>
  <c r="BH107" i="1"/>
  <c r="BH61" i="1"/>
  <c r="BH68" i="1"/>
  <c r="LA110" i="1"/>
  <c r="BI100" i="1"/>
  <c r="BI88" i="1"/>
  <c r="BI64" i="1"/>
  <c r="BI27" i="1"/>
  <c r="BI102" i="1"/>
  <c r="BI49" i="1"/>
  <c r="BI30" i="1"/>
  <c r="BI99" i="1"/>
  <c r="BI98" i="1"/>
  <c r="BI103" i="1"/>
  <c r="BI105" i="1"/>
  <c r="BI41" i="1"/>
  <c r="BI57" i="1"/>
  <c r="BI94" i="1"/>
  <c r="BI81" i="1"/>
  <c r="BI58" i="1"/>
  <c r="BI55" i="1"/>
  <c r="BI44" i="1"/>
  <c r="BI38" i="1"/>
  <c r="BI13" i="1"/>
  <c r="BI50" i="1"/>
  <c r="BI82" i="1"/>
  <c r="BI80" i="1"/>
  <c r="BI79" i="1"/>
  <c r="BI7" i="1"/>
  <c r="BI63" i="1"/>
  <c r="BI11" i="1"/>
  <c r="BI36" i="1"/>
  <c r="BI29" i="1"/>
  <c r="BI90" i="1"/>
  <c r="BI87" i="1"/>
  <c r="BI73" i="1"/>
  <c r="BI5" i="1"/>
  <c r="BI93" i="1"/>
  <c r="BI21" i="1"/>
  <c r="BI86" i="1"/>
  <c r="BI89" i="1"/>
  <c r="BI92" i="1"/>
  <c r="BI20" i="1"/>
  <c r="BI17" i="1"/>
  <c r="BI74" i="1"/>
  <c r="Y109" i="1" l="1"/>
  <c r="AC25" i="1"/>
  <c r="AC4" i="1"/>
  <c r="AC42" i="1"/>
  <c r="AC88" i="1"/>
  <c r="AC55" i="1"/>
  <c r="AC81" i="1"/>
  <c r="AC72" i="1"/>
  <c r="AC75" i="1"/>
  <c r="AC66" i="1"/>
  <c r="AC27" i="1"/>
  <c r="AC8" i="1"/>
  <c r="AC43" i="1"/>
  <c r="AC83" i="1"/>
  <c r="AC74" i="1"/>
  <c r="AC71" i="1"/>
  <c r="AC50" i="1"/>
  <c r="AC59" i="1"/>
  <c r="AC37" i="1"/>
  <c r="AC11" i="1"/>
  <c r="AC86" i="1"/>
  <c r="AC64" i="1"/>
  <c r="AC30" i="1"/>
  <c r="AC45" i="1"/>
  <c r="AC48" i="1"/>
  <c r="AC14" i="1"/>
  <c r="AC17" i="1"/>
  <c r="AC91" i="1"/>
  <c r="AC103" i="1"/>
  <c r="AC51" i="1"/>
  <c r="AC21" i="1"/>
  <c r="AC100" i="1"/>
  <c r="AC12" i="1"/>
  <c r="AC87" i="1"/>
  <c r="AC38" i="1"/>
  <c r="AC70" i="1"/>
  <c r="AC73" i="1"/>
  <c r="BG33" i="1"/>
  <c r="AA10" i="1"/>
  <c r="Z33" i="1"/>
  <c r="AB32" i="1"/>
  <c r="BI10" i="1"/>
  <c r="AC97" i="1"/>
  <c r="AC89" i="1"/>
  <c r="AC105" i="1"/>
  <c r="AC99" i="1"/>
  <c r="AC41" i="1"/>
  <c r="AC34" i="1"/>
  <c r="AC29" i="1"/>
  <c r="AC90" i="1"/>
  <c r="AC82" i="1"/>
  <c r="AC79" i="1"/>
  <c r="AC58" i="1"/>
  <c r="AC18" i="1"/>
  <c r="AC63" i="1"/>
  <c r="AC44" i="1"/>
  <c r="AC28" i="1"/>
  <c r="AC52" i="1"/>
  <c r="AC49" i="1"/>
  <c r="AC35" i="1"/>
  <c r="AC56" i="1"/>
  <c r="AC80" i="1"/>
  <c r="AC78" i="1"/>
  <c r="AC22" i="1"/>
  <c r="AC65" i="1"/>
  <c r="AC57" i="1"/>
  <c r="AC26" i="1"/>
  <c r="AC62" i="1"/>
  <c r="AC36" i="1"/>
  <c r="AC94" i="1"/>
  <c r="AC20" i="1"/>
  <c r="AB40" i="1"/>
  <c r="AB85" i="1"/>
  <c r="AB47" i="1"/>
  <c r="AB96" i="1"/>
  <c r="AB16" i="1"/>
  <c r="AA69" i="1"/>
  <c r="AA108" i="1"/>
  <c r="BJ105" i="1"/>
  <c r="BJ102" i="1"/>
  <c r="BJ103" i="1"/>
  <c r="BJ101" i="1"/>
  <c r="BJ97" i="1"/>
  <c r="BJ73" i="1"/>
  <c r="BJ58" i="1"/>
  <c r="BJ28" i="1"/>
  <c r="BJ82" i="1"/>
  <c r="BJ72" i="1"/>
  <c r="BJ57" i="1"/>
  <c r="BJ49" i="1"/>
  <c r="BJ42" i="1"/>
  <c r="BJ27" i="1"/>
  <c r="BJ71" i="1"/>
  <c r="BJ66" i="1"/>
  <c r="BJ63" i="1"/>
  <c r="BJ56" i="1"/>
  <c r="BJ48" i="1"/>
  <c r="BJ30" i="1"/>
  <c r="BJ26" i="1"/>
  <c r="BJ21" i="1"/>
  <c r="BJ74" i="1"/>
  <c r="BJ65" i="1"/>
  <c r="BJ62" i="1"/>
  <c r="BJ55" i="1"/>
  <c r="BJ45" i="1"/>
  <c r="BJ29" i="1"/>
  <c r="AB24" i="1"/>
  <c r="AC102" i="1"/>
  <c r="AC7" i="1"/>
  <c r="AC98" i="1"/>
  <c r="AC93" i="1"/>
  <c r="AC101" i="1"/>
  <c r="AC92" i="1"/>
  <c r="AC13" i="1"/>
  <c r="AB107" i="1"/>
  <c r="AB68" i="1"/>
  <c r="AB77" i="1"/>
  <c r="AB61" i="1"/>
  <c r="AB5" i="1"/>
  <c r="JW110" i="1"/>
  <c r="AB54" i="1"/>
  <c r="BI32" i="1"/>
  <c r="BH108" i="1"/>
  <c r="BI40" i="1"/>
  <c r="BI85" i="1"/>
  <c r="BH33" i="1"/>
  <c r="BI24" i="1"/>
  <c r="BI96" i="1"/>
  <c r="BI54" i="1"/>
  <c r="BI68" i="1"/>
  <c r="BH69" i="1"/>
  <c r="BI47" i="1"/>
  <c r="BI16" i="1"/>
  <c r="BI77" i="1"/>
  <c r="BI61" i="1"/>
  <c r="BI107" i="1"/>
  <c r="BJ22" i="1"/>
  <c r="BJ11" i="1"/>
  <c r="BJ90" i="1"/>
  <c r="BJ87" i="1"/>
  <c r="BJ13" i="1"/>
  <c r="BJ7" i="1"/>
  <c r="BJ100" i="1"/>
  <c r="BJ99" i="1"/>
  <c r="BJ93" i="1"/>
  <c r="BJ81" i="1"/>
  <c r="BJ64" i="1"/>
  <c r="BJ50" i="1"/>
  <c r="BJ38" i="1"/>
  <c r="BJ41" i="1"/>
  <c r="BJ98" i="1"/>
  <c r="BJ36" i="1"/>
  <c r="BJ17" i="1"/>
  <c r="BJ5" i="1"/>
  <c r="BJ91" i="1"/>
  <c r="BJ94" i="1"/>
  <c r="BJ44" i="1"/>
  <c r="BJ80" i="1"/>
  <c r="BJ79" i="1"/>
  <c r="BJ12" i="1"/>
  <c r="BJ20" i="1"/>
  <c r="BJ70" i="1"/>
  <c r="BJ52" i="1"/>
  <c r="BJ86" i="1"/>
  <c r="BJ89" i="1"/>
  <c r="BJ18" i="1"/>
  <c r="BJ92" i="1"/>
  <c r="BJ88" i="1"/>
  <c r="LB110" i="1"/>
  <c r="BG109" i="1" l="1"/>
  <c r="Z109" i="1"/>
  <c r="AD94" i="1"/>
  <c r="L94" i="1" s="1"/>
  <c r="AD89" i="1"/>
  <c r="L89" i="1" s="1"/>
  <c r="AD59" i="1"/>
  <c r="L59" i="1" s="1"/>
  <c r="AD27" i="1"/>
  <c r="L27" i="1" s="1"/>
  <c r="AD48" i="1"/>
  <c r="L48" i="1" s="1"/>
  <c r="AD25" i="1"/>
  <c r="L25" i="1" s="1"/>
  <c r="AD50" i="1"/>
  <c r="L50" i="1" s="1"/>
  <c r="AD51" i="1"/>
  <c r="L51" i="1" s="1"/>
  <c r="AD20" i="1"/>
  <c r="L20" i="1" s="1"/>
  <c r="AD98" i="1"/>
  <c r="L98" i="1" s="1"/>
  <c r="AD101" i="1"/>
  <c r="L101" i="1" s="1"/>
  <c r="AD73" i="1"/>
  <c r="L73" i="1" s="1"/>
  <c r="AD86" i="1"/>
  <c r="L86" i="1" s="1"/>
  <c r="AD11" i="1"/>
  <c r="L11" i="1" s="1"/>
  <c r="AD42" i="1"/>
  <c r="L42" i="1" s="1"/>
  <c r="AD55" i="1"/>
  <c r="L55" i="1" s="1"/>
  <c r="AD79" i="1"/>
  <c r="L79" i="1" s="1"/>
  <c r="AD29" i="1"/>
  <c r="L29" i="1" s="1"/>
  <c r="AD52" i="1"/>
  <c r="L52" i="1" s="1"/>
  <c r="AD12" i="1"/>
  <c r="L12" i="1" s="1"/>
  <c r="AD78" i="1"/>
  <c r="L78" i="1" s="1"/>
  <c r="AD72" i="1"/>
  <c r="L72" i="1" s="1"/>
  <c r="AD100" i="1"/>
  <c r="L100" i="1" s="1"/>
  <c r="AD30" i="1"/>
  <c r="L30" i="1" s="1"/>
  <c r="AD70" i="1"/>
  <c r="L70" i="1" s="1"/>
  <c r="AD105" i="1"/>
  <c r="L105" i="1" s="1"/>
  <c r="AD5" i="1"/>
  <c r="L5" i="1" s="1"/>
  <c r="AD57" i="1"/>
  <c r="L57" i="1" s="1"/>
  <c r="AD56" i="1"/>
  <c r="L56" i="1" s="1"/>
  <c r="AD66" i="1"/>
  <c r="L66" i="1" s="1"/>
  <c r="AD13" i="1"/>
  <c r="L13" i="1" s="1"/>
  <c r="AD21" i="1"/>
  <c r="L21" i="1" s="1"/>
  <c r="AD71" i="1"/>
  <c r="L71" i="1" s="1"/>
  <c r="AD45" i="1"/>
  <c r="L45" i="1" s="1"/>
  <c r="AD17" i="1"/>
  <c r="L17" i="1" s="1"/>
  <c r="AD62" i="1"/>
  <c r="L62" i="1" s="1"/>
  <c r="AD92" i="1"/>
  <c r="L92" i="1" s="1"/>
  <c r="AD34" i="1"/>
  <c r="L34" i="1" s="1"/>
  <c r="AD75" i="1"/>
  <c r="L75" i="1" s="1"/>
  <c r="AD81" i="1"/>
  <c r="L81" i="1" s="1"/>
  <c r="AD87" i="1"/>
  <c r="L87" i="1" s="1"/>
  <c r="AD7" i="1"/>
  <c r="L7" i="1" s="1"/>
  <c r="AD44" i="1"/>
  <c r="L44" i="1" s="1"/>
  <c r="AD18" i="1"/>
  <c r="L18" i="1" s="1"/>
  <c r="AD88" i="1"/>
  <c r="L88" i="1" s="1"/>
  <c r="AD91" i="1"/>
  <c r="L91" i="1" s="1"/>
  <c r="AD37" i="1"/>
  <c r="L37" i="1" s="1"/>
  <c r="AD80" i="1"/>
  <c r="L80" i="1" s="1"/>
  <c r="AD43" i="1"/>
  <c r="L43" i="1" s="1"/>
  <c r="AD93" i="1"/>
  <c r="L93" i="1" s="1"/>
  <c r="AD63" i="1"/>
  <c r="L63" i="1" s="1"/>
  <c r="AD58" i="1"/>
  <c r="L58" i="1" s="1"/>
  <c r="AD74" i="1"/>
  <c r="L74" i="1" s="1"/>
  <c r="AD65" i="1"/>
  <c r="L65" i="1" s="1"/>
  <c r="AD22" i="1"/>
  <c r="L22" i="1" s="1"/>
  <c r="AD83" i="1"/>
  <c r="L83" i="1" s="1"/>
  <c r="AD41" i="1"/>
  <c r="L41" i="1" s="1"/>
  <c r="AD103" i="1"/>
  <c r="L103" i="1" s="1"/>
  <c r="AD97" i="1"/>
  <c r="L97" i="1" s="1"/>
  <c r="AD14" i="1"/>
  <c r="L14" i="1" s="1"/>
  <c r="AD90" i="1"/>
  <c r="L90" i="1" s="1"/>
  <c r="AD64" i="1"/>
  <c r="L64" i="1" s="1"/>
  <c r="AD8" i="1"/>
  <c r="L8" i="1" s="1"/>
  <c r="AD28" i="1"/>
  <c r="L28" i="1" s="1"/>
  <c r="AD49" i="1"/>
  <c r="L49" i="1" s="1"/>
  <c r="AD102" i="1"/>
  <c r="L102" i="1" s="1"/>
  <c r="AD82" i="1"/>
  <c r="L82" i="1" s="1"/>
  <c r="AD36" i="1"/>
  <c r="L36" i="1" s="1"/>
  <c r="AD26" i="1"/>
  <c r="L26" i="1" s="1"/>
  <c r="AD35" i="1"/>
  <c r="L35" i="1" s="1"/>
  <c r="AD38" i="1"/>
  <c r="L38" i="1" s="1"/>
  <c r="AA33" i="1"/>
  <c r="BJ10" i="1"/>
  <c r="N4" i="3" s="1"/>
  <c r="AC32" i="1"/>
  <c r="I7" i="3" s="1"/>
  <c r="BJ40" i="1"/>
  <c r="N9" i="3" s="1"/>
  <c r="AE99" i="1"/>
  <c r="AC40" i="1"/>
  <c r="I9" i="3" s="1"/>
  <c r="AB10" i="1"/>
  <c r="AC47" i="1"/>
  <c r="I10" i="3" s="1"/>
  <c r="AC85" i="1"/>
  <c r="I16" i="3" s="1"/>
  <c r="AB108" i="1"/>
  <c r="BL102" i="1"/>
  <c r="BL82" i="1"/>
  <c r="BL74" i="1"/>
  <c r="BL72" i="1"/>
  <c r="BL70" i="1"/>
  <c r="BL66" i="1"/>
  <c r="BL62" i="1"/>
  <c r="BL55" i="1"/>
  <c r="BL27" i="1"/>
  <c r="BL21" i="1"/>
  <c r="BL17" i="1"/>
  <c r="BL103" i="1"/>
  <c r="BL101" i="1"/>
  <c r="BL42" i="1"/>
  <c r="BL91" i="1"/>
  <c r="BL65" i="1"/>
  <c r="BL48" i="1"/>
  <c r="BL30" i="1"/>
  <c r="BL18" i="1"/>
  <c r="BL20" i="1"/>
  <c r="BL45" i="1"/>
  <c r="BL97" i="1"/>
  <c r="AC54" i="1"/>
  <c r="I11" i="3" s="1"/>
  <c r="AC68" i="1"/>
  <c r="I13" i="3" s="1"/>
  <c r="AC16" i="1"/>
  <c r="I5" i="3" s="1"/>
  <c r="AC107" i="1"/>
  <c r="I18" i="3" s="1"/>
  <c r="AC24" i="1"/>
  <c r="I6" i="3" s="1"/>
  <c r="AC61" i="1"/>
  <c r="I12" i="3" s="1"/>
  <c r="AC5" i="1"/>
  <c r="JX110" i="1"/>
  <c r="AB69" i="1"/>
  <c r="AC77" i="1"/>
  <c r="I15" i="3" s="1"/>
  <c r="AC96" i="1"/>
  <c r="I17" i="3" s="1"/>
  <c r="BI33" i="1"/>
  <c r="BI108" i="1"/>
  <c r="BJ32" i="1"/>
  <c r="N7" i="3" s="1"/>
  <c r="BH109" i="1"/>
  <c r="BJ85" i="1"/>
  <c r="N16" i="3" s="1"/>
  <c r="BJ77" i="1"/>
  <c r="N15" i="3" s="1"/>
  <c r="BJ54" i="1"/>
  <c r="N11" i="3" s="1"/>
  <c r="BJ61" i="1"/>
  <c r="N12" i="3" s="1"/>
  <c r="BI69" i="1"/>
  <c r="BJ68" i="1"/>
  <c r="N13" i="3" s="1"/>
  <c r="BJ107" i="1"/>
  <c r="N18" i="3" s="1"/>
  <c r="BJ16" i="1"/>
  <c r="N5" i="3" s="1"/>
  <c r="BJ24" i="1"/>
  <c r="N6" i="3" s="1"/>
  <c r="BJ96" i="1"/>
  <c r="N17" i="3" s="1"/>
  <c r="BJ47" i="1"/>
  <c r="N10" i="3" s="1"/>
  <c r="LC110" i="1"/>
  <c r="BL90" i="1"/>
  <c r="BL41" i="1"/>
  <c r="BL29" i="1"/>
  <c r="BL5" i="1"/>
  <c r="BL100" i="1"/>
  <c r="BL99" i="1"/>
  <c r="BL44" i="1"/>
  <c r="BL36" i="1"/>
  <c r="BL71" i="1"/>
  <c r="BL105" i="1"/>
  <c r="BL94" i="1"/>
  <c r="BL88" i="1"/>
  <c r="BL92" i="1"/>
  <c r="BL89" i="1"/>
  <c r="BL86" i="1"/>
  <c r="BL98" i="1"/>
  <c r="BL81" i="1"/>
  <c r="BL80" i="1"/>
  <c r="BL79" i="1"/>
  <c r="BL58" i="1"/>
  <c r="BL56" i="1"/>
  <c r="BL38" i="1"/>
  <c r="BL13" i="1"/>
  <c r="BL12" i="1"/>
  <c r="BL64" i="1"/>
  <c r="BL63" i="1"/>
  <c r="BL7" i="1"/>
  <c r="BL22" i="1"/>
  <c r="BL11" i="1"/>
  <c r="BL50" i="1"/>
  <c r="BL49" i="1"/>
  <c r="BL87" i="1"/>
  <c r="BL52" i="1"/>
  <c r="BL73" i="1"/>
  <c r="BL93" i="1"/>
  <c r="BL57" i="1"/>
  <c r="BL26" i="1"/>
  <c r="BL28" i="1"/>
  <c r="AB33" i="1" l="1"/>
  <c r="AD24" i="1"/>
  <c r="J6" i="3" s="1"/>
  <c r="AD47" i="1"/>
  <c r="J10" i="3" s="1"/>
  <c r="AD85" i="1"/>
  <c r="J16" i="3" s="1"/>
  <c r="AE81" i="1"/>
  <c r="AE21" i="1"/>
  <c r="AE92" i="1"/>
  <c r="AE73" i="1"/>
  <c r="AE101" i="1"/>
  <c r="AE79" i="1"/>
  <c r="AE66" i="1"/>
  <c r="AE28" i="1"/>
  <c r="AE34" i="1"/>
  <c r="AE27" i="1"/>
  <c r="AE50" i="1"/>
  <c r="AE102" i="1"/>
  <c r="AE100" i="1"/>
  <c r="AE74" i="1"/>
  <c r="AE58" i="1"/>
  <c r="AE70" i="1"/>
  <c r="AE41" i="1"/>
  <c r="AE20" i="1"/>
  <c r="AE18" i="1"/>
  <c r="AE89" i="1"/>
  <c r="AE55" i="1"/>
  <c r="AE97" i="1"/>
  <c r="AE38" i="1"/>
  <c r="AE52" i="1"/>
  <c r="AE49" i="1"/>
  <c r="AE57" i="1"/>
  <c r="AE35" i="1"/>
  <c r="AE93" i="1"/>
  <c r="AE17" i="1"/>
  <c r="AE45" i="1"/>
  <c r="AE7" i="1"/>
  <c r="AE30" i="1"/>
  <c r="AE63" i="1"/>
  <c r="AE98" i="1"/>
  <c r="AE65" i="1"/>
  <c r="AE75" i="1"/>
  <c r="AE36" i="1"/>
  <c r="AE26" i="1"/>
  <c r="AE12" i="1"/>
  <c r="AE43" i="1"/>
  <c r="AE59" i="1"/>
  <c r="AE56" i="1"/>
  <c r="AE29" i="1"/>
  <c r="AE48" i="1"/>
  <c r="AE8" i="1"/>
  <c r="AE88" i="1"/>
  <c r="AE22" i="1"/>
  <c r="AE42" i="1"/>
  <c r="AE51" i="1"/>
  <c r="AE14" i="1"/>
  <c r="AE44" i="1"/>
  <c r="AE90" i="1"/>
  <c r="AE11" i="1"/>
  <c r="AE71" i="1"/>
  <c r="AE25" i="1"/>
  <c r="AE80" i="1"/>
  <c r="AE83" i="1"/>
  <c r="AE94" i="1"/>
  <c r="AE87" i="1"/>
  <c r="AE13" i="1"/>
  <c r="AE37" i="1"/>
  <c r="AE91" i="1"/>
  <c r="AE105" i="1"/>
  <c r="AE72" i="1"/>
  <c r="AE64" i="1"/>
  <c r="AE103" i="1"/>
  <c r="AE82" i="1"/>
  <c r="AE78" i="1"/>
  <c r="AE86" i="1"/>
  <c r="AE4" i="1"/>
  <c r="AE62" i="1"/>
  <c r="AD32" i="1"/>
  <c r="J7" i="3" s="1"/>
  <c r="AD61" i="1"/>
  <c r="J12" i="3" s="1"/>
  <c r="AD54" i="1"/>
  <c r="J11" i="3" s="1"/>
  <c r="AD4" i="1"/>
  <c r="JY110" i="1"/>
  <c r="AD40" i="1"/>
  <c r="J9" i="3" s="1"/>
  <c r="AD16" i="1"/>
  <c r="J5" i="3" s="1"/>
  <c r="AD77" i="1"/>
  <c r="J15" i="3" s="1"/>
  <c r="AD96" i="1"/>
  <c r="J17" i="3" s="1"/>
  <c r="AD107" i="1"/>
  <c r="J18" i="3" s="1"/>
  <c r="AD68" i="1"/>
  <c r="J13" i="3" s="1"/>
  <c r="AC10" i="1"/>
  <c r="I4" i="3" s="1"/>
  <c r="AA109" i="1"/>
  <c r="AF99" i="1"/>
  <c r="BM62" i="1"/>
  <c r="BM17" i="1"/>
  <c r="BM101" i="1"/>
  <c r="BM91" i="1"/>
  <c r="BM82" i="1"/>
  <c r="BM72" i="1"/>
  <c r="BM71" i="1"/>
  <c r="BM48" i="1"/>
  <c r="BM30" i="1"/>
  <c r="BM26" i="1"/>
  <c r="BM18" i="1"/>
  <c r="BM21" i="1"/>
  <c r="BM74" i="1"/>
  <c r="BM45" i="1"/>
  <c r="BM20" i="1"/>
  <c r="BM97" i="1"/>
  <c r="BM98" i="1"/>
  <c r="BM52" i="1"/>
  <c r="BM28" i="1"/>
  <c r="AE5" i="1"/>
  <c r="AC108" i="1"/>
  <c r="I19" i="3" s="1"/>
  <c r="AC69" i="1"/>
  <c r="I14" i="3" s="1"/>
  <c r="BL40" i="1"/>
  <c r="BI109" i="1"/>
  <c r="BL32" i="1"/>
  <c r="BL85" i="1"/>
  <c r="BJ33" i="1"/>
  <c r="N8" i="3" s="1"/>
  <c r="BL10" i="1"/>
  <c r="BL47" i="1"/>
  <c r="BJ69" i="1"/>
  <c r="N14" i="3" s="1"/>
  <c r="BJ108" i="1"/>
  <c r="N19" i="3" s="1"/>
  <c r="BL68" i="1"/>
  <c r="BL54" i="1"/>
  <c r="BL107" i="1"/>
  <c r="BL96" i="1"/>
  <c r="BL24" i="1"/>
  <c r="BL77" i="1"/>
  <c r="BL16" i="1"/>
  <c r="BL61" i="1"/>
  <c r="LE110" i="1"/>
  <c r="BM73" i="1"/>
  <c r="BM99" i="1"/>
  <c r="BM100" i="1"/>
  <c r="BM93" i="1"/>
  <c r="BM81" i="1"/>
  <c r="BM64" i="1"/>
  <c r="BM57" i="1"/>
  <c r="BM86" i="1"/>
  <c r="BM42" i="1"/>
  <c r="BM88" i="1"/>
  <c r="BM79" i="1"/>
  <c r="BM55" i="1"/>
  <c r="BM22" i="1"/>
  <c r="BM105" i="1"/>
  <c r="BM103" i="1"/>
  <c r="BM102" i="1"/>
  <c r="BM41" i="1"/>
  <c r="BM70" i="1"/>
  <c r="BM29" i="1"/>
  <c r="BM5" i="1"/>
  <c r="BM90" i="1"/>
  <c r="BM92" i="1"/>
  <c r="BM89" i="1"/>
  <c r="BM36" i="1"/>
  <c r="BM87" i="1"/>
  <c r="BM66" i="1"/>
  <c r="BM65" i="1"/>
  <c r="BM63" i="1"/>
  <c r="BM7" i="1"/>
  <c r="BM11" i="1"/>
  <c r="BM50" i="1"/>
  <c r="BM49" i="1"/>
  <c r="BM58" i="1"/>
  <c r="BM94" i="1"/>
  <c r="BM44" i="1"/>
  <c r="BM38" i="1"/>
  <c r="BM80" i="1"/>
  <c r="BM56" i="1"/>
  <c r="BM12" i="1"/>
  <c r="BM13" i="1"/>
  <c r="BM27" i="1"/>
  <c r="AD10" i="1" l="1"/>
  <c r="J4" i="3" s="1"/>
  <c r="L4" i="1"/>
  <c r="AB109" i="1"/>
  <c r="AC33" i="1"/>
  <c r="I8" i="3" s="1"/>
  <c r="AE61" i="1"/>
  <c r="AE85" i="1"/>
  <c r="AE40" i="1"/>
  <c r="AD108" i="1"/>
  <c r="J19" i="3" s="1"/>
  <c r="AE54" i="1"/>
  <c r="AE68" i="1"/>
  <c r="AE107" i="1"/>
  <c r="AE16" i="1"/>
  <c r="AE77" i="1"/>
  <c r="AE24" i="1"/>
  <c r="AE47" i="1"/>
  <c r="AE32" i="1"/>
  <c r="JZ110" i="1"/>
  <c r="AE96" i="1"/>
  <c r="AF79" i="1"/>
  <c r="AF36" i="1"/>
  <c r="AF88" i="1"/>
  <c r="AF94" i="1"/>
  <c r="AF58" i="1"/>
  <c r="AF13" i="1"/>
  <c r="AF103" i="1"/>
  <c r="AF27" i="1"/>
  <c r="AF17" i="1"/>
  <c r="AF34" i="1"/>
  <c r="AF48" i="1"/>
  <c r="AF20" i="1"/>
  <c r="AF102" i="1"/>
  <c r="AF62" i="1"/>
  <c r="AF100" i="1"/>
  <c r="AF14" i="1"/>
  <c r="AF75" i="1"/>
  <c r="AF45" i="1"/>
  <c r="AF30" i="1"/>
  <c r="AF5" i="1"/>
  <c r="AF21" i="1"/>
  <c r="AF44" i="1"/>
  <c r="AF51" i="1"/>
  <c r="AF35" i="1"/>
  <c r="AF97" i="1"/>
  <c r="AF56" i="1"/>
  <c r="AF78" i="1"/>
  <c r="AF50" i="1"/>
  <c r="AF91" i="1"/>
  <c r="AF25" i="1"/>
  <c r="AF71" i="1"/>
  <c r="AF73" i="1"/>
  <c r="AF7" i="1"/>
  <c r="AF28" i="1"/>
  <c r="AF105" i="1"/>
  <c r="AF29" i="1"/>
  <c r="AF83" i="1"/>
  <c r="AF59" i="1"/>
  <c r="AF57" i="1"/>
  <c r="AF89" i="1"/>
  <c r="AF92" i="1"/>
  <c r="AF37" i="1"/>
  <c r="AF65" i="1"/>
  <c r="AF64" i="1"/>
  <c r="AF90" i="1"/>
  <c r="AF18" i="1"/>
  <c r="AF98" i="1"/>
  <c r="AF4" i="1"/>
  <c r="AF70" i="1"/>
  <c r="AF22" i="1"/>
  <c r="AF43" i="1"/>
  <c r="AF38" i="1"/>
  <c r="AF82" i="1"/>
  <c r="AF49" i="1"/>
  <c r="AF55" i="1"/>
  <c r="AF63" i="1"/>
  <c r="AF81" i="1"/>
  <c r="AF52" i="1"/>
  <c r="AF11" i="1"/>
  <c r="AF86" i="1"/>
  <c r="AF93" i="1"/>
  <c r="AF66" i="1"/>
  <c r="AF87" i="1"/>
  <c r="AF72" i="1"/>
  <c r="AF80" i="1"/>
  <c r="AF42" i="1"/>
  <c r="AF26" i="1"/>
  <c r="AF8" i="1"/>
  <c r="AF74" i="1"/>
  <c r="AF41" i="1"/>
  <c r="AF101" i="1"/>
  <c r="AF12" i="1"/>
  <c r="AD33" i="1"/>
  <c r="J8" i="3" s="1"/>
  <c r="AD69" i="1"/>
  <c r="J14" i="3" s="1"/>
  <c r="AG99" i="1"/>
  <c r="AE10" i="1"/>
  <c r="BN105" i="1"/>
  <c r="BN100" i="1"/>
  <c r="BN103" i="1"/>
  <c r="BN22" i="1"/>
  <c r="BN91" i="1"/>
  <c r="BN72" i="1"/>
  <c r="BN57" i="1"/>
  <c r="BN49" i="1"/>
  <c r="BN27" i="1"/>
  <c r="BN63" i="1"/>
  <c r="BN56" i="1"/>
  <c r="BN18" i="1"/>
  <c r="BN66" i="1"/>
  <c r="BN21" i="1"/>
  <c r="BN12" i="1"/>
  <c r="BN20" i="1"/>
  <c r="BN97" i="1"/>
  <c r="BN62" i="1"/>
  <c r="BN55" i="1"/>
  <c r="BN17" i="1"/>
  <c r="BN98" i="1"/>
  <c r="BN73" i="1"/>
  <c r="BN52" i="1"/>
  <c r="BN80" i="1"/>
  <c r="BJ109" i="1"/>
  <c r="N20" i="3" s="1"/>
  <c r="BM32" i="1"/>
  <c r="BM40" i="1"/>
  <c r="BL69" i="1"/>
  <c r="BL108" i="1"/>
  <c r="BL33" i="1"/>
  <c r="BM10" i="1"/>
  <c r="BM24" i="1"/>
  <c r="BM85" i="1"/>
  <c r="BM47" i="1"/>
  <c r="BM54" i="1"/>
  <c r="BM96" i="1"/>
  <c r="BM107" i="1"/>
  <c r="BM77" i="1"/>
  <c r="BM16" i="1"/>
  <c r="BM61" i="1"/>
  <c r="BM68" i="1"/>
  <c r="LF110" i="1"/>
  <c r="BN92" i="1"/>
  <c r="BN7" i="1"/>
  <c r="BN99" i="1"/>
  <c r="BN48" i="1"/>
  <c r="BN44" i="1"/>
  <c r="BN36" i="1"/>
  <c r="BN29" i="1"/>
  <c r="BN89" i="1"/>
  <c r="BN94" i="1"/>
  <c r="BN82" i="1"/>
  <c r="BN65" i="1"/>
  <c r="BN102" i="1"/>
  <c r="BN101" i="1"/>
  <c r="BN93" i="1"/>
  <c r="BN5" i="1"/>
  <c r="BN28" i="1"/>
  <c r="BN71" i="1"/>
  <c r="BN90" i="1"/>
  <c r="BN88" i="1"/>
  <c r="BN87" i="1"/>
  <c r="BN86" i="1"/>
  <c r="BN74" i="1"/>
  <c r="BN70" i="1"/>
  <c r="BN45" i="1"/>
  <c r="BN30" i="1"/>
  <c r="BN26" i="1"/>
  <c r="BN64" i="1"/>
  <c r="BN11" i="1"/>
  <c r="BN50" i="1"/>
  <c r="BN41" i="1"/>
  <c r="BN42" i="1"/>
  <c r="BN81" i="1"/>
  <c r="BN38" i="1"/>
  <c r="BN13" i="1"/>
  <c r="BN58" i="1"/>
  <c r="BN79" i="1"/>
  <c r="AC109" i="1" l="1"/>
  <c r="I20" i="3" s="1"/>
  <c r="AE69" i="1"/>
  <c r="AE108" i="1"/>
  <c r="AD109" i="1"/>
  <c r="J20" i="3" s="1"/>
  <c r="AF107" i="1"/>
  <c r="AF40" i="1"/>
  <c r="AF77" i="1"/>
  <c r="AF85" i="1"/>
  <c r="AF96" i="1"/>
  <c r="AF68" i="1"/>
  <c r="AF61" i="1"/>
  <c r="AF16" i="1"/>
  <c r="AF54" i="1"/>
  <c r="AF47" i="1"/>
  <c r="AF24" i="1"/>
  <c r="AF32" i="1"/>
  <c r="AG44" i="1"/>
  <c r="AG28" i="1"/>
  <c r="AG51" i="1"/>
  <c r="AG21" i="1"/>
  <c r="AG45" i="1"/>
  <c r="AG26" i="1"/>
  <c r="AG73" i="1"/>
  <c r="AG11" i="1"/>
  <c r="AG91" i="1"/>
  <c r="AG30" i="1"/>
  <c r="AG42" i="1"/>
  <c r="AG105" i="1"/>
  <c r="AG71" i="1"/>
  <c r="AG48" i="1"/>
  <c r="AG83" i="1"/>
  <c r="AG4" i="1"/>
  <c r="AG17" i="1"/>
  <c r="AG75" i="1"/>
  <c r="AG89" i="1"/>
  <c r="AG57" i="1"/>
  <c r="AG59" i="1"/>
  <c r="AG52" i="1"/>
  <c r="AG34" i="1"/>
  <c r="AG20" i="1"/>
  <c r="AG90" i="1"/>
  <c r="AG87" i="1"/>
  <c r="AG27" i="1"/>
  <c r="AG65" i="1"/>
  <c r="AG97" i="1"/>
  <c r="AG103" i="1"/>
  <c r="AG94" i="1"/>
  <c r="AG22" i="1"/>
  <c r="AG58" i="1"/>
  <c r="AG100" i="1"/>
  <c r="AG41" i="1"/>
  <c r="AG62" i="1"/>
  <c r="AG80" i="1"/>
  <c r="AG18" i="1"/>
  <c r="AG88" i="1"/>
  <c r="AG50" i="1"/>
  <c r="AG81" i="1"/>
  <c r="AG38" i="1"/>
  <c r="AG98" i="1"/>
  <c r="AG7" i="1"/>
  <c r="AG92" i="1"/>
  <c r="AG74" i="1"/>
  <c r="AG86" i="1"/>
  <c r="AG93" i="1"/>
  <c r="AG14" i="1"/>
  <c r="AG12" i="1"/>
  <c r="AG64" i="1"/>
  <c r="AG55" i="1"/>
  <c r="AG37" i="1"/>
  <c r="AG70" i="1"/>
  <c r="AG78" i="1"/>
  <c r="AG79" i="1"/>
  <c r="AG13" i="1"/>
  <c r="AG72" i="1"/>
  <c r="AG25" i="1"/>
  <c r="AG36" i="1"/>
  <c r="AG35" i="1"/>
  <c r="AG49" i="1"/>
  <c r="AG56" i="1"/>
  <c r="AG8" i="1"/>
  <c r="AG82" i="1"/>
  <c r="AG63" i="1"/>
  <c r="AG29" i="1"/>
  <c r="AG102" i="1"/>
  <c r="AG66" i="1"/>
  <c r="AG101" i="1"/>
  <c r="AG43" i="1"/>
  <c r="KA110" i="1"/>
  <c r="AF10" i="1"/>
  <c r="AE33" i="1"/>
  <c r="AH99" i="1"/>
  <c r="BO100" i="1"/>
  <c r="BO103" i="1"/>
  <c r="BO91" i="1"/>
  <c r="BO73" i="1"/>
  <c r="BO71" i="1"/>
  <c r="BO65" i="1"/>
  <c r="BO63" i="1"/>
  <c r="BO58" i="1"/>
  <c r="BO52" i="1"/>
  <c r="BO42" i="1"/>
  <c r="BO26" i="1"/>
  <c r="BO18" i="1"/>
  <c r="BO82" i="1"/>
  <c r="BO57" i="1"/>
  <c r="BO49" i="1"/>
  <c r="BO27" i="1"/>
  <c r="BO74" i="1"/>
  <c r="BO70" i="1"/>
  <c r="BO29" i="1"/>
  <c r="BO17" i="1"/>
  <c r="BO98" i="1"/>
  <c r="BO80" i="1"/>
  <c r="AG5" i="1"/>
  <c r="BN85" i="1"/>
  <c r="BL109" i="1"/>
  <c r="BN40" i="1"/>
  <c r="BM33" i="1"/>
  <c r="BN10" i="1"/>
  <c r="BN32" i="1"/>
  <c r="BN47" i="1"/>
  <c r="BM69" i="1"/>
  <c r="BN107" i="1"/>
  <c r="BM108" i="1"/>
  <c r="BN24" i="1"/>
  <c r="BN54" i="1"/>
  <c r="BN77" i="1"/>
  <c r="BN61" i="1"/>
  <c r="BN16" i="1"/>
  <c r="BN68" i="1"/>
  <c r="BN96" i="1"/>
  <c r="BO99" i="1"/>
  <c r="BO87" i="1"/>
  <c r="BO50" i="1"/>
  <c r="BO101" i="1"/>
  <c r="BO86" i="1"/>
  <c r="BO72" i="1"/>
  <c r="BO20" i="1"/>
  <c r="BO92" i="1"/>
  <c r="BO66" i="1"/>
  <c r="BO56" i="1"/>
  <c r="BO105" i="1"/>
  <c r="BO30" i="1"/>
  <c r="BO102" i="1"/>
  <c r="BO90" i="1"/>
  <c r="BO89" i="1"/>
  <c r="BO88" i="1"/>
  <c r="BO36" i="1"/>
  <c r="BO45" i="1"/>
  <c r="BO38" i="1"/>
  <c r="BO93" i="1"/>
  <c r="BO28" i="1"/>
  <c r="BO22" i="1"/>
  <c r="BO21" i="1"/>
  <c r="BO48" i="1"/>
  <c r="BO97" i="1"/>
  <c r="BO41" i="1"/>
  <c r="BO94" i="1"/>
  <c r="BO11" i="1"/>
  <c r="BO44" i="1"/>
  <c r="BO81" i="1"/>
  <c r="BO64" i="1"/>
  <c r="BO7" i="1"/>
  <c r="BO12" i="1"/>
  <c r="BO13" i="1"/>
  <c r="BO79" i="1"/>
  <c r="BO62" i="1"/>
  <c r="BO55" i="1"/>
  <c r="LG110" i="1"/>
  <c r="BO5" i="1"/>
  <c r="AE109" i="1" l="1"/>
  <c r="AF108" i="1"/>
  <c r="AF69" i="1"/>
  <c r="AG96" i="1"/>
  <c r="AG68" i="1"/>
  <c r="AG77" i="1"/>
  <c r="AG107" i="1"/>
  <c r="AG24" i="1"/>
  <c r="AG47" i="1"/>
  <c r="AG85" i="1"/>
  <c r="AG32" i="1"/>
  <c r="AG61" i="1"/>
  <c r="AG54" i="1"/>
  <c r="AG16" i="1"/>
  <c r="KB110" i="1"/>
  <c r="AG40" i="1"/>
  <c r="AH105" i="1"/>
  <c r="AH94" i="1"/>
  <c r="AH12" i="1"/>
  <c r="AH81" i="1"/>
  <c r="AH44" i="1"/>
  <c r="AH72" i="1"/>
  <c r="AH55" i="1"/>
  <c r="AH89" i="1"/>
  <c r="AH14" i="1"/>
  <c r="AH100" i="1"/>
  <c r="AH71" i="1"/>
  <c r="AH49" i="1"/>
  <c r="AH93" i="1"/>
  <c r="AH50" i="1"/>
  <c r="AH82" i="1"/>
  <c r="AH8" i="1"/>
  <c r="AH92" i="1"/>
  <c r="AH29" i="1"/>
  <c r="AH63" i="1"/>
  <c r="AH17" i="1"/>
  <c r="AH83" i="1"/>
  <c r="AH5" i="1"/>
  <c r="AH20" i="1"/>
  <c r="AH13" i="1"/>
  <c r="AH27" i="1"/>
  <c r="AH43" i="1"/>
  <c r="AH101" i="1"/>
  <c r="AH51" i="1"/>
  <c r="AH36" i="1"/>
  <c r="AH66" i="1"/>
  <c r="AH35" i="1"/>
  <c r="KF1" i="1"/>
  <c r="KG1" i="1" s="1"/>
  <c r="KH1" i="1" s="1"/>
  <c r="KI1" i="1" s="1"/>
  <c r="AH103" i="1"/>
  <c r="AH42" i="1"/>
  <c r="AH38" i="1"/>
  <c r="AH22" i="1"/>
  <c r="AH90" i="1"/>
  <c r="AH62" i="1"/>
  <c r="AH45" i="1"/>
  <c r="AH18" i="1"/>
  <c r="AH74" i="1"/>
  <c r="AH91" i="1"/>
  <c r="AH4" i="1"/>
  <c r="AH65" i="1"/>
  <c r="AH88" i="1"/>
  <c r="AH28" i="1"/>
  <c r="AH80" i="1"/>
  <c r="AH58" i="1"/>
  <c r="AH34" i="1"/>
  <c r="AH87" i="1"/>
  <c r="AH102" i="1"/>
  <c r="AH52" i="1"/>
  <c r="AH57" i="1"/>
  <c r="AH75" i="1"/>
  <c r="AH78" i="1"/>
  <c r="AH7" i="1"/>
  <c r="AH79" i="1"/>
  <c r="AH48" i="1"/>
  <c r="AH11" i="1"/>
  <c r="AH21" i="1"/>
  <c r="AH98" i="1"/>
  <c r="AH73" i="1"/>
  <c r="AH25" i="1"/>
  <c r="AH97" i="1"/>
  <c r="AH56" i="1"/>
  <c r="AH59" i="1"/>
  <c r="AH70" i="1"/>
  <c r="AH26" i="1"/>
  <c r="AH30" i="1"/>
  <c r="AH86" i="1"/>
  <c r="AH64" i="1"/>
  <c r="AH37" i="1"/>
  <c r="AH41" i="1"/>
  <c r="AG10" i="1"/>
  <c r="AF33" i="1"/>
  <c r="AI105" i="1"/>
  <c r="AI98" i="1"/>
  <c r="AI103" i="1"/>
  <c r="AI99" i="1"/>
  <c r="AI91" i="1"/>
  <c r="AI87" i="1"/>
  <c r="AI79" i="1"/>
  <c r="AI100" i="1"/>
  <c r="AI97" i="1"/>
  <c r="AI12" i="1"/>
  <c r="AI30" i="1"/>
  <c r="AI34" i="1"/>
  <c r="AI80" i="1"/>
  <c r="AI74" i="1"/>
  <c r="AI71" i="1"/>
  <c r="AI64" i="1"/>
  <c r="AI45" i="1"/>
  <c r="AI29" i="1"/>
  <c r="AI22" i="1"/>
  <c r="AI36" i="1"/>
  <c r="AI20" i="1"/>
  <c r="AI89" i="1"/>
  <c r="AI26" i="1"/>
  <c r="AI62" i="1"/>
  <c r="AI78" i="1"/>
  <c r="AI57" i="1"/>
  <c r="AI50" i="1"/>
  <c r="AI43" i="1"/>
  <c r="AI27" i="1"/>
  <c r="AI65" i="1"/>
  <c r="AI72" i="1"/>
  <c r="AI38" i="1"/>
  <c r="AI94" i="1"/>
  <c r="AI58" i="1"/>
  <c r="AI51" i="1"/>
  <c r="AI48" i="1"/>
  <c r="AI41" i="1"/>
  <c r="AI17" i="1"/>
  <c r="AI86" i="1"/>
  <c r="AI56" i="1"/>
  <c r="AI42" i="1"/>
  <c r="AI73" i="1"/>
  <c r="AI66" i="1"/>
  <c r="AI55" i="1"/>
  <c r="AI11" i="1"/>
  <c r="AI52" i="1"/>
  <c r="AI44" i="1"/>
  <c r="AI35" i="1"/>
  <c r="AI90" i="1"/>
  <c r="AI88" i="1"/>
  <c r="AI82" i="1"/>
  <c r="AI70" i="1"/>
  <c r="AI63" i="1"/>
  <c r="AI37" i="1"/>
  <c r="AI28" i="1"/>
  <c r="AI21" i="1"/>
  <c r="AI49" i="1"/>
  <c r="AI18" i="1"/>
  <c r="BM109" i="1"/>
  <c r="BO32" i="1"/>
  <c r="BO40" i="1"/>
  <c r="BN108" i="1"/>
  <c r="BN33" i="1"/>
  <c r="BN69" i="1"/>
  <c r="BO85" i="1"/>
  <c r="BO24" i="1"/>
  <c r="BO54" i="1"/>
  <c r="BO77" i="1"/>
  <c r="BO68" i="1"/>
  <c r="BO107" i="1"/>
  <c r="BO96" i="1"/>
  <c r="LH110" i="1"/>
  <c r="BO16" i="1"/>
  <c r="BO47" i="1"/>
  <c r="BO61" i="1"/>
  <c r="BP105" i="1"/>
  <c r="BP94" i="1"/>
  <c r="BP82" i="1"/>
  <c r="BP70" i="1"/>
  <c r="BP57" i="1"/>
  <c r="BP44" i="1"/>
  <c r="BP21" i="1"/>
  <c r="BP89" i="1"/>
  <c r="BP17" i="1"/>
  <c r="BP98" i="1"/>
  <c r="BP38" i="1"/>
  <c r="BP45" i="1"/>
  <c r="BP28" i="1"/>
  <c r="BP12" i="1"/>
  <c r="BP102" i="1"/>
  <c r="BP13" i="1"/>
  <c r="BP101" i="1"/>
  <c r="BP93" i="1"/>
  <c r="BP100" i="1"/>
  <c r="BP91" i="1"/>
  <c r="BP18" i="1"/>
  <c r="BP56" i="1"/>
  <c r="BP103" i="1"/>
  <c r="BP90" i="1"/>
  <c r="BP88" i="1"/>
  <c r="BP74" i="1"/>
  <c r="BP36" i="1"/>
  <c r="BP92" i="1"/>
  <c r="BP87" i="1"/>
  <c r="BP86" i="1"/>
  <c r="BP73" i="1"/>
  <c r="BP72" i="1"/>
  <c r="BP71" i="1"/>
  <c r="BP52" i="1"/>
  <c r="BP30" i="1"/>
  <c r="BP29" i="1"/>
  <c r="BP79" i="1"/>
  <c r="BP27" i="1"/>
  <c r="BP26" i="1"/>
  <c r="BP81" i="1"/>
  <c r="BP58" i="1"/>
  <c r="BP55" i="1"/>
  <c r="BP50" i="1"/>
  <c r="BP49" i="1"/>
  <c r="BP48" i="1"/>
  <c r="BP20" i="1"/>
  <c r="BP99" i="1"/>
  <c r="BP97" i="1"/>
  <c r="BP42" i="1"/>
  <c r="BP41" i="1"/>
  <c r="BP65" i="1"/>
  <c r="BP22" i="1"/>
  <c r="BP11" i="1"/>
  <c r="BP64" i="1"/>
  <c r="BP7" i="1"/>
  <c r="BP80" i="1"/>
  <c r="BP63" i="1"/>
  <c r="BP66" i="1"/>
  <c r="BP62" i="1"/>
  <c r="BO10" i="1"/>
  <c r="BP5" i="1"/>
  <c r="KK1" i="1" l="1"/>
  <c r="KL1" i="1" s="1"/>
  <c r="KM1" i="1" s="1"/>
  <c r="KN1" i="1" s="1"/>
  <c r="KO1" i="1" s="1"/>
  <c r="KP1" i="1" s="1"/>
  <c r="CC88" i="1"/>
  <c r="CC30" i="1"/>
  <c r="CC66" i="1"/>
  <c r="CC20" i="1"/>
  <c r="CD20" i="1" s="1"/>
  <c r="CC52" i="1"/>
  <c r="CD52" i="1" s="1"/>
  <c r="CC73" i="1"/>
  <c r="CD73" i="1" s="1"/>
  <c r="CC105" i="1"/>
  <c r="CD105" i="1" s="1"/>
  <c r="CC90" i="1"/>
  <c r="CC45" i="1"/>
  <c r="CD45" i="1" s="1"/>
  <c r="CC99" i="1"/>
  <c r="CC63" i="1"/>
  <c r="CD63" i="1" s="1"/>
  <c r="CC18" i="1"/>
  <c r="CD18" i="1" s="1"/>
  <c r="CC49" i="1"/>
  <c r="CD49" i="1" s="1"/>
  <c r="CC91" i="1"/>
  <c r="CC89" i="1"/>
  <c r="CD89" i="1" s="1"/>
  <c r="CC7" i="1"/>
  <c r="CD7" i="1" s="1"/>
  <c r="CC21" i="1"/>
  <c r="CD21" i="1" s="1"/>
  <c r="CC64" i="1"/>
  <c r="CC86" i="1"/>
  <c r="CC58" i="1"/>
  <c r="CD58" i="1" s="1"/>
  <c r="CC87" i="1"/>
  <c r="CC101" i="1"/>
  <c r="CD101" i="1" s="1"/>
  <c r="CC57" i="1"/>
  <c r="CD57" i="1" s="1"/>
  <c r="CC79" i="1"/>
  <c r="CC97" i="1"/>
  <c r="CD97" i="1" s="1"/>
  <c r="CC38" i="1"/>
  <c r="CC48" i="1"/>
  <c r="CD48" i="1" s="1"/>
  <c r="CC72" i="1"/>
  <c r="CD72" i="1" s="1"/>
  <c r="CC42" i="1"/>
  <c r="CD42" i="1" s="1"/>
  <c r="CC28" i="1"/>
  <c r="CD28" i="1" s="1"/>
  <c r="CC62" i="1"/>
  <c r="CD62" i="1" s="1"/>
  <c r="CC98" i="1"/>
  <c r="CD98" i="1" s="1"/>
  <c r="CC50" i="1"/>
  <c r="CD50" i="1" s="1"/>
  <c r="CC55" i="1"/>
  <c r="CD55" i="1" s="1"/>
  <c r="CC93" i="1"/>
  <c r="CC11" i="1"/>
  <c r="CC22" i="1"/>
  <c r="CD22" i="1" s="1"/>
  <c r="CC29" i="1"/>
  <c r="CD29" i="1" s="1"/>
  <c r="CC103" i="1"/>
  <c r="CD103" i="1" s="1"/>
  <c r="CC56" i="1"/>
  <c r="CD56" i="1" s="1"/>
  <c r="CC71" i="1"/>
  <c r="CD71" i="1" s="1"/>
  <c r="CC80" i="1"/>
  <c r="CC100" i="1"/>
  <c r="CD100" i="1" s="1"/>
  <c r="CC44" i="1"/>
  <c r="CD44" i="1" s="1"/>
  <c r="CC81" i="1"/>
  <c r="CD81" i="1" s="1"/>
  <c r="CC92" i="1"/>
  <c r="CC13" i="1"/>
  <c r="CC70" i="1"/>
  <c r="CD70" i="1" s="1"/>
  <c r="CC65" i="1"/>
  <c r="CD65" i="1" s="1"/>
  <c r="CC26" i="1"/>
  <c r="CD26" i="1" s="1"/>
  <c r="CC36" i="1"/>
  <c r="CD36" i="1" s="1"/>
  <c r="CC102" i="1"/>
  <c r="CD102" i="1" s="1"/>
  <c r="CC82" i="1"/>
  <c r="CD82" i="1" s="1"/>
  <c r="CC27" i="1"/>
  <c r="CD27" i="1" s="1"/>
  <c r="CC74" i="1"/>
  <c r="CD74" i="1" s="1"/>
  <c r="CC12" i="1"/>
  <c r="CD12" i="1" s="1"/>
  <c r="CC94" i="1"/>
  <c r="CD94" i="1" s="1"/>
  <c r="N10" i="1"/>
  <c r="AH96" i="1"/>
  <c r="AH16" i="1"/>
  <c r="AH24" i="1"/>
  <c r="AG108" i="1"/>
  <c r="AH107" i="1"/>
  <c r="AG69" i="1"/>
  <c r="AH85" i="1"/>
  <c r="AH61" i="1"/>
  <c r="AH77" i="1"/>
  <c r="AH32" i="1"/>
  <c r="AH68" i="1"/>
  <c r="AH47" i="1"/>
  <c r="AH54" i="1"/>
  <c r="AH40" i="1"/>
  <c r="AJ90" i="1"/>
  <c r="AJ83" i="1"/>
  <c r="AJ71" i="1"/>
  <c r="AJ13" i="1"/>
  <c r="AJ72" i="1"/>
  <c r="AJ74" i="1"/>
  <c r="AJ28" i="1"/>
  <c r="AJ55" i="1"/>
  <c r="AJ88" i="1"/>
  <c r="AJ94" i="1"/>
  <c r="AJ56" i="1"/>
  <c r="AJ43" i="1"/>
  <c r="AJ5" i="1"/>
  <c r="AJ11" i="1"/>
  <c r="AJ18" i="1"/>
  <c r="AJ62" i="1"/>
  <c r="AJ93" i="1"/>
  <c r="AJ48" i="1"/>
  <c r="AJ8" i="1"/>
  <c r="AJ41" i="1"/>
  <c r="AJ51" i="1"/>
  <c r="AJ70" i="1"/>
  <c r="AJ52" i="1"/>
  <c r="AJ101" i="1"/>
  <c r="AJ42" i="1"/>
  <c r="AJ7" i="1"/>
  <c r="AJ81" i="1"/>
  <c r="AJ38" i="1"/>
  <c r="AJ87" i="1"/>
  <c r="AJ26" i="1"/>
  <c r="AJ20" i="1"/>
  <c r="AJ97" i="1"/>
  <c r="AJ64" i="1"/>
  <c r="AJ12" i="1"/>
  <c r="AJ29" i="1"/>
  <c r="AJ21" i="1"/>
  <c r="AJ25" i="1"/>
  <c r="AJ44" i="1"/>
  <c r="AJ78" i="1"/>
  <c r="AJ91" i="1"/>
  <c r="AJ14" i="1"/>
  <c r="AJ80" i="1"/>
  <c r="AJ22" i="1"/>
  <c r="AJ92" i="1"/>
  <c r="AJ59" i="1"/>
  <c r="AJ57" i="1"/>
  <c r="AJ82" i="1"/>
  <c r="AJ79" i="1"/>
  <c r="AJ34" i="1"/>
  <c r="AJ105" i="1"/>
  <c r="AJ75" i="1"/>
  <c r="AJ66" i="1"/>
  <c r="AJ17" i="1"/>
  <c r="AJ45" i="1"/>
  <c r="AJ58" i="1"/>
  <c r="AJ100" i="1"/>
  <c r="AJ89" i="1"/>
  <c r="AJ27" i="1"/>
  <c r="AJ36" i="1"/>
  <c r="AJ37" i="1"/>
  <c r="AJ63" i="1"/>
  <c r="AJ50" i="1"/>
  <c r="AJ73" i="1"/>
  <c r="AJ30" i="1"/>
  <c r="AJ86" i="1"/>
  <c r="AJ102" i="1"/>
  <c r="AJ65" i="1"/>
  <c r="AJ103" i="1"/>
  <c r="AJ35" i="1"/>
  <c r="AJ49" i="1"/>
  <c r="AJ98" i="1"/>
  <c r="KC110" i="1"/>
  <c r="AG33" i="1"/>
  <c r="AF109" i="1"/>
  <c r="K54" i="1"/>
  <c r="K68" i="1"/>
  <c r="K32" i="1"/>
  <c r="AV99" i="1"/>
  <c r="AW99" i="1" s="1"/>
  <c r="AI32" i="1"/>
  <c r="AI85" i="1"/>
  <c r="AI16" i="1"/>
  <c r="AI24" i="1"/>
  <c r="AI47" i="1"/>
  <c r="AI54" i="1"/>
  <c r="AI68" i="1"/>
  <c r="AI40" i="1"/>
  <c r="AI61" i="1"/>
  <c r="AI107" i="1"/>
  <c r="AI5" i="1"/>
  <c r="KD110" i="1"/>
  <c r="AI77" i="1"/>
  <c r="AI96" i="1"/>
  <c r="AH10" i="1"/>
  <c r="BN109" i="1"/>
  <c r="BP32" i="1"/>
  <c r="BP40" i="1"/>
  <c r="BP85" i="1"/>
  <c r="BO33" i="1"/>
  <c r="BP47" i="1"/>
  <c r="BP24" i="1"/>
  <c r="BP54" i="1"/>
  <c r="BO108" i="1"/>
  <c r="CC41" i="1"/>
  <c r="CD41" i="1" s="1"/>
  <c r="BP16" i="1"/>
  <c r="BP77" i="1"/>
  <c r="CC17" i="1"/>
  <c r="CD17" i="1" s="1"/>
  <c r="BO69" i="1"/>
  <c r="BP68" i="1"/>
  <c r="BP107" i="1"/>
  <c r="BP96" i="1"/>
  <c r="LI110" i="1"/>
  <c r="BP61" i="1"/>
  <c r="BP10" i="1"/>
  <c r="CC5" i="1"/>
  <c r="CD5" i="1" s="1"/>
  <c r="O88" i="1" l="1"/>
  <c r="CD88" i="1"/>
  <c r="O30" i="1"/>
  <c r="CD30" i="1"/>
  <c r="O66" i="1"/>
  <c r="CD66" i="1"/>
  <c r="O90" i="1"/>
  <c r="CD90" i="1"/>
  <c r="O99" i="1"/>
  <c r="CD99" i="1"/>
  <c r="O91" i="1"/>
  <c r="CD91" i="1"/>
  <c r="O64" i="1"/>
  <c r="CD64" i="1"/>
  <c r="O86" i="1"/>
  <c r="CD86" i="1"/>
  <c r="O87" i="1"/>
  <c r="CD87" i="1"/>
  <c r="O79" i="1"/>
  <c r="CD79" i="1"/>
  <c r="O38" i="1"/>
  <c r="CD38" i="1"/>
  <c r="O93" i="1"/>
  <c r="CD93" i="1"/>
  <c r="O11" i="1"/>
  <c r="CD11" i="1"/>
  <c r="O80" i="1"/>
  <c r="CD80" i="1"/>
  <c r="O92" i="1"/>
  <c r="CD92" i="1"/>
  <c r="O13" i="1"/>
  <c r="CD13" i="1"/>
  <c r="O49" i="1"/>
  <c r="O52" i="1"/>
  <c r="O89" i="1"/>
  <c r="O105" i="1"/>
  <c r="O20" i="1"/>
  <c r="O72" i="1"/>
  <c r="O101" i="1"/>
  <c r="O62" i="1"/>
  <c r="O12" i="1"/>
  <c r="O21" i="1"/>
  <c r="O94" i="1"/>
  <c r="O29" i="1"/>
  <c r="O63" i="1"/>
  <c r="O58" i="1"/>
  <c r="O28" i="1"/>
  <c r="O42" i="1"/>
  <c r="O18" i="1"/>
  <c r="O73" i="1"/>
  <c r="O50" i="1"/>
  <c r="N32" i="1"/>
  <c r="O100" i="1"/>
  <c r="O98" i="1"/>
  <c r="N68" i="1"/>
  <c r="O45" i="1"/>
  <c r="O70" i="1"/>
  <c r="O103" i="1"/>
  <c r="N61" i="1"/>
  <c r="P12" i="3" s="1"/>
  <c r="L12" i="4" s="1"/>
  <c r="O26" i="1"/>
  <c r="O7" i="1"/>
  <c r="O65" i="1"/>
  <c r="O57" i="1"/>
  <c r="N16" i="1"/>
  <c r="O56" i="1"/>
  <c r="O71" i="1"/>
  <c r="O27" i="1"/>
  <c r="O22" i="1"/>
  <c r="O81" i="1"/>
  <c r="O82" i="1"/>
  <c r="N54" i="1"/>
  <c r="N77" i="1"/>
  <c r="CC107" i="1"/>
  <c r="K18" i="4"/>
  <c r="CC85" i="1"/>
  <c r="K16" i="4"/>
  <c r="N85" i="1"/>
  <c r="CC61" i="1"/>
  <c r="K12" i="4"/>
  <c r="CC68" i="1"/>
  <c r="CD68" i="1" s="1"/>
  <c r="K13" i="4"/>
  <c r="CC40" i="1"/>
  <c r="K9" i="4"/>
  <c r="O48" i="1"/>
  <c r="N107" i="1"/>
  <c r="CC32" i="1"/>
  <c r="K7" i="4"/>
  <c r="P4" i="3"/>
  <c r="L4" i="4" s="1"/>
  <c r="CC77" i="1"/>
  <c r="K15" i="4"/>
  <c r="N47" i="1"/>
  <c r="CC47" i="1"/>
  <c r="K10" i="4"/>
  <c r="CC96" i="1"/>
  <c r="K17" i="4"/>
  <c r="O74" i="1"/>
  <c r="O44" i="1"/>
  <c r="CC16" i="1"/>
  <c r="K5" i="4"/>
  <c r="O102" i="1"/>
  <c r="N40" i="1"/>
  <c r="N24" i="1"/>
  <c r="CC54" i="1"/>
  <c r="CD54" i="1" s="1"/>
  <c r="K11" i="4"/>
  <c r="O36" i="1"/>
  <c r="CC24" i="1"/>
  <c r="K6" i="4"/>
  <c r="O97" i="1"/>
  <c r="O55" i="1"/>
  <c r="N96" i="1"/>
  <c r="CC10" i="1"/>
  <c r="K4" i="4"/>
  <c r="AJ24" i="1"/>
  <c r="AH108" i="1"/>
  <c r="AH69" i="1"/>
  <c r="AG109" i="1"/>
  <c r="AH33" i="1"/>
  <c r="AJ77" i="1"/>
  <c r="AJ107" i="1"/>
  <c r="AJ47" i="1"/>
  <c r="AJ61" i="1"/>
  <c r="AJ96" i="1"/>
  <c r="AJ54" i="1"/>
  <c r="AJ4" i="1"/>
  <c r="KE110" i="1"/>
  <c r="AJ68" i="1"/>
  <c r="AJ85" i="1"/>
  <c r="AJ40" i="1"/>
  <c r="AJ16" i="1"/>
  <c r="AK44" i="1"/>
  <c r="AK65" i="1"/>
  <c r="AK78" i="1"/>
  <c r="AK7" i="1"/>
  <c r="AK48" i="1"/>
  <c r="AK87" i="1"/>
  <c r="AK22" i="1"/>
  <c r="AK36" i="1"/>
  <c r="AK35" i="1"/>
  <c r="AK102" i="1"/>
  <c r="AK51" i="1"/>
  <c r="AK82" i="1"/>
  <c r="AK11" i="1"/>
  <c r="AK97" i="1"/>
  <c r="AK70" i="1"/>
  <c r="AK56" i="1"/>
  <c r="AK18" i="1"/>
  <c r="AK89" i="1"/>
  <c r="AK98" i="1"/>
  <c r="AK90" i="1"/>
  <c r="AK38" i="1"/>
  <c r="AK75" i="1"/>
  <c r="AK37" i="1"/>
  <c r="AK105" i="1"/>
  <c r="AK101" i="1"/>
  <c r="AK80" i="1"/>
  <c r="AK26" i="1"/>
  <c r="AK55" i="1"/>
  <c r="AK13" i="1"/>
  <c r="AK86" i="1"/>
  <c r="AK103" i="1"/>
  <c r="AK73" i="1"/>
  <c r="AK100" i="1"/>
  <c r="AK93" i="1"/>
  <c r="AK57" i="1"/>
  <c r="AK29" i="1"/>
  <c r="AK30" i="1"/>
  <c r="AK25" i="1"/>
  <c r="AK52" i="1"/>
  <c r="AK64" i="1"/>
  <c r="AK12" i="1"/>
  <c r="AK5" i="1"/>
  <c r="AK74" i="1"/>
  <c r="AK88" i="1"/>
  <c r="AK94" i="1"/>
  <c r="AK20" i="1"/>
  <c r="AK49" i="1"/>
  <c r="AK83" i="1"/>
  <c r="AK43" i="1"/>
  <c r="AK42" i="1"/>
  <c r="AK21" i="1"/>
  <c r="AK63" i="1"/>
  <c r="AK66" i="1"/>
  <c r="AK79" i="1"/>
  <c r="AK71" i="1"/>
  <c r="AK41" i="1"/>
  <c r="AK58" i="1"/>
  <c r="AK81" i="1"/>
  <c r="AK28" i="1"/>
  <c r="AK92" i="1"/>
  <c r="AK34" i="1"/>
  <c r="AK17" i="1"/>
  <c r="AK14" i="1"/>
  <c r="AK62" i="1"/>
  <c r="AK8" i="1"/>
  <c r="AK59" i="1"/>
  <c r="AK91" i="1"/>
  <c r="AK72" i="1"/>
  <c r="AK50" i="1"/>
  <c r="AK45" i="1"/>
  <c r="AK27" i="1"/>
  <c r="AJ32" i="1"/>
  <c r="F13" i="3"/>
  <c r="F11" i="3"/>
  <c r="F7" i="3"/>
  <c r="P99" i="1"/>
  <c r="M99" i="1"/>
  <c r="AI10" i="1"/>
  <c r="K10" i="1"/>
  <c r="K40" i="1"/>
  <c r="K24" i="1"/>
  <c r="K16" i="1"/>
  <c r="K107" i="1"/>
  <c r="K85" i="1"/>
  <c r="K47" i="1"/>
  <c r="K96" i="1"/>
  <c r="K77" i="1"/>
  <c r="K61" i="1"/>
  <c r="AI108" i="1"/>
  <c r="AI69" i="1"/>
  <c r="O41" i="1"/>
  <c r="O17" i="1"/>
  <c r="O5" i="1"/>
  <c r="BP108" i="1"/>
  <c r="BO109" i="1"/>
  <c r="BP69" i="1"/>
  <c r="BP33" i="1"/>
  <c r="O40" i="1" l="1"/>
  <c r="R9" i="3" s="1"/>
  <c r="CD107" i="1"/>
  <c r="CD61" i="1"/>
  <c r="CD77" i="1"/>
  <c r="CD96" i="1"/>
  <c r="O16" i="1"/>
  <c r="R5" i="3" s="1"/>
  <c r="CD85" i="1"/>
  <c r="CD40" i="1"/>
  <c r="CD16" i="1"/>
  <c r="CD10" i="1"/>
  <c r="Q7" i="3"/>
  <c r="CD32" i="1"/>
  <c r="Q10" i="3"/>
  <c r="CD47" i="1"/>
  <c r="Q6" i="3"/>
  <c r="CD24" i="1"/>
  <c r="O96" i="1"/>
  <c r="R17" i="3" s="1"/>
  <c r="O85" i="1"/>
  <c r="R16" i="3" s="1"/>
  <c r="O68" i="1"/>
  <c r="R13" i="3" s="1"/>
  <c r="O54" i="1"/>
  <c r="R11" i="3" s="1"/>
  <c r="O107" i="1"/>
  <c r="R18" i="3" s="1"/>
  <c r="P10" i="3"/>
  <c r="L10" i="4" s="1"/>
  <c r="AJ10" i="1"/>
  <c r="AJ33" i="1" s="1"/>
  <c r="AI33" i="1"/>
  <c r="P17" i="3"/>
  <c r="L17" i="4" s="1"/>
  <c r="Q5" i="3"/>
  <c r="N33" i="1"/>
  <c r="P7" i="3"/>
  <c r="L7" i="4" s="1"/>
  <c r="P5" i="3"/>
  <c r="L5" i="4" s="1"/>
  <c r="P13" i="3"/>
  <c r="L13" i="4" s="1"/>
  <c r="P18" i="3"/>
  <c r="L18" i="4" s="1"/>
  <c r="Q15" i="3"/>
  <c r="P16" i="3"/>
  <c r="L16" i="4" s="1"/>
  <c r="O32" i="1"/>
  <c r="R7" i="3" s="1"/>
  <c r="P6" i="3"/>
  <c r="L6" i="4" s="1"/>
  <c r="Q4" i="3"/>
  <c r="O77" i="1"/>
  <c r="N108" i="1"/>
  <c r="P11" i="3"/>
  <c r="L11" i="4" s="1"/>
  <c r="Q16" i="3"/>
  <c r="Q12" i="3"/>
  <c r="Q9" i="3"/>
  <c r="Q11" i="3"/>
  <c r="O61" i="1"/>
  <c r="CC69" i="1"/>
  <c r="K14" i="4"/>
  <c r="Q13" i="3"/>
  <c r="Q17" i="3"/>
  <c r="CC108" i="1"/>
  <c r="K19" i="4"/>
  <c r="P9" i="3"/>
  <c r="L9" i="4" s="1"/>
  <c r="Q18" i="3"/>
  <c r="N69" i="1"/>
  <c r="P15" i="3"/>
  <c r="L15" i="4" s="1"/>
  <c r="CC33" i="1"/>
  <c r="K8" i="4"/>
  <c r="F13" i="4"/>
  <c r="F7" i="4"/>
  <c r="F11" i="4"/>
  <c r="AH109" i="1"/>
  <c r="AK68" i="1"/>
  <c r="AK40" i="1"/>
  <c r="AK107" i="1"/>
  <c r="AL8" i="1"/>
  <c r="AL44" i="1"/>
  <c r="AL52" i="1"/>
  <c r="AL93" i="1"/>
  <c r="AL11" i="1"/>
  <c r="AL21" i="1"/>
  <c r="AL57" i="1"/>
  <c r="AL92" i="1"/>
  <c r="AL82" i="1"/>
  <c r="AL87" i="1"/>
  <c r="AL91" i="1"/>
  <c r="AL12" i="1"/>
  <c r="AL105" i="1"/>
  <c r="AL49" i="1"/>
  <c r="AL89" i="1"/>
  <c r="AL36" i="1"/>
  <c r="AL79" i="1"/>
  <c r="AL88" i="1"/>
  <c r="AL103" i="1"/>
  <c r="AL41" i="1"/>
  <c r="AL86" i="1"/>
  <c r="AL73" i="1"/>
  <c r="AL74" i="1"/>
  <c r="AL83" i="1"/>
  <c r="AL102" i="1"/>
  <c r="AL30" i="1"/>
  <c r="AL81" i="1"/>
  <c r="AL66" i="1"/>
  <c r="AL70" i="1"/>
  <c r="AL80" i="1"/>
  <c r="AL101" i="1"/>
  <c r="AL22" i="1"/>
  <c r="AL78" i="1"/>
  <c r="AL59" i="1"/>
  <c r="AL18" i="1"/>
  <c r="AL75" i="1"/>
  <c r="AL100" i="1"/>
  <c r="AL13" i="1"/>
  <c r="AL58" i="1"/>
  <c r="AL51" i="1"/>
  <c r="AL63" i="1"/>
  <c r="AL71" i="1"/>
  <c r="AL98" i="1"/>
  <c r="AL50" i="1"/>
  <c r="AL43" i="1"/>
  <c r="AL55" i="1"/>
  <c r="AL64" i="1"/>
  <c r="AL97" i="1"/>
  <c r="AL90" i="1"/>
  <c r="AL42" i="1"/>
  <c r="AL35" i="1"/>
  <c r="AL45" i="1"/>
  <c r="AL56" i="1"/>
  <c r="AL94" i="1"/>
  <c r="AL72" i="1"/>
  <c r="AL34" i="1"/>
  <c r="AL26" i="1"/>
  <c r="AL37" i="1"/>
  <c r="AL48" i="1"/>
  <c r="AL14" i="1"/>
  <c r="AL65" i="1"/>
  <c r="AL25" i="1"/>
  <c r="AL17" i="1"/>
  <c r="AL28" i="1"/>
  <c r="AL38" i="1"/>
  <c r="AL27" i="1"/>
  <c r="AL5" i="1"/>
  <c r="AL62" i="1"/>
  <c r="AL7" i="1"/>
  <c r="AL20" i="1"/>
  <c r="AL29" i="1"/>
  <c r="AK16" i="1"/>
  <c r="AK47" i="1"/>
  <c r="AJ69" i="1"/>
  <c r="AK4" i="1"/>
  <c r="AK10" i="1" s="1"/>
  <c r="KF110" i="1"/>
  <c r="AK96" i="1"/>
  <c r="AK61" i="1"/>
  <c r="AK54" i="1"/>
  <c r="AJ108" i="1"/>
  <c r="AK24" i="1"/>
  <c r="AK32" i="1"/>
  <c r="AK77" i="1"/>
  <c r="AK85" i="1"/>
  <c r="F5" i="3"/>
  <c r="F9" i="3"/>
  <c r="F6" i="3"/>
  <c r="F10" i="3"/>
  <c r="F18" i="3"/>
  <c r="F16" i="3"/>
  <c r="F17" i="3"/>
  <c r="F12" i="3"/>
  <c r="F15" i="3"/>
  <c r="F4" i="3"/>
  <c r="K69" i="1"/>
  <c r="K33" i="1"/>
  <c r="K108" i="1"/>
  <c r="O24" i="1"/>
  <c r="O10" i="1"/>
  <c r="O47" i="1"/>
  <c r="BP109" i="1"/>
  <c r="CD69" i="1" l="1"/>
  <c r="CD108" i="1"/>
  <c r="CD33" i="1"/>
  <c r="O108" i="1"/>
  <c r="R19" i="3" s="1"/>
  <c r="R12" i="3"/>
  <c r="S10" i="3"/>
  <c r="T10" i="3" s="1"/>
  <c r="S12" i="3"/>
  <c r="T12" i="3" s="1"/>
  <c r="AI109" i="1"/>
  <c r="S6" i="3"/>
  <c r="T6" i="3" s="1"/>
  <c r="S16" i="3"/>
  <c r="T16" i="3" s="1"/>
  <c r="S5" i="3"/>
  <c r="T5" i="3" s="1"/>
  <c r="S4" i="3"/>
  <c r="T4" i="3" s="1"/>
  <c r="S15" i="3"/>
  <c r="T15" i="3" s="1"/>
  <c r="S9" i="3"/>
  <c r="T9" i="3" s="1"/>
  <c r="P8" i="3"/>
  <c r="L8" i="4" s="1"/>
  <c r="S13" i="3"/>
  <c r="T13" i="3" s="1"/>
  <c r="S18" i="3"/>
  <c r="T18" i="3" s="1"/>
  <c r="R15" i="3"/>
  <c r="S11" i="3"/>
  <c r="T11" i="3" s="1"/>
  <c r="Q8" i="3"/>
  <c r="S7" i="3"/>
  <c r="T7" i="3" s="1"/>
  <c r="P19" i="3"/>
  <c r="L19" i="4" s="1"/>
  <c r="N109" i="1"/>
  <c r="P14" i="3"/>
  <c r="L14" i="4" s="1"/>
  <c r="Q19" i="3"/>
  <c r="S17" i="3"/>
  <c r="T17" i="3" s="1"/>
  <c r="Q14" i="3"/>
  <c r="CC109" i="1"/>
  <c r="K20" i="4"/>
  <c r="F10" i="4"/>
  <c r="F6" i="4"/>
  <c r="F9" i="4"/>
  <c r="F4" i="4"/>
  <c r="F12" i="4"/>
  <c r="F17" i="4"/>
  <c r="F5" i="4"/>
  <c r="F16" i="4"/>
  <c r="F18" i="4"/>
  <c r="AK108" i="1"/>
  <c r="R10" i="3"/>
  <c r="AL24" i="1"/>
  <c r="R4" i="3"/>
  <c r="R6" i="3"/>
  <c r="F15" i="4"/>
  <c r="AL68" i="1"/>
  <c r="AL40" i="1"/>
  <c r="AL85" i="1"/>
  <c r="AL96" i="1"/>
  <c r="KG110" i="1"/>
  <c r="AL4" i="1"/>
  <c r="AL47" i="1"/>
  <c r="AK69" i="1"/>
  <c r="AL77" i="1"/>
  <c r="AL16" i="1"/>
  <c r="AJ109" i="1"/>
  <c r="AL32" i="1"/>
  <c r="AL107" i="1"/>
  <c r="AL54" i="1"/>
  <c r="AM100" i="1"/>
  <c r="AM72" i="1"/>
  <c r="AM50" i="1"/>
  <c r="AM26" i="1"/>
  <c r="AM63" i="1"/>
  <c r="AM75" i="1"/>
  <c r="AM98" i="1"/>
  <c r="AM65" i="1"/>
  <c r="AM42" i="1"/>
  <c r="AM17" i="1"/>
  <c r="AM55" i="1"/>
  <c r="AM71" i="1"/>
  <c r="AM97" i="1"/>
  <c r="AM34" i="1"/>
  <c r="AM25" i="1"/>
  <c r="AM7" i="1"/>
  <c r="AM45" i="1"/>
  <c r="AM64" i="1"/>
  <c r="AM94" i="1"/>
  <c r="AM14" i="1"/>
  <c r="AM8" i="1"/>
  <c r="AM90" i="1"/>
  <c r="AM37" i="1"/>
  <c r="AM56" i="1"/>
  <c r="AM57" i="1"/>
  <c r="AM44" i="1"/>
  <c r="AM27" i="1"/>
  <c r="AM87" i="1"/>
  <c r="AM28" i="1"/>
  <c r="AM48" i="1"/>
  <c r="AM49" i="1"/>
  <c r="AM36" i="1"/>
  <c r="AM18" i="1"/>
  <c r="AM82" i="1"/>
  <c r="AM20" i="1"/>
  <c r="AM38" i="1"/>
  <c r="AM41" i="1"/>
  <c r="AM92" i="1"/>
  <c r="AM73" i="1"/>
  <c r="AM52" i="1"/>
  <c r="AM11" i="1"/>
  <c r="AM29" i="1"/>
  <c r="AM30" i="1"/>
  <c r="AM89" i="1"/>
  <c r="AM66" i="1"/>
  <c r="AM74" i="1"/>
  <c r="AM12" i="1"/>
  <c r="AM21" i="1"/>
  <c r="AM105" i="1"/>
  <c r="AM22" i="1"/>
  <c r="AM86" i="1"/>
  <c r="AM59" i="1"/>
  <c r="AM70" i="1"/>
  <c r="AM91" i="1"/>
  <c r="AM103" i="1"/>
  <c r="AM13" i="1"/>
  <c r="AM81" i="1"/>
  <c r="AM51" i="1"/>
  <c r="AM93" i="1"/>
  <c r="AM88" i="1"/>
  <c r="AM102" i="1"/>
  <c r="AM78" i="1"/>
  <c r="AM43" i="1"/>
  <c r="AM79" i="1"/>
  <c r="AM83" i="1"/>
  <c r="AM101" i="1"/>
  <c r="AM5" i="1"/>
  <c r="AM58" i="1"/>
  <c r="AM35" i="1"/>
  <c r="AM62" i="1"/>
  <c r="AM80" i="1"/>
  <c r="AK33" i="1"/>
  <c r="AL61" i="1"/>
  <c r="F14" i="3"/>
  <c r="F19" i="3"/>
  <c r="F8" i="3"/>
  <c r="K109" i="1"/>
  <c r="O33" i="1"/>
  <c r="O69" i="1"/>
  <c r="CD109" i="1" l="1"/>
  <c r="AL10" i="1"/>
  <c r="P20" i="3"/>
  <c r="L20" i="4" s="1"/>
  <c r="S8" i="3"/>
  <c r="T8" i="3" s="1"/>
  <c r="S19" i="3"/>
  <c r="T19" i="3" s="1"/>
  <c r="S14" i="3"/>
  <c r="T14" i="3" s="1"/>
  <c r="Q20" i="3"/>
  <c r="F8" i="4"/>
  <c r="F14" i="4"/>
  <c r="R8" i="3"/>
  <c r="R14" i="3"/>
  <c r="F19" i="4"/>
  <c r="AL69" i="1"/>
  <c r="AK109" i="1"/>
  <c r="AM24" i="1"/>
  <c r="AL108" i="1"/>
  <c r="AM54" i="1"/>
  <c r="AM77" i="1"/>
  <c r="AM16" i="1"/>
  <c r="AM85" i="1"/>
  <c r="AM96" i="1"/>
  <c r="AM32" i="1"/>
  <c r="AM4" i="1"/>
  <c r="AM10" i="1" s="1"/>
  <c r="KH110" i="1"/>
  <c r="AM40" i="1"/>
  <c r="AM47" i="1"/>
  <c r="AM107" i="1"/>
  <c r="AN72" i="1"/>
  <c r="AN25" i="1"/>
  <c r="AN51" i="1"/>
  <c r="AN44" i="1"/>
  <c r="AN75" i="1"/>
  <c r="AN30" i="1"/>
  <c r="AN65" i="1"/>
  <c r="AN14" i="1"/>
  <c r="AN43" i="1"/>
  <c r="AN36" i="1"/>
  <c r="AN71" i="1"/>
  <c r="AN22" i="1"/>
  <c r="AN37" i="1"/>
  <c r="AN5" i="1"/>
  <c r="AN35" i="1"/>
  <c r="AN27" i="1"/>
  <c r="AN64" i="1"/>
  <c r="AN13" i="1"/>
  <c r="AN92" i="1"/>
  <c r="AN17" i="1"/>
  <c r="AN26" i="1"/>
  <c r="AN18" i="1"/>
  <c r="AN56" i="1"/>
  <c r="AN105" i="1"/>
  <c r="AN89" i="1"/>
  <c r="AN7" i="1"/>
  <c r="AN45" i="1"/>
  <c r="AN8" i="1"/>
  <c r="AN48" i="1"/>
  <c r="AN103" i="1"/>
  <c r="AN86" i="1"/>
  <c r="AN63" i="1"/>
  <c r="AN93" i="1"/>
  <c r="AN74" i="1"/>
  <c r="AN38" i="1"/>
  <c r="AN102" i="1"/>
  <c r="AN81" i="1"/>
  <c r="AN55" i="1"/>
  <c r="AN90" i="1"/>
  <c r="AN70" i="1"/>
  <c r="AN29" i="1"/>
  <c r="AN101" i="1"/>
  <c r="AN78" i="1"/>
  <c r="AN28" i="1"/>
  <c r="AN87" i="1"/>
  <c r="AN11" i="1"/>
  <c r="AN21" i="1"/>
  <c r="AN100" i="1"/>
  <c r="AN58" i="1"/>
  <c r="AN20" i="1"/>
  <c r="AN82" i="1"/>
  <c r="AN91" i="1"/>
  <c r="AN12" i="1"/>
  <c r="AN98" i="1"/>
  <c r="AN50" i="1"/>
  <c r="AN73" i="1"/>
  <c r="AN79" i="1"/>
  <c r="AN88" i="1"/>
  <c r="AN57" i="1"/>
  <c r="AN97" i="1"/>
  <c r="AN42" i="1"/>
  <c r="AN66" i="1"/>
  <c r="AN62" i="1"/>
  <c r="AN83" i="1"/>
  <c r="AN49" i="1"/>
  <c r="AN94" i="1"/>
  <c r="AN34" i="1"/>
  <c r="AN59" i="1"/>
  <c r="AN52" i="1"/>
  <c r="AN80" i="1"/>
  <c r="AN41" i="1"/>
  <c r="AM68" i="1"/>
  <c r="AM61" i="1"/>
  <c r="F20" i="3"/>
  <c r="O109" i="1"/>
  <c r="AL33" i="1" l="1"/>
  <c r="L54" i="1"/>
  <c r="L61" i="1"/>
  <c r="L32" i="1"/>
  <c r="L68" i="1"/>
  <c r="L107" i="1"/>
  <c r="L47" i="1"/>
  <c r="L77" i="1"/>
  <c r="L24" i="1"/>
  <c r="L16" i="1"/>
  <c r="L40" i="1"/>
  <c r="L85" i="1"/>
  <c r="L96" i="1"/>
  <c r="S20" i="3"/>
  <c r="T20" i="3" s="1"/>
  <c r="R20" i="3"/>
  <c r="AN40" i="1"/>
  <c r="F20" i="4"/>
  <c r="AM33" i="1"/>
  <c r="AN68" i="1"/>
  <c r="AN16" i="1"/>
  <c r="AM108" i="1"/>
  <c r="AN85" i="1"/>
  <c r="AN96" i="1"/>
  <c r="AN24" i="1"/>
  <c r="AN54" i="1"/>
  <c r="AN77" i="1"/>
  <c r="AN61" i="1"/>
  <c r="AN32" i="1"/>
  <c r="AM69" i="1"/>
  <c r="AN107" i="1"/>
  <c r="AN47" i="1"/>
  <c r="KI110" i="1"/>
  <c r="AN4" i="1"/>
  <c r="AO90" i="1"/>
  <c r="AV90" i="1" s="1"/>
  <c r="AW90" i="1" s="1"/>
  <c r="AO89" i="1"/>
  <c r="AV89" i="1" s="1"/>
  <c r="AW89" i="1" s="1"/>
  <c r="AO102" i="1"/>
  <c r="AV102" i="1" s="1"/>
  <c r="AW102" i="1" s="1"/>
  <c r="AO5" i="1"/>
  <c r="AV5" i="1" s="1"/>
  <c r="AW5" i="1" s="1"/>
  <c r="AO62" i="1"/>
  <c r="AV62" i="1" s="1"/>
  <c r="AW62" i="1" s="1"/>
  <c r="AO38" i="1"/>
  <c r="AV38" i="1" s="1"/>
  <c r="AW38" i="1" s="1"/>
  <c r="AO88" i="1"/>
  <c r="AV88" i="1" s="1"/>
  <c r="AW88" i="1" s="1"/>
  <c r="AO86" i="1"/>
  <c r="AV86" i="1" s="1"/>
  <c r="AW86" i="1" s="1"/>
  <c r="AO101" i="1"/>
  <c r="AV101" i="1" s="1"/>
  <c r="AW101" i="1" s="1"/>
  <c r="AO63" i="1"/>
  <c r="AV63" i="1" s="1"/>
  <c r="AW63" i="1" s="1"/>
  <c r="AO52" i="1"/>
  <c r="AV52" i="1" s="1"/>
  <c r="AW52" i="1" s="1"/>
  <c r="AO29" i="1"/>
  <c r="AV29" i="1" s="1"/>
  <c r="AW29" i="1" s="1"/>
  <c r="AO87" i="1"/>
  <c r="AV87" i="1" s="1"/>
  <c r="AW87" i="1" s="1"/>
  <c r="AO83" i="1"/>
  <c r="AV83" i="1" s="1"/>
  <c r="AW83" i="1" s="1"/>
  <c r="AO100" i="1"/>
  <c r="AV100" i="1" s="1"/>
  <c r="AW100" i="1" s="1"/>
  <c r="AO26" i="1"/>
  <c r="AV26" i="1" s="1"/>
  <c r="AW26" i="1" s="1"/>
  <c r="AO44" i="1"/>
  <c r="AV44" i="1" s="1"/>
  <c r="AW44" i="1" s="1"/>
  <c r="AO21" i="1"/>
  <c r="AV21" i="1" s="1"/>
  <c r="AW21" i="1" s="1"/>
  <c r="AO82" i="1"/>
  <c r="AV82" i="1" s="1"/>
  <c r="AW82" i="1" s="1"/>
  <c r="AO80" i="1"/>
  <c r="AV80" i="1" s="1"/>
  <c r="AW80" i="1" s="1"/>
  <c r="AO98" i="1"/>
  <c r="AV98" i="1" s="1"/>
  <c r="AW98" i="1" s="1"/>
  <c r="AO11" i="1"/>
  <c r="AV11" i="1" s="1"/>
  <c r="AW11" i="1" s="1"/>
  <c r="AO36" i="1"/>
  <c r="AV36" i="1" s="1"/>
  <c r="AW36" i="1" s="1"/>
  <c r="AO12" i="1"/>
  <c r="AV12" i="1" s="1"/>
  <c r="AW12" i="1" s="1"/>
  <c r="AO81" i="1"/>
  <c r="AV81" i="1" s="1"/>
  <c r="AW81" i="1" s="1"/>
  <c r="AO79" i="1"/>
  <c r="AV79" i="1" s="1"/>
  <c r="AW79" i="1" s="1"/>
  <c r="AO97" i="1"/>
  <c r="AV97" i="1" s="1"/>
  <c r="AW97" i="1" s="1"/>
  <c r="AO59" i="1"/>
  <c r="AV59" i="1" s="1"/>
  <c r="AW59" i="1" s="1"/>
  <c r="AO27" i="1"/>
  <c r="AV27" i="1" s="1"/>
  <c r="AW27" i="1" s="1"/>
  <c r="AO57" i="1"/>
  <c r="AV57" i="1" s="1"/>
  <c r="AW57" i="1" s="1"/>
  <c r="AO78" i="1"/>
  <c r="AV78" i="1" s="1"/>
  <c r="AW78" i="1" s="1"/>
  <c r="AO75" i="1"/>
  <c r="AV75" i="1" s="1"/>
  <c r="AW75" i="1" s="1"/>
  <c r="AO94" i="1"/>
  <c r="AV94" i="1" s="1"/>
  <c r="AW94" i="1" s="1"/>
  <c r="AO51" i="1"/>
  <c r="AV51" i="1" s="1"/>
  <c r="AW51" i="1" s="1"/>
  <c r="AO18" i="1"/>
  <c r="AV18" i="1" s="1"/>
  <c r="AW18" i="1" s="1"/>
  <c r="AO49" i="1"/>
  <c r="AV49" i="1" s="1"/>
  <c r="AW49" i="1" s="1"/>
  <c r="AO74" i="1"/>
  <c r="AV74" i="1" s="1"/>
  <c r="AW74" i="1" s="1"/>
  <c r="AO73" i="1"/>
  <c r="AV73" i="1" s="1"/>
  <c r="AW73" i="1" s="1"/>
  <c r="AO58" i="1"/>
  <c r="AV58" i="1" s="1"/>
  <c r="AW58" i="1" s="1"/>
  <c r="AO43" i="1"/>
  <c r="AV43" i="1" s="1"/>
  <c r="AW43" i="1" s="1"/>
  <c r="AO8" i="1"/>
  <c r="AV8" i="1" s="1"/>
  <c r="AW8" i="1" s="1"/>
  <c r="AO41" i="1"/>
  <c r="AV41" i="1" s="1"/>
  <c r="AW41" i="1" s="1"/>
  <c r="AO72" i="1"/>
  <c r="AV72" i="1" s="1"/>
  <c r="AW72" i="1" s="1"/>
  <c r="AO71" i="1"/>
  <c r="AV71" i="1" s="1"/>
  <c r="AW71" i="1" s="1"/>
  <c r="AO50" i="1"/>
  <c r="AV50" i="1" s="1"/>
  <c r="AW50" i="1" s="1"/>
  <c r="AO35" i="1"/>
  <c r="AV35" i="1" s="1"/>
  <c r="AW35" i="1" s="1"/>
  <c r="AO55" i="1"/>
  <c r="AV55" i="1" s="1"/>
  <c r="AW55" i="1" s="1"/>
  <c r="AO30" i="1"/>
  <c r="AV30" i="1" s="1"/>
  <c r="AW30" i="1" s="1"/>
  <c r="AO70" i="1"/>
  <c r="AV70" i="1" s="1"/>
  <c r="AW70" i="1" s="1"/>
  <c r="AO66" i="1"/>
  <c r="AV66" i="1" s="1"/>
  <c r="AW66" i="1" s="1"/>
  <c r="AO42" i="1"/>
  <c r="AV42" i="1" s="1"/>
  <c r="AW42" i="1" s="1"/>
  <c r="AO17" i="1"/>
  <c r="AV17" i="1" s="1"/>
  <c r="AW17" i="1" s="1"/>
  <c r="AO37" i="1"/>
  <c r="AV37" i="1" s="1"/>
  <c r="AW37" i="1" s="1"/>
  <c r="AO22" i="1"/>
  <c r="AV22" i="1" s="1"/>
  <c r="AW22" i="1" s="1"/>
  <c r="AO65" i="1"/>
  <c r="AV65" i="1" s="1"/>
  <c r="AW65" i="1" s="1"/>
  <c r="AO64" i="1"/>
  <c r="AV64" i="1" s="1"/>
  <c r="AW64" i="1" s="1"/>
  <c r="AO34" i="1"/>
  <c r="AV34" i="1" s="1"/>
  <c r="AW34" i="1" s="1"/>
  <c r="AO7" i="1"/>
  <c r="AV7" i="1" s="1"/>
  <c r="AW7" i="1" s="1"/>
  <c r="AO28" i="1"/>
  <c r="AV28" i="1" s="1"/>
  <c r="AW28" i="1" s="1"/>
  <c r="AO13" i="1"/>
  <c r="AV13" i="1" s="1"/>
  <c r="AW13" i="1" s="1"/>
  <c r="AO92" i="1"/>
  <c r="AV92" i="1" s="1"/>
  <c r="AW92" i="1" s="1"/>
  <c r="AO105" i="1"/>
  <c r="AV105" i="1" s="1"/>
  <c r="AW105" i="1" s="1"/>
  <c r="AO25" i="1"/>
  <c r="AO45" i="1"/>
  <c r="AV45" i="1" s="1"/>
  <c r="AW45" i="1" s="1"/>
  <c r="AO56" i="1"/>
  <c r="AV56" i="1" s="1"/>
  <c r="AW56" i="1" s="1"/>
  <c r="AO93" i="1"/>
  <c r="AV93" i="1" s="1"/>
  <c r="AW93" i="1" s="1"/>
  <c r="AO91" i="1"/>
  <c r="AV91" i="1" s="1"/>
  <c r="AW91" i="1" s="1"/>
  <c r="AO103" i="1"/>
  <c r="AV103" i="1" s="1"/>
  <c r="AW103" i="1" s="1"/>
  <c r="AO14" i="1"/>
  <c r="AV14" i="1" s="1"/>
  <c r="AW14" i="1" s="1"/>
  <c r="AO20" i="1"/>
  <c r="AV20" i="1" s="1"/>
  <c r="AW20" i="1" s="1"/>
  <c r="AO48" i="1"/>
  <c r="AV48" i="1" s="1"/>
  <c r="AW48" i="1" s="1"/>
  <c r="AL109" i="1" l="1"/>
  <c r="I16" i="4"/>
  <c r="G16" i="3"/>
  <c r="G16" i="4" s="1"/>
  <c r="I5" i="4"/>
  <c r="G5" i="3"/>
  <c r="G5" i="4" s="1"/>
  <c r="I18" i="4"/>
  <c r="G18" i="3"/>
  <c r="G18" i="4" s="1"/>
  <c r="I11" i="4"/>
  <c r="G11" i="3"/>
  <c r="I17" i="4"/>
  <c r="G17" i="3"/>
  <c r="G17" i="4" s="1"/>
  <c r="I10" i="4"/>
  <c r="G10" i="3"/>
  <c r="G10" i="4" s="1"/>
  <c r="L108" i="1"/>
  <c r="I6" i="4"/>
  <c r="G6" i="3"/>
  <c r="G6" i="4" s="1"/>
  <c r="I13" i="4"/>
  <c r="G13" i="3"/>
  <c r="G13" i="4" s="1"/>
  <c r="I7" i="4"/>
  <c r="G7" i="3"/>
  <c r="L69" i="1"/>
  <c r="I15" i="4"/>
  <c r="G15" i="3"/>
  <c r="G15" i="4" s="1"/>
  <c r="I12" i="4"/>
  <c r="G12" i="3"/>
  <c r="I9" i="4"/>
  <c r="G9" i="3"/>
  <c r="G9" i="4" s="1"/>
  <c r="AN10" i="1"/>
  <c r="L10" i="1"/>
  <c r="M17" i="1"/>
  <c r="P17" i="1"/>
  <c r="P97" i="1"/>
  <c r="M97" i="1"/>
  <c r="P79" i="1"/>
  <c r="M79" i="1"/>
  <c r="M52" i="1"/>
  <c r="P52" i="1"/>
  <c r="P14" i="1"/>
  <c r="M14" i="1"/>
  <c r="M38" i="1"/>
  <c r="P38" i="1"/>
  <c r="M62" i="1"/>
  <c r="P62" i="1"/>
  <c r="P73" i="1"/>
  <c r="M73" i="1"/>
  <c r="M48" i="1"/>
  <c r="P48" i="1"/>
  <c r="M83" i="1"/>
  <c r="P83" i="1"/>
  <c r="P88" i="1"/>
  <c r="M88" i="1"/>
  <c r="M91" i="1"/>
  <c r="P91" i="1"/>
  <c r="P22" i="1"/>
  <c r="M22" i="1"/>
  <c r="P72" i="1"/>
  <c r="M72" i="1"/>
  <c r="P37" i="1"/>
  <c r="M37" i="1"/>
  <c r="M78" i="1"/>
  <c r="P78" i="1"/>
  <c r="M41" i="1"/>
  <c r="P41" i="1"/>
  <c r="M27" i="1"/>
  <c r="P27" i="1"/>
  <c r="P42" i="1"/>
  <c r="M42" i="1"/>
  <c r="P102" i="1"/>
  <c r="M102" i="1"/>
  <c r="M92" i="1"/>
  <c r="P92" i="1"/>
  <c r="M81" i="1"/>
  <c r="P81" i="1"/>
  <c r="P82" i="1"/>
  <c r="M82" i="1"/>
  <c r="M93" i="1"/>
  <c r="P93" i="1"/>
  <c r="P57" i="1"/>
  <c r="M57" i="1"/>
  <c r="M56" i="1"/>
  <c r="P56" i="1"/>
  <c r="P5" i="1"/>
  <c r="M5" i="1"/>
  <c r="M100" i="1"/>
  <c r="P100" i="1"/>
  <c r="M89" i="1"/>
  <c r="P89" i="1"/>
  <c r="P71" i="1"/>
  <c r="M71" i="1"/>
  <c r="M70" i="1"/>
  <c r="P70" i="1"/>
  <c r="M74" i="1"/>
  <c r="P74" i="1"/>
  <c r="M87" i="1"/>
  <c r="P87" i="1"/>
  <c r="M90" i="1"/>
  <c r="P90" i="1"/>
  <c r="M12" i="1"/>
  <c r="P12" i="1"/>
  <c r="P13" i="1"/>
  <c r="M13" i="1"/>
  <c r="M30" i="1"/>
  <c r="P30" i="1"/>
  <c r="P49" i="1"/>
  <c r="M49" i="1"/>
  <c r="M29" i="1"/>
  <c r="P29" i="1"/>
  <c r="P26" i="1"/>
  <c r="M26" i="1"/>
  <c r="M105" i="1"/>
  <c r="P105" i="1"/>
  <c r="M28" i="1"/>
  <c r="P28" i="1"/>
  <c r="M55" i="1"/>
  <c r="P55" i="1"/>
  <c r="M18" i="1"/>
  <c r="P18" i="1"/>
  <c r="P36" i="1"/>
  <c r="M36" i="1"/>
  <c r="M43" i="1"/>
  <c r="P43" i="1"/>
  <c r="M58" i="1"/>
  <c r="P58" i="1"/>
  <c r="M66" i="1"/>
  <c r="P66" i="1"/>
  <c r="M65" i="1"/>
  <c r="P65" i="1"/>
  <c r="M44" i="1"/>
  <c r="P44" i="1"/>
  <c r="M20" i="1"/>
  <c r="P20" i="1"/>
  <c r="P35" i="1"/>
  <c r="M35" i="1"/>
  <c r="P11" i="1"/>
  <c r="M11" i="1"/>
  <c r="P63" i="1"/>
  <c r="M63" i="1"/>
  <c r="M34" i="1"/>
  <c r="P34" i="1"/>
  <c r="M50" i="1"/>
  <c r="P50" i="1"/>
  <c r="M94" i="1"/>
  <c r="P94" i="1"/>
  <c r="M98" i="1"/>
  <c r="P98" i="1"/>
  <c r="M101" i="1"/>
  <c r="P101" i="1"/>
  <c r="M21" i="1"/>
  <c r="P21" i="1"/>
  <c r="P45" i="1"/>
  <c r="M45" i="1"/>
  <c r="P7" i="1"/>
  <c r="M7" i="1"/>
  <c r="P51" i="1"/>
  <c r="M51" i="1"/>
  <c r="M103" i="1"/>
  <c r="P103" i="1"/>
  <c r="P64" i="1"/>
  <c r="M64" i="1"/>
  <c r="P75" i="1"/>
  <c r="M75" i="1"/>
  <c r="P80" i="1"/>
  <c r="M80" i="1"/>
  <c r="M86" i="1"/>
  <c r="P86" i="1"/>
  <c r="AM109" i="1"/>
  <c r="AN108" i="1"/>
  <c r="AN69" i="1"/>
  <c r="AO40" i="1"/>
  <c r="AV40" i="1" s="1"/>
  <c r="AW40" i="1" s="1"/>
  <c r="AO96" i="1"/>
  <c r="AV96" i="1" s="1"/>
  <c r="AW96" i="1" s="1"/>
  <c r="AO85" i="1"/>
  <c r="AV85" i="1" s="1"/>
  <c r="AW85" i="1" s="1"/>
  <c r="KJ110" i="1"/>
  <c r="AO4" i="1"/>
  <c r="AO47" i="1"/>
  <c r="AV47" i="1" s="1"/>
  <c r="AW47" i="1" s="1"/>
  <c r="P8" i="1"/>
  <c r="M8" i="1"/>
  <c r="AO68" i="1"/>
  <c r="AV68" i="1" s="1"/>
  <c r="AW68" i="1" s="1"/>
  <c r="AO24" i="1"/>
  <c r="AV24" i="1" s="1"/>
  <c r="AW24" i="1" s="1"/>
  <c r="M59" i="1"/>
  <c r="P59" i="1"/>
  <c r="AO107" i="1"/>
  <c r="AV107" i="1" s="1"/>
  <c r="AW107" i="1" s="1"/>
  <c r="AO77" i="1"/>
  <c r="AV77" i="1" s="1"/>
  <c r="AW77" i="1" s="1"/>
  <c r="AO54" i="1"/>
  <c r="AV54" i="1" s="1"/>
  <c r="AW54" i="1" s="1"/>
  <c r="AV25" i="1"/>
  <c r="AW25" i="1" s="1"/>
  <c r="AO32" i="1"/>
  <c r="AV32" i="1" s="1"/>
  <c r="AW32" i="1" s="1"/>
  <c r="AO61" i="1"/>
  <c r="AV61" i="1" s="1"/>
  <c r="AW61" i="1" s="1"/>
  <c r="AO16" i="1"/>
  <c r="AV16" i="1" s="1"/>
  <c r="AW16" i="1" s="1"/>
  <c r="Q4" i="1"/>
  <c r="JL110" i="1"/>
  <c r="I19" i="4" l="1"/>
  <c r="G19" i="3"/>
  <c r="G19" i="4" s="1"/>
  <c r="I14" i="4"/>
  <c r="G14" i="3"/>
  <c r="G14" i="4" s="1"/>
  <c r="AN33" i="1"/>
  <c r="I8" i="4" s="1"/>
  <c r="L33" i="1"/>
  <c r="I4" i="4"/>
  <c r="G4" i="3"/>
  <c r="P77" i="1"/>
  <c r="H15" i="3" s="1"/>
  <c r="P61" i="1"/>
  <c r="H12" i="3" s="1"/>
  <c r="P54" i="1"/>
  <c r="H11" i="3" s="1"/>
  <c r="M54" i="1"/>
  <c r="K5" i="3"/>
  <c r="J5" i="4" s="1"/>
  <c r="K7" i="3"/>
  <c r="J7" i="4" s="1"/>
  <c r="M16" i="1"/>
  <c r="P47" i="1"/>
  <c r="H10" i="3" s="1"/>
  <c r="K10" i="3"/>
  <c r="J10" i="4" s="1"/>
  <c r="P96" i="1"/>
  <c r="H17" i="3" s="1"/>
  <c r="M107" i="1"/>
  <c r="K13" i="3"/>
  <c r="J13" i="4" s="1"/>
  <c r="P16" i="1"/>
  <c r="H5" i="3" s="1"/>
  <c r="P107" i="1"/>
  <c r="K6" i="3"/>
  <c r="J6" i="4" s="1"/>
  <c r="M47" i="1"/>
  <c r="K15" i="3"/>
  <c r="J15" i="4" s="1"/>
  <c r="M96" i="1"/>
  <c r="K16" i="3"/>
  <c r="J16" i="4" s="1"/>
  <c r="P85" i="1"/>
  <c r="H16" i="3" s="1"/>
  <c r="K12" i="3"/>
  <c r="J12" i="4" s="1"/>
  <c r="P40" i="1"/>
  <c r="H9" i="3" s="1"/>
  <c r="P68" i="1"/>
  <c r="H13" i="3" s="1"/>
  <c r="P24" i="1"/>
  <c r="H6" i="3" s="1"/>
  <c r="K11" i="3"/>
  <c r="J11" i="4" s="1"/>
  <c r="K17" i="3"/>
  <c r="J17" i="4" s="1"/>
  <c r="M85" i="1"/>
  <c r="K18" i="3"/>
  <c r="J18" i="4" s="1"/>
  <c r="AV4" i="1"/>
  <c r="AW4" i="1" s="1"/>
  <c r="M61" i="1"/>
  <c r="K9" i="3"/>
  <c r="J9" i="4" s="1"/>
  <c r="M40" i="1"/>
  <c r="M77" i="1"/>
  <c r="M68" i="1"/>
  <c r="M24" i="1"/>
  <c r="AO108" i="1"/>
  <c r="AV108" i="1" s="1"/>
  <c r="AW108" i="1" s="1"/>
  <c r="AO10" i="1"/>
  <c r="M25" i="1"/>
  <c r="P25" i="1"/>
  <c r="P32" i="1" s="1"/>
  <c r="H7" i="3" s="1"/>
  <c r="AO69" i="1"/>
  <c r="AV69" i="1" s="1"/>
  <c r="AW69" i="1" s="1"/>
  <c r="Q10" i="1"/>
  <c r="P4" i="1" l="1"/>
  <c r="P10" i="1" s="1"/>
  <c r="AN109" i="1"/>
  <c r="G20" i="3" s="1"/>
  <c r="G8" i="3"/>
  <c r="I20" i="4"/>
  <c r="L109" i="1"/>
  <c r="M69" i="1"/>
  <c r="M4" i="1"/>
  <c r="M9" i="3"/>
  <c r="L5" i="3"/>
  <c r="M7" i="3"/>
  <c r="H18" i="3"/>
  <c r="P108" i="1"/>
  <c r="H19" i="3" s="1"/>
  <c r="M15" i="3"/>
  <c r="K14" i="3"/>
  <c r="J14" i="4" s="1"/>
  <c r="M18" i="3"/>
  <c r="K19" i="3"/>
  <c r="J19" i="4" s="1"/>
  <c r="L17" i="3"/>
  <c r="M16" i="3"/>
  <c r="M5" i="3"/>
  <c r="L10" i="3"/>
  <c r="L16" i="3"/>
  <c r="M10" i="3"/>
  <c r="L11" i="3"/>
  <c r="G11" i="4" s="1"/>
  <c r="P69" i="1"/>
  <c r="H14" i="3" s="1"/>
  <c r="M11" i="3"/>
  <c r="M13" i="3"/>
  <c r="L9" i="3"/>
  <c r="M6" i="3"/>
  <c r="L6" i="3"/>
  <c r="L13" i="3"/>
  <c r="L18" i="3"/>
  <c r="M108" i="1"/>
  <c r="L15" i="3"/>
  <c r="M12" i="3"/>
  <c r="L12" i="3"/>
  <c r="G12" i="4" s="1"/>
  <c r="M17" i="3"/>
  <c r="AO33" i="1"/>
  <c r="AO109" i="1" s="1"/>
  <c r="M32" i="1"/>
  <c r="Q33" i="1"/>
  <c r="AV10" i="1"/>
  <c r="AW10" i="1" s="1"/>
  <c r="M10" i="1" l="1"/>
  <c r="L14" i="3"/>
  <c r="AV33" i="1"/>
  <c r="AW33" i="1" s="1"/>
  <c r="M19" i="3"/>
  <c r="L19" i="3"/>
  <c r="K4" i="3"/>
  <c r="J4" i="4" s="1"/>
  <c r="M14" i="3"/>
  <c r="L7" i="3"/>
  <c r="G7" i="4" s="1"/>
  <c r="Q109" i="1"/>
  <c r="H4" i="3"/>
  <c r="P33" i="1"/>
  <c r="K8" i="3" l="1"/>
  <c r="J8" i="4" s="1"/>
  <c r="M33" i="1"/>
  <c r="L4" i="3"/>
  <c r="G4" i="4" s="1"/>
  <c r="M4" i="3"/>
  <c r="AV109" i="1"/>
  <c r="AW109" i="1" s="1"/>
  <c r="P109" i="1"/>
  <c r="H8" i="3"/>
  <c r="M109" i="1" l="1"/>
  <c r="L8" i="3"/>
  <c r="G8" i="4" s="1"/>
  <c r="M8" i="3"/>
  <c r="K20" i="3"/>
  <c r="J20" i="4" s="1"/>
  <c r="H20" i="3"/>
  <c r="L20" i="3" l="1"/>
  <c r="G20" i="4" s="1"/>
  <c r="M20" i="3"/>
</calcChain>
</file>

<file path=xl/sharedStrings.xml><?xml version="1.0" encoding="utf-8"?>
<sst xmlns="http://schemas.openxmlformats.org/spreadsheetml/2006/main" count="1028" uniqueCount="551">
  <si>
    <t>Mapping</t>
  </si>
  <si>
    <t>Legend</t>
  </si>
  <si>
    <t>Desig</t>
  </si>
  <si>
    <t>Zone</t>
  </si>
  <si>
    <t>PHR Region</t>
  </si>
  <si>
    <t>Position_Code</t>
  </si>
  <si>
    <t>SAS ID</t>
  </si>
  <si>
    <t>DOJ</t>
  </si>
  <si>
    <t>Base Town</t>
  </si>
  <si>
    <t>MIO</t>
  </si>
  <si>
    <t>South</t>
  </si>
  <si>
    <t>0310001</t>
  </si>
  <si>
    <t>Karachi</t>
  </si>
  <si>
    <t>Formula</t>
  </si>
  <si>
    <t>0310002</t>
  </si>
  <si>
    <t>0310003</t>
  </si>
  <si>
    <t>MIO Unmap</t>
  </si>
  <si>
    <t>KHI01-PHR-MIO-00</t>
  </si>
  <si>
    <t>0310007</t>
  </si>
  <si>
    <t>ASM</t>
  </si>
  <si>
    <t>03100</t>
  </si>
  <si>
    <t>0310004</t>
  </si>
  <si>
    <t>0310005</t>
  </si>
  <si>
    <t>0320005</t>
  </si>
  <si>
    <t>0311208</t>
  </si>
  <si>
    <t>E-01428</t>
  </si>
  <si>
    <t>Sukkur</t>
  </si>
  <si>
    <t>KHI02-PHR-MIO-00</t>
  </si>
  <si>
    <t>0320003</t>
  </si>
  <si>
    <t>03200</t>
  </si>
  <si>
    <t>Hyderabad</t>
  </si>
  <si>
    <t>0311002</t>
  </si>
  <si>
    <t>0311202</t>
  </si>
  <si>
    <t>0311005</t>
  </si>
  <si>
    <t>0311003</t>
  </si>
  <si>
    <t>0311004</t>
  </si>
  <si>
    <t>0311006</t>
  </si>
  <si>
    <t>HYD01-PHR-MIO-00</t>
  </si>
  <si>
    <t>0311001</t>
  </si>
  <si>
    <t>03110</t>
  </si>
  <si>
    <t>0311204</t>
  </si>
  <si>
    <t>0311205</t>
  </si>
  <si>
    <t>0311207</t>
  </si>
  <si>
    <t>E-01301</t>
  </si>
  <si>
    <t>0311203</t>
  </si>
  <si>
    <t>0311201</t>
  </si>
  <si>
    <t>0311206</t>
  </si>
  <si>
    <t>SUK01-PHR-MIO-00</t>
  </si>
  <si>
    <t>0311209</t>
  </si>
  <si>
    <t>E-01684</t>
  </si>
  <si>
    <t>03120</t>
  </si>
  <si>
    <t>RSM</t>
  </si>
  <si>
    <t>03</t>
  </si>
  <si>
    <t>Central</t>
  </si>
  <si>
    <t>0411004</t>
  </si>
  <si>
    <t>Lahore</t>
  </si>
  <si>
    <t>E-00651</t>
  </si>
  <si>
    <t>0413003</t>
  </si>
  <si>
    <t>0411006</t>
  </si>
  <si>
    <t>P-00952</t>
  </si>
  <si>
    <t>Multan</t>
  </si>
  <si>
    <t>0411005</t>
  </si>
  <si>
    <t>LHR01-PHR-MIO-00</t>
  </si>
  <si>
    <t>04130</t>
  </si>
  <si>
    <t>0412004</t>
  </si>
  <si>
    <t>P-01721</t>
  </si>
  <si>
    <t>0411002</t>
  </si>
  <si>
    <t>0411009</t>
  </si>
  <si>
    <t>0411010</t>
  </si>
  <si>
    <t>0413002</t>
  </si>
  <si>
    <t>LHR02-PHR-MIO-00</t>
  </si>
  <si>
    <t>0411008</t>
  </si>
  <si>
    <t>04110</t>
  </si>
  <si>
    <t>0412001</t>
  </si>
  <si>
    <t>P-01463</t>
  </si>
  <si>
    <t>Gujranwala</t>
  </si>
  <si>
    <t>0412007</t>
  </si>
  <si>
    <t>E-01734</t>
  </si>
  <si>
    <t>0412003</t>
  </si>
  <si>
    <t>0412002</t>
  </si>
  <si>
    <t>0412008</t>
  </si>
  <si>
    <t>E-01416</t>
  </si>
  <si>
    <t>GUJ01-PHR-MIO-00</t>
  </si>
  <si>
    <t>0412006</t>
  </si>
  <si>
    <t>04120</t>
  </si>
  <si>
    <t>Bahawalpur</t>
  </si>
  <si>
    <t>033001</t>
  </si>
  <si>
    <t>033003</t>
  </si>
  <si>
    <t>E-00674</t>
  </si>
  <si>
    <t>033004</t>
  </si>
  <si>
    <t>033006</t>
  </si>
  <si>
    <t>BWP01-PHR-MIO-00</t>
  </si>
  <si>
    <t>033005</t>
  </si>
  <si>
    <t>03300</t>
  </si>
  <si>
    <t>0410008</t>
  </si>
  <si>
    <t>E-01417</t>
  </si>
  <si>
    <t>0410001</t>
  </si>
  <si>
    <t>P-01603</t>
  </si>
  <si>
    <t>0410006</t>
  </si>
  <si>
    <t>0410003</t>
  </si>
  <si>
    <t>0410004</t>
  </si>
  <si>
    <t>MUX01-PHR-MIO-00</t>
  </si>
  <si>
    <t>0410007</t>
  </si>
  <si>
    <t>04100</t>
  </si>
  <si>
    <t>04</t>
  </si>
  <si>
    <t>North</t>
  </si>
  <si>
    <t>Faisalabad</t>
  </si>
  <si>
    <t>P-01668</t>
  </si>
  <si>
    <t>0510002</t>
  </si>
  <si>
    <t>0510004</t>
  </si>
  <si>
    <t>E-01110</t>
  </si>
  <si>
    <t>0510008</t>
  </si>
  <si>
    <t>0510009</t>
  </si>
  <si>
    <t>E-01536</t>
  </si>
  <si>
    <t>0512007</t>
  </si>
  <si>
    <t>Peshawar</t>
  </si>
  <si>
    <t>FSD01-PHR-MIO-00</t>
  </si>
  <si>
    <t>0510007</t>
  </si>
  <si>
    <t>E-01091</t>
  </si>
  <si>
    <t>05100</t>
  </si>
  <si>
    <t>Sargodha</t>
  </si>
  <si>
    <t>0510003</t>
  </si>
  <si>
    <t>0510005</t>
  </si>
  <si>
    <t>0510006</t>
  </si>
  <si>
    <t>0513002</t>
  </si>
  <si>
    <t>0512005</t>
  </si>
  <si>
    <t>0513003</t>
  </si>
  <si>
    <t>SGD01-PHR-MIO-00</t>
  </si>
  <si>
    <t>0513001</t>
  </si>
  <si>
    <t>05130</t>
  </si>
  <si>
    <t>P-01479</t>
  </si>
  <si>
    <t>Islamabad</t>
  </si>
  <si>
    <t>0511001</t>
  </si>
  <si>
    <t>E-01680</t>
  </si>
  <si>
    <t>0511002</t>
  </si>
  <si>
    <t>0511003</t>
  </si>
  <si>
    <t>0511004</t>
  </si>
  <si>
    <t>E-01738</t>
  </si>
  <si>
    <t>0412005</t>
  </si>
  <si>
    <t>E-00658</t>
  </si>
  <si>
    <t>0511005</t>
  </si>
  <si>
    <t>E-01672</t>
  </si>
  <si>
    <t>0813001</t>
  </si>
  <si>
    <t>Rawalpindi</t>
  </si>
  <si>
    <t>0511007</t>
  </si>
  <si>
    <t>ISB01-PHR-MIO-00</t>
  </si>
  <si>
    <t>0511006</t>
  </si>
  <si>
    <t>0512001</t>
  </si>
  <si>
    <t>E-00505</t>
  </si>
  <si>
    <t>0512002</t>
  </si>
  <si>
    <t>E-00862</t>
  </si>
  <si>
    <t>0512004</t>
  </si>
  <si>
    <t>0614001</t>
  </si>
  <si>
    <t>0614002</t>
  </si>
  <si>
    <t>0512006</t>
  </si>
  <si>
    <t>0512009</t>
  </si>
  <si>
    <t>PSH01-PHR-MIO-00</t>
  </si>
  <si>
    <t>0512008</t>
  </si>
  <si>
    <t>05</t>
  </si>
  <si>
    <t>Head Office</t>
  </si>
  <si>
    <t>HOD</t>
  </si>
  <si>
    <t>National</t>
  </si>
  <si>
    <t>Attendance</t>
  </si>
  <si>
    <t>Calls</t>
  </si>
  <si>
    <t>KHI01-PHR-MIO-01</t>
  </si>
  <si>
    <t>FB Area, Liaquatabad, Nazimabad, Sohrab Goth, Gadap</t>
  </si>
  <si>
    <t>KHI01-PHR-MIO-02</t>
  </si>
  <si>
    <t>E-02280</t>
  </si>
  <si>
    <t>Baldia, Turbat, Orangi.</t>
  </si>
  <si>
    <t>KHI01-PHR-MIO-03</t>
  </si>
  <si>
    <t>Garden, Soldier Bazar, Lee Market, Kemari.</t>
  </si>
  <si>
    <t>KHI01-PHR-MIO-04</t>
  </si>
  <si>
    <t>Gulshan, Jauhar, Society</t>
  </si>
  <si>
    <t>Karachi 1</t>
  </si>
  <si>
    <t>KHI01-PHR-ASM-01</t>
  </si>
  <si>
    <t>KHI02-PHR-MIO-01</t>
  </si>
  <si>
    <t>E-02511</t>
  </si>
  <si>
    <t>Defence, Clifton, Delhi Colony, Neelum Colony, Shree Jinah Colony, Mehmoodabad</t>
  </si>
  <si>
    <t>KHI02-PHR-MIO-02</t>
  </si>
  <si>
    <t>Malir, Shah Faisal Colony, Saudabad.</t>
  </si>
  <si>
    <t>E-02558</t>
  </si>
  <si>
    <t>North Nazimabad, North Khi, New Khi, Tesar Town, Maymar</t>
  </si>
  <si>
    <t>KHI02-PHR-MIO-03</t>
  </si>
  <si>
    <t>E-02559</t>
  </si>
  <si>
    <t>Landhi, Korangi</t>
  </si>
  <si>
    <t>KHI02-PHR-MIO-04</t>
  </si>
  <si>
    <t>Thatta</t>
  </si>
  <si>
    <t>E-03125</t>
  </si>
  <si>
    <t>Karachi 2</t>
  </si>
  <si>
    <t>KHI02-PHR-ASM-01</t>
  </si>
  <si>
    <t>HYD01-PHR-MIO-01</t>
  </si>
  <si>
    <t>E-01751</t>
  </si>
  <si>
    <t>LMCH, Saddar, Sanghar</t>
  </si>
  <si>
    <t>HYD01-PHR-MIO-02</t>
  </si>
  <si>
    <t>E-02589</t>
  </si>
  <si>
    <t>Nawabshah, Daur, Hospital Road</t>
  </si>
  <si>
    <t>HYD01-PHR-MIO-03</t>
  </si>
  <si>
    <t>Badin/Tando M. Khan/Jamshoro/Qasimabad</t>
  </si>
  <si>
    <t>HYD01-PHR-MIO-04</t>
  </si>
  <si>
    <t>E-02492</t>
  </si>
  <si>
    <t>Tando Allahyar, Hyderabad, Phulleli , Paretabad</t>
  </si>
  <si>
    <t>HYD01-PHR-MIO-05</t>
  </si>
  <si>
    <t>E-02494</t>
  </si>
  <si>
    <t>Mirpukhas, Umerkot, Khipro</t>
  </si>
  <si>
    <t>HYD01-PHR-MIO-06</t>
  </si>
  <si>
    <t>E-03008</t>
  </si>
  <si>
    <t>Nawab Shah, Qazi Ahmed, Sakrand, Morro</t>
  </si>
  <si>
    <t>E-01752</t>
  </si>
  <si>
    <t>HYD01-PHR-ASM-01</t>
  </si>
  <si>
    <t>SUK01-PHR-MIO-01</t>
  </si>
  <si>
    <t>Sukkur Ghotki/Civil/Stadium Rd</t>
  </si>
  <si>
    <t>SUK01-PHR-MIO-02</t>
  </si>
  <si>
    <t>Sukkur Gharibabad/Kharipur/Barrage Rd</t>
  </si>
  <si>
    <t>SUK01-PHR-MIO-03</t>
  </si>
  <si>
    <t>Larkana, Shahdadkot, Qambar, Ratto Dero , Nau Dero</t>
  </si>
  <si>
    <t>SUK01-PHR-MIO-04</t>
  </si>
  <si>
    <t>SUK01-PHR-MIO-05</t>
  </si>
  <si>
    <t>E-02495</t>
  </si>
  <si>
    <t>Shikarpur, Kandhkot, Kashmore, Thull</t>
  </si>
  <si>
    <t>SUK01-PHR-MIO-06</t>
  </si>
  <si>
    <t>E-02496</t>
  </si>
  <si>
    <t>Jacobabad, Dera Murad Jamali, Dera Allahyar, Usta Mohd</t>
  </si>
  <si>
    <t>SUK01-PHR-ASM-01</t>
  </si>
  <si>
    <t>STH-PHR-DGM-01</t>
  </si>
  <si>
    <t>LHR01-PHR-MIO-01</t>
  </si>
  <si>
    <t>Lahore 1</t>
  </si>
  <si>
    <t>LHR01-PHR-MIO-02</t>
  </si>
  <si>
    <t>Kasur</t>
  </si>
  <si>
    <t>E-02613</t>
  </si>
  <si>
    <t>LHR01-PHR-MIO-04</t>
  </si>
  <si>
    <t>Sahiwal</t>
  </si>
  <si>
    <t>LHR01-PHR-MIO-05</t>
  </si>
  <si>
    <t>E-03005</t>
  </si>
  <si>
    <t>Okara</t>
  </si>
  <si>
    <t>E-01750</t>
  </si>
  <si>
    <t>LHR01-PHR-ASM-01</t>
  </si>
  <si>
    <t>LHR02-PHR-MIO-01</t>
  </si>
  <si>
    <t>Sheikhupura</t>
  </si>
  <si>
    <t>LHR02-PHR-MIO-02</t>
  </si>
  <si>
    <t>LHR/Shalimar T/Gari Shahu/Baghban.P/Mughal.P</t>
  </si>
  <si>
    <t>LHR02-PHR-MIO-03</t>
  </si>
  <si>
    <t>E-03016</t>
  </si>
  <si>
    <t>Lahore 2</t>
  </si>
  <si>
    <t>E-01769</t>
  </si>
  <si>
    <t>LHR/Mall Rd/Ravi /Rd/Shadbagh/Samanabad/Mayo Hosp</t>
  </si>
  <si>
    <t>LHR02-PHR-PS-02</t>
  </si>
  <si>
    <t>E-03121</t>
  </si>
  <si>
    <t>LGh Defence Township Green Town Walton</t>
  </si>
  <si>
    <t>E-03009</t>
  </si>
  <si>
    <t>LHR02-PHR-ASM-01</t>
  </si>
  <si>
    <t>GUJ01-PHR-MIO-01</t>
  </si>
  <si>
    <t>GJW/Eminabad/Kamoke/Wazirabad/Thana Bzr</t>
  </si>
  <si>
    <t>GUJ01-PHR-MIO-02</t>
  </si>
  <si>
    <t>Gjw/Peop. Col/Hafizabad/ DHQ Rd</t>
  </si>
  <si>
    <t>GUJ01-PHR-MIO-03</t>
  </si>
  <si>
    <t>E-03123</t>
  </si>
  <si>
    <t>Gujrat</t>
  </si>
  <si>
    <t>GUJ01-PHR-MIO-04</t>
  </si>
  <si>
    <t>E-03126</t>
  </si>
  <si>
    <t>Sialkot</t>
  </si>
  <si>
    <t>GUJ01-PHR-MIO-05</t>
  </si>
  <si>
    <t>Mandi Bahauddin</t>
  </si>
  <si>
    <t>E-02654</t>
  </si>
  <si>
    <t>GUJ01-PHR-ASM-01</t>
  </si>
  <si>
    <t>BWP01-PHR-MIO-01</t>
  </si>
  <si>
    <t>E-02386</t>
  </si>
  <si>
    <t>BWP/Bwp/Ahmarpur/Yazman/Model.T/UCH S</t>
  </si>
  <si>
    <t>BWP01-PHR-MIO-03</t>
  </si>
  <si>
    <t>Rahim Yar Khan</t>
  </si>
  <si>
    <t>BWP01-PHR-MIO-02</t>
  </si>
  <si>
    <t>E-02632</t>
  </si>
  <si>
    <t>Bahawalnagar</t>
  </si>
  <si>
    <t>BWP01-PHR-PS-01</t>
  </si>
  <si>
    <t>E-01815</t>
  </si>
  <si>
    <t>E-01762</t>
  </si>
  <si>
    <t>BWP01-PHR-ASM-01</t>
  </si>
  <si>
    <t>MUX01-PHR-MIO-01</t>
  </si>
  <si>
    <t>MUX/Nishter Rd/Khanewal Rd/Burewala/Shujabad</t>
  </si>
  <si>
    <t>MUX01-PHR-MIO-03</t>
  </si>
  <si>
    <t>LAYYAH</t>
  </si>
  <si>
    <t>MUX01-PHR-MIO-04</t>
  </si>
  <si>
    <t>E-02599</t>
  </si>
  <si>
    <t>D.G.K</t>
  </si>
  <si>
    <t>MUX01-PHR-MIO-02</t>
  </si>
  <si>
    <t>E-02464</t>
  </si>
  <si>
    <t>MUX/Burewala/Khanewal/Vehari</t>
  </si>
  <si>
    <t>MUX01-PHR-PS-01</t>
  </si>
  <si>
    <t>E-02291</t>
  </si>
  <si>
    <t>MUX/Gulgasht Col/Muzf.G/Jatoi/Ali Pur</t>
  </si>
  <si>
    <t>E-02607</t>
  </si>
  <si>
    <t>MUX01-PHR-ASM-01</t>
  </si>
  <si>
    <t>CNT-A-PHR-RSM-01</t>
  </si>
  <si>
    <t>E-02649</t>
  </si>
  <si>
    <t>FSD01-PHR-MIO-01</t>
  </si>
  <si>
    <t>FSD/AFT/Jhang Baz/Chiniot/Sgd Rd/Katchery Rd</t>
  </si>
  <si>
    <t>FSD01-PHR-MIO-02</t>
  </si>
  <si>
    <t>E-02514</t>
  </si>
  <si>
    <t>FSD/Satiana/Jaranwala/Samundari/Iqbal Col</t>
  </si>
  <si>
    <t>FSD01-PHR-MIO-03</t>
  </si>
  <si>
    <t>Jhang</t>
  </si>
  <si>
    <t>FSD01-PHR-MIO-04</t>
  </si>
  <si>
    <t>Toba Tek Singh</t>
  </si>
  <si>
    <t>FSD01-PHR-PS-01</t>
  </si>
  <si>
    <t xml:space="preserve">Allied GM Abad </t>
  </si>
  <si>
    <t>PSH01-PHR-MIO-08</t>
  </si>
  <si>
    <t>FSD01-PHR-MIO-05</t>
  </si>
  <si>
    <t>E-02605</t>
  </si>
  <si>
    <t>Chinniot</t>
  </si>
  <si>
    <t>FSD01-PHR-ASM-01</t>
  </si>
  <si>
    <t>SGD01-PHR-MIO-01</t>
  </si>
  <si>
    <t>DHQ/Jahurabad/Shahpur</t>
  </si>
  <si>
    <t>SGD01-PHR-MIO-02</t>
  </si>
  <si>
    <t>E-02294</t>
  </si>
  <si>
    <t>Rabwah/SatT/Bhalwal/Uni Rd</t>
  </si>
  <si>
    <t>SGD01-PHR-MIO-03</t>
  </si>
  <si>
    <t>Mianwali</t>
  </si>
  <si>
    <t>SGD01-PHR-MIO-04</t>
  </si>
  <si>
    <t>E-02289</t>
  </si>
  <si>
    <t>Bhakkar</t>
  </si>
  <si>
    <t>SGD01-PHR-MIO-05</t>
  </si>
  <si>
    <t>E-02616</t>
  </si>
  <si>
    <t>D.I.K</t>
  </si>
  <si>
    <t>SGD01-PHR-PS-01</t>
  </si>
  <si>
    <t>E-03167</t>
  </si>
  <si>
    <t xml:space="preserve">Sargodha </t>
  </si>
  <si>
    <t>SGD01-PHR-ASM-01</t>
  </si>
  <si>
    <t>ISB01-PHR-MIO-01</t>
  </si>
  <si>
    <t>Abpara/Lalazar/Westrige/E,FI,G Sec/Pir Wadhai</t>
  </si>
  <si>
    <t>ISB01-PHR-MIO-02</t>
  </si>
  <si>
    <t>E-03158</t>
  </si>
  <si>
    <t>Murree Rd/S.TOWN/M.TOWN/Pep Col</t>
  </si>
  <si>
    <t>ISB01-PHR-MIO-03</t>
  </si>
  <si>
    <t>E-03130</t>
  </si>
  <si>
    <t>Tench/Saddar/Murree/Hassan Abdal/Taxial/ PidiGheb</t>
  </si>
  <si>
    <t>ISB01-PHR-MIO-04</t>
  </si>
  <si>
    <t>E-02593</t>
  </si>
  <si>
    <t>Abbotabad/ Attock/ Haripur</t>
  </si>
  <si>
    <t>ISB01-PHR-MIO-05</t>
  </si>
  <si>
    <t>Jhelum/ AJK/Chakwal</t>
  </si>
  <si>
    <t>ISB01-PHR-MIO-06</t>
  </si>
  <si>
    <t>Chakwal/Manshera</t>
  </si>
  <si>
    <t>ISB01-PHR-MIO-07</t>
  </si>
  <si>
    <t>E-02557</t>
  </si>
  <si>
    <t>ISB01-PHR-MIO-08</t>
  </si>
  <si>
    <t>E-02579</t>
  </si>
  <si>
    <t>ISB01-PHR-MIO-09</t>
  </si>
  <si>
    <t>Mansehra</t>
  </si>
  <si>
    <t>E-00167</t>
  </si>
  <si>
    <t>ISB01-PHR-ASM-01</t>
  </si>
  <si>
    <t>PSH01-PHR-MIO-01</t>
  </si>
  <si>
    <t>Charsadda/Tangi/Uni Rd/Shabqadar</t>
  </si>
  <si>
    <t>PSH01-PHR-MIO-02</t>
  </si>
  <si>
    <t>DABGARI/Pabbi/G.T/Cantt</t>
  </si>
  <si>
    <t>PSH01-PHR-MIO-03</t>
  </si>
  <si>
    <t>KTH  Kohat Road Bara/Mingora</t>
  </si>
  <si>
    <t>PSH01-PHR-MIO-05</t>
  </si>
  <si>
    <t>E-02645</t>
  </si>
  <si>
    <t>Mardan/Swabi</t>
  </si>
  <si>
    <t>PSH01-PHR-MIO-04</t>
  </si>
  <si>
    <t>E-02612</t>
  </si>
  <si>
    <t>Bannu</t>
  </si>
  <si>
    <t>PSH01-PHR-MIO-06</t>
  </si>
  <si>
    <t>E-03174</t>
  </si>
  <si>
    <t>Kohat/Matta/Pirbaba/Hangu</t>
  </si>
  <si>
    <t>PSH01-PHR-MIO-07</t>
  </si>
  <si>
    <t>Upper Dir,Bajour,Inayat Kali,Samar Bagh,Munda,Sherangal,Patrag,Maida,Lal Qila,Barawal</t>
  </si>
  <si>
    <t>PSH01-PHR-MIO-09</t>
  </si>
  <si>
    <t>Swabi,Shewa Adda,Ghazi,Shah Mansoor,Zahida,Tor Dheri+Lhr</t>
  </si>
  <si>
    <t>Peshawar 3,Dabgari Garden,HMC,KTH,LRH,Only Local</t>
  </si>
  <si>
    <t>E-02560</t>
  </si>
  <si>
    <t>PSH01-PHR-ASM-01</t>
  </si>
  <si>
    <t>Farooq Ahmed</t>
  </si>
  <si>
    <t>NTH-A-PHR-RSM-01</t>
  </si>
  <si>
    <t>Abid Naseem</t>
  </si>
  <si>
    <t>E-03007</t>
  </si>
  <si>
    <t>NATL-PHR-DGM</t>
  </si>
  <si>
    <t>M. Qaiser Hassan</t>
  </si>
  <si>
    <t>'05120</t>
  </si>
  <si>
    <t>083</t>
  </si>
  <si>
    <t xml:space="preserve">Karachi-1 </t>
  </si>
  <si>
    <t xml:space="preserve">Karachi-2 </t>
  </si>
  <si>
    <t xml:space="preserve">Hyderabad </t>
  </si>
  <si>
    <t xml:space="preserve">Sukkur </t>
  </si>
  <si>
    <t xml:space="preserve">Karachi </t>
  </si>
  <si>
    <t xml:space="preserve">Lahore-1 </t>
  </si>
  <si>
    <t xml:space="preserve">Lahore-2 </t>
  </si>
  <si>
    <t xml:space="preserve">Gujranwala-1 </t>
  </si>
  <si>
    <t xml:space="preserve">Bahawalpur </t>
  </si>
  <si>
    <t xml:space="preserve">Multan </t>
  </si>
  <si>
    <t xml:space="preserve">Lahore </t>
  </si>
  <si>
    <t xml:space="preserve">Faisalabad </t>
  </si>
  <si>
    <t xml:space="preserve">Islamabad </t>
  </si>
  <si>
    <t xml:space="preserve">Peshawar </t>
  </si>
  <si>
    <t xml:space="preserve">National Pharma </t>
  </si>
  <si>
    <t xml:space="preserve">Emp. Code </t>
  </si>
  <si>
    <t>IKON</t>
  </si>
  <si>
    <t>Reps</t>
  </si>
  <si>
    <t>IKON
Used</t>
  </si>
  <si>
    <t>F.F Name</t>
  </si>
  <si>
    <t>Avrg
Calls</t>
  </si>
  <si>
    <t>Avrg
Atten</t>
  </si>
  <si>
    <t>Day
Att Used</t>
  </si>
  <si>
    <t>Day
Call Used</t>
  </si>
  <si>
    <t>MTD
Att Use</t>
  </si>
  <si>
    <t>MTD
Calls Use</t>
  </si>
  <si>
    <t>Active MIOs Today</t>
  </si>
  <si>
    <t># of Attn Today</t>
  </si>
  <si>
    <t xml:space="preserve">Active MIOs MTD </t>
  </si>
  <si>
    <t xml:space="preserve"># of Attn MTD </t>
  </si>
  <si>
    <t># of Calls Today</t>
  </si>
  <si>
    <t xml:space="preserve"># of Calls MTD </t>
  </si>
  <si>
    <t>Comments</t>
  </si>
  <si>
    <t># Of 
Vacant</t>
  </si>
  <si>
    <t>BWP01-PHR-MIO-04</t>
  </si>
  <si>
    <t>033002</t>
  </si>
  <si>
    <t>E-02634</t>
  </si>
  <si>
    <t># of Attn Yesterday</t>
  </si>
  <si>
    <t># of Calls Yesterday</t>
  </si>
  <si>
    <t>Averg
P/Rep/Day</t>
  </si>
  <si>
    <t>Status</t>
  </si>
  <si>
    <t>Not Used
IKON Toay</t>
  </si>
  <si>
    <t>0411007</t>
  </si>
  <si>
    <t>9051701</t>
  </si>
  <si>
    <t>9051702</t>
  </si>
  <si>
    <t>0510001</t>
  </si>
  <si>
    <t>0813002</t>
  </si>
  <si>
    <t>0512003</t>
  </si>
  <si>
    <t>0512011</t>
  </si>
  <si>
    <t>0413001</t>
  </si>
  <si>
    <t>KHI01-PHR-PS-01</t>
  </si>
  <si>
    <t>LHR01-PHR-PS-01</t>
  </si>
  <si>
    <t>LHR02-PHR-MIO-04</t>
  </si>
  <si>
    <t>VACANT</t>
  </si>
  <si>
    <t>RESIGNED</t>
  </si>
  <si>
    <t>MS. TASLEEM KHAN (PS-KHI-01)</t>
  </si>
  <si>
    <t>KHI01 - PHR UNMAPPED</t>
  </si>
  <si>
    <t>UN-DEFINED</t>
  </si>
  <si>
    <t>MR. NOMAN ANSARI (PHR-KHI-05)</t>
  </si>
  <si>
    <t>MS. MEHWISH KANWAL (PHR-KHI-07)</t>
  </si>
  <si>
    <t>MS. SAIMA PARVEEN (PHR-KHI-08)</t>
  </si>
  <si>
    <t>E-02548</t>
  </si>
  <si>
    <t>KHI02 - PHR UNMAPPED</t>
  </si>
  <si>
    <t>M. ALI ANIS</t>
  </si>
  <si>
    <t>IMRAN RAUF (PHR-HYD-01)</t>
  </si>
  <si>
    <t>SAJIDA PARVEEN (PHR-HYD-02)</t>
  </si>
  <si>
    <t>M. AAMIR (PHR-HYD-04)</t>
  </si>
  <si>
    <t>IMTIAZ ALI (PHR-HYD-05)</t>
  </si>
  <si>
    <t>HYD01 - PHR UNMAPPED</t>
  </si>
  <si>
    <t>IMRAN QURESHI</t>
  </si>
  <si>
    <t>MR. ZULFIQAR AHMED (PHR-SUK-03)</t>
  </si>
  <si>
    <t>MR. AKHTIAR (PHR-SUK-04)</t>
  </si>
  <si>
    <t>MR. ASIF ALI SOOMRO (PHR-SUK-05)</t>
  </si>
  <si>
    <t>M. PUNHAL PATHAN (PHR-SUK-06)</t>
  </si>
  <si>
    <t>TAHIR HUSSAIN</t>
  </si>
  <si>
    <t>MS. SAMINA KAUSAR (PHR-LHR-02)</t>
  </si>
  <si>
    <t>MR. KHURRAM SHAHZAD KHAN (PHR-LHR-03)</t>
  </si>
  <si>
    <t>MR. ABID ALI (PHR-LHR-04)</t>
  </si>
  <si>
    <t>M ASIM (PS-LHR-02)</t>
  </si>
  <si>
    <t>LHR01 - PHR UNMAPPED</t>
  </si>
  <si>
    <t>SHAHID SULTAN</t>
  </si>
  <si>
    <t>MR. ATIF BASHIR (PHR-LHR-06)</t>
  </si>
  <si>
    <t>M. HAMID (PHR-LHR-08)</t>
  </si>
  <si>
    <t>AYESHA SHOUKAT (PHR-LHR-05)</t>
  </si>
  <si>
    <t>LHR02 - PHR UNMAPPED</t>
  </si>
  <si>
    <t>M. KHURRAM NAZIR</t>
  </si>
  <si>
    <t>TANZEELA MUQADAS (PHR-GUJ-02)</t>
  </si>
  <si>
    <t>MR. ABDUL BASIT ABRAR (PHR-GUJ-04)</t>
  </si>
  <si>
    <t>ABDUL KHALIL (PHR-GUJ-05)</t>
  </si>
  <si>
    <t>GUJ01 - PHR UNMAPPED</t>
  </si>
  <si>
    <t>UMAR SHARIF</t>
  </si>
  <si>
    <t>M. FAHAD AKHTAR (PHR-BWP-01)</t>
  </si>
  <si>
    <t>MR. FAISAL SHAHZAD (PHR-BWP-03)</t>
  </si>
  <si>
    <t>MR. IMRAN ASGHAR (PHR-BWP-02)</t>
  </si>
  <si>
    <t>M SABIR (PS-BWP-01)</t>
  </si>
  <si>
    <t>MR. KASHIF SUMAIR (PHR-BWP-04)</t>
  </si>
  <si>
    <t>BWP01 - PHR UNMAPPED</t>
  </si>
  <si>
    <t>WAJIH UL MALIK</t>
  </si>
  <si>
    <t>TANZEEL UR REHMAN (PHR-MUX-01)</t>
  </si>
  <si>
    <t>M. HASSAN MIRZA (PHR-MUX-04)</t>
  </si>
  <si>
    <t>MR. ZAIN UL ABEDIN (PHR-MUX-02)</t>
  </si>
  <si>
    <t>HAROON RASHEED (PS-MUX-01)</t>
  </si>
  <si>
    <t>MUX01 - PHR UNMAPPED</t>
  </si>
  <si>
    <t>M. SAJID</t>
  </si>
  <si>
    <t>MS. IQRA RASHEED (PHR-FSD-01)</t>
  </si>
  <si>
    <t>MR. HASSAN ARIF (PHR-FSD-02)</t>
  </si>
  <si>
    <t>MR. AAMIR FAROOQ (PHR-FSD-03)</t>
  </si>
  <si>
    <t>ADNAN ASHIQ (PHR-FSD-04)</t>
  </si>
  <si>
    <t>M WAHEED (PS-FSD-01)</t>
  </si>
  <si>
    <t>MS. AYESHA SAEED (FSD-PHR-05)</t>
  </si>
  <si>
    <t>FSD01 - PHR UNMAPPED</t>
  </si>
  <si>
    <t>M. IMRAN</t>
  </si>
  <si>
    <t>MS. RAO RUKHSANA RAFIQ (PHR-SGD-01)</t>
  </si>
  <si>
    <t>MS. RIFFAT BATOOL (PHR-SGD-02)</t>
  </si>
  <si>
    <t>ZOHAIB WASEEM RAZA (PHR-SGD-04)</t>
  </si>
  <si>
    <t>MS. ULFAT YASMEEN (PHR-PSH-05)</t>
  </si>
  <si>
    <t>MR. ZAKI UL HASSAN (PS-SGD-01)</t>
  </si>
  <si>
    <t>SGD01 - PHR UNMAPPED</t>
  </si>
  <si>
    <t>AMIR ABBAS</t>
  </si>
  <si>
    <t>MISKEEN KHAN (PHR-ISB-01)</t>
  </si>
  <si>
    <t>BUSHRA ASLAM (PHR-ISB-03)</t>
  </si>
  <si>
    <t>M. ADNAN (PHR-ISB-04)</t>
  </si>
  <si>
    <t>MR. FARRUKH SHAHZAD (PHR-ISB-05)</t>
  </si>
  <si>
    <t>MS. NIGHAT YASMEEN (PHR-ISB-06)</t>
  </si>
  <si>
    <t>MS. ISMA (PHR-ISB-07)</t>
  </si>
  <si>
    <t>RANI BARNARD (PHR-ISB-08)</t>
  </si>
  <si>
    <t>NADEEM NIAZ (PHR-ISB-09)</t>
  </si>
  <si>
    <t>ISB01 - PHR UNMAPPED</t>
  </si>
  <si>
    <t>MS. ROZIA BIBI (PHR-PSH-02)</t>
  </si>
  <si>
    <t>MR. FARID ABAZ KHAN (PHR-PSH-04)</t>
  </si>
  <si>
    <t>JAWERIA (PHR-PSH-06)</t>
  </si>
  <si>
    <t>VACANT (PHR-PSH-09)</t>
  </si>
  <si>
    <t>PSH01 - PHR UNMAPPED</t>
  </si>
  <si>
    <t>Mr. Atif Sultan</t>
  </si>
  <si>
    <t>05110</t>
  </si>
  <si>
    <t>MS. AMNA YASIR</t>
  </si>
  <si>
    <t>FAROOQ AHMED</t>
  </si>
  <si>
    <t>ABID NASEEM</t>
  </si>
  <si>
    <t>ATIF SULTAN</t>
  </si>
  <si>
    <t>7/72026</t>
  </si>
  <si>
    <t>Pharma Team | MIO IKON MTD Performance Report (Till 29 Jul-2026, 01:35PM)</t>
  </si>
  <si>
    <t>M. RAHEEL (PHR-HYD-03)</t>
  </si>
  <si>
    <t>MR. ARIF HUSSAIN (PHR-MUX-03)</t>
  </si>
  <si>
    <t>VACANT (PHR-KHI-06)</t>
  </si>
  <si>
    <t>New</t>
  </si>
  <si>
    <t>VACANT (PHR-KHI-01)</t>
  </si>
  <si>
    <t>-</t>
  </si>
  <si>
    <t>Mr. Zahid Ali Shah</t>
  </si>
  <si>
    <t>Calls + Other Exceptions</t>
  </si>
  <si>
    <t>VACANT (PHR-KHI-04)</t>
  </si>
  <si>
    <t>VACANT ASM KHI-01</t>
  </si>
  <si>
    <t>MR.VACANT (PHR-KHI-03)</t>
  </si>
  <si>
    <t>MR. HASNAIN RAZA (PHR-SUK-01)</t>
  </si>
  <si>
    <t>MR. VACANT (PHR-SUK-02)</t>
  </si>
  <si>
    <t>SUK01 - PHR UNMAPPED</t>
  </si>
  <si>
    <t>MR. VACANT (PHR-LHR-01)</t>
  </si>
  <si>
    <t>SHAHID ASLAM (PS-LHR-01)</t>
  </si>
  <si>
    <t>VACANT (PHR-GUJ-03)</t>
  </si>
  <si>
    <t>M. VACANT (PHR-SGD-03)</t>
  </si>
  <si>
    <t>MS. VACANT (PHR-ISB-02)</t>
  </si>
  <si>
    <t>Mr. Waqas Akhter  (PHR-PSH-07)</t>
  </si>
  <si>
    <t>VACANT (PHR-PSH-08)</t>
  </si>
  <si>
    <t>VACANT (PHR-LHR-07)</t>
  </si>
  <si>
    <t>VACANT (PHR-PSH-03)</t>
  </si>
  <si>
    <t>VACANT (PHR-HYD-06)</t>
  </si>
  <si>
    <t>VACANT PHR-PSH-05)</t>
  </si>
  <si>
    <t>VACANT (PHR-KHI-02)</t>
  </si>
  <si>
    <t>VACANT (PHR-GUJ-01)</t>
  </si>
  <si>
    <t>VACANT (PHR-PSH-01)</t>
  </si>
  <si>
    <t>Attendance 
(OCT-2026)</t>
  </si>
  <si>
    <t>Calls + Other Exceptions
(OCT-2026)</t>
  </si>
  <si>
    <t>PHARMA Team – IKON MTD Call Performance Summary Till 14-OCT-2026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</si>
</sst>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(* #,##0.00_);_(* \(#,##0.00\);_(* &quot;-&quot;??_);_(@_)"/>
    <numFmt numFmtId="165" formatCode="_(* #,##0.0_);_(* \(#,##0.0\);_(* &quot;-&quot;??_);_(@_)"/>
    <numFmt numFmtId="166" formatCode="[$]dd\-mmm\-yyyy;@" x16r2:formatCode16="[$-en-PK,1]dd\-mmm\-yyyy;@"/>
    <numFmt numFmtId="167" formatCode="_(* #,##0_);_(* \(#,##0\);_(* &quot;-&quot;??_);_(@_)"/>
    <numFmt numFmtId="168" formatCode="[$-409]dd\-mmm\-yy;@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22"/>
      <color theme="1"/>
      <name val="Aptos"/>
      <family val="2"/>
    </font>
    <font>
      <b/>
      <sz val="16"/>
      <color theme="1"/>
      <name val="Aptos"/>
      <family val="2"/>
    </font>
    <font>
      <b/>
      <sz val="11"/>
      <color theme="1"/>
      <name val="Aptos"/>
      <family val="2"/>
    </font>
    <font>
      <b/>
      <sz val="12"/>
      <color theme="1"/>
      <name val="Aptos"/>
      <family val="2"/>
    </font>
    <font>
      <sz val="24"/>
      <color rgb="FFFF0000"/>
      <name val="Calibri"/>
      <family val="2"/>
      <scheme val="minor"/>
    </font>
    <font>
      <b/>
      <sz val="10"/>
      <color theme="1"/>
      <name val="Aptos"/>
      <family val="2"/>
    </font>
    <font>
      <b/>
      <sz val="18"/>
      <color theme="1"/>
      <name val="Aptos"/>
      <family val="2"/>
    </font>
    <font>
      <b/>
      <sz val="20"/>
      <color theme="1"/>
      <name val="Aptos"/>
      <family val="2"/>
    </font>
    <font>
      <b/>
      <sz val="24"/>
      <color theme="1"/>
      <name val="Aptos"/>
      <family val="2"/>
    </font>
    <font>
      <sz val="20"/>
      <color theme="1"/>
      <name val="Aptos"/>
      <family val="2"/>
    </font>
    <font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8"/>
      <color theme="1"/>
      <name val="Aptos"/>
      <family val="2"/>
    </font>
    <font>
      <b/>
      <sz val="12"/>
      <color theme="1"/>
      <name val="Calibri"/>
      <family val="2"/>
      <scheme val="minor"/>
    </font>
    <font>
      <b/>
      <sz val="28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2FFF8D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8">
    <xf numFmtId="0" fontId="0" fillId="0" borderId="0" xfId="0"/>
    <xf numFmtId="0" fontId="3" fillId="0" borderId="13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7" fontId="3" fillId="0" borderId="19" xfId="1" applyNumberFormat="1" applyFont="1" applyBorder="1"/>
    <xf numFmtId="0" fontId="3" fillId="0" borderId="15" xfId="0" applyFont="1" applyBorder="1"/>
    <xf numFmtId="167" fontId="3" fillId="0" borderId="26" xfId="1" applyNumberFormat="1" applyFont="1" applyBorder="1"/>
    <xf numFmtId="2" fontId="6" fillId="0" borderId="13" xfId="0" applyNumberFormat="1" applyFont="1" applyBorder="1" applyAlignment="1">
      <alignment horizontal="center" vertical="center" wrapText="1"/>
    </xf>
    <xf numFmtId="2" fontId="6" fillId="0" borderId="12" xfId="0" applyNumberFormat="1" applyFont="1" applyBorder="1" applyAlignment="1">
      <alignment horizontal="center" vertical="center" wrapText="1"/>
    </xf>
    <xf numFmtId="167" fontId="3" fillId="0" borderId="28" xfId="1" applyNumberFormat="1" applyFont="1" applyBorder="1"/>
    <xf numFmtId="167" fontId="3" fillId="0" borderId="8" xfId="1" applyNumberFormat="1" applyFont="1" applyBorder="1"/>
    <xf numFmtId="167" fontId="3" fillId="0" borderId="9" xfId="1" applyNumberFormat="1" applyFont="1" applyBorder="1"/>
    <xf numFmtId="0" fontId="0" fillId="0" borderId="7" xfId="0" applyBorder="1"/>
    <xf numFmtId="0" fontId="0" fillId="0" borderId="8" xfId="0" applyBorder="1"/>
    <xf numFmtId="167" fontId="2" fillId="0" borderId="8" xfId="1" applyNumberFormat="1" applyFont="1" applyBorder="1"/>
    <xf numFmtId="167" fontId="2" fillId="0" borderId="9" xfId="1" applyNumberFormat="1" applyFont="1" applyBorder="1"/>
    <xf numFmtId="0" fontId="14" fillId="0" borderId="0" xfId="0" applyFont="1"/>
    <xf numFmtId="167" fontId="11" fillId="8" borderId="12" xfId="1" applyNumberFormat="1" applyFont="1" applyFill="1" applyBorder="1"/>
    <xf numFmtId="167" fontId="3" fillId="0" borderId="17" xfId="1" applyNumberFormat="1" applyFont="1" applyFill="1" applyBorder="1"/>
    <xf numFmtId="0" fontId="7" fillId="9" borderId="17" xfId="0" applyFont="1" applyFill="1" applyBorder="1"/>
    <xf numFmtId="165" fontId="7" fillId="9" borderId="17" xfId="1" applyNumberFormat="1" applyFont="1" applyFill="1" applyBorder="1" applyAlignment="1"/>
    <xf numFmtId="0" fontId="7" fillId="5" borderId="17" xfId="0" applyFont="1" applyFill="1" applyBorder="1"/>
    <xf numFmtId="0" fontId="7" fillId="5" borderId="17" xfId="0" quotePrefix="1" applyFont="1" applyFill="1" applyBorder="1"/>
    <xf numFmtId="166" fontId="7" fillId="9" borderId="17" xfId="0" applyNumberFormat="1" applyFont="1" applyFill="1" applyBorder="1"/>
    <xf numFmtId="167" fontId="7" fillId="9" borderId="17" xfId="1" applyNumberFormat="1" applyFont="1" applyFill="1" applyBorder="1"/>
    <xf numFmtId="167" fontId="6" fillId="9" borderId="17" xfId="1" applyNumberFormat="1" applyFont="1" applyFill="1" applyBorder="1"/>
    <xf numFmtId="0" fontId="7" fillId="0" borderId="17" xfId="0" applyFont="1" applyBorder="1"/>
    <xf numFmtId="165" fontId="7" fillId="0" borderId="17" xfId="1" applyNumberFormat="1" applyFont="1" applyFill="1" applyBorder="1"/>
    <xf numFmtId="0" fontId="7" fillId="4" borderId="17" xfId="0" quotePrefix="1" applyFont="1" applyFill="1" applyBorder="1"/>
    <xf numFmtId="166" fontId="7" fillId="0" borderId="17" xfId="0" applyNumberFormat="1" applyFont="1" applyBorder="1"/>
    <xf numFmtId="0" fontId="7" fillId="4" borderId="17" xfId="0" applyFont="1" applyFill="1" applyBorder="1"/>
    <xf numFmtId="167" fontId="7" fillId="0" borderId="17" xfId="1" applyNumberFormat="1" applyFont="1" applyFill="1" applyBorder="1"/>
    <xf numFmtId="0" fontId="7" fillId="7" borderId="17" xfId="0" applyFont="1" applyFill="1" applyBorder="1"/>
    <xf numFmtId="165" fontId="7" fillId="7" borderId="17" xfId="1" applyNumberFormat="1" applyFont="1" applyFill="1" applyBorder="1" applyAlignment="1">
      <alignment horizontal="center"/>
    </xf>
    <xf numFmtId="0" fontId="7" fillId="7" borderId="17" xfId="0" quotePrefix="1" applyFont="1" applyFill="1" applyBorder="1"/>
    <xf numFmtId="166" fontId="7" fillId="7" borderId="17" xfId="0" applyNumberFormat="1" applyFont="1" applyFill="1" applyBorder="1"/>
    <xf numFmtId="167" fontId="7" fillId="7" borderId="17" xfId="1" applyNumberFormat="1" applyFont="1" applyFill="1" applyBorder="1"/>
    <xf numFmtId="167" fontId="6" fillId="7" borderId="17" xfId="1" applyNumberFormat="1" applyFont="1" applyFill="1" applyBorder="1"/>
    <xf numFmtId="0" fontId="7" fillId="9" borderId="15" xfId="0" applyFont="1" applyFill="1" applyBorder="1"/>
    <xf numFmtId="0" fontId="7" fillId="0" borderId="15" xfId="0" applyFont="1" applyBorder="1"/>
    <xf numFmtId="0" fontId="7" fillId="7" borderId="15" xfId="0" applyFont="1" applyFill="1" applyBorder="1"/>
    <xf numFmtId="165" fontId="7" fillId="0" borderId="15" xfId="1" applyNumberFormat="1" applyFont="1" applyFill="1" applyBorder="1"/>
    <xf numFmtId="0" fontId="7" fillId="8" borderId="22" xfId="0" applyFont="1" applyFill="1" applyBorder="1"/>
    <xf numFmtId="0" fontId="7" fillId="8" borderId="25" xfId="0" applyFont="1" applyFill="1" applyBorder="1"/>
    <xf numFmtId="0" fontId="7" fillId="8" borderId="25" xfId="0" quotePrefix="1" applyFont="1" applyFill="1" applyBorder="1"/>
    <xf numFmtId="166" fontId="7" fillId="8" borderId="25" xfId="0" applyNumberFormat="1" applyFont="1" applyFill="1" applyBorder="1"/>
    <xf numFmtId="167" fontId="7" fillId="8" borderId="25" xfId="1" applyNumberFormat="1" applyFont="1" applyFill="1" applyBorder="1"/>
    <xf numFmtId="167" fontId="6" fillId="8" borderId="25" xfId="1" applyNumberFormat="1" applyFont="1" applyFill="1" applyBorder="1"/>
    <xf numFmtId="167" fontId="7" fillId="9" borderId="18" xfId="1" applyNumberFormat="1" applyFont="1" applyFill="1" applyBorder="1"/>
    <xf numFmtId="167" fontId="7" fillId="7" borderId="18" xfId="1" applyNumberFormat="1" applyFont="1" applyFill="1" applyBorder="1"/>
    <xf numFmtId="167" fontId="7" fillId="8" borderId="23" xfId="1" applyNumberFormat="1" applyFont="1" applyFill="1" applyBorder="1"/>
    <xf numFmtId="167" fontId="3" fillId="0" borderId="15" xfId="1" applyNumberFormat="1" applyFont="1" applyFill="1" applyBorder="1"/>
    <xf numFmtId="167" fontId="6" fillId="9" borderId="15" xfId="1" applyNumberFormat="1" applyFont="1" applyFill="1" applyBorder="1"/>
    <xf numFmtId="167" fontId="6" fillId="7" borderId="15" xfId="1" applyNumberFormat="1" applyFont="1" applyFill="1" applyBorder="1"/>
    <xf numFmtId="167" fontId="6" fillId="8" borderId="22" xfId="1" applyNumberFormat="1" applyFont="1" applyFill="1" applyBorder="1"/>
    <xf numFmtId="167" fontId="3" fillId="0" borderId="16" xfId="1" applyNumberFormat="1" applyFont="1" applyFill="1" applyBorder="1"/>
    <xf numFmtId="167" fontId="6" fillId="9" borderId="16" xfId="1" applyNumberFormat="1" applyFont="1" applyFill="1" applyBorder="1"/>
    <xf numFmtId="167" fontId="6" fillId="7" borderId="16" xfId="1" applyNumberFormat="1" applyFont="1" applyFill="1" applyBorder="1"/>
    <xf numFmtId="167" fontId="6" fillId="8" borderId="24" xfId="1" applyNumberFormat="1" applyFont="1" applyFill="1" applyBorder="1"/>
    <xf numFmtId="167" fontId="3" fillId="0" borderId="29" xfId="1" applyNumberFormat="1" applyFont="1" applyFill="1" applyBorder="1"/>
    <xf numFmtId="167" fontId="6" fillId="9" borderId="29" xfId="1" applyNumberFormat="1" applyFont="1" applyFill="1" applyBorder="1"/>
    <xf numFmtId="167" fontId="6" fillId="7" borderId="29" xfId="1" applyNumberFormat="1" applyFont="1" applyFill="1" applyBorder="1"/>
    <xf numFmtId="167" fontId="6" fillId="8" borderId="30" xfId="1" applyNumberFormat="1" applyFont="1" applyFill="1" applyBorder="1"/>
    <xf numFmtId="167" fontId="3" fillId="0" borderId="19" xfId="1" applyNumberFormat="1" applyFont="1" applyFill="1" applyBorder="1"/>
    <xf numFmtId="167" fontId="3" fillId="0" borderId="31" xfId="1" applyNumberFormat="1" applyFont="1" applyFill="1" applyBorder="1"/>
    <xf numFmtId="167" fontId="3" fillId="0" borderId="32" xfId="1" applyNumberFormat="1" applyFont="1" applyFill="1" applyBorder="1"/>
    <xf numFmtId="167" fontId="3" fillId="0" borderId="33" xfId="1" applyNumberFormat="1" applyFont="1" applyFill="1" applyBorder="1"/>
    <xf numFmtId="0" fontId="7" fillId="3" borderId="13" xfId="0" applyFont="1" applyFill="1" applyBorder="1" applyAlignment="1">
      <alignment horizontal="center" vertical="center"/>
    </xf>
    <xf numFmtId="0" fontId="7" fillId="3" borderId="34" xfId="0" applyFont="1" applyFill="1" applyBorder="1" applyAlignment="1">
      <alignment horizontal="center" vertical="center"/>
    </xf>
    <xf numFmtId="165" fontId="7" fillId="3" borderId="34" xfId="1" applyNumberFormat="1" applyFont="1" applyFill="1" applyBorder="1" applyAlignment="1">
      <alignment horizontal="center" vertical="center"/>
    </xf>
    <xf numFmtId="0" fontId="7" fillId="3" borderId="34" xfId="0" applyFont="1" applyFill="1" applyBorder="1" applyAlignment="1">
      <alignment horizontal="center" vertical="center" wrapText="1"/>
    </xf>
    <xf numFmtId="166" fontId="7" fillId="3" borderId="34" xfId="0" applyNumberFormat="1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167" fontId="6" fillId="3" borderId="13" xfId="1" applyNumberFormat="1" applyFont="1" applyFill="1" applyBorder="1" applyAlignment="1">
      <alignment horizontal="center" vertical="center" wrapText="1"/>
    </xf>
    <xf numFmtId="167" fontId="6" fillId="3" borderId="34" xfId="1" applyNumberFormat="1" applyFont="1" applyFill="1" applyBorder="1" applyAlignment="1">
      <alignment horizontal="center" vertical="center" wrapText="1"/>
    </xf>
    <xf numFmtId="167" fontId="6" fillId="3" borderId="35" xfId="1" applyNumberFormat="1" applyFont="1" applyFill="1" applyBorder="1" applyAlignment="1">
      <alignment horizontal="center" vertical="center" wrapText="1"/>
    </xf>
    <xf numFmtId="167" fontId="6" fillId="3" borderId="12" xfId="1" applyNumberFormat="1" applyFont="1" applyFill="1" applyBorder="1" applyAlignment="1">
      <alignment horizontal="center" vertical="center" wrapText="1"/>
    </xf>
    <xf numFmtId="0" fontId="13" fillId="0" borderId="17" xfId="0" applyFont="1" applyBorder="1" applyAlignment="1">
      <alignment horizontal="left" vertical="center"/>
    </xf>
    <xf numFmtId="165" fontId="13" fillId="0" borderId="17" xfId="1" applyNumberFormat="1" applyFont="1" applyFill="1" applyBorder="1" applyAlignment="1">
      <alignment horizontal="left" vertical="center"/>
    </xf>
    <xf numFmtId="167" fontId="13" fillId="0" borderId="17" xfId="1" applyNumberFormat="1" applyFont="1" applyFill="1" applyBorder="1"/>
    <xf numFmtId="0" fontId="13" fillId="0" borderId="31" xfId="0" applyFont="1" applyBorder="1" applyAlignment="1">
      <alignment horizontal="left" vertical="center"/>
    </xf>
    <xf numFmtId="165" fontId="13" fillId="0" borderId="31" xfId="1" applyNumberFormat="1" applyFont="1" applyFill="1" applyBorder="1" applyAlignment="1">
      <alignment horizontal="left" vertical="center"/>
    </xf>
    <xf numFmtId="167" fontId="13" fillId="0" borderId="31" xfId="1" applyNumberFormat="1" applyFont="1" applyFill="1" applyBorder="1"/>
    <xf numFmtId="0" fontId="5" fillId="3" borderId="13" xfId="0" applyFont="1" applyFill="1" applyBorder="1" applyAlignment="1">
      <alignment horizontal="center" vertical="center" wrapText="1"/>
    </xf>
    <xf numFmtId="0" fontId="5" fillId="3" borderId="34" xfId="0" applyFont="1" applyFill="1" applyBorder="1" applyAlignment="1">
      <alignment horizontal="center" vertical="center" wrapText="1"/>
    </xf>
    <xf numFmtId="165" fontId="5" fillId="3" borderId="34" xfId="1" applyNumberFormat="1" applyFont="1" applyFill="1" applyBorder="1" applyAlignment="1">
      <alignment horizontal="center" vertical="center" wrapText="1"/>
    </xf>
    <xf numFmtId="168" fontId="5" fillId="10" borderId="34" xfId="1" applyNumberFormat="1" applyFont="1" applyFill="1" applyBorder="1" applyAlignment="1">
      <alignment horizontal="center" vertical="center" wrapText="1"/>
    </xf>
    <xf numFmtId="168" fontId="5" fillId="11" borderId="34" xfId="1" applyNumberFormat="1" applyFont="1" applyFill="1" applyBorder="1" applyAlignment="1">
      <alignment horizontal="center" vertical="center" wrapText="1"/>
    </xf>
    <xf numFmtId="0" fontId="5" fillId="3" borderId="35" xfId="0" applyFont="1" applyFill="1" applyBorder="1" applyAlignment="1">
      <alignment horizontal="center" vertical="center" wrapText="1"/>
    </xf>
    <xf numFmtId="167" fontId="13" fillId="0" borderId="32" xfId="1" applyNumberFormat="1" applyFont="1" applyFill="1" applyBorder="1"/>
    <xf numFmtId="167" fontId="13" fillId="0" borderId="16" xfId="1" applyNumberFormat="1" applyFont="1" applyFill="1" applyBorder="1"/>
    <xf numFmtId="168" fontId="5" fillId="10" borderId="13" xfId="1" applyNumberFormat="1" applyFont="1" applyFill="1" applyBorder="1" applyAlignment="1">
      <alignment horizontal="center" vertical="center" wrapText="1"/>
    </xf>
    <xf numFmtId="167" fontId="13" fillId="0" borderId="19" xfId="1" applyNumberFormat="1" applyFont="1" applyFill="1" applyBorder="1"/>
    <xf numFmtId="167" fontId="13" fillId="0" borderId="20" xfId="1" applyNumberFormat="1" applyFont="1" applyFill="1" applyBorder="1"/>
    <xf numFmtId="167" fontId="13" fillId="0" borderId="15" xfId="1" applyNumberFormat="1" applyFont="1" applyFill="1" applyBorder="1"/>
    <xf numFmtId="167" fontId="13" fillId="0" borderId="18" xfId="1" applyNumberFormat="1" applyFont="1" applyFill="1" applyBorder="1"/>
    <xf numFmtId="168" fontId="5" fillId="11" borderId="13" xfId="1" applyNumberFormat="1" applyFont="1" applyFill="1" applyBorder="1" applyAlignment="1">
      <alignment horizontal="center" vertical="center" wrapText="1"/>
    </xf>
    <xf numFmtId="9" fontId="15" fillId="0" borderId="0" xfId="2" applyFont="1"/>
    <xf numFmtId="167" fontId="7" fillId="9" borderId="16" xfId="1" applyNumberFormat="1" applyFont="1" applyFill="1" applyBorder="1"/>
    <xf numFmtId="167" fontId="7" fillId="7" borderId="16" xfId="1" applyNumberFormat="1" applyFont="1" applyFill="1" applyBorder="1"/>
    <xf numFmtId="167" fontId="7" fillId="8" borderId="24" xfId="1" applyNumberFormat="1" applyFont="1" applyFill="1" applyBorder="1"/>
    <xf numFmtId="0" fontId="7" fillId="3" borderId="35" xfId="0" applyFont="1" applyFill="1" applyBorder="1" applyAlignment="1">
      <alignment horizontal="center" vertical="center" wrapText="1"/>
    </xf>
    <xf numFmtId="0" fontId="13" fillId="0" borderId="15" xfId="0" applyFont="1" applyBorder="1" applyAlignment="1">
      <alignment horizontal="left" vertical="center"/>
    </xf>
    <xf numFmtId="0" fontId="13" fillId="0" borderId="19" xfId="0" applyFont="1" applyBorder="1" applyAlignment="1">
      <alignment horizontal="left" vertical="center"/>
    </xf>
    <xf numFmtId="168" fontId="5" fillId="10" borderId="14" xfId="1" applyNumberFormat="1" applyFont="1" applyFill="1" applyBorder="1" applyAlignment="1">
      <alignment horizontal="center" vertical="center" wrapText="1"/>
    </xf>
    <xf numFmtId="167" fontId="13" fillId="0" borderId="33" xfId="1" applyNumberFormat="1" applyFont="1" applyFill="1" applyBorder="1"/>
    <xf numFmtId="167" fontId="13" fillId="0" borderId="29" xfId="1" applyNumberFormat="1" applyFont="1" applyFill="1" applyBorder="1"/>
    <xf numFmtId="0" fontId="11" fillId="8" borderId="13" xfId="0" applyFont="1" applyFill="1" applyBorder="1" applyAlignment="1">
      <alignment horizontal="left" vertical="center"/>
    </xf>
    <xf numFmtId="0" fontId="11" fillId="8" borderId="34" xfId="0" applyFont="1" applyFill="1" applyBorder="1" applyAlignment="1">
      <alignment horizontal="left" vertical="center"/>
    </xf>
    <xf numFmtId="167" fontId="11" fillId="8" borderId="34" xfId="1" applyNumberFormat="1" applyFont="1" applyFill="1" applyBorder="1"/>
    <xf numFmtId="167" fontId="11" fillId="8" borderId="35" xfId="1" applyNumberFormat="1" applyFont="1" applyFill="1" applyBorder="1"/>
    <xf numFmtId="167" fontId="11" fillId="8" borderId="13" xfId="1" applyNumberFormat="1" applyFont="1" applyFill="1" applyBorder="1"/>
    <xf numFmtId="167" fontId="11" fillId="8" borderId="14" xfId="1" applyNumberFormat="1" applyFont="1" applyFill="1" applyBorder="1"/>
    <xf numFmtId="0" fontId="13" fillId="0" borderId="38" xfId="0" applyFont="1" applyBorder="1" applyAlignment="1">
      <alignment horizontal="left" vertical="center"/>
    </xf>
    <xf numFmtId="0" fontId="13" fillId="0" borderId="39" xfId="0" applyFont="1" applyBorder="1" applyAlignment="1">
      <alignment horizontal="left" vertical="center"/>
    </xf>
    <xf numFmtId="167" fontId="13" fillId="0" borderId="39" xfId="1" applyNumberFormat="1" applyFont="1" applyFill="1" applyBorder="1"/>
    <xf numFmtId="167" fontId="13" fillId="0" borderId="40" xfId="1" applyNumberFormat="1" applyFont="1" applyFill="1" applyBorder="1"/>
    <xf numFmtId="167" fontId="13" fillId="0" borderId="38" xfId="1" applyNumberFormat="1" applyFont="1" applyFill="1" applyBorder="1"/>
    <xf numFmtId="167" fontId="13" fillId="0" borderId="41" xfId="1" applyNumberFormat="1" applyFont="1" applyFill="1" applyBorder="1"/>
    <xf numFmtId="167" fontId="13" fillId="0" borderId="42" xfId="1" applyNumberFormat="1" applyFont="1" applyFill="1" applyBorder="1"/>
    <xf numFmtId="0" fontId="11" fillId="7" borderId="13" xfId="0" applyFont="1" applyFill="1" applyBorder="1" applyAlignment="1">
      <alignment horizontal="left" vertical="center"/>
    </xf>
    <xf numFmtId="0" fontId="11" fillId="7" borderId="34" xfId="0" applyFont="1" applyFill="1" applyBorder="1" applyAlignment="1">
      <alignment horizontal="left" vertical="center"/>
    </xf>
    <xf numFmtId="165" fontId="11" fillId="7" borderId="34" xfId="1" applyNumberFormat="1" applyFont="1" applyFill="1" applyBorder="1" applyAlignment="1">
      <alignment horizontal="left" vertical="center"/>
    </xf>
    <xf numFmtId="167" fontId="11" fillId="7" borderId="34" xfId="1" applyNumberFormat="1" applyFont="1" applyFill="1" applyBorder="1"/>
    <xf numFmtId="167" fontId="11" fillId="7" borderId="35" xfId="1" applyNumberFormat="1" applyFont="1" applyFill="1" applyBorder="1"/>
    <xf numFmtId="167" fontId="11" fillId="7" borderId="13" xfId="1" applyNumberFormat="1" applyFont="1" applyFill="1" applyBorder="1"/>
    <xf numFmtId="167" fontId="11" fillId="7" borderId="14" xfId="1" applyNumberFormat="1" applyFont="1" applyFill="1" applyBorder="1"/>
    <xf numFmtId="167" fontId="11" fillId="7" borderId="12" xfId="1" applyNumberFormat="1" applyFont="1" applyFill="1" applyBorder="1"/>
    <xf numFmtId="165" fontId="13" fillId="0" borderId="39" xfId="1" applyNumberFormat="1" applyFont="1" applyFill="1" applyBorder="1" applyAlignment="1">
      <alignment horizontal="left" vertical="center"/>
    </xf>
    <xf numFmtId="168" fontId="7" fillId="11" borderId="9" xfId="1" applyNumberFormat="1" applyFont="1" applyFill="1" applyBorder="1" applyAlignment="1">
      <alignment horizontal="center" vertical="center" wrapText="1"/>
    </xf>
    <xf numFmtId="167" fontId="13" fillId="0" borderId="28" xfId="1" applyNumberFormat="1" applyFont="1" applyFill="1" applyBorder="1"/>
    <xf numFmtId="167" fontId="13" fillId="0" borderId="43" xfId="1" applyNumberFormat="1" applyFont="1" applyFill="1" applyBorder="1"/>
    <xf numFmtId="167" fontId="13" fillId="0" borderId="44" xfId="1" applyNumberFormat="1" applyFont="1" applyFill="1" applyBorder="1"/>
    <xf numFmtId="167" fontId="11" fillId="7" borderId="5" xfId="1" applyNumberFormat="1" applyFont="1" applyFill="1" applyBorder="1"/>
    <xf numFmtId="167" fontId="11" fillId="8" borderId="5" xfId="1" applyNumberFormat="1" applyFont="1" applyFill="1" applyBorder="1"/>
    <xf numFmtId="167" fontId="17" fillId="0" borderId="20" xfId="1" applyNumberFormat="1" applyFont="1" applyFill="1" applyBorder="1"/>
    <xf numFmtId="168" fontId="5" fillId="11" borderId="45" xfId="1" applyNumberFormat="1" applyFont="1" applyFill="1" applyBorder="1" applyAlignment="1">
      <alignment horizontal="center" vertical="center" wrapText="1"/>
    </xf>
    <xf numFmtId="168" fontId="5" fillId="11" borderId="46" xfId="1" applyNumberFormat="1" applyFont="1" applyFill="1" applyBorder="1" applyAlignment="1">
      <alignment horizontal="center" vertical="center" wrapText="1"/>
    </xf>
    <xf numFmtId="168" fontId="5" fillId="11" borderId="47" xfId="1" applyNumberFormat="1" applyFont="1" applyFill="1" applyBorder="1" applyAlignment="1">
      <alignment horizontal="center" vertical="center" wrapText="1"/>
    </xf>
    <xf numFmtId="168" fontId="7" fillId="8" borderId="47" xfId="1" applyNumberFormat="1" applyFont="1" applyFill="1" applyBorder="1" applyAlignment="1">
      <alignment horizontal="center" vertical="center" wrapText="1"/>
    </xf>
    <xf numFmtId="168" fontId="7" fillId="7" borderId="14" xfId="1" applyNumberFormat="1" applyFont="1" applyFill="1" applyBorder="1" applyAlignment="1">
      <alignment horizontal="center" vertical="center" wrapText="1"/>
    </xf>
    <xf numFmtId="0" fontId="7" fillId="4" borderId="31" xfId="0" quotePrefix="1" applyFont="1" applyFill="1" applyBorder="1"/>
    <xf numFmtId="0" fontId="7" fillId="0" borderId="19" xfId="0" applyFont="1" applyBorder="1"/>
    <xf numFmtId="0" fontId="7" fillId="0" borderId="31" xfId="0" applyFont="1" applyBorder="1"/>
    <xf numFmtId="0" fontId="7" fillId="4" borderId="31" xfId="0" applyFont="1" applyFill="1" applyBorder="1"/>
    <xf numFmtId="167" fontId="7" fillId="0" borderId="31" xfId="1" applyNumberFormat="1" applyFont="1" applyFill="1" applyBorder="1"/>
    <xf numFmtId="167" fontId="7" fillId="0" borderId="32" xfId="1" applyNumberFormat="1" applyFont="1" applyFill="1" applyBorder="1"/>
    <xf numFmtId="167" fontId="7" fillId="0" borderId="20" xfId="1" applyNumberFormat="1" applyFont="1" applyFill="1" applyBorder="1"/>
    <xf numFmtId="167" fontId="7" fillId="0" borderId="16" xfId="1" applyNumberFormat="1" applyFont="1" applyFill="1" applyBorder="1"/>
    <xf numFmtId="167" fontId="7" fillId="0" borderId="18" xfId="1" applyNumberFormat="1" applyFont="1" applyFill="1" applyBorder="1"/>
    <xf numFmtId="168" fontId="5" fillId="7" borderId="13" xfId="1" applyNumberFormat="1" applyFont="1" applyFill="1" applyBorder="1" applyAlignment="1">
      <alignment horizontal="center" vertical="center" wrapText="1"/>
    </xf>
    <xf numFmtId="168" fontId="5" fillId="8" borderId="45" xfId="1" applyNumberFormat="1" applyFont="1" applyFill="1" applyBorder="1" applyAlignment="1">
      <alignment horizontal="center" vertical="center" wrapText="1"/>
    </xf>
    <xf numFmtId="0" fontId="6" fillId="3" borderId="35" xfId="0" applyFont="1" applyFill="1" applyBorder="1" applyAlignment="1">
      <alignment horizontal="center" vertical="center"/>
    </xf>
    <xf numFmtId="0" fontId="9" fillId="4" borderId="16" xfId="0" applyFont="1" applyFill="1" applyBorder="1"/>
    <xf numFmtId="0" fontId="9" fillId="6" borderId="16" xfId="0" applyFont="1" applyFill="1" applyBorder="1"/>
    <xf numFmtId="0" fontId="9" fillId="7" borderId="16" xfId="0" applyFont="1" applyFill="1" applyBorder="1"/>
    <xf numFmtId="0" fontId="9" fillId="8" borderId="16" xfId="0" applyFont="1" applyFill="1" applyBorder="1"/>
    <xf numFmtId="2" fontId="6" fillId="0" borderId="27" xfId="0" applyNumberFormat="1" applyFont="1" applyBorder="1" applyAlignment="1">
      <alignment horizontal="center" vertical="center" wrapText="1"/>
    </xf>
    <xf numFmtId="167" fontId="3" fillId="0" borderId="49" xfId="1" applyNumberFormat="1" applyFont="1" applyBorder="1"/>
    <xf numFmtId="167" fontId="3" fillId="0" borderId="17" xfId="1" applyNumberFormat="1" applyFont="1" applyBorder="1"/>
    <xf numFmtId="167" fontId="3" fillId="0" borderId="31" xfId="1" applyNumberFormat="1" applyFont="1" applyBorder="1"/>
    <xf numFmtId="2" fontId="6" fillId="0" borderId="34" xfId="0" applyNumberFormat="1" applyFont="1" applyBorder="1" applyAlignment="1">
      <alignment horizontal="center" vertical="center" wrapText="1"/>
    </xf>
    <xf numFmtId="2" fontId="6" fillId="0" borderId="14" xfId="0" applyNumberFormat="1" applyFont="1" applyBorder="1" applyAlignment="1">
      <alignment horizontal="center" vertical="center" wrapText="1"/>
    </xf>
    <xf numFmtId="167" fontId="3" fillId="0" borderId="20" xfId="1" applyNumberFormat="1" applyFont="1" applyBorder="1"/>
    <xf numFmtId="167" fontId="3" fillId="0" borderId="15" xfId="1" applyNumberFormat="1" applyFont="1" applyBorder="1"/>
    <xf numFmtId="167" fontId="3" fillId="0" borderId="18" xfId="1" applyNumberFormat="1" applyFont="1" applyBorder="1"/>
    <xf numFmtId="167" fontId="3" fillId="0" borderId="22" xfId="1" applyNumberFormat="1" applyFont="1" applyBorder="1"/>
    <xf numFmtId="167" fontId="3" fillId="0" borderId="25" xfId="1" applyNumberFormat="1" applyFont="1" applyBorder="1"/>
    <xf numFmtId="167" fontId="3" fillId="0" borderId="23" xfId="1" applyNumberFormat="1" applyFont="1" applyBorder="1"/>
    <xf numFmtId="0" fontId="2" fillId="0" borderId="0" xfId="0" applyFont="1"/>
    <xf numFmtId="0" fontId="18" fillId="0" borderId="0" xfId="0" applyFont="1" applyAlignment="1">
      <alignment horizontal="center" vertical="center"/>
    </xf>
    <xf numFmtId="167" fontId="3" fillId="0" borderId="46" xfId="1" applyNumberFormat="1" applyFont="1" applyBorder="1"/>
    <xf numFmtId="0" fontId="9" fillId="0" borderId="16" xfId="0" applyFont="1" applyBorder="1"/>
    <xf numFmtId="167" fontId="3" fillId="0" borderId="18" xfId="1" applyNumberFormat="1" applyFont="1" applyFill="1" applyBorder="1"/>
    <xf numFmtId="167" fontId="3" fillId="0" borderId="49" xfId="1" applyNumberFormat="1" applyFont="1" applyFill="1" applyBorder="1"/>
    <xf numFmtId="167" fontId="3" fillId="0" borderId="26" xfId="1" applyNumberFormat="1" applyFont="1" applyFill="1" applyBorder="1"/>
    <xf numFmtId="167" fontId="3" fillId="0" borderId="28" xfId="1" applyNumberFormat="1" applyFont="1" applyFill="1" applyBorder="1"/>
    <xf numFmtId="0" fontId="5" fillId="12" borderId="34" xfId="0" applyFont="1" applyFill="1" applyBorder="1" applyAlignment="1">
      <alignment horizontal="center" vertical="center" wrapText="1"/>
    </xf>
    <xf numFmtId="167" fontId="0" fillId="0" borderId="0" xfId="0" applyNumberFormat="1"/>
    <xf numFmtId="164" fontId="0" fillId="0" borderId="0" xfId="0" applyNumberFormat="1"/>
    <xf numFmtId="0" fontId="11" fillId="2" borderId="4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17" fontId="6" fillId="0" borderId="10" xfId="0" applyNumberFormat="1" applyFont="1" applyBorder="1" applyAlignment="1">
      <alignment horizontal="center" vertical="center"/>
    </xf>
    <xf numFmtId="17" fontId="6" fillId="0" borderId="50" xfId="0" applyNumberFormat="1" applyFont="1" applyBorder="1" applyAlignment="1">
      <alignment horizontal="center" vertical="center"/>
    </xf>
    <xf numFmtId="17" fontId="6" fillId="0" borderId="11" xfId="0" applyNumberFormat="1" applyFont="1" applyBorder="1" applyAlignment="1">
      <alignment horizontal="center" vertical="center"/>
    </xf>
    <xf numFmtId="17" fontId="6" fillId="0" borderId="2" xfId="0" applyNumberFormat="1" applyFont="1" applyBorder="1" applyAlignment="1">
      <alignment horizontal="center" vertical="center"/>
    </xf>
    <xf numFmtId="17" fontId="6" fillId="0" borderId="3" xfId="0" applyNumberFormat="1" applyFont="1" applyBorder="1" applyAlignment="1">
      <alignment horizontal="center" vertical="center"/>
    </xf>
    <xf numFmtId="168" fontId="11" fillId="3" borderId="4" xfId="0" applyNumberFormat="1" applyFont="1" applyFill="1" applyBorder="1" applyAlignment="1">
      <alignment horizontal="center" vertical="center" wrapText="1"/>
    </xf>
    <xf numFmtId="168" fontId="11" fillId="3" borderId="6" xfId="0" applyNumberFormat="1" applyFont="1" applyFill="1" applyBorder="1" applyAlignment="1">
      <alignment horizontal="center" vertical="center" wrapText="1"/>
    </xf>
    <xf numFmtId="168" fontId="11" fillId="3" borderId="5" xfId="0" applyNumberFormat="1" applyFont="1" applyFill="1" applyBorder="1" applyAlignment="1">
      <alignment horizontal="center" vertical="center" wrapText="1"/>
    </xf>
    <xf numFmtId="168" fontId="11" fillId="3" borderId="1" xfId="0" applyNumberFormat="1" applyFont="1" applyFill="1" applyBorder="1" applyAlignment="1">
      <alignment horizontal="center" vertical="center" wrapText="1"/>
    </xf>
    <xf numFmtId="168" fontId="11" fillId="3" borderId="2" xfId="0" applyNumberFormat="1" applyFont="1" applyFill="1" applyBorder="1" applyAlignment="1">
      <alignment horizontal="center" vertical="center" wrapText="1"/>
    </xf>
    <xf numFmtId="168" fontId="11" fillId="3" borderId="3" xfId="0" applyNumberFormat="1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168" fontId="16" fillId="10" borderId="21" xfId="1" applyNumberFormat="1" applyFont="1" applyFill="1" applyBorder="1" applyAlignment="1">
      <alignment horizontal="center" vertical="center" wrapText="1"/>
    </xf>
    <xf numFmtId="168" fontId="16" fillId="10" borderId="36" xfId="1" applyNumberFormat="1" applyFont="1" applyFill="1" applyBorder="1" applyAlignment="1">
      <alignment horizontal="center" vertical="center" wrapText="1"/>
    </xf>
    <xf numFmtId="168" fontId="16" fillId="10" borderId="37" xfId="1" applyNumberFormat="1" applyFont="1" applyFill="1" applyBorder="1" applyAlignment="1">
      <alignment horizontal="center" vertical="center" wrapText="1"/>
    </xf>
    <xf numFmtId="168" fontId="12" fillId="10" borderId="13" xfId="0" applyNumberFormat="1" applyFont="1" applyFill="1" applyBorder="1" applyAlignment="1">
      <alignment horizontal="center" vertical="center" wrapText="1"/>
    </xf>
    <xf numFmtId="168" fontId="12" fillId="10" borderId="27" xfId="0" applyNumberFormat="1" applyFont="1" applyFill="1" applyBorder="1" applyAlignment="1">
      <alignment horizontal="center" vertical="center" wrapText="1"/>
    </xf>
    <xf numFmtId="168" fontId="12" fillId="10" borderId="34" xfId="0" applyNumberFormat="1" applyFont="1" applyFill="1" applyBorder="1" applyAlignment="1">
      <alignment horizontal="center" vertical="center" wrapText="1"/>
    </xf>
    <xf numFmtId="168" fontId="12" fillId="10" borderId="35" xfId="0" applyNumberFormat="1" applyFont="1" applyFill="1" applyBorder="1" applyAlignment="1">
      <alignment horizontal="center" vertical="center" wrapText="1"/>
    </xf>
    <xf numFmtId="168" fontId="12" fillId="10" borderId="14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168" fontId="4" fillId="10" borderId="13" xfId="0" applyNumberFormat="1" applyFont="1" applyFill="1" applyBorder="1" applyAlignment="1">
      <alignment horizontal="center" vertical="center" wrapText="1"/>
    </xf>
    <xf numFmtId="168" fontId="4" fillId="10" borderId="27" xfId="0" applyNumberFormat="1" applyFont="1" applyFill="1" applyBorder="1" applyAlignment="1">
      <alignment horizontal="center" vertical="center" wrapText="1"/>
    </xf>
    <xf numFmtId="168" fontId="4" fillId="10" borderId="34" xfId="0" applyNumberFormat="1" applyFont="1" applyFill="1" applyBorder="1" applyAlignment="1">
      <alignment horizontal="center" vertical="center" wrapText="1"/>
    </xf>
    <xf numFmtId="168" fontId="4" fillId="10" borderId="35" xfId="0" applyNumberFormat="1" applyFont="1" applyFill="1" applyBorder="1" applyAlignment="1">
      <alignment horizontal="center" vertical="center" wrapText="1"/>
    </xf>
    <xf numFmtId="168" fontId="4" fillId="10" borderId="14" xfId="0" applyNumberFormat="1" applyFont="1" applyFill="1" applyBorder="1" applyAlignment="1">
      <alignment horizontal="center" vertical="center" wrapText="1"/>
    </xf>
    <xf numFmtId="168" fontId="12" fillId="11" borderId="4" xfId="0" applyNumberFormat="1" applyFont="1" applyFill="1" applyBorder="1" applyAlignment="1">
      <alignment horizontal="center" vertical="center" wrapText="1"/>
    </xf>
    <xf numFmtId="168" fontId="12" fillId="11" borderId="6" xfId="0" applyNumberFormat="1" applyFont="1" applyFill="1" applyBorder="1" applyAlignment="1">
      <alignment horizontal="center" vertical="center" wrapText="1"/>
    </xf>
    <xf numFmtId="168" fontId="12" fillId="11" borderId="5" xfId="0" applyNumberFormat="1" applyFont="1" applyFill="1" applyBorder="1" applyAlignment="1">
      <alignment horizontal="center" vertical="center" wrapText="1"/>
    </xf>
    <xf numFmtId="168" fontId="4" fillId="11" borderId="4" xfId="0" applyNumberFormat="1" applyFont="1" applyFill="1" applyBorder="1" applyAlignment="1">
      <alignment horizontal="center" vertical="center" wrapText="1"/>
    </xf>
    <xf numFmtId="168" fontId="4" fillId="11" borderId="6" xfId="0" applyNumberFormat="1" applyFont="1" applyFill="1" applyBorder="1" applyAlignment="1">
      <alignment horizontal="center" vertical="center" wrapText="1"/>
    </xf>
    <xf numFmtId="168" fontId="4" fillId="11" borderId="5" xfId="0" applyNumberFormat="1" applyFont="1" applyFill="1" applyBorder="1" applyAlignment="1">
      <alignment horizontal="center" vertical="center" wrapText="1"/>
    </xf>
    <xf numFmtId="168" fontId="12" fillId="11" borderId="13" xfId="0" applyNumberFormat="1" applyFont="1" applyFill="1" applyBorder="1" applyAlignment="1">
      <alignment horizontal="center" vertical="center" wrapText="1"/>
    </xf>
    <xf numFmtId="168" fontId="12" fillId="11" borderId="27" xfId="0" applyNumberFormat="1" applyFont="1" applyFill="1" applyBorder="1" applyAlignment="1">
      <alignment horizontal="center" vertical="center" wrapText="1"/>
    </xf>
    <xf numFmtId="168" fontId="5" fillId="10" borderId="21" xfId="1" applyNumberFormat="1" applyFont="1" applyFill="1" applyBorder="1" applyAlignment="1">
      <alignment horizontal="center" vertical="center" wrapText="1"/>
    </xf>
    <xf numFmtId="168" fontId="5" fillId="10" borderId="36" xfId="1" applyNumberFormat="1" applyFont="1" applyFill="1" applyBorder="1" applyAlignment="1">
      <alignment horizontal="center" vertical="center" wrapText="1"/>
    </xf>
    <xf numFmtId="168" fontId="5" fillId="10" borderId="37" xfId="1" applyNumberFormat="1" applyFont="1" applyFill="1" applyBorder="1" applyAlignment="1">
      <alignment horizontal="center" vertical="center" wrapText="1"/>
    </xf>
    <xf numFmtId="168" fontId="4" fillId="11" borderId="13" xfId="0" applyNumberFormat="1" applyFont="1" applyFill="1" applyBorder="1" applyAlignment="1">
      <alignment horizontal="center" vertical="center" wrapText="1"/>
    </xf>
    <xf numFmtId="168" fontId="4" fillId="11" borderId="27" xfId="0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1" defaultTableStyle="TableStyleMedium2" defaultPivotStyle="PivotStyleLight16">
    <tableStyle name="Invisible" pivot="0" table="0" count="0" xr9:uid="{C21C23FC-F908-40F0-8219-C501CBA7443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9" Type="http://schemas.openxmlformats.org/officeDocument/2006/relationships/externalLink" Target="externalLinks/externalLink36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50" Type="http://schemas.openxmlformats.org/officeDocument/2006/relationships/externalLink" Target="externalLinks/externalLink47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9" Type="http://schemas.openxmlformats.org/officeDocument/2006/relationships/externalLink" Target="externalLinks/externalLink26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53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8" Type="http://schemas.openxmlformats.org/officeDocument/2006/relationships/externalLink" Target="externalLinks/externalLink5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43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externalLink" Target="externalLinks/externalLink4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duljalil\data%20jalil1\Auditor-data\Ahmed\Annual2001\P&amp;L\pls-sk&amp;f%20Dec.%20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duljalil\Data%20jalil\Audit%202001\June%2030,%202001\Ahmed\pls-sk&amp;f%20June%20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-rizwanm\Audit%202005-2006\DOCUME~1\EAuditor\LOCALS~1\Temp\notes2C87F0\Auditor-data\Ahmed\Annual2001\P&amp;L\pls-sk&amp;f%20Dec.%20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Contracts\ReadOnly\COUNTRY\Southern%20Africa%20Regional\CIDA\Generic%20ACT%20Budget%20-%20Feb%2008%20-%20TJ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-rizwanm\Audit%202005-2006\DOCUME~1\EAuditor\LOCALS~1\Temp\notes2C87F0\zee\PL\Cross%20Charges%20June-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duljalil\data%20jalil1\GWAuditors\AFF%202004\June%202004\SMJ\zee\PL\Cross%20Charges%20June-0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izarali/AppData/Local/Microsoft/Windows/Temporary%20Internet%20Files/Content.Outlook/FNHPIPCK/UC%20population%20(National)%20UN%20no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ustafazaidi/AppData/Local/Microsoft/Windows/Temporary%20Internet%20Files/Content.Outlook/5TG13U0P/quick-db%20-Sales%20Dashboard%20(CYPs).xlsb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had%20Paracha/AppData/Local/Microsoft/Windows/Temporary%20Internet%20Files/Content.Outlook/DREGD2ZY/Budget%20Template%20for%20FY13-14%20for%20all%20depts%20except%20Admin%20and%20Sales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Muhammad%20Ziauddin\Local%20Settings\Temporary%20Internet%20Files\OLK1B\Documents%20and%20Settings\Laiq\Local%20Settings\Temporary%20Internet%20Files\OLK4\Packard-Jan.200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yed%20Mustafa%20Zaidi/Desktop/FIS%20Budget%2009-10/PnA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HeadOffice/Finance/Annual%20Budgets/BUDGET%2014-15/Received%20files/Budget%20Template%202014-17%20-%20Payroll_v140501.xlsb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ustafazaidi/AppData/Local/Microsoft/Windows/Temporary%20Internet%20Files/Content.Outlook/5TG13U0P/Templates/Budget%202015-18%20-%20Commodities,%20Sales,%20COGS%20&amp;%20CYP.xlsb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faat\Finance_Data\DOCUME~1\UNOPS-~1\LOCALS~1\Temp\Temporary%20Directory%201%20for%20WORK%20PLAN-7-05-07.zip\WORK%20PLAN-7-05-07\DATA\Control\PROJBUDG\AF50\BCR%20jan-mrt%2002%20definitief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Wiqas%20Ahmad/Local%20Settings/Temporary%20Internet%20Files/Content.Outlook/1M8ALN3H/Budget%20Template%202014-17%20-%20Commodities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duljalil\Data%20jalil\Shams\SALE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duljalil\data%20jalil1\Shams\SALES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duljalil\Data%20jalil\cdata\excel\Shams\SALE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-rizwanm\Audit%202005-2006\DOCUME~1\EAuditor\LOCALS~1\Temp\notes2C87F0\Shams\SALES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PSI_Washington\Desktop\GF%20Training\Draft%20Budget%20Template\BudgetTemplateAuto_en%20RS%20with%20numbers%20cleaned%203-24-08.xls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microsoft.com/office/2019/04/relationships/externalLinkLongPath" Target="https://greenstarsocial-my.sharepoint.com/personal/shahzaibsattar_greenstar_org_pk/Documents/D%20Drive/GSM_Data/2020-23/76-MAY%20MIS%20Report-2026/May-2026%20Closing/PL%20-%20Pharma%20-%20MIO%20wise%20Sales%20Vs%20Targets%20YTD-2024-25%20till%20MAY-26.xlsx?F88211ED" TargetMode="External"/><Relationship Id="rId1" Type="http://schemas.openxmlformats.org/officeDocument/2006/relationships/externalLinkPath" Target="file:///\\F88211ED\PL%20-%20Pharma%20-%20MIO%20wise%20Sales%20Vs%20Targets%20YTD-2024-25%20till%20MAY-26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ustafazaidi/AppData/Local/Microsoft/Windows/Temporary%20Internet%20Files/Content.Outlook/5TG13U0P/Tehsils%20Level%20Forecast%202015-2020%20-%2020150512.xlsb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MUSTAF~1.BAL/LOCALS~1/Temp/notesE8DBF2/20111206_Test_of_Controls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HeadOffice/Finance/Annual%20Budgets/BUDGET%2014-15/Received%20files/Budget%202014-17%20-%20Commodities,%20Sales,%20COGS%20&amp;%20CYP.xlsb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C%20Data/Raghib%20Data%20D%20Drive/Raghib/USAID/Budget/USAID-Version%202/USAID%20budget%20template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Kuyosh%20Kadirov\Desktop\PSI%20Bdgt%20Templates\USAID\usaid%20bdgt%20revised%208-06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zmur/AppData/Local/Microsoft/Windows/Temporary%20Internet%20Files/Content.Outlook/BO2TMQRC/Round%208%20RCF%20PF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-rizwanm\Audit%202005-2006\DOCUME~1\EAuditor\LOCALS~1\Temp\notes2C87F0\Administration%20expenses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Kuyosh%20Kadirov\Desktop\PSI%20Bdgt%20Templates\USAID\Bdgt%20template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Raghib%20Masood\AppData\Local\Microsoft\Windows\Temporary%20Internet%20Files\OLK7330\TB-Budget+NTP-R8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halid%20Farough/AppData/Local/Microsoft/Windows/Temporary%20Internet%20Files/Content.Outlook/WBCHLCBM/GS%20PF%20-%20Y%203%20to%205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GSM/Budget%20Vs%20Actual%202014-2015/Mar-2015/P&amp;L%20Statements%20SM,SF&amp;NFP%20upto%20Mar-15%20(13-4-15).xlsb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HeadOffice/Finance/Annual%20Budgets/BUDGET%2014-15/Received%20files/Budget%202014-17-TB%20Department.xlsb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C0EB000\Packard-Jan.200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HeadOffice/Finance/Annual%20Budgets/BUDGET%2014-15/Received%20files/Budget%202014-15-Sales%20Department.xlsb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mbasnet\Local%20Settings\Temporary%20Internet%20Files\OLK611\PR%20Budget%20APRIL%2010-09%20-%20KK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-rizwanm\Audit%202005-2006\DOCUME~1\EAuditor\LOCALS~1\Temp\notes2C87F0\Year%202002\JUNE%202002\SK&amp;F\ANOOP\Shams\SALES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ar-DN-69&amp;70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-rizwanm\Audit%202005-2006\DOCUME~1\EAuditor\LOCALS~1\Temp\notes2C87F0\OI%20+%20OC%20+%20FC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-rizwanm\Audit%202005-2006\DOCUME~1\EAuditor\LOCALS~1\Temp\notes2C87F0\Auditor-data\Nida--2002\P%20&amp;%20L%20June\PL\PL%20sk&amp;f%20june%2030%2002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duljalil\data%20jalil1\GWAuditors\Sh@kiR\PL\PL%20sk&amp;f%20june%2030%200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Tariq%20Hussain\AppData\Local\Microsoft\Windows\Temporary%20Internet%20Files\Content.Outlook\1V832C7O\MCH%20Project%20for%20flood%20affected%20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Headoffice\Finance\Annual%20Budgets\AB%2013-14%20BUDGET\First%20Cut%20Final%20Budgets-Aug%2023\Budget%20Template%20for%20FY13-14%20-%20HO%20Admin%20April%2019.xlsm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\Headoffice\Finance\Annual%20Budgets\AB%2013-14%20BUDGET\Latest%20Estimates%20-%20Feb%2004\LE%20Templates\Budget%20Template%20for%20FY13-14-Operations.xlsm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PSI_Washington\Desktop\GF%20Training\RD%208%20Docs\AttachmentA_HIV_en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\HeadOffice\Finance\Annual%20Budgets\BUDGET%2014-15\Sales%20&amp;%20CYP\Sales%20&amp;%20CYP%20Model\Sales%20Qty%20Tehsil%20%25%20-%2015-May-2014.xlsb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SM_Data\Hasnain%20MIS%20Data\1.Team%20Dashboards\FMCG\2025-26\7.Jan-26\FMCG%20ASM%20wise%20TP%20Value%20&amp;%20Units%20Dashboard%20YTD%20till%20Jan-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2001"/>
      <sheetName val="tbsk&amp;f"/>
      <sheetName val="Sheet4"/>
      <sheetName val="COGS"/>
      <sheetName val="cross charge mfg"/>
      <sheetName val="mfg"/>
      <sheetName val="GLOBAL COGS MATERIAL"/>
      <sheetName val="GLOBAL COGSLABOUR"/>
      <sheetName val="GLOBAL COGS foh"/>
      <sheetName val="variance"/>
      <sheetName val="PL"/>
      <sheetName val="1"/>
      <sheetName val="1_1"/>
      <sheetName val="1_1Copy"/>
      <sheetName val="1_2"/>
      <sheetName val="1_3"/>
      <sheetName val="Sheet1"/>
      <sheetName val="2_2_1"/>
      <sheetName val="admin&amp;sell"/>
      <sheetName val="3"/>
      <sheetName val="cross charge admin"/>
      <sheetName val="3_2"/>
      <sheetName val="Admin"/>
      <sheetName val="3_1_1"/>
      <sheetName val="tb1SKnF"/>
      <sheetName val="manu"/>
      <sheetName val="4"/>
      <sheetName val="4-1"/>
      <sheetName val="5"/>
      <sheetName val="6"/>
      <sheetName val="bppl-tb (2)"/>
      <sheetName val="wppf"/>
      <sheetName val="cross charge mfg (2)"/>
      <sheetName val="cross charge admin (2)"/>
      <sheetName val="Working"/>
      <sheetName val="cross_charge_mfg"/>
      <sheetName val="GLOBAL_COGS_MATERIAL"/>
      <sheetName val="GLOBAL_COGSLABOUR"/>
      <sheetName val="GLOBAL_COGS_foh"/>
      <sheetName val="cross_charge_admin"/>
      <sheetName val="bppl-tb_(2)"/>
      <sheetName val="cross_charge_mfg_(2)"/>
      <sheetName val="cross_charge_admin_(2)"/>
      <sheetName val="Lead"/>
      <sheetName val="Sublead "/>
      <sheetName val="RF MARKUP"/>
      <sheetName val="Recalculation of Markup on  (2)"/>
      <sheetName val="STL Recalculations"/>
      <sheetName val="STL Recalculation"/>
      <sheetName val="Summary of MTL"/>
      <sheetName val="BAF"/>
      <sheetName val="AKBL"/>
      <sheetName val="MIB Markup"/>
      <sheetName val="Bank Charges "/>
      <sheetName val="Bank Charges Verification"/>
      <sheetName val="NORMAL"/>
      <sheetName val="cross_charge_mfg1"/>
      <sheetName val="GLOBAL_COGS_MATERIAL1"/>
      <sheetName val="GLOBAL_COGSLABOUR1"/>
      <sheetName val="GLOBAL_COGS_foh1"/>
      <sheetName val="cross_charge_admin1"/>
      <sheetName val="bppl-tb_(2)1"/>
      <sheetName val="cross_charge_mfg_(2)1"/>
      <sheetName val="cross_charge_admin_(2)1"/>
      <sheetName val="Sublead_"/>
      <sheetName val="RF_MARKUP"/>
      <sheetName val="Recalculation_of_Markup_on__(2)"/>
      <sheetName val="STL_Recalculations"/>
      <sheetName val="STL_Recalculation"/>
      <sheetName val="Summary_of_MTL"/>
      <sheetName val="MIB_Markup"/>
      <sheetName val="Bank_Charges_"/>
      <sheetName val="Bank_Charges_Verification"/>
      <sheetName val="ADEL"/>
      <sheetName val="BRIS"/>
      <sheetName val="MELB"/>
      <sheetName val="PER"/>
      <sheetName val="SYD"/>
      <sheetName val="CPMLETE TB - original"/>
      <sheetName val="back up "/>
      <sheetName val="back up 2"/>
      <sheetName val="REV VAR INC"/>
      <sheetName val="FG"/>
      <sheetName val="CPMLETE_TB_-_original"/>
      <sheetName val="back_up_"/>
      <sheetName val="back_up_2"/>
      <sheetName val="CPMLETE_TB_-_original1"/>
      <sheetName val="back_up_1"/>
      <sheetName val="back_up_21"/>
      <sheetName val="Data"/>
      <sheetName val="Menu"/>
      <sheetName val="cross charge 99"/>
    </sheetNames>
    <sheetDataSet>
      <sheetData sheetId="0">
        <row r="11">
          <cell r="A11" t="str">
            <v>Salaries, wages and other benefits</v>
          </cell>
        </row>
      </sheetData>
      <sheetData sheetId="1">
        <row r="11">
          <cell r="A11" t="str">
            <v>Salaries, wages and other benefits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1">
          <cell r="A11" t="str">
            <v>Salaries, wages and other benefits</v>
          </cell>
        </row>
      </sheetData>
      <sheetData sheetId="19">
        <row r="11">
          <cell r="A11" t="str">
            <v>Salaries, wages and other benefits</v>
          </cell>
        </row>
      </sheetData>
      <sheetData sheetId="20">
        <row r="11">
          <cell r="A11" t="str">
            <v>Salaries, wages and other benefits</v>
          </cell>
        </row>
      </sheetData>
      <sheetData sheetId="21">
        <row r="11">
          <cell r="A11" t="str">
            <v>Salaries, wages and other benefits</v>
          </cell>
        </row>
        <row r="12">
          <cell r="A12" t="str">
            <v>Regular Salaries</v>
          </cell>
          <cell r="B12"/>
          <cell r="C12"/>
          <cell r="D12">
            <v>29593693</v>
          </cell>
          <cell r="E12">
            <v>56577291</v>
          </cell>
          <cell r="F12">
            <v>-26983598</v>
          </cell>
          <cell r="G12">
            <v>-47.693336890237461</v>
          </cell>
        </row>
        <row r="13">
          <cell r="A13" t="str">
            <v>Overtime</v>
          </cell>
          <cell r="B13"/>
          <cell r="C13"/>
          <cell r="D13">
            <v>253385</v>
          </cell>
          <cell r="E13">
            <v>663501</v>
          </cell>
          <cell r="F13">
            <v>-410116</v>
          </cell>
          <cell r="G13">
            <v>-61.810909101870223</v>
          </cell>
        </row>
        <row r="14">
          <cell r="A14" t="str">
            <v>Bonus</v>
          </cell>
          <cell r="B14"/>
          <cell r="C14"/>
          <cell r="D14">
            <v>6227000</v>
          </cell>
          <cell r="E14">
            <v>8701126</v>
          </cell>
          <cell r="F14">
            <v>-2474126</v>
          </cell>
          <cell r="G14">
            <v>-28.434549735287135</v>
          </cell>
        </row>
        <row r="15">
          <cell r="A15" t="str">
            <v>Ex-Gratia</v>
          </cell>
          <cell r="B15"/>
          <cell r="C15"/>
          <cell r="D15">
            <v>14943499</v>
          </cell>
          <cell r="E15">
            <v>0</v>
          </cell>
          <cell r="F15">
            <v>14943499</v>
          </cell>
          <cell r="G15">
            <v>100</v>
          </cell>
        </row>
        <row r="16">
          <cell r="A16" t="str">
            <v>Temporary salaries &amp; wages</v>
          </cell>
          <cell r="B16"/>
          <cell r="C16"/>
          <cell r="D16">
            <v>739251</v>
          </cell>
          <cell r="E16">
            <v>1491420</v>
          </cell>
          <cell r="F16">
            <v>-752169</v>
          </cell>
          <cell r="G16">
            <v>-50.433077201593115</v>
          </cell>
        </row>
        <row r="17">
          <cell r="A17" t="str">
            <v>Casual contract hire wage</v>
          </cell>
          <cell r="B17"/>
          <cell r="C17"/>
          <cell r="D17">
            <v>807149</v>
          </cell>
          <cell r="E17">
            <v>2071552</v>
          </cell>
          <cell r="F17">
            <v>-1264403</v>
          </cell>
          <cell r="G17">
            <v>-61.036507893598611</v>
          </cell>
        </row>
        <row r="18">
          <cell r="A18" t="str">
            <v>Hospitalisation</v>
          </cell>
          <cell r="B18"/>
          <cell r="C18"/>
          <cell r="D18">
            <v>52403</v>
          </cell>
          <cell r="E18">
            <v>0</v>
          </cell>
          <cell r="F18">
            <v>52403</v>
          </cell>
          <cell r="G18">
            <v>100</v>
          </cell>
        </row>
        <row r="19">
          <cell r="A19" t="str">
            <v>Medical</v>
          </cell>
          <cell r="B19"/>
          <cell r="C19"/>
          <cell r="D19">
            <v>1085553</v>
          </cell>
          <cell r="E19">
            <v>2589012</v>
          </cell>
          <cell r="F19">
            <v>-1503459</v>
          </cell>
          <cell r="G19">
            <v>-58.070762128564866</v>
          </cell>
        </row>
        <row r="20">
          <cell r="A20" t="str">
            <v>Group Insurance</v>
          </cell>
          <cell r="B20"/>
          <cell r="C20"/>
          <cell r="D20">
            <v>627297</v>
          </cell>
          <cell r="E20">
            <v>742438</v>
          </cell>
          <cell r="F20">
            <v>-115141</v>
          </cell>
          <cell r="G20">
            <v>-15.508500373095128</v>
          </cell>
        </row>
        <row r="21">
          <cell r="A21" t="str">
            <v>Leave Fare Assistance</v>
          </cell>
          <cell r="B21"/>
          <cell r="C21"/>
          <cell r="D21">
            <v>13950</v>
          </cell>
          <cell r="E21">
            <v>26265</v>
          </cell>
          <cell r="F21">
            <v>-12315</v>
          </cell>
          <cell r="G21">
            <v>-46.887492861222157</v>
          </cell>
        </row>
        <row r="22">
          <cell r="A22" t="str">
            <v>Benefit car/scooter</v>
          </cell>
          <cell r="B22"/>
          <cell r="C22"/>
          <cell r="D22">
            <v>624699</v>
          </cell>
          <cell r="E22">
            <v>2149452</v>
          </cell>
          <cell r="F22">
            <v>-1524753</v>
          </cell>
          <cell r="G22">
            <v>-70.936824827909632</v>
          </cell>
        </row>
        <row r="23">
          <cell r="A23" t="str">
            <v>Gratuity</v>
          </cell>
          <cell r="B23"/>
          <cell r="C23"/>
          <cell r="D23">
            <v>7026000</v>
          </cell>
          <cell r="E23">
            <v>11344000</v>
          </cell>
          <cell r="F23">
            <v>-4318000</v>
          </cell>
          <cell r="G23">
            <v>-38.064174894217203</v>
          </cell>
        </row>
        <row r="24">
          <cell r="A24" t="str">
            <v>PF Contribution</v>
          </cell>
          <cell r="B24"/>
          <cell r="C24"/>
          <cell r="D24">
            <v>1954998</v>
          </cell>
          <cell r="E24">
            <v>3787540</v>
          </cell>
          <cell r="F24">
            <v>-1832542</v>
          </cell>
          <cell r="G24">
            <v>-48.383436214535031</v>
          </cell>
        </row>
        <row r="25">
          <cell r="A25" t="str">
            <v>Staff welfare</v>
          </cell>
          <cell r="B25"/>
          <cell r="C25"/>
          <cell r="D25">
            <v>1473191</v>
          </cell>
          <cell r="E25">
            <v>3386259</v>
          </cell>
          <cell r="F25">
            <v>-1913068</v>
          </cell>
          <cell r="G25">
            <v>-56.49502887995277</v>
          </cell>
        </row>
        <row r="26">
          <cell r="A26" t="str">
            <v>Recreation club</v>
          </cell>
          <cell r="B26"/>
          <cell r="C26"/>
          <cell r="D26">
            <v>25488</v>
          </cell>
          <cell r="E26">
            <v>30343</v>
          </cell>
          <cell r="F26">
            <v>-4855</v>
          </cell>
          <cell r="G26">
            <v>-16.000395478364037</v>
          </cell>
        </row>
        <row r="27">
          <cell r="A27" t="str">
            <v>Service award</v>
          </cell>
          <cell r="B27"/>
          <cell r="C27"/>
          <cell r="D27">
            <v>416000</v>
          </cell>
          <cell r="E27">
            <v>693209</v>
          </cell>
          <cell r="F27">
            <v>-277209</v>
          </cell>
          <cell r="G27">
            <v>-39.98923845478059</v>
          </cell>
        </row>
        <row r="28">
          <cell r="A28" t="str">
            <v>Education benefit</v>
          </cell>
          <cell r="B28"/>
          <cell r="C28"/>
          <cell r="D28">
            <v>0</v>
          </cell>
          <cell r="E28">
            <v>86500</v>
          </cell>
          <cell r="F28">
            <v>-86500</v>
          </cell>
          <cell r="G28">
            <v>-100</v>
          </cell>
        </row>
        <row r="29">
          <cell r="A29" t="str">
            <v>Representative incentives</v>
          </cell>
          <cell r="B29"/>
          <cell r="C29"/>
          <cell r="D29">
            <v>2000482</v>
          </cell>
          <cell r="E29">
            <v>11662539</v>
          </cell>
          <cell r="F29">
            <v>-9662057</v>
          </cell>
          <cell r="G29">
            <v>-82.846942676890507</v>
          </cell>
        </row>
        <row r="30">
          <cell r="A30" t="str">
            <v>Adjustments</v>
          </cell>
          <cell r="B30"/>
          <cell r="C30"/>
          <cell r="D30">
            <v>537930</v>
          </cell>
        </row>
        <row r="31">
          <cell r="A31" t="str">
            <v>Adjustments</v>
          </cell>
          <cell r="B31"/>
          <cell r="C31"/>
          <cell r="D31">
            <v>-233328</v>
          </cell>
        </row>
        <row r="32">
          <cell r="A32" t="str">
            <v>Adjustments</v>
          </cell>
          <cell r="B32"/>
          <cell r="C32"/>
          <cell r="D32">
            <v>-352593</v>
          </cell>
        </row>
        <row r="33">
          <cell r="A33" t="str">
            <v>Adjustments</v>
          </cell>
          <cell r="B33"/>
          <cell r="C33"/>
          <cell r="D33">
            <v>-905000</v>
          </cell>
        </row>
        <row r="34">
          <cell r="A34" t="str">
            <v>Adjustments</v>
          </cell>
          <cell r="B34"/>
          <cell r="C34"/>
          <cell r="D34">
            <v>-828000</v>
          </cell>
        </row>
        <row r="35">
          <cell r="D35">
            <v>66083047</v>
          </cell>
          <cell r="E35">
            <v>106002447</v>
          </cell>
          <cell r="F35">
            <v>-39919400</v>
          </cell>
          <cell r="G35">
            <v>-37.658941967632124</v>
          </cell>
        </row>
        <row r="36">
          <cell r="A36" t="str">
            <v>Handling, freight and transportation</v>
          </cell>
          <cell r="B36"/>
          <cell r="C36"/>
          <cell r="D36"/>
          <cell r="E36"/>
          <cell r="F36">
            <v>0</v>
          </cell>
          <cell r="G36">
            <v>0</v>
          </cell>
        </row>
        <row r="37">
          <cell r="A37" t="str">
            <v>Carriage and freight</v>
          </cell>
          <cell r="B37"/>
          <cell r="C37"/>
          <cell r="D37">
            <v>2911020.73</v>
          </cell>
          <cell r="E37">
            <v>4345963</v>
          </cell>
          <cell r="F37">
            <v>-1434942.27</v>
          </cell>
          <cell r="G37">
            <v>-33.017820676338019</v>
          </cell>
        </row>
        <row r="38">
          <cell r="A38" t="str">
            <v>Octroi</v>
          </cell>
          <cell r="B38"/>
          <cell r="C38"/>
          <cell r="D38">
            <v>0</v>
          </cell>
          <cell r="E38">
            <v>97023</v>
          </cell>
          <cell r="F38">
            <v>-97023</v>
          </cell>
          <cell r="G38">
            <v>-100</v>
          </cell>
        </row>
        <row r="39">
          <cell r="D39">
            <v>2911020.73</v>
          </cell>
          <cell r="E39">
            <v>4442986</v>
          </cell>
          <cell r="F39">
            <v>-1531965.27</v>
          </cell>
          <cell r="G39">
            <v>-34.480533362022747</v>
          </cell>
        </row>
        <row r="40">
          <cell r="A40" t="str">
            <v>Vehicle running</v>
          </cell>
          <cell r="B40"/>
          <cell r="C40"/>
          <cell r="D40"/>
          <cell r="E40"/>
          <cell r="F40">
            <v>0</v>
          </cell>
          <cell r="G40">
            <v>0</v>
          </cell>
        </row>
        <row r="41">
          <cell r="A41" t="str">
            <v>Fuel</v>
          </cell>
          <cell r="B41"/>
          <cell r="C41"/>
          <cell r="D41">
            <v>1959360</v>
          </cell>
          <cell r="E41">
            <v>4055929</v>
          </cell>
          <cell r="F41">
            <v>-2096569</v>
          </cell>
          <cell r="G41">
            <v>-51.691462054685864</v>
          </cell>
        </row>
        <row r="42">
          <cell r="A42" t="str">
            <v>Maintenence</v>
          </cell>
          <cell r="B42"/>
          <cell r="C42"/>
          <cell r="D42">
            <v>863176</v>
          </cell>
          <cell r="E42">
            <v>2021211</v>
          </cell>
          <cell r="F42">
            <v>-1158035</v>
          </cell>
          <cell r="G42">
            <v>-57.294117239615261</v>
          </cell>
        </row>
        <row r="43">
          <cell r="A43" t="str">
            <v>Taxes</v>
          </cell>
          <cell r="B43"/>
          <cell r="C43"/>
          <cell r="D43">
            <v>101372</v>
          </cell>
          <cell r="E43">
            <v>199102</v>
          </cell>
          <cell r="F43">
            <v>-97730</v>
          </cell>
          <cell r="G43">
            <v>-49.085393416439814</v>
          </cell>
        </row>
        <row r="44">
          <cell r="A44" t="str">
            <v>Hire</v>
          </cell>
          <cell r="B44"/>
          <cell r="C44"/>
          <cell r="D44">
            <v>49541</v>
          </cell>
          <cell r="E44">
            <v>49324</v>
          </cell>
          <cell r="F44">
            <v>217</v>
          </cell>
          <cell r="G44">
            <v>0.4399480982888655</v>
          </cell>
        </row>
        <row r="45">
          <cell r="D45">
            <v>2973449</v>
          </cell>
          <cell r="E45">
            <v>6325566</v>
          </cell>
          <cell r="F45">
            <v>-3352117</v>
          </cell>
          <cell r="G45">
            <v>-52.993155078928908</v>
          </cell>
        </row>
        <row r="46">
          <cell r="A46" t="str">
            <v xml:space="preserve">Travelling </v>
          </cell>
        </row>
        <row r="47">
          <cell r="A47" t="str">
            <v>Travel - Airfare</v>
          </cell>
          <cell r="B47"/>
          <cell r="C47"/>
          <cell r="D47">
            <v>1423626.4</v>
          </cell>
          <cell r="E47">
            <v>2446967</v>
          </cell>
          <cell r="F47">
            <v>-1023340.6000000001</v>
          </cell>
          <cell r="G47">
            <v>-41.820776495964189</v>
          </cell>
        </row>
        <row r="48">
          <cell r="A48" t="str">
            <v>Taxi fare</v>
          </cell>
          <cell r="B48"/>
          <cell r="C48"/>
          <cell r="D48">
            <v>79564</v>
          </cell>
          <cell r="E48">
            <v>177284</v>
          </cell>
          <cell r="F48">
            <v>-97720</v>
          </cell>
          <cell r="G48">
            <v>-55.120597459443609</v>
          </cell>
        </row>
        <row r="49">
          <cell r="A49" t="str">
            <v>Kit allowance</v>
          </cell>
          <cell r="B49"/>
          <cell r="C49"/>
          <cell r="D49">
            <v>49900</v>
          </cell>
          <cell r="E49">
            <v>223397</v>
          </cell>
          <cell r="F49">
            <v>-173497</v>
          </cell>
          <cell r="G49">
            <v>-77.66308410587429</v>
          </cell>
        </row>
        <row r="50">
          <cell r="A50" t="str">
            <v xml:space="preserve">Meal &amp; Accomodation </v>
          </cell>
          <cell r="B50"/>
          <cell r="C50"/>
          <cell r="D50">
            <v>714619.78</v>
          </cell>
          <cell r="E50">
            <v>1866644</v>
          </cell>
          <cell r="F50">
            <v>-1152024.22</v>
          </cell>
          <cell r="G50">
            <v>-61.71633262689619</v>
          </cell>
        </row>
        <row r="51">
          <cell r="A51" t="str">
            <v xml:space="preserve">Entertainment </v>
          </cell>
          <cell r="B51"/>
          <cell r="C51"/>
          <cell r="D51">
            <v>623530</v>
          </cell>
          <cell r="E51">
            <v>1118657</v>
          </cell>
          <cell r="F51">
            <v>-495127</v>
          </cell>
          <cell r="G51">
            <v>-44.26084134815229</v>
          </cell>
        </row>
        <row r="52">
          <cell r="A52" t="str">
            <v>Other allowances (conveyance)</v>
          </cell>
          <cell r="B52"/>
          <cell r="C52"/>
          <cell r="D52">
            <v>627836</v>
          </cell>
          <cell r="E52">
            <v>1504177</v>
          </cell>
          <cell r="F52">
            <v>-876341</v>
          </cell>
          <cell r="G52">
            <v>-58.260497268606024</v>
          </cell>
        </row>
        <row r="53">
          <cell r="A53" t="str">
            <v>Staff transport</v>
          </cell>
          <cell r="B53"/>
          <cell r="C53"/>
          <cell r="D53">
            <v>0</v>
          </cell>
          <cell r="E53">
            <v>6951</v>
          </cell>
          <cell r="F53">
            <v>-6951</v>
          </cell>
          <cell r="G53">
            <v>-100</v>
          </cell>
        </row>
        <row r="54">
          <cell r="A54" t="str">
            <v>Daily allowance</v>
          </cell>
          <cell r="B54"/>
          <cell r="C54"/>
          <cell r="D54">
            <v>1835603</v>
          </cell>
          <cell r="E54">
            <v>3778339</v>
          </cell>
          <cell r="F54">
            <v>-1942736</v>
          </cell>
          <cell r="G54">
            <v>-51.417726148977103</v>
          </cell>
        </row>
        <row r="55">
          <cell r="A55" t="str">
            <v>Outstation allowance</v>
          </cell>
          <cell r="B55"/>
          <cell r="C55"/>
          <cell r="D55">
            <v>1451701</v>
          </cell>
          <cell r="E55">
            <v>3026779</v>
          </cell>
          <cell r="F55">
            <v>-1575078</v>
          </cell>
          <cell r="G55">
            <v>-52.03809065676748</v>
          </cell>
        </row>
        <row r="56">
          <cell r="A56" t="str">
            <v>SPM expenses</v>
          </cell>
          <cell r="B56"/>
          <cell r="C56"/>
          <cell r="D56">
            <v>0</v>
          </cell>
          <cell r="E56">
            <v>48490</v>
          </cell>
          <cell r="F56">
            <v>-48490</v>
          </cell>
          <cell r="G56">
            <v>-100</v>
          </cell>
        </row>
        <row r="57">
          <cell r="A57" t="str">
            <v>Fares</v>
          </cell>
          <cell r="B57"/>
          <cell r="C57"/>
          <cell r="D57">
            <v>1747118</v>
          </cell>
          <cell r="E57">
            <v>3572040</v>
          </cell>
          <cell r="F57">
            <v>-1824922</v>
          </cell>
          <cell r="G57">
            <v>-51.089069551292823</v>
          </cell>
        </row>
        <row r="58">
          <cell r="A58" t="str">
            <v>Relocation grant</v>
          </cell>
          <cell r="B58"/>
          <cell r="C58"/>
          <cell r="D58">
            <v>279404</v>
          </cell>
          <cell r="E58">
            <v>314832</v>
          </cell>
          <cell r="F58">
            <v>-35428</v>
          </cell>
          <cell r="G58">
            <v>-11.252985719367791</v>
          </cell>
        </row>
        <row r="59">
          <cell r="D59">
            <v>8832902.1799999997</v>
          </cell>
          <cell r="E59">
            <v>18084557</v>
          </cell>
          <cell r="F59">
            <v>-9251654.8200000003</v>
          </cell>
          <cell r="G59">
            <v>-51.157763057176354</v>
          </cell>
        </row>
        <row r="60">
          <cell r="F60">
            <v>0</v>
          </cell>
          <cell r="G60">
            <v>0</v>
          </cell>
        </row>
        <row r="61">
          <cell r="A61" t="str">
            <v>Advertising</v>
          </cell>
          <cell r="B61"/>
          <cell r="C61"/>
          <cell r="D61"/>
          <cell r="E61"/>
          <cell r="F61">
            <v>0</v>
          </cell>
          <cell r="G61">
            <v>0</v>
          </cell>
        </row>
        <row r="62">
          <cell r="A62" t="str">
            <v>Press</v>
          </cell>
          <cell r="B62"/>
          <cell r="C62"/>
          <cell r="D62">
            <v>893244</v>
          </cell>
          <cell r="E62">
            <v>1728293</v>
          </cell>
          <cell r="F62">
            <v>-835049</v>
          </cell>
          <cell r="G62">
            <v>-48.316402369274194</v>
          </cell>
        </row>
        <row r="63">
          <cell r="A63" t="str">
            <v>Television</v>
          </cell>
          <cell r="B63"/>
          <cell r="C63"/>
          <cell r="D63">
            <v>-281292</v>
          </cell>
          <cell r="E63">
            <v>1205770</v>
          </cell>
          <cell r="F63">
            <v>-1487062</v>
          </cell>
          <cell r="G63">
            <v>-123.32882722243876</v>
          </cell>
        </row>
        <row r="64">
          <cell r="A64" t="str">
            <v>Film</v>
          </cell>
          <cell r="B64"/>
          <cell r="C64"/>
          <cell r="D64">
            <v>-264365</v>
          </cell>
          <cell r="E64">
            <v>713026</v>
          </cell>
          <cell r="F64">
            <v>-977391</v>
          </cell>
          <cell r="G64">
            <v>100</v>
          </cell>
        </row>
        <row r="65">
          <cell r="A65" t="str">
            <v>Radio</v>
          </cell>
          <cell r="B65"/>
          <cell r="C65"/>
          <cell r="D65">
            <v>556083</v>
          </cell>
          <cell r="E65">
            <v>638008</v>
          </cell>
          <cell r="F65">
            <v>-81925</v>
          </cell>
          <cell r="G65">
            <v>-12.840748078394002</v>
          </cell>
        </row>
        <row r="66">
          <cell r="A66" t="str">
            <v>Literature</v>
          </cell>
          <cell r="B66"/>
          <cell r="C66"/>
          <cell r="D66">
            <v>2411078.3499999996</v>
          </cell>
          <cell r="E66">
            <v>4636907</v>
          </cell>
          <cell r="F66">
            <v>-2225828.6500000004</v>
          </cell>
          <cell r="G66">
            <v>-48.002443223467722</v>
          </cell>
        </row>
        <row r="67">
          <cell r="A67" t="str">
            <v>Design</v>
          </cell>
          <cell r="B67"/>
          <cell r="C67"/>
          <cell r="D67">
            <v>142400</v>
          </cell>
          <cell r="E67">
            <v>371659</v>
          </cell>
          <cell r="F67">
            <v>-229259</v>
          </cell>
          <cell r="G67">
            <v>-61.685308306808118</v>
          </cell>
        </row>
        <row r="68">
          <cell r="A68" t="str">
            <v>Adjustments</v>
          </cell>
          <cell r="B68"/>
          <cell r="C68"/>
          <cell r="D68">
            <v>1500000</v>
          </cell>
        </row>
        <row r="69">
          <cell r="D69">
            <v>4957148.3499999996</v>
          </cell>
          <cell r="E69">
            <v>9293663</v>
          </cell>
          <cell r="F69">
            <v>-4336514.6500000004</v>
          </cell>
          <cell r="G69">
            <v>-46.660984479424314</v>
          </cell>
        </row>
        <row r="70">
          <cell r="F70">
            <v>0</v>
          </cell>
          <cell r="G70">
            <v>0</v>
          </cell>
        </row>
        <row r="71">
          <cell r="A71" t="str">
            <v>Sales promotion</v>
          </cell>
          <cell r="B71"/>
          <cell r="C71"/>
          <cell r="D71"/>
          <cell r="E71"/>
          <cell r="F71">
            <v>0</v>
          </cell>
          <cell r="G71">
            <v>0</v>
          </cell>
        </row>
        <row r="72">
          <cell r="A72" t="str">
            <v>Market research</v>
          </cell>
          <cell r="B72"/>
          <cell r="C72"/>
          <cell r="D72">
            <v>34000</v>
          </cell>
          <cell r="E72">
            <v>211016</v>
          </cell>
          <cell r="F72">
            <v>-177016</v>
          </cell>
          <cell r="G72">
            <v>-83.887477726807447</v>
          </cell>
        </row>
        <row r="73">
          <cell r="A73" t="str">
            <v>Public relationing</v>
          </cell>
          <cell r="B73"/>
          <cell r="C73"/>
          <cell r="D73">
            <v>3788666</v>
          </cell>
          <cell r="E73">
            <v>1162298</v>
          </cell>
          <cell r="F73">
            <v>2626368</v>
          </cell>
          <cell r="G73">
            <v>225.9633932089705</v>
          </cell>
        </row>
        <row r="74">
          <cell r="A74" t="str">
            <v>Outdoor</v>
          </cell>
          <cell r="B74"/>
          <cell r="C74"/>
          <cell r="D74">
            <v>2212009</v>
          </cell>
          <cell r="E74">
            <v>1081944</v>
          </cell>
          <cell r="F74">
            <v>1130065</v>
          </cell>
          <cell r="G74">
            <v>104.44764239184283</v>
          </cell>
        </row>
        <row r="75">
          <cell r="A75" t="str">
            <v>Samples</v>
          </cell>
          <cell r="B75"/>
          <cell r="C75"/>
          <cell r="D75">
            <v>6949992</v>
          </cell>
          <cell r="E75">
            <v>14426486</v>
          </cell>
          <cell r="F75">
            <v>-7476494</v>
          </cell>
          <cell r="G75">
            <v>-51.82477562450066</v>
          </cell>
        </row>
        <row r="76">
          <cell r="A76" t="str">
            <v>Mailing</v>
          </cell>
          <cell r="B76"/>
          <cell r="C76"/>
          <cell r="D76">
            <v>23000</v>
          </cell>
          <cell r="E76">
            <v>97974</v>
          </cell>
          <cell r="F76">
            <v>-74974</v>
          </cell>
          <cell r="G76">
            <v>-76.524384020250267</v>
          </cell>
        </row>
        <row r="77">
          <cell r="A77" t="str">
            <v>Gifts &amp; Giveaways</v>
          </cell>
          <cell r="B77"/>
          <cell r="C77"/>
          <cell r="D77">
            <v>8978536</v>
          </cell>
          <cell r="E77">
            <v>12466487</v>
          </cell>
          <cell r="F77">
            <v>-3487951</v>
          </cell>
          <cell r="G77">
            <v>-27.978619798825445</v>
          </cell>
        </row>
        <row r="78">
          <cell r="A78" t="str">
            <v xml:space="preserve">Display material </v>
          </cell>
          <cell r="B78"/>
          <cell r="C78"/>
          <cell r="D78">
            <v>265190</v>
          </cell>
          <cell r="E78">
            <v>820095</v>
          </cell>
          <cell r="F78">
            <v>-554905</v>
          </cell>
          <cell r="G78">
            <v>100</v>
          </cell>
        </row>
        <row r="79">
          <cell r="A79" t="str">
            <v>Printing jobs</v>
          </cell>
          <cell r="B79"/>
          <cell r="C79"/>
          <cell r="D79">
            <v>2114671.85</v>
          </cell>
          <cell r="E79">
            <v>1715956</v>
          </cell>
          <cell r="F79">
            <v>398715.85000000009</v>
          </cell>
          <cell r="G79">
            <v>23.235785183303072</v>
          </cell>
        </row>
        <row r="80">
          <cell r="A80" t="str">
            <v>Films and exhibitions</v>
          </cell>
          <cell r="B80"/>
          <cell r="C80"/>
          <cell r="D80">
            <v>1107146</v>
          </cell>
          <cell r="E80">
            <v>2910667</v>
          </cell>
          <cell r="F80">
            <v>-1803521</v>
          </cell>
          <cell r="G80">
            <v>-61.962464273652742</v>
          </cell>
        </row>
        <row r="81">
          <cell r="A81" t="str">
            <v>Annual Sales Conference</v>
          </cell>
          <cell r="B81"/>
          <cell r="C81"/>
          <cell r="D81">
            <v>1630228.5</v>
          </cell>
          <cell r="E81">
            <v>4885644</v>
          </cell>
          <cell r="F81">
            <v>-3255415.5</v>
          </cell>
          <cell r="G81">
            <v>-66.632269973006629</v>
          </cell>
        </row>
        <row r="82">
          <cell r="A82" t="str">
            <v>Clinical trials</v>
          </cell>
          <cell r="B82"/>
          <cell r="C82"/>
          <cell r="D82">
            <v>666539</v>
          </cell>
          <cell r="E82">
            <v>3766034</v>
          </cell>
          <cell r="F82">
            <v>-3099495</v>
          </cell>
          <cell r="G82">
            <v>-82.301301581451469</v>
          </cell>
        </row>
        <row r="83">
          <cell r="A83" t="str">
            <v>Meetings / symposia</v>
          </cell>
          <cell r="B83"/>
          <cell r="C83"/>
          <cell r="D83">
            <v>3270053.75</v>
          </cell>
          <cell r="E83">
            <v>4706322</v>
          </cell>
          <cell r="F83">
            <v>-1436268.25</v>
          </cell>
          <cell r="G83">
            <v>-30.517849182440131</v>
          </cell>
        </row>
        <row r="84">
          <cell r="D84">
            <v>31040032.100000001</v>
          </cell>
          <cell r="E84">
            <v>48250923</v>
          </cell>
          <cell r="F84">
            <v>-17210890.899999999</v>
          </cell>
          <cell r="G84">
            <v>-35.669557865245395</v>
          </cell>
        </row>
        <row r="85">
          <cell r="F85">
            <v>0</v>
          </cell>
          <cell r="G85">
            <v>0</v>
          </cell>
        </row>
        <row r="86">
          <cell r="A86" t="str">
            <v>Depreciation</v>
          </cell>
          <cell r="B86"/>
          <cell r="C86"/>
          <cell r="D86"/>
          <cell r="E86"/>
          <cell r="F86">
            <v>0</v>
          </cell>
          <cell r="G86">
            <v>0</v>
          </cell>
        </row>
        <row r="87">
          <cell r="A87" t="str">
            <v>Office furniture</v>
          </cell>
          <cell r="B87"/>
          <cell r="C87"/>
          <cell r="D87">
            <v>692122.55999999994</v>
          </cell>
          <cell r="E87">
            <v>1396235</v>
          </cell>
          <cell r="F87">
            <v>-704112.44000000006</v>
          </cell>
          <cell r="G87">
            <v>-50.429364684311736</v>
          </cell>
        </row>
        <row r="88">
          <cell r="A88" t="str">
            <v>Plant &amp; Equipment</v>
          </cell>
          <cell r="B88"/>
          <cell r="C88"/>
          <cell r="D88">
            <v>29267.29</v>
          </cell>
          <cell r="E88">
            <v>58534</v>
          </cell>
          <cell r="F88">
            <v>-29266.71</v>
          </cell>
          <cell r="G88">
            <v>-49.999504561451467</v>
          </cell>
        </row>
        <row r="89">
          <cell r="A89" t="str">
            <v>Motor vehicles</v>
          </cell>
          <cell r="B89"/>
          <cell r="C89"/>
          <cell r="D89">
            <v>218466.8</v>
          </cell>
          <cell r="E89">
            <v>285980</v>
          </cell>
          <cell r="F89">
            <v>-67513.200000000012</v>
          </cell>
          <cell r="G89">
            <v>-23.60766487166935</v>
          </cell>
        </row>
        <row r="90">
          <cell r="A90" t="str">
            <v>PC &amp; word processors</v>
          </cell>
          <cell r="B90"/>
          <cell r="C90"/>
          <cell r="D90">
            <v>6676005.54</v>
          </cell>
          <cell r="E90">
            <v>7130029</v>
          </cell>
          <cell r="F90">
            <v>-454023.45999999996</v>
          </cell>
          <cell r="G90">
            <v>-6.3677645630894339</v>
          </cell>
        </row>
        <row r="91">
          <cell r="D91">
            <v>-27000</v>
          </cell>
          <cell r="E91">
            <v>0</v>
          </cell>
        </row>
        <row r="92">
          <cell r="B92">
            <v>0</v>
          </cell>
          <cell r="C92"/>
          <cell r="D92">
            <v>7588862.1899999995</v>
          </cell>
          <cell r="E92">
            <v>8870778</v>
          </cell>
          <cell r="F92">
            <v>-1281915.8100000005</v>
          </cell>
          <cell r="G92">
            <v>-14.45099640640314</v>
          </cell>
        </row>
        <row r="95">
          <cell r="A95" t="str">
            <v>Rent, rates and taxes</v>
          </cell>
          <cell r="B95"/>
          <cell r="C95"/>
          <cell r="D95">
            <v>626541</v>
          </cell>
          <cell r="E95">
            <v>1374824</v>
          </cell>
          <cell r="F95">
            <v>-748283</v>
          </cell>
          <cell r="G95">
            <v>-54.427548544395499</v>
          </cell>
        </row>
        <row r="96">
          <cell r="F96">
            <v>0</v>
          </cell>
          <cell r="G96">
            <v>0</v>
          </cell>
        </row>
        <row r="97">
          <cell r="F97">
            <v>0</v>
          </cell>
          <cell r="G97">
            <v>0</v>
          </cell>
        </row>
        <row r="98">
          <cell r="A98" t="str">
            <v>Vehicle rentals</v>
          </cell>
          <cell r="B98"/>
          <cell r="C98"/>
          <cell r="D98">
            <v>-196001</v>
          </cell>
          <cell r="E98">
            <v>7046865</v>
          </cell>
          <cell r="F98">
            <v>-7242866</v>
          </cell>
          <cell r="G98">
            <v>-102.78139286051315</v>
          </cell>
        </row>
        <row r="99">
          <cell r="F99">
            <v>0</v>
          </cell>
          <cell r="G99">
            <v>0</v>
          </cell>
        </row>
        <row r="100">
          <cell r="A100" t="str">
            <v>Insurance</v>
          </cell>
          <cell r="B100"/>
          <cell r="C100"/>
          <cell r="D100"/>
          <cell r="E100"/>
          <cell r="F100">
            <v>0</v>
          </cell>
          <cell r="G100">
            <v>0</v>
          </cell>
        </row>
        <row r="101">
          <cell r="A101" t="str">
            <v>Insurance</v>
          </cell>
          <cell r="B101"/>
          <cell r="C101"/>
          <cell r="D101">
            <v>178572</v>
          </cell>
          <cell r="E101">
            <v>372651</v>
          </cell>
          <cell r="F101">
            <v>-194079</v>
          </cell>
          <cell r="G101">
            <v>-52.0806330856485</v>
          </cell>
        </row>
        <row r="102">
          <cell r="A102" t="str">
            <v>Vehicle insurance premium</v>
          </cell>
          <cell r="B102"/>
          <cell r="C102"/>
          <cell r="D102">
            <v>740029</v>
          </cell>
          <cell r="E102">
            <v>1337416</v>
          </cell>
          <cell r="F102">
            <v>-597387</v>
          </cell>
          <cell r="G102">
            <v>-44.667253868654186</v>
          </cell>
        </row>
        <row r="103">
          <cell r="D103">
            <v>918601</v>
          </cell>
          <cell r="E103">
            <v>1710067</v>
          </cell>
          <cell r="F103">
            <v>-791466</v>
          </cell>
          <cell r="G103">
            <v>-46.282747985897629</v>
          </cell>
        </row>
        <row r="104">
          <cell r="F104">
            <v>0</v>
          </cell>
          <cell r="G104">
            <v>0</v>
          </cell>
        </row>
        <row r="105">
          <cell r="A105" t="str">
            <v>Training Cost</v>
          </cell>
        </row>
        <row r="106">
          <cell r="A106" t="str">
            <v>Traing cost</v>
          </cell>
          <cell r="B106"/>
          <cell r="C106"/>
          <cell r="D106">
            <v>673627</v>
          </cell>
          <cell r="E106">
            <v>1894250</v>
          </cell>
          <cell r="F106">
            <v>-1220623</v>
          </cell>
          <cell r="G106">
            <v>-64.438326514451632</v>
          </cell>
        </row>
        <row r="107">
          <cell r="A107" t="str">
            <v>SB Workshop</v>
          </cell>
          <cell r="B107"/>
          <cell r="C107"/>
          <cell r="D107">
            <v>0</v>
          </cell>
          <cell r="E107">
            <v>26427</v>
          </cell>
          <cell r="F107">
            <v>-26427</v>
          </cell>
          <cell r="G107">
            <v>-100</v>
          </cell>
        </row>
        <row r="108">
          <cell r="A108" t="str">
            <v>Training Materials</v>
          </cell>
          <cell r="B108"/>
          <cell r="C108"/>
          <cell r="D108">
            <v>300</v>
          </cell>
          <cell r="E108">
            <v>73642</v>
          </cell>
          <cell r="F108">
            <v>-73342</v>
          </cell>
          <cell r="G108">
            <v>-99.592623774476522</v>
          </cell>
        </row>
        <row r="109">
          <cell r="D109">
            <v>673927</v>
          </cell>
          <cell r="E109">
            <v>1994319</v>
          </cell>
          <cell r="F109">
            <v>-1320392</v>
          </cell>
          <cell r="G109">
            <v>-66.207662866371933</v>
          </cell>
        </row>
        <row r="111">
          <cell r="A111" t="str">
            <v>Utilities</v>
          </cell>
        </row>
        <row r="112">
          <cell r="A112" t="str">
            <v>Electricity</v>
          </cell>
          <cell r="B112"/>
          <cell r="C112"/>
          <cell r="D112">
            <v>155218</v>
          </cell>
          <cell r="E112">
            <v>504568</v>
          </cell>
          <cell r="F112">
            <v>-349350</v>
          </cell>
          <cell r="G112">
            <v>-69.237446687066964</v>
          </cell>
        </row>
        <row r="113">
          <cell r="A113" t="str">
            <v>Gas</v>
          </cell>
          <cell r="B113"/>
          <cell r="C113"/>
          <cell r="D113">
            <v>0</v>
          </cell>
          <cell r="E113">
            <v>2040</v>
          </cell>
          <cell r="F113">
            <v>-2040</v>
          </cell>
          <cell r="G113">
            <v>-100</v>
          </cell>
        </row>
        <row r="114">
          <cell r="A114" t="str">
            <v>Water</v>
          </cell>
          <cell r="B114"/>
          <cell r="C114"/>
          <cell r="D114">
            <v>43505</v>
          </cell>
          <cell r="E114">
            <v>53606</v>
          </cell>
          <cell r="F114">
            <v>-10101</v>
          </cell>
          <cell r="G114">
            <v>-18.843039958213634</v>
          </cell>
        </row>
        <row r="115">
          <cell r="D115">
            <v>198723</v>
          </cell>
          <cell r="E115">
            <v>560214</v>
          </cell>
          <cell r="F115">
            <v>-361491</v>
          </cell>
          <cell r="G115">
            <v>-64.527305636774528</v>
          </cell>
        </row>
        <row r="117">
          <cell r="A117" t="str">
            <v>Publication &amp; Subscrption</v>
          </cell>
          <cell r="B117"/>
          <cell r="C117"/>
          <cell r="D117"/>
          <cell r="E117"/>
          <cell r="F117">
            <v>0</v>
          </cell>
          <cell r="G117">
            <v>0</v>
          </cell>
        </row>
        <row r="118">
          <cell r="A118" t="str">
            <v>Trade &amp; technical publication</v>
          </cell>
          <cell r="B118"/>
          <cell r="C118"/>
          <cell r="D118">
            <v>202492</v>
          </cell>
          <cell r="E118">
            <v>245600</v>
          </cell>
          <cell r="F118">
            <v>-43108</v>
          </cell>
          <cell r="G118">
            <v>-17.552117263843648</v>
          </cell>
        </row>
        <row r="119">
          <cell r="A119" t="str">
            <v>Subscriptions</v>
          </cell>
          <cell r="B119"/>
          <cell r="C119"/>
          <cell r="D119">
            <v>663004</v>
          </cell>
          <cell r="E119">
            <v>1098285</v>
          </cell>
          <cell r="F119">
            <v>-435281</v>
          </cell>
          <cell r="G119">
            <v>-39.632791124343861</v>
          </cell>
        </row>
        <row r="120">
          <cell r="D120">
            <v>865496</v>
          </cell>
          <cell r="E120">
            <v>1343885</v>
          </cell>
          <cell r="F120">
            <v>-478389</v>
          </cell>
          <cell r="G120">
            <v>-35.597465556948698</v>
          </cell>
        </row>
        <row r="123">
          <cell r="A123" t="str">
            <v>Repairs &amp; maintenance</v>
          </cell>
          <cell r="B123"/>
          <cell r="C123"/>
          <cell r="D123"/>
          <cell r="E123"/>
          <cell r="F123">
            <v>0</v>
          </cell>
          <cell r="G123">
            <v>0</v>
          </cell>
        </row>
        <row r="124">
          <cell r="A124" t="str">
            <v>Building</v>
          </cell>
          <cell r="B124"/>
          <cell r="C124"/>
          <cell r="D124">
            <v>122583</v>
          </cell>
          <cell r="E124">
            <v>27047</v>
          </cell>
          <cell r="F124">
            <v>95536</v>
          </cell>
          <cell r="G124">
            <v>353.22216881724404</v>
          </cell>
        </row>
        <row r="125">
          <cell r="A125" t="str">
            <v>Machinery &amp; equipment</v>
          </cell>
          <cell r="B125"/>
          <cell r="C125"/>
          <cell r="D125">
            <v>160639</v>
          </cell>
          <cell r="E125">
            <v>228954</v>
          </cell>
          <cell r="F125">
            <v>-68315</v>
          </cell>
          <cell r="G125">
            <v>-29.837871362806499</v>
          </cell>
        </row>
        <row r="126">
          <cell r="A126" t="str">
            <v>Consumable stores</v>
          </cell>
          <cell r="B126"/>
          <cell r="C126"/>
          <cell r="D126">
            <v>13912</v>
          </cell>
          <cell r="E126">
            <v>50370</v>
          </cell>
          <cell r="F126">
            <v>-36458</v>
          </cell>
          <cell r="G126">
            <v>-72.380385149890813</v>
          </cell>
        </row>
        <row r="127">
          <cell r="A127" t="str">
            <v>Cleaning</v>
          </cell>
          <cell r="B127"/>
          <cell r="C127"/>
          <cell r="D127">
            <v>0</v>
          </cell>
          <cell r="E127">
            <v>500</v>
          </cell>
          <cell r="F127">
            <v>-500</v>
          </cell>
          <cell r="G127">
            <v>-100</v>
          </cell>
        </row>
        <row r="128">
          <cell r="A128" t="str">
            <v>Computer equipment repairs</v>
          </cell>
          <cell r="B128"/>
          <cell r="C128"/>
          <cell r="D128">
            <v>940459</v>
          </cell>
          <cell r="E128">
            <v>1521551</v>
          </cell>
          <cell r="F128">
            <v>-581092</v>
          </cell>
          <cell r="G128">
            <v>-38.190767184274463</v>
          </cell>
        </row>
        <row r="129">
          <cell r="A129" t="str">
            <v>Others repairs &amp; maintenance</v>
          </cell>
          <cell r="B129"/>
          <cell r="C129"/>
          <cell r="D129">
            <v>16900</v>
          </cell>
          <cell r="E129">
            <v>44570</v>
          </cell>
          <cell r="F129">
            <v>-27670</v>
          </cell>
          <cell r="G129">
            <v>-62.082118016603097</v>
          </cell>
        </row>
        <row r="130">
          <cell r="D130">
            <v>1254493</v>
          </cell>
          <cell r="E130">
            <v>1872992</v>
          </cell>
          <cell r="F130">
            <v>-618499</v>
          </cell>
          <cell r="G130">
            <v>-33.021977669952676</v>
          </cell>
        </row>
        <row r="131">
          <cell r="F131">
            <v>0</v>
          </cell>
          <cell r="G131">
            <v>0</v>
          </cell>
        </row>
        <row r="132">
          <cell r="A132" t="str">
            <v>Stationery</v>
          </cell>
          <cell r="B132"/>
          <cell r="C132"/>
          <cell r="D132"/>
          <cell r="E132"/>
          <cell r="F132">
            <v>0</v>
          </cell>
          <cell r="G132">
            <v>0</v>
          </cell>
        </row>
        <row r="133">
          <cell r="A133" t="str">
            <v>Computer stationery</v>
          </cell>
          <cell r="B133"/>
          <cell r="C133"/>
          <cell r="D133">
            <v>102095</v>
          </cell>
          <cell r="E133">
            <v>187135</v>
          </cell>
          <cell r="F133">
            <v>-85040</v>
          </cell>
          <cell r="G133">
            <v>-45.443129291687818</v>
          </cell>
        </row>
        <row r="134">
          <cell r="A134" t="str">
            <v>Office supplies</v>
          </cell>
          <cell r="B134"/>
          <cell r="C134"/>
          <cell r="D134">
            <v>1171450.8500000001</v>
          </cell>
          <cell r="E134">
            <v>2708576</v>
          </cell>
          <cell r="F134">
            <v>-1537125.15</v>
          </cell>
          <cell r="G134">
            <v>-56.750305326488892</v>
          </cell>
        </row>
        <row r="135">
          <cell r="A135" t="str">
            <v>Software Licence</v>
          </cell>
          <cell r="B135"/>
          <cell r="C135"/>
          <cell r="D135">
            <v>0</v>
          </cell>
          <cell r="E135">
            <v>1121630</v>
          </cell>
          <cell r="F135">
            <v>-1121630</v>
          </cell>
          <cell r="G135">
            <v>-100</v>
          </cell>
        </row>
        <row r="136">
          <cell r="A136" t="str">
            <v>Computer data storage media</v>
          </cell>
          <cell r="B136"/>
          <cell r="C136"/>
          <cell r="D136">
            <v>358431</v>
          </cell>
          <cell r="E136">
            <v>882345</v>
          </cell>
          <cell r="F136">
            <v>-523914</v>
          </cell>
          <cell r="G136">
            <v>-59.377454397089565</v>
          </cell>
        </row>
        <row r="137">
          <cell r="A137" t="str">
            <v>Noncapital Purchase</v>
          </cell>
          <cell r="B137"/>
          <cell r="C137"/>
          <cell r="D137">
            <v>-18800</v>
          </cell>
          <cell r="E137">
            <v>178000</v>
          </cell>
          <cell r="F137">
            <v>-196800</v>
          </cell>
          <cell r="G137">
            <v>-110.56179775280899</v>
          </cell>
        </row>
        <row r="138">
          <cell r="A138" t="str">
            <v>Consultancy &amp; Others</v>
          </cell>
          <cell r="B138"/>
          <cell r="C138"/>
          <cell r="D138">
            <v>32400</v>
          </cell>
          <cell r="E138">
            <v>25000</v>
          </cell>
          <cell r="F138">
            <v>7400</v>
          </cell>
          <cell r="G138">
            <v>29.599999999999998</v>
          </cell>
        </row>
        <row r="139">
          <cell r="D139">
            <v>1645576.85</v>
          </cell>
          <cell r="E139">
            <v>5102686</v>
          </cell>
          <cell r="F139">
            <v>-3457109.15</v>
          </cell>
          <cell r="G139">
            <v>-67.750771848395146</v>
          </cell>
        </row>
        <row r="140">
          <cell r="F140">
            <v>0</v>
          </cell>
          <cell r="G140">
            <v>0</v>
          </cell>
        </row>
        <row r="141">
          <cell r="A141" t="str">
            <v>Donations</v>
          </cell>
          <cell r="B141"/>
          <cell r="C141"/>
          <cell r="D141">
            <v>108100</v>
          </cell>
          <cell r="E141">
            <v>673278</v>
          </cell>
          <cell r="F141">
            <v>-565178</v>
          </cell>
          <cell r="G141">
            <v>-83.944225119490014</v>
          </cell>
        </row>
        <row r="143">
          <cell r="A143" t="str">
            <v>Legal and professional charges</v>
          </cell>
        </row>
        <row r="144">
          <cell r="A144" t="str">
            <v>Legal and professional charges</v>
          </cell>
          <cell r="B144"/>
          <cell r="C144"/>
          <cell r="D144">
            <v>398050</v>
          </cell>
          <cell r="E144">
            <v>1333606</v>
          </cell>
          <cell r="F144">
            <v>-935556</v>
          </cell>
          <cell r="G144">
            <v>-70.152353843638977</v>
          </cell>
        </row>
        <row r="145">
          <cell r="A145" t="str">
            <v>Management &amp; consltancy</v>
          </cell>
          <cell r="B145"/>
          <cell r="C145"/>
          <cell r="D145">
            <v>780000</v>
          </cell>
          <cell r="E145">
            <v>1560000</v>
          </cell>
          <cell r="F145">
            <v>-780000</v>
          </cell>
          <cell r="G145">
            <v>-50</v>
          </cell>
        </row>
        <row r="146">
          <cell r="D146">
            <v>1178050</v>
          </cell>
          <cell r="E146">
            <v>2893606</v>
          </cell>
          <cell r="F146">
            <v>-1715556</v>
          </cell>
          <cell r="G146">
            <v>-59.287822875678309</v>
          </cell>
        </row>
        <row r="148">
          <cell r="A148" t="str">
            <v>Auditors' Remuneration</v>
          </cell>
          <cell r="B148"/>
          <cell r="C148"/>
          <cell r="D148"/>
          <cell r="E148"/>
          <cell r="F148">
            <v>0</v>
          </cell>
          <cell r="G148">
            <v>0</v>
          </cell>
        </row>
        <row r="149">
          <cell r="A149" t="str">
            <v>Audit fee</v>
          </cell>
          <cell r="B149"/>
          <cell r="C149"/>
          <cell r="D149">
            <v>550572</v>
          </cell>
          <cell r="E149">
            <v>280000</v>
          </cell>
          <cell r="F149">
            <v>270572</v>
          </cell>
          <cell r="G149">
            <v>96.632857142857148</v>
          </cell>
        </row>
        <row r="150">
          <cell r="A150" t="str">
            <v>Tax consultancy</v>
          </cell>
          <cell r="B150"/>
          <cell r="C150"/>
          <cell r="D150">
            <v>474342</v>
          </cell>
          <cell r="E150">
            <v>872844</v>
          </cell>
          <cell r="F150">
            <v>-398502</v>
          </cell>
          <cell r="G150">
            <v>-45.655581066032418</v>
          </cell>
        </row>
        <row r="151">
          <cell r="A151" t="str">
            <v>Special certification</v>
          </cell>
          <cell r="B151"/>
          <cell r="C151"/>
          <cell r="D151">
            <v>0</v>
          </cell>
          <cell r="E151">
            <v>733000</v>
          </cell>
          <cell r="F151">
            <v>-733000</v>
          </cell>
          <cell r="G151">
            <v>-100</v>
          </cell>
        </row>
        <row r="152">
          <cell r="A152" t="str">
            <v>Out-of-pocket expenses</v>
          </cell>
          <cell r="B152"/>
          <cell r="C152"/>
          <cell r="D152">
            <v>0</v>
          </cell>
          <cell r="E152">
            <v>64113</v>
          </cell>
          <cell r="F152">
            <v>-64113</v>
          </cell>
          <cell r="G152">
            <v>-100</v>
          </cell>
        </row>
        <row r="153">
          <cell r="D153">
            <v>1024914</v>
          </cell>
          <cell r="E153">
            <v>1949957</v>
          </cell>
          <cell r="F153">
            <v>-925043</v>
          </cell>
          <cell r="G153">
            <v>-47.439148658149897</v>
          </cell>
        </row>
        <row r="154">
          <cell r="F154">
            <v>0</v>
          </cell>
          <cell r="G154">
            <v>0</v>
          </cell>
        </row>
        <row r="155">
          <cell r="F155">
            <v>0</v>
          </cell>
          <cell r="G155">
            <v>0</v>
          </cell>
        </row>
        <row r="156">
          <cell r="A156" t="str">
            <v>Postage, telex and telephone</v>
          </cell>
          <cell r="B156"/>
          <cell r="C156"/>
          <cell r="D156"/>
          <cell r="E156"/>
          <cell r="F156">
            <v>0</v>
          </cell>
          <cell r="G156">
            <v>0</v>
          </cell>
        </row>
        <row r="157">
          <cell r="A157" t="str">
            <v>Telephone - Staff</v>
          </cell>
          <cell r="B157"/>
          <cell r="C157"/>
          <cell r="D157">
            <v>195416</v>
          </cell>
          <cell r="E157">
            <v>591328</v>
          </cell>
          <cell r="F157">
            <v>-395912</v>
          </cell>
          <cell r="G157">
            <v>-66.953027761242495</v>
          </cell>
        </row>
        <row r="158">
          <cell r="A158" t="str">
            <v>Telephone - Company</v>
          </cell>
          <cell r="B158"/>
          <cell r="C158"/>
          <cell r="D158">
            <v>1298082.0099999998</v>
          </cell>
          <cell r="E158">
            <v>3261730</v>
          </cell>
          <cell r="F158">
            <v>-1963647.9900000002</v>
          </cell>
          <cell r="G158">
            <v>-60.202652886658313</v>
          </cell>
        </row>
        <row r="159">
          <cell r="A159" t="str">
            <v>Telex</v>
          </cell>
          <cell r="B159"/>
          <cell r="C159"/>
          <cell r="D159">
            <v>5775</v>
          </cell>
          <cell r="E159">
            <v>5775</v>
          </cell>
          <cell r="F159">
            <v>0</v>
          </cell>
          <cell r="G159">
            <v>0</v>
          </cell>
        </row>
        <row r="160">
          <cell r="A160" t="str">
            <v>Fax</v>
          </cell>
          <cell r="B160"/>
          <cell r="C160"/>
          <cell r="D160">
            <v>50715</v>
          </cell>
          <cell r="E160">
            <v>236262</v>
          </cell>
          <cell r="F160">
            <v>-185547</v>
          </cell>
          <cell r="G160">
            <v>-78.53442364832263</v>
          </cell>
        </row>
        <row r="161">
          <cell r="A161" t="str">
            <v>Data communication</v>
          </cell>
          <cell r="B161"/>
          <cell r="C161"/>
          <cell r="D161">
            <v>10000</v>
          </cell>
          <cell r="E161">
            <v>50400</v>
          </cell>
          <cell r="F161">
            <v>-40400</v>
          </cell>
          <cell r="G161">
            <v>-80.158730158730165</v>
          </cell>
        </row>
        <row r="162">
          <cell r="A162" t="str">
            <v>Mobile</v>
          </cell>
          <cell r="B162"/>
          <cell r="C162"/>
          <cell r="D162">
            <v>436791</v>
          </cell>
          <cell r="E162">
            <v>847239</v>
          </cell>
          <cell r="F162">
            <v>-410448</v>
          </cell>
          <cell r="G162">
            <v>-48.445361934471855</v>
          </cell>
        </row>
        <row r="163">
          <cell r="A163" t="str">
            <v>Postage</v>
          </cell>
          <cell r="B163"/>
          <cell r="C163"/>
          <cell r="D163">
            <v>1020160</v>
          </cell>
          <cell r="E163">
            <v>1872026</v>
          </cell>
          <cell r="F163">
            <v>-851866</v>
          </cell>
          <cell r="G163">
            <v>-45.505030378851572</v>
          </cell>
        </row>
        <row r="164">
          <cell r="A164" t="str">
            <v>Telecom - Equipment repairs</v>
          </cell>
          <cell r="B164"/>
          <cell r="C164"/>
          <cell r="D164">
            <v>116263</v>
          </cell>
          <cell r="E164">
            <v>538718</v>
          </cell>
          <cell r="F164">
            <v>-422455</v>
          </cell>
          <cell r="G164">
            <v>-78.418578922553166</v>
          </cell>
        </row>
        <row r="165">
          <cell r="D165">
            <v>3133202.01</v>
          </cell>
          <cell r="E165">
            <v>7403478</v>
          </cell>
          <cell r="F165">
            <v>-4270275.99</v>
          </cell>
          <cell r="G165">
            <v>-57.679323015480023</v>
          </cell>
        </row>
        <row r="166">
          <cell r="F166">
            <v>0</v>
          </cell>
          <cell r="G166">
            <v>0</v>
          </cell>
        </row>
        <row r="167">
          <cell r="A167" t="str">
            <v>Bad debts</v>
          </cell>
          <cell r="B167"/>
          <cell r="C167"/>
          <cell r="D167">
            <v>0</v>
          </cell>
          <cell r="E167">
            <v>103128</v>
          </cell>
          <cell r="F167">
            <v>-103128</v>
          </cell>
          <cell r="G167">
            <v>0</v>
          </cell>
        </row>
        <row r="168">
          <cell r="F168">
            <v>0</v>
          </cell>
          <cell r="G168">
            <v>0</v>
          </cell>
        </row>
        <row r="169">
          <cell r="A169" t="str">
            <v>General expenses</v>
          </cell>
          <cell r="B169"/>
          <cell r="C169"/>
          <cell r="D169"/>
          <cell r="E169"/>
          <cell r="F169">
            <v>0</v>
          </cell>
          <cell r="G169">
            <v>0</v>
          </cell>
        </row>
        <row r="170">
          <cell r="A170" t="str">
            <v>Laundry</v>
          </cell>
          <cell r="B170"/>
          <cell r="C170"/>
          <cell r="D170">
            <v>1500</v>
          </cell>
          <cell r="E170">
            <v>3660</v>
          </cell>
          <cell r="F170">
            <v>-2160</v>
          </cell>
          <cell r="G170">
            <v>-59.016393442622949</v>
          </cell>
        </row>
        <row r="171">
          <cell r="A171" t="str">
            <v>Recruitment cost</v>
          </cell>
          <cell r="B171"/>
          <cell r="C171"/>
          <cell r="D171">
            <v>140239.29999999999</v>
          </cell>
          <cell r="E171">
            <v>33720</v>
          </cell>
          <cell r="F171">
            <v>106519.29999999999</v>
          </cell>
          <cell r="G171">
            <v>315.89353499406877</v>
          </cell>
        </row>
        <row r="172">
          <cell r="A172" t="str">
            <v>Miscellaneous field expenses</v>
          </cell>
          <cell r="B172"/>
          <cell r="C172"/>
          <cell r="D172">
            <v>50</v>
          </cell>
          <cell r="E172">
            <v>6944</v>
          </cell>
          <cell r="F172">
            <v>-6894</v>
          </cell>
          <cell r="G172">
            <v>-99.27995391705069</v>
          </cell>
        </row>
        <row r="173">
          <cell r="A173" t="str">
            <v>Meetings and printing of accounts</v>
          </cell>
          <cell r="B173"/>
          <cell r="C173"/>
          <cell r="D173">
            <v>109538</v>
          </cell>
          <cell r="E173">
            <v>467069</v>
          </cell>
          <cell r="F173">
            <v>-357531</v>
          </cell>
          <cell r="G173">
            <v>-76.547790583404165</v>
          </cell>
        </row>
        <row r="174">
          <cell r="A174" t="str">
            <v>Registrar expenses</v>
          </cell>
          <cell r="B174"/>
          <cell r="C174"/>
          <cell r="D174">
            <v>154097</v>
          </cell>
          <cell r="E174">
            <v>284554</v>
          </cell>
          <cell r="F174">
            <v>-130457</v>
          </cell>
          <cell r="G174">
            <v>-45.846131138553666</v>
          </cell>
        </row>
        <row r="175">
          <cell r="A175" t="str">
            <v>Product registration</v>
          </cell>
          <cell r="B175"/>
          <cell r="C175"/>
          <cell r="D175">
            <v>68500</v>
          </cell>
          <cell r="E175">
            <v>133980</v>
          </cell>
          <cell r="F175">
            <v>-65480</v>
          </cell>
          <cell r="G175">
            <v>-48.872966114345424</v>
          </cell>
        </row>
        <row r="176">
          <cell r="A176" t="str">
            <v>Security expenses</v>
          </cell>
          <cell r="B176"/>
          <cell r="C176"/>
          <cell r="D176">
            <v>379100</v>
          </cell>
          <cell r="E176">
            <v>668919</v>
          </cell>
          <cell r="F176">
            <v>-289819</v>
          </cell>
          <cell r="G176">
            <v>-43.326471515983251</v>
          </cell>
        </row>
        <row r="177">
          <cell r="A177" t="str">
            <v>Adjustment</v>
          </cell>
          <cell r="B177"/>
          <cell r="C177"/>
          <cell r="D177">
            <v>27000</v>
          </cell>
        </row>
        <row r="178">
          <cell r="A178" t="str">
            <v>Adjustment</v>
          </cell>
          <cell r="B178"/>
          <cell r="C178"/>
          <cell r="D178">
            <v>3000</v>
          </cell>
        </row>
        <row r="179">
          <cell r="D179">
            <v>883024.3</v>
          </cell>
          <cell r="E179">
            <v>1598846</v>
          </cell>
          <cell r="F179">
            <v>-715821.7</v>
          </cell>
          <cell r="G179">
            <v>-44.771147440091163</v>
          </cell>
        </row>
      </sheetData>
      <sheetData sheetId="22">
        <row r="11">
          <cell r="A11">
            <v>1</v>
          </cell>
        </row>
      </sheetData>
      <sheetData sheetId="23"/>
      <sheetData sheetId="24">
        <row r="11">
          <cell r="A11" t="str">
            <v>Salaries, wages and other benefits</v>
          </cell>
        </row>
      </sheetData>
      <sheetData sheetId="25">
        <row r="11">
          <cell r="A11">
            <v>1</v>
          </cell>
        </row>
      </sheetData>
      <sheetData sheetId="26"/>
      <sheetData sheetId="27"/>
      <sheetData sheetId="28">
        <row r="11">
          <cell r="A11">
            <v>1</v>
          </cell>
        </row>
      </sheetData>
      <sheetData sheetId="29"/>
      <sheetData sheetId="30">
        <row r="11">
          <cell r="A11" t="str">
            <v>Salaries, wages and other benefits</v>
          </cell>
        </row>
      </sheetData>
      <sheetData sheetId="31">
        <row r="11">
          <cell r="A11">
            <v>1</v>
          </cell>
        </row>
      </sheetData>
      <sheetData sheetId="32">
        <row r="11">
          <cell r="A11" t="str">
            <v>Salaries, wages and other benefits</v>
          </cell>
        </row>
      </sheetData>
      <sheetData sheetId="33">
        <row r="11">
          <cell r="A11" t="str">
            <v>Salaries, wages and other benefits</v>
          </cell>
        </row>
      </sheetData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11">
          <cell r="B11" t="str">
            <v>MARKUP ON RUNNING FINANCE/short term loan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>
        <row r="11">
          <cell r="A11" t="str">
            <v>Habib Metro Bank</v>
          </cell>
        </row>
      </sheetData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>
        <row r="11">
          <cell r="A11" t="str">
            <v>Habib Metro Bank</v>
          </cell>
        </row>
      </sheetData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fg"/>
      <sheetName val="Sheet4"/>
      <sheetName val="COGS"/>
      <sheetName val="GLOBAL COGS MATERIAL"/>
      <sheetName val="GLOBAL COGSLABOUR"/>
      <sheetName val="GLOBAL COGS foh"/>
      <sheetName val="variance"/>
      <sheetName val="PL"/>
      <sheetName val="1"/>
      <sheetName val="1_1"/>
      <sheetName val="1_1Copy"/>
      <sheetName val="1_2"/>
      <sheetName val="1_3"/>
      <sheetName val="cross charge mfg"/>
      <sheetName val="Sheet1"/>
      <sheetName val="2_2_1"/>
      <sheetName val="admin&amp;sell"/>
      <sheetName val="3"/>
      <sheetName val="cross charge admin"/>
      <sheetName val="3_2"/>
      <sheetName val="Admin"/>
      <sheetName val="3_1_1"/>
      <sheetName val="tb1SKnF"/>
      <sheetName val="manu"/>
      <sheetName val="4"/>
      <sheetName val="4-1"/>
      <sheetName val="5"/>
      <sheetName val="6"/>
      <sheetName val="bppl-tb (2)"/>
      <sheetName val="wppf"/>
      <sheetName val="cross charge mfg (2)"/>
      <sheetName val="cross charge admin (2)"/>
      <sheetName val="GLOBAL_COGS_MATERIAL"/>
      <sheetName val="GLOBAL_COGSLABOUR"/>
      <sheetName val="GLOBAL_COGS_foh"/>
      <sheetName val="cross_charge_mfg"/>
      <sheetName val="cross_charge_admin"/>
      <sheetName val="bppl-tb_(2)"/>
      <sheetName val="cross_charge_mfg_(2)"/>
      <sheetName val="cross_charge_admin_(2)"/>
      <sheetName val="Summary"/>
      <sheetName val="GLOBAL_COGS_MATERIAL1"/>
      <sheetName val="GLOBAL_COGSLABOUR1"/>
      <sheetName val="GLOBAL_COGS_foh1"/>
      <sheetName val="cross_charge_mfg1"/>
      <sheetName val="cross_charge_admin1"/>
      <sheetName val="bppl-tb_(2)1"/>
      <sheetName val="cross_charge_mfg_(2)1"/>
      <sheetName val="cross_charge_admin_(2)1"/>
      <sheetName val="New A-Rept"/>
    </sheetNames>
    <sheetDataSet>
      <sheetData sheetId="0">
        <row r="10">
          <cell r="A10" t="str">
            <v>Salaries and Wages</v>
          </cell>
        </row>
        <row r="11">
          <cell r="A11" t="str">
            <v>Regular Salaries</v>
          </cell>
          <cell r="B11"/>
          <cell r="C11"/>
          <cell r="D11">
            <v>17954114</v>
          </cell>
          <cell r="E11">
            <v>34760257</v>
          </cell>
          <cell r="F11">
            <v>-16806143</v>
          </cell>
          <cell r="G11">
            <v>-48.348730563183118</v>
          </cell>
        </row>
        <row r="12">
          <cell r="A12" t="str">
            <v>Overtime</v>
          </cell>
          <cell r="B12"/>
          <cell r="C12"/>
          <cell r="D12">
            <v>2898791</v>
          </cell>
          <cell r="E12">
            <v>6615814</v>
          </cell>
          <cell r="F12">
            <v>-3717023</v>
          </cell>
          <cell r="G12">
            <v>-56.183910248988255</v>
          </cell>
        </row>
        <row r="13">
          <cell r="A13" t="str">
            <v>Bonus</v>
          </cell>
          <cell r="B13"/>
          <cell r="C13"/>
          <cell r="D13">
            <v>3615000</v>
          </cell>
          <cell r="E13">
            <v>5649313</v>
          </cell>
          <cell r="F13">
            <v>-2034313</v>
          </cell>
          <cell r="G13">
            <v>-36.00991837414567</v>
          </cell>
        </row>
        <row r="14">
          <cell r="A14" t="str">
            <v>Temporary salaries &amp; wages</v>
          </cell>
          <cell r="B14"/>
          <cell r="C14"/>
          <cell r="D14">
            <v>1258875</v>
          </cell>
          <cell r="E14">
            <v>2308382</v>
          </cell>
          <cell r="F14">
            <v>-1049507</v>
          </cell>
          <cell r="G14">
            <v>-45.465048679118105</v>
          </cell>
        </row>
        <row r="15">
          <cell r="A15" t="str">
            <v>Hospitalisation</v>
          </cell>
          <cell r="B15"/>
          <cell r="C15"/>
          <cell r="D15">
            <v>27378</v>
          </cell>
          <cell r="E15">
            <v>5743</v>
          </cell>
          <cell r="F15">
            <v>21635</v>
          </cell>
          <cell r="G15">
            <v>376.71948458993558</v>
          </cell>
        </row>
        <row r="16">
          <cell r="A16" t="str">
            <v>Medical</v>
          </cell>
          <cell r="B16"/>
          <cell r="C16"/>
          <cell r="D16">
            <v>878537</v>
          </cell>
          <cell r="E16">
            <v>1692523</v>
          </cell>
          <cell r="F16">
            <v>-813986</v>
          </cell>
          <cell r="G16">
            <v>-48.093053979177832</v>
          </cell>
        </row>
        <row r="17">
          <cell r="A17" t="str">
            <v>Group Insurance</v>
          </cell>
          <cell r="B17"/>
          <cell r="C17"/>
          <cell r="D17">
            <v>344354</v>
          </cell>
          <cell r="E17">
            <v>442965</v>
          </cell>
          <cell r="F17">
            <v>-98611</v>
          </cell>
          <cell r="G17">
            <v>-22.261578228528215</v>
          </cell>
        </row>
        <row r="18">
          <cell r="A18" t="str">
            <v>Leave Fare Assistance</v>
          </cell>
          <cell r="B18"/>
          <cell r="C18"/>
          <cell r="D18">
            <v>241710</v>
          </cell>
          <cell r="E18">
            <v>584280</v>
          </cell>
          <cell r="F18">
            <v>-342570</v>
          </cell>
          <cell r="G18">
            <v>-58.631135756828925</v>
          </cell>
        </row>
        <row r="19">
          <cell r="A19" t="str">
            <v>Benefit car/scooter</v>
          </cell>
          <cell r="B19"/>
          <cell r="C19"/>
          <cell r="D19">
            <v>259661</v>
          </cell>
          <cell r="E19">
            <v>747502</v>
          </cell>
          <cell r="F19">
            <v>-487841</v>
          </cell>
          <cell r="G19">
            <v>-65.262835417162762</v>
          </cell>
        </row>
        <row r="20">
          <cell r="A20" t="str">
            <v>Gratuity</v>
          </cell>
          <cell r="B20"/>
          <cell r="C20"/>
          <cell r="D20">
            <v>3990000</v>
          </cell>
          <cell r="E20">
            <v>6981000</v>
          </cell>
          <cell r="F20">
            <v>-2991000</v>
          </cell>
          <cell r="G20">
            <v>-42.844864632574129</v>
          </cell>
        </row>
        <row r="21">
          <cell r="A21" t="str">
            <v>PF Contribution</v>
          </cell>
          <cell r="B21"/>
          <cell r="C21"/>
          <cell r="D21">
            <v>1056783</v>
          </cell>
          <cell r="E21">
            <v>1988424</v>
          </cell>
          <cell r="F21">
            <v>-931641</v>
          </cell>
          <cell r="G21">
            <v>-46.853236533053312</v>
          </cell>
        </row>
        <row r="22">
          <cell r="A22" t="str">
            <v>Recreation Club</v>
          </cell>
          <cell r="B22"/>
          <cell r="C22"/>
          <cell r="D22">
            <v>6482</v>
          </cell>
          <cell r="E22">
            <v>39300</v>
          </cell>
          <cell r="F22">
            <v>-32818</v>
          </cell>
          <cell r="G22">
            <v>-83.506361323155218</v>
          </cell>
        </row>
        <row r="23">
          <cell r="A23" t="str">
            <v>Casual contract hire wage</v>
          </cell>
          <cell r="B23"/>
          <cell r="C23"/>
          <cell r="D23">
            <v>266755</v>
          </cell>
          <cell r="E23">
            <v>689399</v>
          </cell>
          <cell r="F23">
            <v>-422644</v>
          </cell>
          <cell r="G23">
            <v>-61.306152170223626</v>
          </cell>
        </row>
        <row r="24">
          <cell r="A24" t="str">
            <v>EOBI</v>
          </cell>
          <cell r="B24"/>
          <cell r="C24"/>
          <cell r="D24">
            <v>337350</v>
          </cell>
          <cell r="E24">
            <v>689451</v>
          </cell>
          <cell r="F24">
            <v>-352101</v>
          </cell>
          <cell r="G24">
            <v>-51.0697642036925</v>
          </cell>
        </row>
        <row r="25">
          <cell r="A25" t="str">
            <v>Education cess</v>
          </cell>
          <cell r="B25"/>
          <cell r="C25"/>
          <cell r="D25">
            <v>3000</v>
          </cell>
          <cell r="E25">
            <v>0</v>
          </cell>
          <cell r="F25">
            <v>3000</v>
          </cell>
          <cell r="G25">
            <v>100</v>
          </cell>
        </row>
        <row r="26">
          <cell r="A26" t="str">
            <v>SESSI</v>
          </cell>
          <cell r="B26"/>
          <cell r="C26"/>
          <cell r="D26">
            <v>75976</v>
          </cell>
          <cell r="E26">
            <v>158793</v>
          </cell>
          <cell r="F26">
            <v>-82817</v>
          </cell>
          <cell r="G26">
            <v>-52.154062206772331</v>
          </cell>
        </row>
        <row r="27">
          <cell r="A27" t="str">
            <v>Professional tax</v>
          </cell>
          <cell r="B27"/>
          <cell r="C27"/>
          <cell r="D27">
            <v>0</v>
          </cell>
          <cell r="E27">
            <v>157232</v>
          </cell>
          <cell r="F27">
            <v>-157232</v>
          </cell>
          <cell r="G27">
            <v>-100</v>
          </cell>
        </row>
        <row r="28">
          <cell r="D28">
            <v>33214766</v>
          </cell>
          <cell r="E28">
            <v>63510378</v>
          </cell>
          <cell r="F28">
            <v>-30295612</v>
          </cell>
          <cell r="G28">
            <v>-47.701829140428046</v>
          </cell>
        </row>
        <row r="30">
          <cell r="A30" t="str">
            <v>Fuel &amp; Power</v>
          </cell>
        </row>
        <row r="31">
          <cell r="A31" t="str">
            <v>Electricity</v>
          </cell>
          <cell r="B31"/>
          <cell r="C31"/>
          <cell r="D31">
            <v>5771013</v>
          </cell>
          <cell r="E31">
            <v>12405473</v>
          </cell>
          <cell r="F31">
            <v>-6634460</v>
          </cell>
          <cell r="G31">
            <v>-53.480105111671271</v>
          </cell>
        </row>
        <row r="32">
          <cell r="A32" t="str">
            <v>Gas</v>
          </cell>
          <cell r="B32"/>
          <cell r="C32"/>
          <cell r="D32">
            <v>198540</v>
          </cell>
          <cell r="E32">
            <v>487258</v>
          </cell>
          <cell r="F32">
            <v>-288718</v>
          </cell>
          <cell r="G32">
            <v>-59.253619232521579</v>
          </cell>
        </row>
        <row r="33">
          <cell r="A33" t="str">
            <v>Diesel</v>
          </cell>
          <cell r="B33"/>
          <cell r="C33"/>
          <cell r="D33">
            <v>579694.25</v>
          </cell>
          <cell r="E33">
            <v>275520</v>
          </cell>
          <cell r="F33">
            <v>304174.25</v>
          </cell>
          <cell r="G33">
            <v>110.40006170150987</v>
          </cell>
        </row>
        <row r="34">
          <cell r="A34" t="str">
            <v>Water</v>
          </cell>
          <cell r="B34"/>
          <cell r="C34"/>
          <cell r="D34">
            <v>659260</v>
          </cell>
          <cell r="E34">
            <v>984043</v>
          </cell>
          <cell r="F34">
            <v>-324783</v>
          </cell>
          <cell r="G34">
            <v>-33.004960149099176</v>
          </cell>
        </row>
        <row r="35">
          <cell r="D35">
            <v>7208507.25</v>
          </cell>
          <cell r="E35">
            <v>14152294</v>
          </cell>
          <cell r="F35">
            <v>-6943786.75</v>
          </cell>
          <cell r="G35">
            <v>-49.064743496708026</v>
          </cell>
        </row>
        <row r="37">
          <cell r="A37" t="str">
            <v>Rent, Rates and Taxes</v>
          </cell>
        </row>
        <row r="38">
          <cell r="A38" t="str">
            <v>Rent and rates</v>
          </cell>
          <cell r="B38"/>
          <cell r="C38"/>
          <cell r="D38">
            <v>536496</v>
          </cell>
          <cell r="E38">
            <v>1319469</v>
          </cell>
          <cell r="F38">
            <v>-782973</v>
          </cell>
          <cell r="G38">
            <v>-59.340007230181236</v>
          </cell>
        </row>
        <row r="40">
          <cell r="A40" t="str">
            <v>Vehicle Rentals</v>
          </cell>
          <cell r="B40"/>
          <cell r="C40"/>
          <cell r="D40">
            <v>310627</v>
          </cell>
          <cell r="E40">
            <v>1353601</v>
          </cell>
          <cell r="F40">
            <v>-1042974</v>
          </cell>
          <cell r="G40">
            <v>-77.051804778513016</v>
          </cell>
        </row>
        <row r="42">
          <cell r="A42" t="str">
            <v>Insurance</v>
          </cell>
        </row>
        <row r="43">
          <cell r="A43" t="str">
            <v>Vehicle Insurance Premium</v>
          </cell>
          <cell r="B43"/>
          <cell r="C43"/>
          <cell r="D43">
            <v>77004</v>
          </cell>
          <cell r="E43">
            <v>141580</v>
          </cell>
          <cell r="F43">
            <v>-64576</v>
          </cell>
          <cell r="G43">
            <v>-45.610962000282527</v>
          </cell>
        </row>
        <row r="44">
          <cell r="A44" t="str">
            <v>Other Insurance</v>
          </cell>
          <cell r="B44"/>
          <cell r="C44"/>
          <cell r="D44">
            <v>744495</v>
          </cell>
          <cell r="E44">
            <v>1490361</v>
          </cell>
          <cell r="F44">
            <v>-745866</v>
          </cell>
          <cell r="G44">
            <v>-50.045995567516869</v>
          </cell>
        </row>
        <row r="45">
          <cell r="D45">
            <v>821499</v>
          </cell>
          <cell r="E45">
            <v>1631941</v>
          </cell>
          <cell r="F45">
            <v>-810442</v>
          </cell>
          <cell r="G45">
            <v>-49.661231625408028</v>
          </cell>
        </row>
        <row r="47">
          <cell r="A47" t="str">
            <v>Repairs &amp; maintenance</v>
          </cell>
        </row>
        <row r="48">
          <cell r="A48" t="str">
            <v>Building</v>
          </cell>
          <cell r="B48"/>
          <cell r="C48"/>
          <cell r="D48">
            <v>627197</v>
          </cell>
          <cell r="E48">
            <v>6436074</v>
          </cell>
          <cell r="F48">
            <v>-5808877</v>
          </cell>
          <cell r="G48">
            <v>-90.254975315697124</v>
          </cell>
        </row>
        <row r="49">
          <cell r="A49" t="str">
            <v>Machinery &amp; equipment</v>
          </cell>
          <cell r="B49"/>
          <cell r="C49"/>
          <cell r="D49">
            <v>2654613.98</v>
          </cell>
          <cell r="E49">
            <v>12477405</v>
          </cell>
          <cell r="F49">
            <v>-9822791.0199999996</v>
          </cell>
          <cell r="G49">
            <v>-78.724630802638856</v>
          </cell>
        </row>
        <row r="50">
          <cell r="A50" t="str">
            <v>Cleaning</v>
          </cell>
          <cell r="B50"/>
          <cell r="C50"/>
          <cell r="D50">
            <v>1483558.28</v>
          </cell>
          <cell r="E50">
            <v>3210142</v>
          </cell>
          <cell r="F50">
            <v>-1726583.72</v>
          </cell>
          <cell r="G50">
            <v>-53.785275542328037</v>
          </cell>
        </row>
        <row r="51">
          <cell r="A51" t="str">
            <v>General supplies</v>
          </cell>
          <cell r="B51"/>
          <cell r="C51"/>
          <cell r="D51">
            <v>299222</v>
          </cell>
          <cell r="E51">
            <v>1239221</v>
          </cell>
          <cell r="F51">
            <v>-939999</v>
          </cell>
          <cell r="G51">
            <v>-75.854024423407935</v>
          </cell>
        </row>
        <row r="52">
          <cell r="A52" t="str">
            <v>Consumable stores</v>
          </cell>
          <cell r="B52"/>
          <cell r="C52"/>
          <cell r="D52">
            <v>464781</v>
          </cell>
          <cell r="E52">
            <v>2705622</v>
          </cell>
          <cell r="F52">
            <v>-2240841</v>
          </cell>
          <cell r="G52">
            <v>-82.821658014312419</v>
          </cell>
        </row>
        <row r="53">
          <cell r="D53">
            <v>5529372.2599999998</v>
          </cell>
          <cell r="E53">
            <v>26068464</v>
          </cell>
          <cell r="F53">
            <v>-20539091.740000002</v>
          </cell>
          <cell r="G53">
            <v>-78.789036975864789</v>
          </cell>
        </row>
        <row r="55">
          <cell r="A55" t="str">
            <v>Vehicle Running</v>
          </cell>
        </row>
        <row r="56">
          <cell r="A56" t="str">
            <v>Fuel</v>
          </cell>
          <cell r="B56"/>
          <cell r="C56"/>
          <cell r="D56">
            <v>83495</v>
          </cell>
          <cell r="E56">
            <v>549451</v>
          </cell>
          <cell r="F56">
            <v>-465956</v>
          </cell>
          <cell r="G56">
            <v>-84.803922460783582</v>
          </cell>
        </row>
        <row r="57">
          <cell r="A57" t="str">
            <v>Maintenence</v>
          </cell>
          <cell r="B57"/>
          <cell r="C57"/>
          <cell r="D57">
            <v>156619</v>
          </cell>
          <cell r="E57">
            <v>365085</v>
          </cell>
          <cell r="F57">
            <v>-208466</v>
          </cell>
          <cell r="G57">
            <v>-57.100675185230834</v>
          </cell>
        </row>
        <row r="58">
          <cell r="A58" t="str">
            <v>Taxes</v>
          </cell>
          <cell r="B58"/>
          <cell r="C58"/>
          <cell r="D58">
            <v>22256</v>
          </cell>
          <cell r="E58">
            <v>28777</v>
          </cell>
          <cell r="F58">
            <v>-6521</v>
          </cell>
          <cell r="G58">
            <v>-22.660458004656498</v>
          </cell>
        </row>
        <row r="59">
          <cell r="A59" t="str">
            <v>Hire</v>
          </cell>
          <cell r="B59"/>
          <cell r="C59"/>
          <cell r="D59">
            <v>18180</v>
          </cell>
          <cell r="E59">
            <v>2250</v>
          </cell>
          <cell r="F59">
            <v>15930</v>
          </cell>
          <cell r="G59">
            <v>708</v>
          </cell>
        </row>
        <row r="60">
          <cell r="D60">
            <v>280550</v>
          </cell>
          <cell r="E60">
            <v>945563</v>
          </cell>
          <cell r="F60">
            <v>-665013</v>
          </cell>
          <cell r="G60">
            <v>-70.329845816725069</v>
          </cell>
        </row>
        <row r="62">
          <cell r="A62" t="str">
            <v xml:space="preserve">Travelling </v>
          </cell>
        </row>
        <row r="63">
          <cell r="A63" t="str">
            <v>Travel - Airfare</v>
          </cell>
          <cell r="B63"/>
          <cell r="C63"/>
          <cell r="D63">
            <v>595781</v>
          </cell>
          <cell r="E63">
            <v>545326</v>
          </cell>
          <cell r="F63">
            <v>50455</v>
          </cell>
          <cell r="G63">
            <v>9.2522637834983108</v>
          </cell>
        </row>
        <row r="64">
          <cell r="A64" t="str">
            <v>Travel - Taxi fare</v>
          </cell>
          <cell r="B64"/>
          <cell r="C64"/>
          <cell r="D64">
            <v>87380</v>
          </cell>
          <cell r="E64">
            <v>166318</v>
          </cell>
          <cell r="F64">
            <v>-78938</v>
          </cell>
          <cell r="G64">
            <v>-47.462090693731284</v>
          </cell>
        </row>
        <row r="65">
          <cell r="A65" t="str">
            <v>Meal &amp; Accomodation</v>
          </cell>
          <cell r="B65"/>
          <cell r="C65"/>
          <cell r="D65">
            <v>38945</v>
          </cell>
          <cell r="E65">
            <v>365749</v>
          </cell>
          <cell r="F65">
            <v>-326804</v>
          </cell>
          <cell r="G65">
            <v>-89.351987291831279</v>
          </cell>
        </row>
        <row r="66">
          <cell r="A66" t="str">
            <v>Relocation Grant</v>
          </cell>
          <cell r="B66"/>
          <cell r="C66"/>
          <cell r="D66">
            <v>9000</v>
          </cell>
          <cell r="E66">
            <v>12000</v>
          </cell>
          <cell r="F66">
            <v>-3000</v>
          </cell>
          <cell r="G66">
            <v>-25</v>
          </cell>
        </row>
        <row r="67">
          <cell r="A67" t="str">
            <v xml:space="preserve">Entertainment </v>
          </cell>
          <cell r="B67"/>
          <cell r="C67"/>
          <cell r="D67">
            <v>89179</v>
          </cell>
          <cell r="E67">
            <v>110600</v>
          </cell>
          <cell r="F67">
            <v>-21421</v>
          </cell>
          <cell r="G67">
            <v>-19.367992766726942</v>
          </cell>
        </row>
        <row r="68">
          <cell r="A68" t="str">
            <v>Other allowances (conveyance)</v>
          </cell>
          <cell r="B68"/>
          <cell r="C68"/>
          <cell r="D68">
            <v>1444042</v>
          </cell>
          <cell r="E68">
            <v>3483999</v>
          </cell>
          <cell r="F68">
            <v>-2039957</v>
          </cell>
          <cell r="G68">
            <v>-58.552169504067017</v>
          </cell>
        </row>
        <row r="69">
          <cell r="A69" t="str">
            <v>Staff transport</v>
          </cell>
          <cell r="B69"/>
          <cell r="C69"/>
          <cell r="D69">
            <v>0</v>
          </cell>
          <cell r="E69">
            <v>109304</v>
          </cell>
          <cell r="F69">
            <v>-109304</v>
          </cell>
          <cell r="G69">
            <v>-100</v>
          </cell>
        </row>
        <row r="70">
          <cell r="D70">
            <v>2264327</v>
          </cell>
          <cell r="E70">
            <v>4793296</v>
          </cell>
          <cell r="F70">
            <v>-2528969</v>
          </cell>
          <cell r="G70">
            <v>-52.760543058471669</v>
          </cell>
        </row>
        <row r="71">
          <cell r="E71">
            <v>0</v>
          </cell>
        </row>
        <row r="72">
          <cell r="A72" t="str">
            <v>Depreciation</v>
          </cell>
        </row>
        <row r="73">
          <cell r="A73" t="str">
            <v>Land &amp; building</v>
          </cell>
          <cell r="B73"/>
          <cell r="C73"/>
          <cell r="D73">
            <v>798642.84</v>
          </cell>
          <cell r="E73">
            <v>1281780</v>
          </cell>
          <cell r="F73">
            <v>-483137.16000000003</v>
          </cell>
          <cell r="G73">
            <v>-37.692674249871274</v>
          </cell>
        </row>
        <row r="74">
          <cell r="A74" t="str">
            <v>Plant &amp; equipment</v>
          </cell>
          <cell r="B74"/>
          <cell r="C74"/>
          <cell r="D74">
            <v>4352622.05</v>
          </cell>
          <cell r="E74">
            <v>7031305</v>
          </cell>
          <cell r="F74">
            <v>-2678682.9500000002</v>
          </cell>
          <cell r="G74">
            <v>-38.096526178284115</v>
          </cell>
        </row>
        <row r="75">
          <cell r="A75" t="str">
            <v>Office furniture</v>
          </cell>
          <cell r="B75"/>
          <cell r="C75"/>
          <cell r="D75">
            <v>281437.05</v>
          </cell>
          <cell r="E75">
            <v>625845</v>
          </cell>
          <cell r="F75">
            <v>-344407.95</v>
          </cell>
          <cell r="G75">
            <v>-55.030870263403877</v>
          </cell>
        </row>
        <row r="76">
          <cell r="D76">
            <v>5432701.9399999995</v>
          </cell>
          <cell r="E76">
            <v>8938930</v>
          </cell>
          <cell r="F76">
            <v>-3506228.0600000005</v>
          </cell>
          <cell r="G76">
            <v>-39.224247868592784</v>
          </cell>
        </row>
        <row r="78">
          <cell r="A78" t="str">
            <v>Canteen expenses</v>
          </cell>
          <cell r="B78"/>
          <cell r="C78"/>
          <cell r="D78">
            <v>3325332</v>
          </cell>
          <cell r="E78">
            <v>6330215</v>
          </cell>
          <cell r="F78">
            <v>-3004883</v>
          </cell>
          <cell r="G78">
            <v>-47.468893236643623</v>
          </cell>
        </row>
        <row r="80">
          <cell r="A80" t="str">
            <v>Laboratory expenses</v>
          </cell>
          <cell r="B80"/>
          <cell r="C80"/>
          <cell r="D80">
            <v>256891.82</v>
          </cell>
          <cell r="E80">
            <v>2519271</v>
          </cell>
          <cell r="F80">
            <v>-2262379.1800000002</v>
          </cell>
          <cell r="G80">
            <v>-89.802930292136111</v>
          </cell>
        </row>
        <row r="82">
          <cell r="A82" t="str">
            <v>Postage, telex and telephone</v>
          </cell>
        </row>
        <row r="83">
          <cell r="A83" t="str">
            <v>Telephone - Staff</v>
          </cell>
          <cell r="B83"/>
          <cell r="C83"/>
          <cell r="D83">
            <v>28832</v>
          </cell>
          <cell r="E83">
            <v>-77288</v>
          </cell>
          <cell r="F83">
            <v>106120</v>
          </cell>
          <cell r="G83">
            <v>-137.30462685022255</v>
          </cell>
        </row>
        <row r="84">
          <cell r="A84" t="str">
            <v>Telephone - Company</v>
          </cell>
          <cell r="B84"/>
          <cell r="C84"/>
          <cell r="D84">
            <v>175665</v>
          </cell>
          <cell r="E84">
            <v>414852</v>
          </cell>
          <cell r="F84">
            <v>-239187</v>
          </cell>
          <cell r="G84">
            <v>-57.655983338636432</v>
          </cell>
        </row>
        <row r="85">
          <cell r="A85" t="str">
            <v>Fax</v>
          </cell>
          <cell r="B85"/>
          <cell r="C85"/>
          <cell r="D85">
            <v>7624</v>
          </cell>
          <cell r="E85">
            <v>29678</v>
          </cell>
          <cell r="F85">
            <v>-22054</v>
          </cell>
          <cell r="G85">
            <v>-74.310937394703146</v>
          </cell>
        </row>
        <row r="86">
          <cell r="A86" t="str">
            <v>Postage</v>
          </cell>
          <cell r="B86"/>
          <cell r="C86"/>
          <cell r="D86">
            <v>0</v>
          </cell>
          <cell r="E86">
            <v>6719</v>
          </cell>
          <cell r="F86">
            <v>-6719</v>
          </cell>
          <cell r="G86">
            <v>-100</v>
          </cell>
        </row>
        <row r="87">
          <cell r="A87" t="str">
            <v>Mobile</v>
          </cell>
          <cell r="B87"/>
          <cell r="C87"/>
          <cell r="D87">
            <v>53856</v>
          </cell>
          <cell r="E87">
            <v>90215</v>
          </cell>
          <cell r="F87">
            <v>-36359</v>
          </cell>
          <cell r="G87">
            <v>0</v>
          </cell>
        </row>
        <row r="88">
          <cell r="D88">
            <v>265977</v>
          </cell>
          <cell r="E88">
            <v>464176</v>
          </cell>
          <cell r="F88">
            <v>-198199</v>
          </cell>
          <cell r="G88">
            <v>-42.699105511702456</v>
          </cell>
        </row>
        <row r="90">
          <cell r="A90" t="str">
            <v>General expenses</v>
          </cell>
        </row>
        <row r="91">
          <cell r="A91" t="str">
            <v>Protective clothing</v>
          </cell>
          <cell r="B91"/>
          <cell r="C91"/>
          <cell r="D91">
            <v>13403</v>
          </cell>
          <cell r="E91">
            <v>71444</v>
          </cell>
          <cell r="F91">
            <v>-58041</v>
          </cell>
          <cell r="G91">
            <v>-81.239852191926545</v>
          </cell>
        </row>
        <row r="92">
          <cell r="A92" t="str">
            <v>Laundry</v>
          </cell>
          <cell r="B92"/>
          <cell r="C92"/>
          <cell r="D92">
            <v>178660</v>
          </cell>
          <cell r="E92">
            <v>325974</v>
          </cell>
          <cell r="F92">
            <v>-147314</v>
          </cell>
          <cell r="G92">
            <v>-45.191947824059589</v>
          </cell>
        </row>
        <row r="93">
          <cell r="A93" t="str">
            <v>Fire fighting</v>
          </cell>
          <cell r="B93"/>
          <cell r="C93"/>
          <cell r="D93">
            <v>211244.5</v>
          </cell>
          <cell r="E93">
            <v>449704</v>
          </cell>
          <cell r="F93">
            <v>-238459.5</v>
          </cell>
          <cell r="G93">
            <v>-53.025879245014494</v>
          </cell>
        </row>
        <row r="94">
          <cell r="A94" t="str">
            <v>Garden upkeep</v>
          </cell>
          <cell r="B94"/>
          <cell r="C94"/>
          <cell r="D94">
            <v>65880</v>
          </cell>
          <cell r="E94">
            <v>285069</v>
          </cell>
          <cell r="F94">
            <v>-219189</v>
          </cell>
          <cell r="G94">
            <v>-76.889805626006336</v>
          </cell>
        </row>
        <row r="95">
          <cell r="A95" t="str">
            <v>Enviornment</v>
          </cell>
          <cell r="B95"/>
          <cell r="C95"/>
          <cell r="D95">
            <v>1950</v>
          </cell>
          <cell r="E95">
            <v>243314</v>
          </cell>
          <cell r="F95">
            <v>-241364</v>
          </cell>
          <cell r="G95">
            <v>-99.198566461444884</v>
          </cell>
        </row>
        <row r="96">
          <cell r="A96" t="str">
            <v>Office supplies</v>
          </cell>
          <cell r="B96"/>
          <cell r="C96"/>
          <cell r="D96">
            <v>110524</v>
          </cell>
          <cell r="E96">
            <v>429239</v>
          </cell>
          <cell r="F96">
            <v>-318715</v>
          </cell>
          <cell r="G96">
            <v>-74.251174753459026</v>
          </cell>
        </row>
        <row r="97">
          <cell r="A97" t="str">
            <v>Books, magazines, and subscriptions</v>
          </cell>
          <cell r="B97"/>
          <cell r="C97"/>
          <cell r="D97">
            <v>2200</v>
          </cell>
          <cell r="E97">
            <v>54882</v>
          </cell>
          <cell r="F97">
            <v>-52682</v>
          </cell>
          <cell r="G97">
            <v>-95.991399730330528</v>
          </cell>
        </row>
        <row r="98">
          <cell r="A98" t="str">
            <v>Uniforms</v>
          </cell>
          <cell r="B98"/>
          <cell r="C98"/>
          <cell r="D98">
            <v>111105</v>
          </cell>
          <cell r="E98">
            <v>435820</v>
          </cell>
          <cell r="F98">
            <v>-324715</v>
          </cell>
          <cell r="G98">
            <v>-74.50667706851452</v>
          </cell>
        </row>
        <row r="99">
          <cell r="A99" t="str">
            <v>Carriage and freight</v>
          </cell>
          <cell r="B99"/>
          <cell r="C99"/>
          <cell r="D99">
            <v>6210</v>
          </cell>
          <cell r="E99">
            <v>84355</v>
          </cell>
          <cell r="F99">
            <v>-78145</v>
          </cell>
          <cell r="G99">
            <v>-92.6382549937763</v>
          </cell>
        </row>
        <row r="100">
          <cell r="A100" t="str">
            <v>Employee training seminar</v>
          </cell>
          <cell r="B100"/>
          <cell r="C100"/>
          <cell r="D100">
            <v>0</v>
          </cell>
          <cell r="E100">
            <v>73876</v>
          </cell>
          <cell r="F100">
            <v>-73876</v>
          </cell>
          <cell r="G100">
            <v>-100</v>
          </cell>
        </row>
        <row r="101">
          <cell r="A101" t="str">
            <v>Security Expenses</v>
          </cell>
          <cell r="B101"/>
          <cell r="C101"/>
          <cell r="D101">
            <v>610000</v>
          </cell>
          <cell r="E101">
            <v>1360807</v>
          </cell>
          <cell r="F101">
            <v>-750807</v>
          </cell>
          <cell r="G101">
            <v>-55.173657983828718</v>
          </cell>
        </row>
        <row r="102">
          <cell r="A102" t="str">
            <v>Service charges</v>
          </cell>
          <cell r="B102"/>
          <cell r="C102"/>
          <cell r="D102">
            <v>0</v>
          </cell>
          <cell r="E102">
            <v>164778</v>
          </cell>
          <cell r="F102">
            <v>-164778</v>
          </cell>
          <cell r="G102">
            <v>-100</v>
          </cell>
        </row>
        <row r="103">
          <cell r="D103">
            <v>1311176.5</v>
          </cell>
          <cell r="E103">
            <v>3979262</v>
          </cell>
          <cell r="F103">
            <v>-2668085.5</v>
          </cell>
          <cell r="G103">
            <v>-67.049756964984965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_2"/>
      <sheetName val="tb2001"/>
      <sheetName val="tbsk&amp;f"/>
      <sheetName val="Sheet4"/>
      <sheetName val="COGS"/>
      <sheetName val="cross charge mfg"/>
      <sheetName val="mfg"/>
      <sheetName val="GLOBAL COGS MATERIAL"/>
      <sheetName val="GLOBAL COGSLABOUR"/>
      <sheetName val="GLOBAL COGS foh"/>
      <sheetName val="variance"/>
      <sheetName val="PL"/>
      <sheetName val="1"/>
      <sheetName val="1_1"/>
      <sheetName val="1_1Copy"/>
      <sheetName val="1_2"/>
      <sheetName val="1_3"/>
      <sheetName val="Sheet1"/>
      <sheetName val="2_2_1"/>
      <sheetName val="admin&amp;sell"/>
      <sheetName val="3"/>
      <sheetName val="cross charge admin"/>
      <sheetName val="Admin"/>
      <sheetName val="3_1_1"/>
      <sheetName val="tb1SKnF"/>
      <sheetName val="manu"/>
      <sheetName val="4"/>
      <sheetName val="4-1"/>
      <sheetName val="5"/>
      <sheetName val="6"/>
      <sheetName val="bppl-tb (2)"/>
      <sheetName val="wppf"/>
      <sheetName val="cross charge mfg (2)"/>
      <sheetName val="cross charge admin (2)"/>
    </sheetNames>
    <sheetDataSet>
      <sheetData sheetId="0">
        <row r="11">
          <cell r="A11" t="str">
            <v>Salaries, wages and other benefits</v>
          </cell>
        </row>
        <row r="12">
          <cell r="A12" t="str">
            <v>Regular Salaries</v>
          </cell>
          <cell r="D12">
            <v>29593693</v>
          </cell>
          <cell r="E12">
            <v>56577291</v>
          </cell>
          <cell r="F12">
            <v>-26983598</v>
          </cell>
          <cell r="G12">
            <v>-47.693336890237461</v>
          </cell>
        </row>
        <row r="13">
          <cell r="A13" t="str">
            <v>Overtime</v>
          </cell>
          <cell r="D13">
            <v>253385</v>
          </cell>
          <cell r="E13">
            <v>663501</v>
          </cell>
          <cell r="F13">
            <v>-410116</v>
          </cell>
          <cell r="G13">
            <v>-61.810909101870223</v>
          </cell>
        </row>
        <row r="14">
          <cell r="A14" t="str">
            <v>Bonus</v>
          </cell>
          <cell r="D14">
            <v>6227000</v>
          </cell>
          <cell r="E14">
            <v>8701126</v>
          </cell>
          <cell r="F14">
            <v>-2474126</v>
          </cell>
          <cell r="G14">
            <v>-28.434549735287135</v>
          </cell>
        </row>
        <row r="15">
          <cell r="A15" t="str">
            <v>Ex-Gratia</v>
          </cell>
          <cell r="D15">
            <v>14943499</v>
          </cell>
          <cell r="E15">
            <v>0</v>
          </cell>
          <cell r="F15">
            <v>14943499</v>
          </cell>
          <cell r="G15">
            <v>100</v>
          </cell>
        </row>
        <row r="16">
          <cell r="A16" t="str">
            <v>Temporary salaries &amp; wages</v>
          </cell>
          <cell r="D16">
            <v>739251</v>
          </cell>
          <cell r="E16">
            <v>1491420</v>
          </cell>
          <cell r="F16">
            <v>-752169</v>
          </cell>
          <cell r="G16">
            <v>-50.433077201593115</v>
          </cell>
        </row>
        <row r="17">
          <cell r="A17" t="str">
            <v>Casual contract hire wage</v>
          </cell>
          <cell r="D17">
            <v>807149</v>
          </cell>
          <cell r="E17">
            <v>2071552</v>
          </cell>
          <cell r="F17">
            <v>-1264403</v>
          </cell>
          <cell r="G17">
            <v>-61.036507893598611</v>
          </cell>
        </row>
        <row r="18">
          <cell r="A18" t="str">
            <v>Hospitalisation</v>
          </cell>
          <cell r="D18">
            <v>52403</v>
          </cell>
          <cell r="E18">
            <v>0</v>
          </cell>
          <cell r="F18">
            <v>52403</v>
          </cell>
          <cell r="G18">
            <v>100</v>
          </cell>
        </row>
        <row r="19">
          <cell r="A19" t="str">
            <v>Medical</v>
          </cell>
          <cell r="D19">
            <v>1085553</v>
          </cell>
          <cell r="E19">
            <v>2589012</v>
          </cell>
          <cell r="F19">
            <v>-1503459</v>
          </cell>
          <cell r="G19">
            <v>-58.070762128564866</v>
          </cell>
        </row>
        <row r="20">
          <cell r="A20" t="str">
            <v>Group Insurance</v>
          </cell>
          <cell r="D20">
            <v>627297</v>
          </cell>
          <cell r="E20">
            <v>742438</v>
          </cell>
          <cell r="F20">
            <v>-115141</v>
          </cell>
          <cell r="G20">
            <v>-15.508500373095128</v>
          </cell>
        </row>
        <row r="21">
          <cell r="A21" t="str">
            <v>Leave Fare Assistance</v>
          </cell>
          <cell r="D21">
            <v>13950</v>
          </cell>
          <cell r="E21">
            <v>26265</v>
          </cell>
          <cell r="F21">
            <v>-12315</v>
          </cell>
          <cell r="G21">
            <v>-46.887492861222157</v>
          </cell>
        </row>
        <row r="22">
          <cell r="A22" t="str">
            <v>Benefit car/scooter</v>
          </cell>
          <cell r="D22">
            <v>624699</v>
          </cell>
          <cell r="E22">
            <v>2149452</v>
          </cell>
          <cell r="F22">
            <v>-1524753</v>
          </cell>
          <cell r="G22">
            <v>-70.936824827909632</v>
          </cell>
        </row>
        <row r="23">
          <cell r="A23" t="str">
            <v>Gratuity</v>
          </cell>
          <cell r="D23">
            <v>7026000</v>
          </cell>
          <cell r="E23">
            <v>11344000</v>
          </cell>
          <cell r="F23">
            <v>-4318000</v>
          </cell>
          <cell r="G23">
            <v>-38.064174894217203</v>
          </cell>
        </row>
        <row r="24">
          <cell r="A24" t="str">
            <v>PF Contribution</v>
          </cell>
          <cell r="D24">
            <v>1954998</v>
          </cell>
          <cell r="E24">
            <v>3787540</v>
          </cell>
          <cell r="F24">
            <v>-1832542</v>
          </cell>
          <cell r="G24">
            <v>-48.383436214535031</v>
          </cell>
        </row>
        <row r="25">
          <cell r="A25" t="str">
            <v>Staff welfare</v>
          </cell>
          <cell r="D25">
            <v>1473191</v>
          </cell>
          <cell r="E25">
            <v>3386259</v>
          </cell>
          <cell r="F25">
            <v>-1913068</v>
          </cell>
          <cell r="G25">
            <v>-56.49502887995277</v>
          </cell>
        </row>
        <row r="26">
          <cell r="A26" t="str">
            <v>Recreation club</v>
          </cell>
          <cell r="D26">
            <v>25488</v>
          </cell>
          <cell r="E26">
            <v>30343</v>
          </cell>
          <cell r="F26">
            <v>-4855</v>
          </cell>
          <cell r="G26">
            <v>-16.000395478364037</v>
          </cell>
        </row>
        <row r="27">
          <cell r="A27" t="str">
            <v>Service award</v>
          </cell>
          <cell r="D27">
            <v>416000</v>
          </cell>
          <cell r="E27">
            <v>693209</v>
          </cell>
          <cell r="F27">
            <v>-277209</v>
          </cell>
          <cell r="G27">
            <v>-39.98923845478059</v>
          </cell>
        </row>
        <row r="28">
          <cell r="A28" t="str">
            <v>Education benefit</v>
          </cell>
          <cell r="D28">
            <v>0</v>
          </cell>
          <cell r="E28">
            <v>86500</v>
          </cell>
          <cell r="F28">
            <v>-86500</v>
          </cell>
          <cell r="G28">
            <v>-100</v>
          </cell>
        </row>
        <row r="29">
          <cell r="A29" t="str">
            <v>Representative incentives</v>
          </cell>
          <cell r="D29">
            <v>2000482</v>
          </cell>
          <cell r="E29">
            <v>11662539</v>
          </cell>
          <cell r="F29">
            <v>-9662057</v>
          </cell>
          <cell r="G29">
            <v>-82.846942676890507</v>
          </cell>
        </row>
        <row r="30">
          <cell r="A30" t="str">
            <v>Adjustments</v>
          </cell>
          <cell r="D30">
            <v>537930</v>
          </cell>
        </row>
        <row r="31">
          <cell r="A31" t="str">
            <v>Adjustments</v>
          </cell>
          <cell r="D31">
            <v>-233328</v>
          </cell>
        </row>
        <row r="32">
          <cell r="A32" t="str">
            <v>Adjustments</v>
          </cell>
          <cell r="D32">
            <v>-352593</v>
          </cell>
        </row>
        <row r="33">
          <cell r="A33" t="str">
            <v>Adjustments</v>
          </cell>
          <cell r="D33">
            <v>-905000</v>
          </cell>
        </row>
        <row r="34">
          <cell r="A34" t="str">
            <v>Adjustments</v>
          </cell>
          <cell r="D34">
            <v>-828000</v>
          </cell>
        </row>
        <row r="35">
          <cell r="D35">
            <v>66083047</v>
          </cell>
          <cell r="E35">
            <v>106002447</v>
          </cell>
          <cell r="F35">
            <v>-39919400</v>
          </cell>
          <cell r="G35">
            <v>-37.658941967632124</v>
          </cell>
        </row>
        <row r="36">
          <cell r="A36" t="str">
            <v>Handling, freight and transportation</v>
          </cell>
          <cell r="F36">
            <v>0</v>
          </cell>
          <cell r="G36">
            <v>0</v>
          </cell>
        </row>
        <row r="37">
          <cell r="A37" t="str">
            <v>Carriage and freight</v>
          </cell>
          <cell r="D37">
            <v>2911020.73</v>
          </cell>
          <cell r="E37">
            <v>4345963</v>
          </cell>
          <cell r="F37">
            <v>-1434942.27</v>
          </cell>
          <cell r="G37">
            <v>-33.017820676338019</v>
          </cell>
        </row>
        <row r="38">
          <cell r="A38" t="str">
            <v>Octroi</v>
          </cell>
          <cell r="D38">
            <v>0</v>
          </cell>
          <cell r="E38">
            <v>97023</v>
          </cell>
          <cell r="F38">
            <v>-97023</v>
          </cell>
          <cell r="G38">
            <v>-100</v>
          </cell>
        </row>
        <row r="39">
          <cell r="D39">
            <v>2911020.73</v>
          </cell>
          <cell r="E39">
            <v>4442986</v>
          </cell>
          <cell r="F39">
            <v>-1531965.27</v>
          </cell>
          <cell r="G39">
            <v>-34.480533362022747</v>
          </cell>
        </row>
        <row r="40">
          <cell r="A40" t="str">
            <v>Vehicle running</v>
          </cell>
          <cell r="F40">
            <v>0</v>
          </cell>
          <cell r="G40">
            <v>0</v>
          </cell>
        </row>
        <row r="41">
          <cell r="A41" t="str">
            <v>Fuel</v>
          </cell>
          <cell r="D41">
            <v>1959360</v>
          </cell>
          <cell r="E41">
            <v>4055929</v>
          </cell>
          <cell r="F41">
            <v>-2096569</v>
          </cell>
          <cell r="G41">
            <v>-51.691462054685864</v>
          </cell>
        </row>
        <row r="42">
          <cell r="A42" t="str">
            <v>Maintenence</v>
          </cell>
          <cell r="D42">
            <v>863176</v>
          </cell>
          <cell r="E42">
            <v>2021211</v>
          </cell>
          <cell r="F42">
            <v>-1158035</v>
          </cell>
          <cell r="G42">
            <v>-57.294117239615261</v>
          </cell>
        </row>
        <row r="43">
          <cell r="A43" t="str">
            <v>Taxes</v>
          </cell>
          <cell r="D43">
            <v>101372</v>
          </cell>
          <cell r="E43">
            <v>199102</v>
          </cell>
          <cell r="F43">
            <v>-97730</v>
          </cell>
          <cell r="G43">
            <v>-49.085393416439814</v>
          </cell>
        </row>
        <row r="44">
          <cell r="A44" t="str">
            <v>Hire</v>
          </cell>
          <cell r="D44">
            <v>49541</v>
          </cell>
          <cell r="E44">
            <v>49324</v>
          </cell>
          <cell r="F44">
            <v>217</v>
          </cell>
          <cell r="G44">
            <v>0.4399480982888655</v>
          </cell>
        </row>
        <row r="45">
          <cell r="D45">
            <v>2973449</v>
          </cell>
          <cell r="E45">
            <v>6325566</v>
          </cell>
          <cell r="F45">
            <v>-3352117</v>
          </cell>
          <cell r="G45">
            <v>-52.993155078928908</v>
          </cell>
        </row>
        <row r="46">
          <cell r="A46" t="str">
            <v xml:space="preserve">Travelling </v>
          </cell>
        </row>
        <row r="47">
          <cell r="A47" t="str">
            <v>Travel - Airfare</v>
          </cell>
          <cell r="D47">
            <v>1423626.4</v>
          </cell>
          <cell r="E47">
            <v>2446967</v>
          </cell>
          <cell r="F47">
            <v>-1023340.6000000001</v>
          </cell>
          <cell r="G47">
            <v>-41.820776495964189</v>
          </cell>
        </row>
        <row r="48">
          <cell r="A48" t="str">
            <v>Taxi fare</v>
          </cell>
          <cell r="D48">
            <v>79564</v>
          </cell>
          <cell r="E48">
            <v>177284</v>
          </cell>
          <cell r="F48">
            <v>-97720</v>
          </cell>
          <cell r="G48">
            <v>-55.120597459443609</v>
          </cell>
        </row>
        <row r="49">
          <cell r="A49" t="str">
            <v>Kit allowance</v>
          </cell>
          <cell r="D49">
            <v>49900</v>
          </cell>
          <cell r="E49">
            <v>223397</v>
          </cell>
          <cell r="F49">
            <v>-173497</v>
          </cell>
          <cell r="G49">
            <v>-77.66308410587429</v>
          </cell>
        </row>
        <row r="50">
          <cell r="A50" t="str">
            <v xml:space="preserve">Meal &amp; Accomodation </v>
          </cell>
          <cell r="D50">
            <v>714619.78</v>
          </cell>
          <cell r="E50">
            <v>1866644</v>
          </cell>
          <cell r="F50">
            <v>-1152024.22</v>
          </cell>
          <cell r="G50">
            <v>-61.71633262689619</v>
          </cell>
        </row>
        <row r="51">
          <cell r="A51" t="str">
            <v xml:space="preserve">Entertainment </v>
          </cell>
          <cell r="D51">
            <v>623530</v>
          </cell>
          <cell r="E51">
            <v>1118657</v>
          </cell>
          <cell r="F51">
            <v>-495127</v>
          </cell>
          <cell r="G51">
            <v>-44.26084134815229</v>
          </cell>
        </row>
        <row r="52">
          <cell r="A52" t="str">
            <v>Other allowances (conveyance)</v>
          </cell>
          <cell r="D52">
            <v>627836</v>
          </cell>
          <cell r="E52">
            <v>1504177</v>
          </cell>
          <cell r="F52">
            <v>-876341</v>
          </cell>
          <cell r="G52">
            <v>-58.260497268606024</v>
          </cell>
        </row>
        <row r="53">
          <cell r="A53" t="str">
            <v>Staff transport</v>
          </cell>
          <cell r="D53">
            <v>0</v>
          </cell>
          <cell r="E53">
            <v>6951</v>
          </cell>
          <cell r="F53">
            <v>-6951</v>
          </cell>
          <cell r="G53">
            <v>-100</v>
          </cell>
        </row>
        <row r="54">
          <cell r="A54" t="str">
            <v>Daily allowance</v>
          </cell>
          <cell r="D54">
            <v>1835603</v>
          </cell>
          <cell r="E54">
            <v>3778339</v>
          </cell>
          <cell r="F54">
            <v>-1942736</v>
          </cell>
          <cell r="G54">
            <v>-51.417726148977103</v>
          </cell>
        </row>
        <row r="55">
          <cell r="A55" t="str">
            <v>Outstation allowance</v>
          </cell>
          <cell r="D55">
            <v>1451701</v>
          </cell>
          <cell r="E55">
            <v>3026779</v>
          </cell>
          <cell r="F55">
            <v>-1575078</v>
          </cell>
          <cell r="G55">
            <v>-52.03809065676748</v>
          </cell>
        </row>
        <row r="56">
          <cell r="A56" t="str">
            <v>SPM expenses</v>
          </cell>
          <cell r="D56">
            <v>0</v>
          </cell>
          <cell r="E56">
            <v>48490</v>
          </cell>
          <cell r="F56">
            <v>-48490</v>
          </cell>
          <cell r="G56">
            <v>-100</v>
          </cell>
        </row>
        <row r="57">
          <cell r="A57" t="str">
            <v>Fares</v>
          </cell>
          <cell r="D57">
            <v>1747118</v>
          </cell>
          <cell r="E57">
            <v>3572040</v>
          </cell>
          <cell r="F57">
            <v>-1824922</v>
          </cell>
          <cell r="G57">
            <v>-51.089069551292823</v>
          </cell>
        </row>
        <row r="58">
          <cell r="A58" t="str">
            <v>Relocation grant</v>
          </cell>
          <cell r="D58">
            <v>279404</v>
          </cell>
          <cell r="E58">
            <v>314832</v>
          </cell>
          <cell r="F58">
            <v>-35428</v>
          </cell>
          <cell r="G58">
            <v>-11.252985719367791</v>
          </cell>
        </row>
        <row r="59">
          <cell r="D59">
            <v>8832902.1799999997</v>
          </cell>
          <cell r="E59">
            <v>18084557</v>
          </cell>
          <cell r="F59">
            <v>-9251654.8200000003</v>
          </cell>
          <cell r="G59">
            <v>-51.157763057176354</v>
          </cell>
        </row>
        <row r="60">
          <cell r="F60">
            <v>0</v>
          </cell>
          <cell r="G60">
            <v>0</v>
          </cell>
        </row>
        <row r="61">
          <cell r="A61" t="str">
            <v>Advertising</v>
          </cell>
          <cell r="F61">
            <v>0</v>
          </cell>
          <cell r="G61">
            <v>0</v>
          </cell>
        </row>
        <row r="62">
          <cell r="A62" t="str">
            <v>Press</v>
          </cell>
          <cell r="D62">
            <v>893244</v>
          </cell>
          <cell r="E62">
            <v>1728293</v>
          </cell>
          <cell r="F62">
            <v>-835049</v>
          </cell>
          <cell r="G62">
            <v>-48.316402369274194</v>
          </cell>
        </row>
        <row r="63">
          <cell r="A63" t="str">
            <v>Television</v>
          </cell>
          <cell r="D63">
            <v>-281292</v>
          </cell>
          <cell r="E63">
            <v>1205770</v>
          </cell>
          <cell r="F63">
            <v>-1487062</v>
          </cell>
          <cell r="G63">
            <v>-123.32882722243876</v>
          </cell>
        </row>
        <row r="64">
          <cell r="A64" t="str">
            <v>Film</v>
          </cell>
          <cell r="D64">
            <v>-264365</v>
          </cell>
          <cell r="E64">
            <v>713026</v>
          </cell>
          <cell r="F64">
            <v>-977391</v>
          </cell>
          <cell r="G64">
            <v>100</v>
          </cell>
        </row>
        <row r="65">
          <cell r="A65" t="str">
            <v>Radio</v>
          </cell>
          <cell r="D65">
            <v>556083</v>
          </cell>
          <cell r="E65">
            <v>638008</v>
          </cell>
          <cell r="F65">
            <v>-81925</v>
          </cell>
          <cell r="G65">
            <v>-12.840748078394002</v>
          </cell>
        </row>
        <row r="66">
          <cell r="A66" t="str">
            <v>Literature</v>
          </cell>
          <cell r="D66">
            <v>2411078.3499999996</v>
          </cell>
          <cell r="E66">
            <v>4636907</v>
          </cell>
          <cell r="F66">
            <v>-2225828.6500000004</v>
          </cell>
          <cell r="G66">
            <v>-48.002443223467722</v>
          </cell>
        </row>
        <row r="67">
          <cell r="A67" t="str">
            <v>Design</v>
          </cell>
          <cell r="D67">
            <v>142400</v>
          </cell>
          <cell r="E67">
            <v>371659</v>
          </cell>
          <cell r="F67">
            <v>-229259</v>
          </cell>
          <cell r="G67">
            <v>-61.685308306808118</v>
          </cell>
        </row>
        <row r="68">
          <cell r="A68" t="str">
            <v>Adjustments</v>
          </cell>
          <cell r="D68">
            <v>1500000</v>
          </cell>
        </row>
        <row r="69">
          <cell r="D69">
            <v>4957148.3499999996</v>
          </cell>
          <cell r="E69">
            <v>9293663</v>
          </cell>
          <cell r="F69">
            <v>-4336514.6500000004</v>
          </cell>
          <cell r="G69">
            <v>-46.660984479424314</v>
          </cell>
        </row>
        <row r="70">
          <cell r="F70">
            <v>0</v>
          </cell>
          <cell r="G70">
            <v>0</v>
          </cell>
        </row>
        <row r="71">
          <cell r="A71" t="str">
            <v>Sales promotion</v>
          </cell>
          <cell r="F71">
            <v>0</v>
          </cell>
          <cell r="G71">
            <v>0</v>
          </cell>
        </row>
        <row r="72">
          <cell r="A72" t="str">
            <v>Market research</v>
          </cell>
          <cell r="D72">
            <v>34000</v>
          </cell>
          <cell r="E72">
            <v>211016</v>
          </cell>
          <cell r="F72">
            <v>-177016</v>
          </cell>
          <cell r="G72">
            <v>-83.887477726807447</v>
          </cell>
        </row>
        <row r="73">
          <cell r="A73" t="str">
            <v>Public relationing</v>
          </cell>
          <cell r="D73">
            <v>3788666</v>
          </cell>
          <cell r="E73">
            <v>1162298</v>
          </cell>
          <cell r="F73">
            <v>2626368</v>
          </cell>
          <cell r="G73">
            <v>225.9633932089705</v>
          </cell>
        </row>
        <row r="74">
          <cell r="A74" t="str">
            <v>Outdoor</v>
          </cell>
          <cell r="D74">
            <v>2212009</v>
          </cell>
          <cell r="E74">
            <v>1081944</v>
          </cell>
          <cell r="F74">
            <v>1130065</v>
          </cell>
          <cell r="G74">
            <v>104.44764239184283</v>
          </cell>
        </row>
        <row r="75">
          <cell r="A75" t="str">
            <v>Samples</v>
          </cell>
          <cell r="D75">
            <v>6949992</v>
          </cell>
          <cell r="E75">
            <v>14426486</v>
          </cell>
          <cell r="F75">
            <v>-7476494</v>
          </cell>
          <cell r="G75">
            <v>-51.82477562450066</v>
          </cell>
        </row>
        <row r="76">
          <cell r="A76" t="str">
            <v>Mailing</v>
          </cell>
          <cell r="D76">
            <v>23000</v>
          </cell>
          <cell r="E76">
            <v>97974</v>
          </cell>
          <cell r="F76">
            <v>-74974</v>
          </cell>
          <cell r="G76">
            <v>-76.524384020250267</v>
          </cell>
        </row>
        <row r="77">
          <cell r="A77" t="str">
            <v>Gifts &amp; Giveaways</v>
          </cell>
          <cell r="D77">
            <v>8978536</v>
          </cell>
          <cell r="E77">
            <v>12466487</v>
          </cell>
          <cell r="F77">
            <v>-3487951</v>
          </cell>
          <cell r="G77">
            <v>-27.978619798825445</v>
          </cell>
        </row>
        <row r="78">
          <cell r="A78" t="str">
            <v xml:space="preserve">Display material </v>
          </cell>
          <cell r="D78">
            <v>265190</v>
          </cell>
          <cell r="E78">
            <v>820095</v>
          </cell>
          <cell r="F78">
            <v>-554905</v>
          </cell>
          <cell r="G78">
            <v>100</v>
          </cell>
        </row>
        <row r="79">
          <cell r="A79" t="str">
            <v>Printing jobs</v>
          </cell>
          <cell r="D79">
            <v>2114671.85</v>
          </cell>
          <cell r="E79">
            <v>1715956</v>
          </cell>
          <cell r="F79">
            <v>398715.85000000009</v>
          </cell>
          <cell r="G79">
            <v>23.235785183303072</v>
          </cell>
        </row>
        <row r="80">
          <cell r="A80" t="str">
            <v>Films and exhibitions</v>
          </cell>
          <cell r="D80">
            <v>1107146</v>
          </cell>
          <cell r="E80">
            <v>2910667</v>
          </cell>
          <cell r="F80">
            <v>-1803521</v>
          </cell>
          <cell r="G80">
            <v>-61.962464273652742</v>
          </cell>
        </row>
        <row r="81">
          <cell r="A81" t="str">
            <v>Annual Sales Conference</v>
          </cell>
          <cell r="D81">
            <v>1630228.5</v>
          </cell>
          <cell r="E81">
            <v>4885644</v>
          </cell>
          <cell r="F81">
            <v>-3255415.5</v>
          </cell>
          <cell r="G81">
            <v>-66.632269973006629</v>
          </cell>
        </row>
        <row r="82">
          <cell r="A82" t="str">
            <v>Clinical trials</v>
          </cell>
          <cell r="D82">
            <v>666539</v>
          </cell>
          <cell r="E82">
            <v>3766034</v>
          </cell>
          <cell r="F82">
            <v>-3099495</v>
          </cell>
          <cell r="G82">
            <v>-82.301301581451469</v>
          </cell>
        </row>
        <row r="83">
          <cell r="A83" t="str">
            <v>Meetings / symposia</v>
          </cell>
          <cell r="D83">
            <v>3270053.75</v>
          </cell>
          <cell r="E83">
            <v>4706322</v>
          </cell>
          <cell r="F83">
            <v>-1436268.25</v>
          </cell>
          <cell r="G83">
            <v>-30.517849182440131</v>
          </cell>
        </row>
        <row r="84">
          <cell r="D84">
            <v>31040032.100000001</v>
          </cell>
          <cell r="E84">
            <v>48250923</v>
          </cell>
          <cell r="F84">
            <v>-17210890.899999999</v>
          </cell>
          <cell r="G84">
            <v>-35.669557865245395</v>
          </cell>
        </row>
        <row r="85">
          <cell r="F85">
            <v>0</v>
          </cell>
          <cell r="G85">
            <v>0</v>
          </cell>
        </row>
        <row r="86">
          <cell r="A86" t="str">
            <v>Depreciation</v>
          </cell>
          <cell r="F86">
            <v>0</v>
          </cell>
          <cell r="G86">
            <v>0</v>
          </cell>
        </row>
        <row r="87">
          <cell r="A87" t="str">
            <v>Office furniture</v>
          </cell>
          <cell r="D87">
            <v>692122.55999999994</v>
          </cell>
          <cell r="E87">
            <v>1396235</v>
          </cell>
          <cell r="F87">
            <v>-704112.44000000006</v>
          </cell>
          <cell r="G87">
            <v>-50.429364684311736</v>
          </cell>
        </row>
        <row r="88">
          <cell r="A88" t="str">
            <v>Plant &amp; Equipment</v>
          </cell>
          <cell r="D88">
            <v>29267.29</v>
          </cell>
          <cell r="E88">
            <v>58534</v>
          </cell>
          <cell r="F88">
            <v>-29266.71</v>
          </cell>
          <cell r="G88">
            <v>-49.999504561451467</v>
          </cell>
        </row>
        <row r="89">
          <cell r="A89" t="str">
            <v>Motor vehicles</v>
          </cell>
          <cell r="D89">
            <v>218466.8</v>
          </cell>
          <cell r="E89">
            <v>285980</v>
          </cell>
          <cell r="F89">
            <v>-67513.200000000012</v>
          </cell>
          <cell r="G89">
            <v>-23.60766487166935</v>
          </cell>
        </row>
        <row r="90">
          <cell r="A90" t="str">
            <v>PC &amp; word processors</v>
          </cell>
          <cell r="D90">
            <v>6676005.54</v>
          </cell>
          <cell r="E90">
            <v>7130029</v>
          </cell>
          <cell r="F90">
            <v>-454023.45999999996</v>
          </cell>
          <cell r="G90">
            <v>-6.3677645630894339</v>
          </cell>
        </row>
        <row r="91">
          <cell r="D91">
            <v>-27000</v>
          </cell>
          <cell r="E91">
            <v>0</v>
          </cell>
        </row>
        <row r="92">
          <cell r="B92">
            <v>0</v>
          </cell>
          <cell r="D92">
            <v>7588862.1899999995</v>
          </cell>
          <cell r="E92">
            <v>8870778</v>
          </cell>
          <cell r="F92">
            <v>-1281915.8100000005</v>
          </cell>
          <cell r="G92">
            <v>-14.45099640640314</v>
          </cell>
        </row>
        <row r="95">
          <cell r="A95" t="str">
            <v>Rent, rates and taxes</v>
          </cell>
          <cell r="D95">
            <v>626541</v>
          </cell>
          <cell r="E95">
            <v>1374824</v>
          </cell>
          <cell r="F95">
            <v>-748283</v>
          </cell>
          <cell r="G95">
            <v>-54.427548544395499</v>
          </cell>
        </row>
        <row r="96">
          <cell r="F96">
            <v>0</v>
          </cell>
          <cell r="G96">
            <v>0</v>
          </cell>
        </row>
        <row r="97">
          <cell r="F97">
            <v>0</v>
          </cell>
          <cell r="G97">
            <v>0</v>
          </cell>
        </row>
        <row r="98">
          <cell r="A98" t="str">
            <v>Vehicle rentals</v>
          </cell>
          <cell r="D98">
            <v>-196001</v>
          </cell>
          <cell r="E98">
            <v>7046865</v>
          </cell>
          <cell r="F98">
            <v>-7242866</v>
          </cell>
          <cell r="G98">
            <v>-102.78139286051315</v>
          </cell>
        </row>
        <row r="99">
          <cell r="F99">
            <v>0</v>
          </cell>
          <cell r="G99">
            <v>0</v>
          </cell>
        </row>
        <row r="100">
          <cell r="A100" t="str">
            <v>Insurance</v>
          </cell>
          <cell r="F100">
            <v>0</v>
          </cell>
          <cell r="G100">
            <v>0</v>
          </cell>
        </row>
        <row r="101">
          <cell r="A101" t="str">
            <v>Insurance</v>
          </cell>
          <cell r="D101">
            <v>178572</v>
          </cell>
          <cell r="E101">
            <v>372651</v>
          </cell>
          <cell r="F101">
            <v>-194079</v>
          </cell>
          <cell r="G101">
            <v>-52.0806330856485</v>
          </cell>
        </row>
        <row r="102">
          <cell r="A102" t="str">
            <v>Vehicle insurance premium</v>
          </cell>
          <cell r="D102">
            <v>740029</v>
          </cell>
          <cell r="E102">
            <v>1337416</v>
          </cell>
          <cell r="F102">
            <v>-597387</v>
          </cell>
          <cell r="G102">
            <v>-44.667253868654186</v>
          </cell>
        </row>
        <row r="103">
          <cell r="D103">
            <v>918601</v>
          </cell>
          <cell r="E103">
            <v>1710067</v>
          </cell>
          <cell r="F103">
            <v>-791466</v>
          </cell>
          <cell r="G103">
            <v>-46.282747985897629</v>
          </cell>
        </row>
        <row r="104">
          <cell r="F104">
            <v>0</v>
          </cell>
          <cell r="G104">
            <v>0</v>
          </cell>
        </row>
        <row r="105">
          <cell r="A105" t="str">
            <v>Training Cost</v>
          </cell>
        </row>
        <row r="106">
          <cell r="A106" t="str">
            <v>Traing cost</v>
          </cell>
          <cell r="D106">
            <v>673627</v>
          </cell>
          <cell r="E106">
            <v>1894250</v>
          </cell>
          <cell r="F106">
            <v>-1220623</v>
          </cell>
          <cell r="G106">
            <v>-64.438326514451632</v>
          </cell>
        </row>
        <row r="107">
          <cell r="A107" t="str">
            <v>SB Workshop</v>
          </cell>
          <cell r="D107">
            <v>0</v>
          </cell>
          <cell r="E107">
            <v>26427</v>
          </cell>
          <cell r="F107">
            <v>-26427</v>
          </cell>
          <cell r="G107">
            <v>-100</v>
          </cell>
        </row>
        <row r="108">
          <cell r="A108" t="str">
            <v>Training Materials</v>
          </cell>
          <cell r="D108">
            <v>300</v>
          </cell>
          <cell r="E108">
            <v>73642</v>
          </cell>
          <cell r="F108">
            <v>-73342</v>
          </cell>
          <cell r="G108">
            <v>-99.592623774476522</v>
          </cell>
        </row>
        <row r="109">
          <cell r="D109">
            <v>673927</v>
          </cell>
          <cell r="E109">
            <v>1994319</v>
          </cell>
          <cell r="F109">
            <v>-1320392</v>
          </cell>
          <cell r="G109">
            <v>-66.207662866371933</v>
          </cell>
        </row>
        <row r="111">
          <cell r="A111" t="str">
            <v>Utilities</v>
          </cell>
        </row>
        <row r="112">
          <cell r="A112" t="str">
            <v>Electricity</v>
          </cell>
          <cell r="D112">
            <v>155218</v>
          </cell>
          <cell r="E112">
            <v>504568</v>
          </cell>
          <cell r="F112">
            <v>-349350</v>
          </cell>
          <cell r="G112">
            <v>-69.237446687066964</v>
          </cell>
        </row>
        <row r="113">
          <cell r="A113" t="str">
            <v>Gas</v>
          </cell>
          <cell r="D113">
            <v>0</v>
          </cell>
          <cell r="E113">
            <v>2040</v>
          </cell>
          <cell r="F113">
            <v>-2040</v>
          </cell>
          <cell r="G113">
            <v>-100</v>
          </cell>
        </row>
        <row r="114">
          <cell r="A114" t="str">
            <v>Water</v>
          </cell>
          <cell r="D114">
            <v>43505</v>
          </cell>
          <cell r="E114">
            <v>53606</v>
          </cell>
          <cell r="F114">
            <v>-10101</v>
          </cell>
          <cell r="G114">
            <v>-18.843039958213634</v>
          </cell>
        </row>
        <row r="115">
          <cell r="D115">
            <v>198723</v>
          </cell>
          <cell r="E115">
            <v>560214</v>
          </cell>
          <cell r="F115">
            <v>-361491</v>
          </cell>
          <cell r="G115">
            <v>-64.527305636774528</v>
          </cell>
        </row>
        <row r="117">
          <cell r="A117" t="str">
            <v>Publication &amp; Subscrption</v>
          </cell>
          <cell r="F117">
            <v>0</v>
          </cell>
          <cell r="G117">
            <v>0</v>
          </cell>
        </row>
        <row r="118">
          <cell r="A118" t="str">
            <v>Trade &amp; technical publication</v>
          </cell>
          <cell r="D118">
            <v>202492</v>
          </cell>
          <cell r="E118">
            <v>245600</v>
          </cell>
          <cell r="F118">
            <v>-43108</v>
          </cell>
          <cell r="G118">
            <v>-17.552117263843648</v>
          </cell>
        </row>
        <row r="119">
          <cell r="A119" t="str">
            <v>Subscriptions</v>
          </cell>
          <cell r="D119">
            <v>663004</v>
          </cell>
          <cell r="E119">
            <v>1098285</v>
          </cell>
          <cell r="F119">
            <v>-435281</v>
          </cell>
          <cell r="G119">
            <v>-39.632791124343861</v>
          </cell>
        </row>
        <row r="120">
          <cell r="D120">
            <v>865496</v>
          </cell>
          <cell r="E120">
            <v>1343885</v>
          </cell>
          <cell r="F120">
            <v>-478389</v>
          </cell>
          <cell r="G120">
            <v>-35.597465556948698</v>
          </cell>
        </row>
        <row r="123">
          <cell r="A123" t="str">
            <v>Repairs &amp; maintenance</v>
          </cell>
          <cell r="F123">
            <v>0</v>
          </cell>
          <cell r="G123">
            <v>0</v>
          </cell>
        </row>
        <row r="124">
          <cell r="A124" t="str">
            <v>Building</v>
          </cell>
          <cell r="D124">
            <v>122583</v>
          </cell>
          <cell r="E124">
            <v>27047</v>
          </cell>
          <cell r="F124">
            <v>95536</v>
          </cell>
          <cell r="G124">
            <v>353.22216881724404</v>
          </cell>
        </row>
        <row r="125">
          <cell r="A125" t="str">
            <v>Machinery &amp; equipment</v>
          </cell>
          <cell r="D125">
            <v>160639</v>
          </cell>
          <cell r="E125">
            <v>228954</v>
          </cell>
          <cell r="F125">
            <v>-68315</v>
          </cell>
          <cell r="G125">
            <v>-29.837871362806499</v>
          </cell>
        </row>
        <row r="126">
          <cell r="A126" t="str">
            <v>Consumable stores</v>
          </cell>
          <cell r="D126">
            <v>13912</v>
          </cell>
          <cell r="E126">
            <v>50370</v>
          </cell>
          <cell r="F126">
            <v>-36458</v>
          </cell>
          <cell r="G126">
            <v>-72.380385149890813</v>
          </cell>
        </row>
        <row r="127">
          <cell r="A127" t="str">
            <v>Cleaning</v>
          </cell>
          <cell r="D127">
            <v>0</v>
          </cell>
          <cell r="E127">
            <v>500</v>
          </cell>
          <cell r="F127">
            <v>-500</v>
          </cell>
          <cell r="G127">
            <v>-100</v>
          </cell>
        </row>
        <row r="128">
          <cell r="A128" t="str">
            <v>Computer equipment repairs</v>
          </cell>
          <cell r="D128">
            <v>940459</v>
          </cell>
          <cell r="E128">
            <v>1521551</v>
          </cell>
          <cell r="F128">
            <v>-581092</v>
          </cell>
          <cell r="G128">
            <v>-38.190767184274463</v>
          </cell>
        </row>
        <row r="129">
          <cell r="A129" t="str">
            <v>Others repairs &amp; maintenance</v>
          </cell>
          <cell r="D129">
            <v>16900</v>
          </cell>
          <cell r="E129">
            <v>44570</v>
          </cell>
          <cell r="F129">
            <v>-27670</v>
          </cell>
          <cell r="G129">
            <v>-62.082118016603097</v>
          </cell>
        </row>
        <row r="130">
          <cell r="D130">
            <v>1254493</v>
          </cell>
          <cell r="E130">
            <v>1872992</v>
          </cell>
          <cell r="F130">
            <v>-618499</v>
          </cell>
          <cell r="G130">
            <v>-33.021977669952676</v>
          </cell>
        </row>
        <row r="131">
          <cell r="F131">
            <v>0</v>
          </cell>
          <cell r="G131">
            <v>0</v>
          </cell>
        </row>
        <row r="132">
          <cell r="A132" t="str">
            <v>Stationery</v>
          </cell>
          <cell r="F132">
            <v>0</v>
          </cell>
          <cell r="G132">
            <v>0</v>
          </cell>
        </row>
        <row r="133">
          <cell r="A133" t="str">
            <v>Computer stationery</v>
          </cell>
          <cell r="D133">
            <v>102095</v>
          </cell>
          <cell r="E133">
            <v>187135</v>
          </cell>
          <cell r="F133">
            <v>-85040</v>
          </cell>
          <cell r="G133">
            <v>-45.443129291687818</v>
          </cell>
        </row>
        <row r="134">
          <cell r="A134" t="str">
            <v>Office supplies</v>
          </cell>
          <cell r="D134">
            <v>1171450.8500000001</v>
          </cell>
          <cell r="E134">
            <v>2708576</v>
          </cell>
          <cell r="F134">
            <v>-1537125.15</v>
          </cell>
          <cell r="G134">
            <v>-56.750305326488892</v>
          </cell>
        </row>
        <row r="135">
          <cell r="A135" t="str">
            <v>Software Licence</v>
          </cell>
          <cell r="D135">
            <v>0</v>
          </cell>
          <cell r="E135">
            <v>1121630</v>
          </cell>
          <cell r="F135">
            <v>-1121630</v>
          </cell>
          <cell r="G135">
            <v>-100</v>
          </cell>
        </row>
        <row r="136">
          <cell r="A136" t="str">
            <v>Computer data storage media</v>
          </cell>
          <cell r="D136">
            <v>358431</v>
          </cell>
          <cell r="E136">
            <v>882345</v>
          </cell>
          <cell r="F136">
            <v>-523914</v>
          </cell>
          <cell r="G136">
            <v>-59.377454397089565</v>
          </cell>
        </row>
        <row r="137">
          <cell r="A137" t="str">
            <v>Noncapital Purchase</v>
          </cell>
          <cell r="D137">
            <v>-18800</v>
          </cell>
          <cell r="E137">
            <v>178000</v>
          </cell>
          <cell r="F137">
            <v>-196800</v>
          </cell>
          <cell r="G137">
            <v>-110.56179775280899</v>
          </cell>
        </row>
        <row r="138">
          <cell r="A138" t="str">
            <v>Consultancy &amp; Others</v>
          </cell>
          <cell r="D138">
            <v>32400</v>
          </cell>
          <cell r="E138">
            <v>25000</v>
          </cell>
          <cell r="F138">
            <v>7400</v>
          </cell>
          <cell r="G138">
            <v>29.599999999999998</v>
          </cell>
        </row>
        <row r="139">
          <cell r="D139">
            <v>1645576.85</v>
          </cell>
          <cell r="E139">
            <v>5102686</v>
          </cell>
          <cell r="F139">
            <v>-3457109.15</v>
          </cell>
          <cell r="G139">
            <v>-67.750771848395146</v>
          </cell>
        </row>
        <row r="140">
          <cell r="F140">
            <v>0</v>
          </cell>
          <cell r="G140">
            <v>0</v>
          </cell>
        </row>
        <row r="141">
          <cell r="A141" t="str">
            <v>Donations</v>
          </cell>
          <cell r="D141">
            <v>108100</v>
          </cell>
          <cell r="E141">
            <v>673278</v>
          </cell>
          <cell r="F141">
            <v>-565178</v>
          </cell>
          <cell r="G141">
            <v>-83.944225119490014</v>
          </cell>
        </row>
        <row r="143">
          <cell r="A143" t="str">
            <v>Legal and professional charges</v>
          </cell>
        </row>
        <row r="144">
          <cell r="A144" t="str">
            <v>Legal and professional charges</v>
          </cell>
          <cell r="D144">
            <v>398050</v>
          </cell>
          <cell r="E144">
            <v>1333606</v>
          </cell>
          <cell r="F144">
            <v>-935556</v>
          </cell>
          <cell r="G144">
            <v>-70.152353843638977</v>
          </cell>
        </row>
        <row r="145">
          <cell r="A145" t="str">
            <v>Management &amp; consltancy</v>
          </cell>
          <cell r="D145">
            <v>780000</v>
          </cell>
          <cell r="E145">
            <v>1560000</v>
          </cell>
          <cell r="F145">
            <v>-780000</v>
          </cell>
          <cell r="G145">
            <v>-50</v>
          </cell>
        </row>
        <row r="146">
          <cell r="D146">
            <v>1178050</v>
          </cell>
          <cell r="E146">
            <v>2893606</v>
          </cell>
          <cell r="F146">
            <v>-1715556</v>
          </cell>
          <cell r="G146">
            <v>-59.287822875678309</v>
          </cell>
        </row>
        <row r="148">
          <cell r="A148" t="str">
            <v>Auditors' Remuneration</v>
          </cell>
          <cell r="F148">
            <v>0</v>
          </cell>
          <cell r="G148">
            <v>0</v>
          </cell>
        </row>
        <row r="149">
          <cell r="A149" t="str">
            <v>Audit fee</v>
          </cell>
          <cell r="D149">
            <v>550572</v>
          </cell>
          <cell r="E149">
            <v>280000</v>
          </cell>
          <cell r="F149">
            <v>270572</v>
          </cell>
          <cell r="G149">
            <v>96.632857142857148</v>
          </cell>
        </row>
        <row r="150">
          <cell r="A150" t="str">
            <v>Tax consultancy</v>
          </cell>
          <cell r="D150">
            <v>474342</v>
          </cell>
          <cell r="E150">
            <v>872844</v>
          </cell>
          <cell r="F150">
            <v>-398502</v>
          </cell>
          <cell r="G150">
            <v>-45.655581066032418</v>
          </cell>
        </row>
        <row r="151">
          <cell r="A151" t="str">
            <v>Special certification</v>
          </cell>
          <cell r="D151">
            <v>0</v>
          </cell>
          <cell r="E151">
            <v>733000</v>
          </cell>
          <cell r="F151">
            <v>-733000</v>
          </cell>
          <cell r="G151">
            <v>-100</v>
          </cell>
        </row>
        <row r="152">
          <cell r="A152" t="str">
            <v>Out-of-pocket expenses</v>
          </cell>
          <cell r="D152">
            <v>0</v>
          </cell>
          <cell r="E152">
            <v>64113</v>
          </cell>
          <cell r="F152">
            <v>-64113</v>
          </cell>
          <cell r="G152">
            <v>-100</v>
          </cell>
        </row>
        <row r="153">
          <cell r="D153">
            <v>1024914</v>
          </cell>
          <cell r="E153">
            <v>1949957</v>
          </cell>
          <cell r="F153">
            <v>-925043</v>
          </cell>
          <cell r="G153">
            <v>-47.439148658149897</v>
          </cell>
        </row>
        <row r="154">
          <cell r="F154">
            <v>0</v>
          </cell>
          <cell r="G154">
            <v>0</v>
          </cell>
        </row>
        <row r="155">
          <cell r="F155">
            <v>0</v>
          </cell>
          <cell r="G155">
            <v>0</v>
          </cell>
        </row>
        <row r="156">
          <cell r="A156" t="str">
            <v>Postage, telex and telephone</v>
          </cell>
          <cell r="F156">
            <v>0</v>
          </cell>
          <cell r="G156">
            <v>0</v>
          </cell>
        </row>
        <row r="157">
          <cell r="A157" t="str">
            <v>Telephone - Staff</v>
          </cell>
          <cell r="D157">
            <v>195416</v>
          </cell>
          <cell r="E157">
            <v>591328</v>
          </cell>
          <cell r="F157">
            <v>-395912</v>
          </cell>
          <cell r="G157">
            <v>-66.953027761242495</v>
          </cell>
        </row>
        <row r="158">
          <cell r="A158" t="str">
            <v>Telephone - Company</v>
          </cell>
          <cell r="D158">
            <v>1298082.0099999998</v>
          </cell>
          <cell r="E158">
            <v>3261730</v>
          </cell>
          <cell r="F158">
            <v>-1963647.9900000002</v>
          </cell>
          <cell r="G158">
            <v>-60.202652886658313</v>
          </cell>
        </row>
        <row r="159">
          <cell r="A159" t="str">
            <v>Telex</v>
          </cell>
          <cell r="D159">
            <v>5775</v>
          </cell>
          <cell r="E159">
            <v>5775</v>
          </cell>
          <cell r="F159">
            <v>0</v>
          </cell>
          <cell r="G159">
            <v>0</v>
          </cell>
        </row>
        <row r="160">
          <cell r="A160" t="str">
            <v>Fax</v>
          </cell>
          <cell r="D160">
            <v>50715</v>
          </cell>
          <cell r="E160">
            <v>236262</v>
          </cell>
          <cell r="F160">
            <v>-185547</v>
          </cell>
          <cell r="G160">
            <v>-78.53442364832263</v>
          </cell>
        </row>
        <row r="161">
          <cell r="A161" t="str">
            <v>Data communication</v>
          </cell>
          <cell r="D161">
            <v>10000</v>
          </cell>
          <cell r="E161">
            <v>50400</v>
          </cell>
          <cell r="F161">
            <v>-40400</v>
          </cell>
          <cell r="G161">
            <v>-80.158730158730165</v>
          </cell>
        </row>
        <row r="162">
          <cell r="A162" t="str">
            <v>Mobile</v>
          </cell>
          <cell r="D162">
            <v>436791</v>
          </cell>
          <cell r="E162">
            <v>847239</v>
          </cell>
          <cell r="F162">
            <v>-410448</v>
          </cell>
          <cell r="G162">
            <v>-48.445361934471855</v>
          </cell>
        </row>
        <row r="163">
          <cell r="A163" t="str">
            <v>Postage</v>
          </cell>
          <cell r="D163">
            <v>1020160</v>
          </cell>
          <cell r="E163">
            <v>1872026</v>
          </cell>
          <cell r="F163">
            <v>-851866</v>
          </cell>
          <cell r="G163">
            <v>-45.505030378851572</v>
          </cell>
        </row>
        <row r="164">
          <cell r="A164" t="str">
            <v>Telecom - Equipment repairs</v>
          </cell>
          <cell r="D164">
            <v>116263</v>
          </cell>
          <cell r="E164">
            <v>538718</v>
          </cell>
          <cell r="F164">
            <v>-422455</v>
          </cell>
          <cell r="G164">
            <v>-78.418578922553166</v>
          </cell>
        </row>
        <row r="165">
          <cell r="D165">
            <v>3133202.01</v>
          </cell>
          <cell r="E165">
            <v>7403478</v>
          </cell>
          <cell r="F165">
            <v>-4270275.99</v>
          </cell>
          <cell r="G165">
            <v>-57.679323015480023</v>
          </cell>
        </row>
        <row r="166">
          <cell r="F166">
            <v>0</v>
          </cell>
          <cell r="G166">
            <v>0</v>
          </cell>
        </row>
        <row r="167">
          <cell r="A167" t="str">
            <v>Bad debts</v>
          </cell>
          <cell r="D167">
            <v>0</v>
          </cell>
          <cell r="E167">
            <v>103128</v>
          </cell>
          <cell r="F167">
            <v>-103128</v>
          </cell>
          <cell r="G167">
            <v>0</v>
          </cell>
        </row>
        <row r="168">
          <cell r="F168">
            <v>0</v>
          </cell>
          <cell r="G168">
            <v>0</v>
          </cell>
        </row>
        <row r="169">
          <cell r="A169" t="str">
            <v>General expenses</v>
          </cell>
          <cell r="F169">
            <v>0</v>
          </cell>
          <cell r="G169">
            <v>0</v>
          </cell>
        </row>
        <row r="170">
          <cell r="A170" t="str">
            <v>Laundry</v>
          </cell>
          <cell r="D170">
            <v>1500</v>
          </cell>
          <cell r="E170">
            <v>3660</v>
          </cell>
          <cell r="F170">
            <v>-2160</v>
          </cell>
          <cell r="G170">
            <v>-59.016393442622949</v>
          </cell>
        </row>
        <row r="171">
          <cell r="A171" t="str">
            <v>Recruitment cost</v>
          </cell>
          <cell r="D171">
            <v>140239.29999999999</v>
          </cell>
          <cell r="E171">
            <v>33720</v>
          </cell>
          <cell r="F171">
            <v>106519.29999999999</v>
          </cell>
          <cell r="G171">
            <v>315.89353499406877</v>
          </cell>
        </row>
        <row r="172">
          <cell r="A172" t="str">
            <v>Miscellaneous field expenses</v>
          </cell>
          <cell r="D172">
            <v>50</v>
          </cell>
          <cell r="E172">
            <v>6944</v>
          </cell>
          <cell r="F172">
            <v>-6894</v>
          </cell>
          <cell r="G172">
            <v>-99.27995391705069</v>
          </cell>
        </row>
        <row r="173">
          <cell r="A173" t="str">
            <v>Meetings and printing of accounts</v>
          </cell>
          <cell r="D173">
            <v>109538</v>
          </cell>
          <cell r="E173">
            <v>467069</v>
          </cell>
          <cell r="F173">
            <v>-357531</v>
          </cell>
          <cell r="G173">
            <v>-76.547790583404165</v>
          </cell>
        </row>
        <row r="174">
          <cell r="A174" t="str">
            <v>Registrar expenses</v>
          </cell>
          <cell r="D174">
            <v>154097</v>
          </cell>
          <cell r="E174">
            <v>284554</v>
          </cell>
          <cell r="F174">
            <v>-130457</v>
          </cell>
          <cell r="G174">
            <v>-45.846131138553666</v>
          </cell>
        </row>
        <row r="175">
          <cell r="A175" t="str">
            <v>Product registration</v>
          </cell>
          <cell r="D175">
            <v>68500</v>
          </cell>
          <cell r="E175">
            <v>133980</v>
          </cell>
          <cell r="F175">
            <v>-65480</v>
          </cell>
          <cell r="G175">
            <v>-48.872966114345424</v>
          </cell>
        </row>
        <row r="176">
          <cell r="A176" t="str">
            <v>Security expenses</v>
          </cell>
          <cell r="D176">
            <v>379100</v>
          </cell>
          <cell r="E176">
            <v>668919</v>
          </cell>
          <cell r="F176">
            <v>-289819</v>
          </cell>
          <cell r="G176">
            <v>-43.326471515983251</v>
          </cell>
        </row>
        <row r="177">
          <cell r="A177" t="str">
            <v>Adjustment</v>
          </cell>
          <cell r="D177">
            <v>27000</v>
          </cell>
        </row>
        <row r="178">
          <cell r="A178" t="str">
            <v>Adjustment</v>
          </cell>
          <cell r="D178">
            <v>3000</v>
          </cell>
        </row>
        <row r="179">
          <cell r="D179">
            <v>883024.3</v>
          </cell>
          <cell r="E179">
            <v>1598846</v>
          </cell>
          <cell r="F179">
            <v>-715821.7</v>
          </cell>
          <cell r="G179">
            <v>-44.771147440091163</v>
          </cell>
        </row>
      </sheetData>
      <sheetData sheetId="1">
        <row r="11">
          <cell r="A11" t="str">
            <v>Salaries, wages and other benefits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posal Approval Sheet"/>
      <sheetName val="Range Page"/>
      <sheetName val="Core Budget"/>
      <sheetName val="Country Budget x 6"/>
      <sheetName val="Donor Summary Budget"/>
      <sheetName val="Donor Crosswalk"/>
      <sheetName val="OH Calculation"/>
      <sheetName val="Match Requirement"/>
      <sheetName val="Advance Payment Calculator"/>
      <sheetName val="Internal Budget Analysis"/>
    </sheetNames>
    <sheetDataSet>
      <sheetData sheetId="0"/>
      <sheetData sheetId="1">
        <row r="19">
          <cell r="A19">
            <v>1.6120000000000001</v>
          </cell>
        </row>
        <row r="20">
          <cell r="A20">
            <v>0.04</v>
          </cell>
        </row>
        <row r="21">
          <cell r="A21">
            <v>0.12</v>
          </cell>
        </row>
      </sheetData>
      <sheetData sheetId="2"/>
      <sheetData sheetId="3">
        <row r="503">
          <cell r="E503">
            <v>0.78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u Crss"/>
      <sheetName val="admin cross"/>
      <sheetName val="Range Page"/>
      <sheetName val="Country Budget x 6"/>
      <sheetName val="Accounts"/>
      <sheetName val="HIG"/>
      <sheetName val="Sheet1"/>
      <sheetName val="CPMLETE TB - original"/>
      <sheetName val="back up "/>
      <sheetName val="back up 2"/>
    </sheetNames>
    <sheetDataSet>
      <sheetData sheetId="0">
        <row r="1">
          <cell r="A1" t="str">
            <v>A F Ferguson &amp; Co.</v>
          </cell>
        </row>
        <row r="2">
          <cell r="A2" t="str">
            <v>Beecham Pakistan (Pvt) Limited</v>
          </cell>
          <cell r="G2" t="str">
            <v xml:space="preserve">Prepared by: </v>
          </cell>
        </row>
        <row r="3">
          <cell r="A3" t="str">
            <v>Year Ended December 31, 2001</v>
          </cell>
        </row>
        <row r="4">
          <cell r="A4" t="str">
            <v>Profit &amp; Loss Account</v>
          </cell>
          <cell r="D4">
            <v>0</v>
          </cell>
          <cell r="G4" t="str">
            <v xml:space="preserve">Reviewed by: </v>
          </cell>
        </row>
        <row r="5">
          <cell r="A5" t="str">
            <v>Profit and Loss Account - Manufacturing Expenses</v>
          </cell>
        </row>
        <row r="6">
          <cell r="A6" t="str">
            <v>Administration, marketing &amp; general expenses - Cross Charges</v>
          </cell>
        </row>
        <row r="7">
          <cell r="C7" t="str">
            <v>Period Ended June 30, 2001</v>
          </cell>
        </row>
        <row r="8">
          <cell r="J8" t="str">
            <v>Dec.31, 2000</v>
          </cell>
        </row>
        <row r="9">
          <cell r="C9" t="str">
            <v>As per</v>
          </cell>
          <cell r="D9" t="str">
            <v>Cross</v>
          </cell>
          <cell r="E9" t="str">
            <v>Cross</v>
          </cell>
          <cell r="F9" t="str">
            <v>NET</v>
          </cell>
          <cell r="G9" t="str">
            <v>Cross</v>
          </cell>
          <cell r="H9" t="str">
            <v>Cross</v>
          </cell>
          <cell r="I9" t="str">
            <v>GROSS</v>
          </cell>
          <cell r="J9" t="str">
            <v>GROSS</v>
          </cell>
        </row>
        <row r="10">
          <cell r="C10" t="str">
            <v>Trial</v>
          </cell>
          <cell r="D10" t="str">
            <v>Charged</v>
          </cell>
          <cell r="E10" t="str">
            <v>Charged</v>
          </cell>
          <cell r="F10" t="str">
            <v>Expenses</v>
          </cell>
          <cell r="G10" t="str">
            <v>Charged</v>
          </cell>
          <cell r="H10" t="str">
            <v>Charged</v>
          </cell>
          <cell r="I10" t="str">
            <v>Expenses</v>
          </cell>
          <cell r="J10" t="str">
            <v>Expenses</v>
          </cell>
        </row>
        <row r="11">
          <cell r="C11" t="str">
            <v>Balance</v>
          </cell>
          <cell r="D11" t="str">
            <v>to SK&amp;F</v>
          </cell>
          <cell r="E11" t="str">
            <v>to GW</v>
          </cell>
          <cell r="G11" t="str">
            <v>by SK&amp;F</v>
          </cell>
          <cell r="H11" t="str">
            <v>by GW</v>
          </cell>
        </row>
        <row r="13">
          <cell r="A13" t="str">
            <v>Salaries &amp; wages</v>
          </cell>
          <cell r="C13">
            <v>42634839</v>
          </cell>
          <cell r="D13">
            <v>1207084</v>
          </cell>
          <cell r="E13">
            <v>484270</v>
          </cell>
          <cell r="F13">
            <v>44326193</v>
          </cell>
          <cell r="G13">
            <v>-1969029</v>
          </cell>
          <cell r="H13">
            <v>-161248</v>
          </cell>
          <cell r="I13">
            <v>42195916</v>
          </cell>
          <cell r="J13">
            <v>81030765</v>
          </cell>
        </row>
        <row r="14">
          <cell r="A14" t="str">
            <v>Fuel &amp; power</v>
          </cell>
          <cell r="C14">
            <v>3622775</v>
          </cell>
          <cell r="D14">
            <v>0</v>
          </cell>
          <cell r="F14">
            <v>3622775</v>
          </cell>
          <cell r="G14">
            <v>0</v>
          </cell>
          <cell r="I14">
            <v>3622775</v>
          </cell>
          <cell r="J14">
            <v>13408036</v>
          </cell>
        </row>
        <row r="15">
          <cell r="A15" t="str">
            <v>Rent, rates and taxes</v>
          </cell>
          <cell r="C15">
            <v>1676205</v>
          </cell>
          <cell r="D15">
            <v>0</v>
          </cell>
          <cell r="F15">
            <v>1676205</v>
          </cell>
          <cell r="G15">
            <v>0</v>
          </cell>
          <cell r="H15">
            <v>-289004</v>
          </cell>
          <cell r="I15">
            <v>1676205</v>
          </cell>
          <cell r="J15">
            <v>1667456</v>
          </cell>
        </row>
        <row r="16">
          <cell r="A16" t="str">
            <v>Lease rentals</v>
          </cell>
          <cell r="C16">
            <v>482889</v>
          </cell>
          <cell r="D16">
            <v>0</v>
          </cell>
          <cell r="E16">
            <v>0</v>
          </cell>
          <cell r="F16">
            <v>482889</v>
          </cell>
          <cell r="G16">
            <v>-41417</v>
          </cell>
          <cell r="H16">
            <v>-175196</v>
          </cell>
          <cell r="I16">
            <v>441472</v>
          </cell>
          <cell r="J16">
            <v>1405299</v>
          </cell>
        </row>
        <row r="17">
          <cell r="A17" t="str">
            <v>Insurance</v>
          </cell>
          <cell r="C17">
            <v>1073204</v>
          </cell>
          <cell r="D17">
            <v>0</v>
          </cell>
          <cell r="F17">
            <v>1073204</v>
          </cell>
          <cell r="G17">
            <v>0</v>
          </cell>
          <cell r="I17">
            <v>1073204</v>
          </cell>
          <cell r="J17">
            <v>2365911</v>
          </cell>
        </row>
        <row r="18">
          <cell r="A18" t="str">
            <v>Stationery</v>
          </cell>
          <cell r="C18">
            <v>230479</v>
          </cell>
          <cell r="D18">
            <v>0</v>
          </cell>
          <cell r="F18">
            <v>230479</v>
          </cell>
          <cell r="G18">
            <v>-1147366</v>
          </cell>
          <cell r="I18">
            <v>230479</v>
          </cell>
          <cell r="J18">
            <v>676918</v>
          </cell>
        </row>
        <row r="19">
          <cell r="A19" t="str">
            <v>Repairs &amp; maintenance</v>
          </cell>
          <cell r="C19">
            <v>4998146</v>
          </cell>
          <cell r="D19">
            <v>10559</v>
          </cell>
          <cell r="E19">
            <v>6074</v>
          </cell>
          <cell r="F19">
            <v>5014779</v>
          </cell>
          <cell r="G19">
            <v>-19404</v>
          </cell>
          <cell r="I19">
            <v>4995375</v>
          </cell>
          <cell r="J19">
            <v>38537640</v>
          </cell>
        </row>
        <row r="20">
          <cell r="A20" t="str">
            <v>Travelling</v>
          </cell>
          <cell r="C20">
            <v>1141608</v>
          </cell>
          <cell r="F20">
            <v>1141608</v>
          </cell>
          <cell r="G20">
            <v>-51185</v>
          </cell>
          <cell r="I20">
            <v>1141608</v>
          </cell>
          <cell r="J20">
            <v>2159038</v>
          </cell>
        </row>
        <row r="21">
          <cell r="A21" t="str">
            <v>Vehicle running</v>
          </cell>
          <cell r="C21">
            <v>675532</v>
          </cell>
          <cell r="D21">
            <v>21802</v>
          </cell>
          <cell r="E21">
            <v>6429</v>
          </cell>
          <cell r="F21">
            <v>703763</v>
          </cell>
          <cell r="G21">
            <v>-56895</v>
          </cell>
          <cell r="I21">
            <v>646868</v>
          </cell>
          <cell r="J21">
            <v>1405808</v>
          </cell>
        </row>
        <row r="22">
          <cell r="A22" t="str">
            <v>Depreciation</v>
          </cell>
          <cell r="C22">
            <v>10609121</v>
          </cell>
          <cell r="D22">
            <v>0</v>
          </cell>
          <cell r="F22">
            <v>10609121</v>
          </cell>
          <cell r="G22">
            <v>0</v>
          </cell>
          <cell r="I22">
            <v>10609121</v>
          </cell>
          <cell r="J22">
            <v>17303269</v>
          </cell>
        </row>
        <row r="23">
          <cell r="A23" t="str">
            <v>Canteen expenses</v>
          </cell>
          <cell r="C23">
            <v>3785098</v>
          </cell>
          <cell r="D23">
            <v>0</v>
          </cell>
          <cell r="F23">
            <v>3785098</v>
          </cell>
          <cell r="G23">
            <v>0</v>
          </cell>
          <cell r="H23">
            <v>-151847</v>
          </cell>
          <cell r="I23">
            <v>3785098</v>
          </cell>
          <cell r="J23">
            <v>7131494</v>
          </cell>
        </row>
        <row r="24">
          <cell r="A24" t="str">
            <v>Laboratory expenses</v>
          </cell>
          <cell r="C24">
            <v>552052</v>
          </cell>
          <cell r="D24">
            <v>0</v>
          </cell>
          <cell r="F24">
            <v>552052</v>
          </cell>
          <cell r="G24">
            <v>0</v>
          </cell>
          <cell r="I24">
            <v>552052</v>
          </cell>
          <cell r="J24">
            <v>2013290</v>
          </cell>
        </row>
        <row r="25">
          <cell r="A25" t="str">
            <v>Postage, telex &amp; telephone</v>
          </cell>
          <cell r="C25">
            <v>513175</v>
          </cell>
          <cell r="D25">
            <v>11613</v>
          </cell>
          <cell r="E25">
            <v>6015</v>
          </cell>
          <cell r="F25">
            <v>530803</v>
          </cell>
          <cell r="G25">
            <v>-26665</v>
          </cell>
          <cell r="I25">
            <v>504138</v>
          </cell>
          <cell r="J25">
            <v>991726</v>
          </cell>
        </row>
        <row r="26">
          <cell r="A26" t="str">
            <v>Service charges</v>
          </cell>
          <cell r="C26">
            <v>1416231</v>
          </cell>
          <cell r="D26">
            <v>155611</v>
          </cell>
          <cell r="E26">
            <v>64970</v>
          </cell>
          <cell r="F26">
            <v>0</v>
          </cell>
          <cell r="G26">
            <v>-4951614</v>
          </cell>
          <cell r="H26">
            <v>-243129</v>
          </cell>
          <cell r="I26">
            <v>-4951614</v>
          </cell>
          <cell r="J26">
            <v>0</v>
          </cell>
        </row>
        <row r="27">
          <cell r="A27" t="str">
            <v>Security expenses</v>
          </cell>
          <cell r="C27">
            <v>803515</v>
          </cell>
          <cell r="D27">
            <v>0</v>
          </cell>
          <cell r="F27">
            <v>803515</v>
          </cell>
          <cell r="G27">
            <v>0</v>
          </cell>
          <cell r="I27">
            <v>803515</v>
          </cell>
          <cell r="J27">
            <v>1728931</v>
          </cell>
        </row>
        <row r="28">
          <cell r="A28" t="str">
            <v>Royalty</v>
          </cell>
          <cell r="C28">
            <v>215062</v>
          </cell>
          <cell r="D28">
            <v>0</v>
          </cell>
          <cell r="F28">
            <v>215062</v>
          </cell>
          <cell r="G28">
            <v>0</v>
          </cell>
          <cell r="I28">
            <v>215062</v>
          </cell>
          <cell r="J28">
            <v>551312</v>
          </cell>
        </row>
        <row r="29">
          <cell r="A29" t="str">
            <v>General</v>
          </cell>
          <cell r="C29">
            <v>1553160</v>
          </cell>
          <cell r="F29">
            <v>1553160</v>
          </cell>
          <cell r="G29">
            <v>-204900</v>
          </cell>
          <cell r="H29">
            <v>-77584</v>
          </cell>
          <cell r="I29">
            <v>1270676</v>
          </cell>
          <cell r="J29">
            <v>1464597</v>
          </cell>
        </row>
        <row r="30">
          <cell r="A30" t="str">
            <v>Donations</v>
          </cell>
          <cell r="C30">
            <v>74566860</v>
          </cell>
          <cell r="D30">
            <v>1251058</v>
          </cell>
          <cell r="E30">
            <v>502788</v>
          </cell>
          <cell r="F30">
            <v>76320706</v>
          </cell>
          <cell r="G30">
            <v>-7269924</v>
          </cell>
          <cell r="H30">
            <v>-238832</v>
          </cell>
          <cell r="I30">
            <v>68811950</v>
          </cell>
          <cell r="J30">
            <v>173841490</v>
          </cell>
        </row>
      </sheetData>
      <sheetData sheetId="1">
        <row r="1">
          <cell r="A1" t="str">
            <v>A F Ferguson &amp; Co.</v>
          </cell>
        </row>
        <row r="2">
          <cell r="A2" t="str">
            <v>Beecham Pakistan (Pvt) Limited</v>
          </cell>
          <cell r="G2" t="str">
            <v xml:space="preserve">Prepared by: </v>
          </cell>
        </row>
        <row r="3">
          <cell r="A3" t="str">
            <v>Year Ended December 31, 2001</v>
          </cell>
        </row>
        <row r="4">
          <cell r="A4" t="str">
            <v>Profit &amp; Loss Account</v>
          </cell>
          <cell r="D4">
            <v>0</v>
          </cell>
          <cell r="G4" t="str">
            <v xml:space="preserve">Reviewed by: </v>
          </cell>
        </row>
        <row r="5">
          <cell r="A5" t="str">
            <v>Profit and Loss Account - Manufacturing Expenses</v>
          </cell>
        </row>
        <row r="6">
          <cell r="A6" t="str">
            <v>Administration, marketing &amp; general expenses - Cross Charges</v>
          </cell>
        </row>
        <row r="7">
          <cell r="C7" t="str">
            <v>Period ended June 30, 2001</v>
          </cell>
        </row>
        <row r="8">
          <cell r="J8" t="str">
            <v>Dec.31, 2001</v>
          </cell>
        </row>
        <row r="9">
          <cell r="C9" t="str">
            <v>As per</v>
          </cell>
          <cell r="D9" t="str">
            <v>Cross</v>
          </cell>
          <cell r="E9" t="str">
            <v>Cross</v>
          </cell>
          <cell r="F9" t="str">
            <v>NET</v>
          </cell>
          <cell r="G9" t="str">
            <v>Cross</v>
          </cell>
          <cell r="H9" t="str">
            <v>Cross</v>
          </cell>
          <cell r="I9" t="str">
            <v>GROSS</v>
          </cell>
          <cell r="J9" t="str">
            <v>GROSS</v>
          </cell>
        </row>
        <row r="10">
          <cell r="C10" t="str">
            <v>Trial</v>
          </cell>
          <cell r="D10" t="str">
            <v>Charged</v>
          </cell>
          <cell r="E10" t="str">
            <v>Charged to</v>
          </cell>
          <cell r="F10" t="str">
            <v>Expenses</v>
          </cell>
          <cell r="G10" t="str">
            <v>Charged</v>
          </cell>
          <cell r="H10" t="str">
            <v>Charged</v>
          </cell>
          <cell r="I10" t="str">
            <v>Expenses</v>
          </cell>
          <cell r="J10" t="str">
            <v>Expenses</v>
          </cell>
        </row>
        <row r="11">
          <cell r="C11" t="str">
            <v>Balance</v>
          </cell>
          <cell r="D11" t="str">
            <v>to SK&amp;F</v>
          </cell>
          <cell r="E11" t="str">
            <v>GW</v>
          </cell>
          <cell r="G11" t="str">
            <v>by SK&amp;F</v>
          </cell>
          <cell r="H11" t="str">
            <v>by GW</v>
          </cell>
        </row>
        <row r="13">
          <cell r="A13" t="str">
            <v>Salaries, wages, and other benefits</v>
          </cell>
          <cell r="C13">
            <v>58699942.400000006</v>
          </cell>
          <cell r="D13">
            <v>7108108</v>
          </cell>
          <cell r="E13">
            <v>2022352</v>
          </cell>
          <cell r="F13">
            <v>67830402.400000006</v>
          </cell>
          <cell r="G13">
            <v>-9362096</v>
          </cell>
          <cell r="H13">
            <v>-3369914</v>
          </cell>
          <cell r="I13">
            <v>55098392.400000006</v>
          </cell>
          <cell r="J13">
            <v>76518024</v>
          </cell>
        </row>
        <row r="14">
          <cell r="A14" t="str">
            <v>Handling, freight &amp; transportation</v>
          </cell>
          <cell r="C14">
            <v>5310057</v>
          </cell>
          <cell r="D14">
            <v>0</v>
          </cell>
          <cell r="F14">
            <v>5310057</v>
          </cell>
          <cell r="G14">
            <v>-108552</v>
          </cell>
          <cell r="I14">
            <v>5201505</v>
          </cell>
          <cell r="J14">
            <v>11663445</v>
          </cell>
        </row>
        <row r="15">
          <cell r="A15" t="str">
            <v>Travelling</v>
          </cell>
          <cell r="C15">
            <v>10529473</v>
          </cell>
          <cell r="D15">
            <v>509384</v>
          </cell>
          <cell r="F15">
            <v>11038857</v>
          </cell>
          <cell r="G15">
            <v>-1212387</v>
          </cell>
          <cell r="H15">
            <v>-289004</v>
          </cell>
          <cell r="I15">
            <v>9537466</v>
          </cell>
          <cell r="J15">
            <v>17159834</v>
          </cell>
        </row>
        <row r="16">
          <cell r="A16" t="str">
            <v>Vehicle running</v>
          </cell>
          <cell r="C16">
            <v>1904437</v>
          </cell>
          <cell r="D16">
            <v>328318</v>
          </cell>
          <cell r="E16">
            <v>103396</v>
          </cell>
          <cell r="F16">
            <v>2336151</v>
          </cell>
          <cell r="G16">
            <v>-480881</v>
          </cell>
          <cell r="H16">
            <v>-175196</v>
          </cell>
          <cell r="I16">
            <v>1680074</v>
          </cell>
          <cell r="J16">
            <v>3026321</v>
          </cell>
        </row>
        <row r="17">
          <cell r="A17" t="str">
            <v>Advertising</v>
          </cell>
          <cell r="C17">
            <v>8013274</v>
          </cell>
          <cell r="D17">
            <v>0</v>
          </cell>
          <cell r="F17">
            <v>8013274</v>
          </cell>
          <cell r="G17">
            <v>0</v>
          </cell>
          <cell r="I17">
            <v>8013274</v>
          </cell>
          <cell r="J17">
            <v>18437970</v>
          </cell>
        </row>
        <row r="18">
          <cell r="A18" t="str">
            <v>Sales promotion</v>
          </cell>
          <cell r="C18">
            <v>25821278</v>
          </cell>
          <cell r="D18">
            <v>478848</v>
          </cell>
          <cell r="F18">
            <v>26300126</v>
          </cell>
          <cell r="G18">
            <v>-1147366</v>
          </cell>
          <cell r="I18">
            <v>25152760</v>
          </cell>
          <cell r="J18">
            <v>53658635</v>
          </cell>
        </row>
        <row r="19">
          <cell r="A19" t="str">
            <v>Depreciation</v>
          </cell>
          <cell r="C19">
            <v>1795645</v>
          </cell>
          <cell r="D19">
            <v>10559</v>
          </cell>
          <cell r="E19">
            <v>6074</v>
          </cell>
          <cell r="F19">
            <v>1795645</v>
          </cell>
          <cell r="G19">
            <v>-19404</v>
          </cell>
          <cell r="I19">
            <v>1795645</v>
          </cell>
          <cell r="J19">
            <v>3815993</v>
          </cell>
        </row>
        <row r="20">
          <cell r="A20" t="str">
            <v>Rent, rates and taxes</v>
          </cell>
          <cell r="C20">
            <v>1440849</v>
          </cell>
          <cell r="F20">
            <v>1440849</v>
          </cell>
          <cell r="G20">
            <v>-51185</v>
          </cell>
          <cell r="I20">
            <v>1389664</v>
          </cell>
          <cell r="J20">
            <v>2006793</v>
          </cell>
        </row>
        <row r="21">
          <cell r="A21" t="str">
            <v>Lease rentals</v>
          </cell>
          <cell r="C21">
            <v>5216454</v>
          </cell>
          <cell r="D21">
            <v>1203082</v>
          </cell>
          <cell r="E21">
            <v>321739</v>
          </cell>
          <cell r="F21">
            <v>6741275</v>
          </cell>
          <cell r="G21">
            <v>-4289803</v>
          </cell>
          <cell r="I21">
            <v>2451472</v>
          </cell>
          <cell r="J21">
            <v>3396065</v>
          </cell>
        </row>
        <row r="22">
          <cell r="A22" t="str">
            <v>Insurance</v>
          </cell>
          <cell r="C22">
            <v>1149250</v>
          </cell>
          <cell r="D22">
            <v>0</v>
          </cell>
          <cell r="F22">
            <v>1149250</v>
          </cell>
          <cell r="G22">
            <v>0</v>
          </cell>
          <cell r="I22">
            <v>1149250</v>
          </cell>
          <cell r="J22">
            <v>1990764</v>
          </cell>
        </row>
        <row r="23">
          <cell r="A23" t="str">
            <v>Training expenses</v>
          </cell>
          <cell r="C23">
            <v>1043535</v>
          </cell>
          <cell r="D23">
            <v>221931</v>
          </cell>
          <cell r="F23">
            <v>1265466</v>
          </cell>
          <cell r="G23">
            <v>-609830</v>
          </cell>
          <cell r="H23">
            <v>-151847</v>
          </cell>
          <cell r="I23">
            <v>503789</v>
          </cell>
          <cell r="J23">
            <v>4655836</v>
          </cell>
        </row>
        <row r="24">
          <cell r="A24" t="str">
            <v>Utilities expense</v>
          </cell>
          <cell r="C24">
            <v>310500</v>
          </cell>
          <cell r="D24">
            <v>0</v>
          </cell>
          <cell r="F24">
            <v>310500</v>
          </cell>
          <cell r="G24">
            <v>0</v>
          </cell>
          <cell r="I24">
            <v>310500</v>
          </cell>
          <cell r="J24">
            <v>579504</v>
          </cell>
        </row>
        <row r="25">
          <cell r="A25" t="str">
            <v>Subscriptions</v>
          </cell>
          <cell r="C25">
            <v>571615</v>
          </cell>
          <cell r="D25">
            <v>11613</v>
          </cell>
          <cell r="E25">
            <v>6015</v>
          </cell>
          <cell r="F25">
            <v>571615</v>
          </cell>
          <cell r="G25">
            <v>-26665</v>
          </cell>
          <cell r="I25">
            <v>571615</v>
          </cell>
          <cell r="J25">
            <v>168126</v>
          </cell>
        </row>
        <row r="26">
          <cell r="A26" t="str">
            <v>Repairs &amp; maintenence</v>
          </cell>
          <cell r="C26">
            <v>1416231</v>
          </cell>
          <cell r="D26">
            <v>155611</v>
          </cell>
          <cell r="E26">
            <v>64970</v>
          </cell>
          <cell r="F26">
            <v>1636812</v>
          </cell>
          <cell r="G26">
            <v>-1232375</v>
          </cell>
          <cell r="H26">
            <v>-243129</v>
          </cell>
          <cell r="I26">
            <v>161308</v>
          </cell>
          <cell r="J26">
            <v>219111</v>
          </cell>
        </row>
        <row r="27">
          <cell r="A27" t="str">
            <v>Stationery</v>
          </cell>
          <cell r="C27">
            <v>963351</v>
          </cell>
          <cell r="D27">
            <v>0</v>
          </cell>
          <cell r="F27">
            <v>963351</v>
          </cell>
          <cell r="G27">
            <v>-365119</v>
          </cell>
          <cell r="I27">
            <v>598232</v>
          </cell>
          <cell r="J27">
            <v>2791839</v>
          </cell>
        </row>
        <row r="28">
          <cell r="A28" t="str">
            <v>Legal and professional</v>
          </cell>
          <cell r="C28">
            <v>1642778</v>
          </cell>
          <cell r="D28">
            <v>2673</v>
          </cell>
          <cell r="F28">
            <v>1645451</v>
          </cell>
          <cell r="G28">
            <v>-329666</v>
          </cell>
          <cell r="I28">
            <v>1315785</v>
          </cell>
          <cell r="J28">
            <v>7776000</v>
          </cell>
        </row>
        <row r="29">
          <cell r="A29" t="str">
            <v>Auditors' remuneration</v>
          </cell>
          <cell r="C29">
            <v>2738307</v>
          </cell>
          <cell r="F29">
            <v>2738307</v>
          </cell>
          <cell r="G29">
            <v>-204900</v>
          </cell>
          <cell r="H29">
            <v>-77584</v>
          </cell>
          <cell r="I29">
            <v>2738307</v>
          </cell>
          <cell r="J29">
            <v>1930000</v>
          </cell>
        </row>
        <row r="30">
          <cell r="A30" t="str">
            <v>Donations</v>
          </cell>
          <cell r="C30">
            <v>39400</v>
          </cell>
          <cell r="D30">
            <v>1251058</v>
          </cell>
          <cell r="E30">
            <v>502788</v>
          </cell>
          <cell r="F30">
            <v>39400</v>
          </cell>
          <cell r="G30">
            <v>-7269924</v>
          </cell>
          <cell r="H30">
            <v>-238832</v>
          </cell>
          <cell r="I30">
            <v>39400</v>
          </cell>
          <cell r="J30">
            <v>256377</v>
          </cell>
        </row>
        <row r="31">
          <cell r="A31" t="str">
            <v>Postage, telex and telephone</v>
          </cell>
          <cell r="C31">
            <v>2809964</v>
          </cell>
          <cell r="D31">
            <v>199504</v>
          </cell>
          <cell r="E31">
            <v>106675</v>
          </cell>
          <cell r="F31">
            <v>3116143</v>
          </cell>
          <cell r="G31">
            <v>-903008</v>
          </cell>
          <cell r="H31">
            <v>-66888</v>
          </cell>
          <cell r="I31">
            <v>2146247</v>
          </cell>
          <cell r="J31">
            <v>2858506</v>
          </cell>
        </row>
        <row r="32">
          <cell r="A32" t="str">
            <v>Bad debts</v>
          </cell>
          <cell r="C32">
            <v>2595257</v>
          </cell>
          <cell r="F32">
            <v>2595257</v>
          </cell>
          <cell r="I32">
            <v>2595257</v>
          </cell>
          <cell r="J32">
            <v>3171311</v>
          </cell>
        </row>
        <row r="33">
          <cell r="A33" t="str">
            <v>General</v>
          </cell>
          <cell r="C33">
            <v>1447975</v>
          </cell>
          <cell r="D33">
            <v>222411</v>
          </cell>
          <cell r="E33">
            <v>53076</v>
          </cell>
          <cell r="F33">
            <v>1723462</v>
          </cell>
          <cell r="G33">
            <v>-1213331</v>
          </cell>
          <cell r="H33">
            <v>-351245</v>
          </cell>
          <cell r="I33">
            <v>158886</v>
          </cell>
          <cell r="J33">
            <v>863753</v>
          </cell>
        </row>
        <row r="34">
          <cell r="C34">
            <v>135459572.40000001</v>
          </cell>
          <cell r="D34">
            <v>10429870</v>
          </cell>
          <cell r="E34">
            <v>2672208</v>
          </cell>
          <cell r="F34">
            <v>148561650.40000001</v>
          </cell>
          <cell r="G34">
            <v>-21305599</v>
          </cell>
          <cell r="H34">
            <v>-4647223</v>
          </cell>
          <cell r="I34">
            <v>122608828.40000001</v>
          </cell>
          <cell r="J34">
            <v>216944207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>
        <row r="1">
          <cell r="A1" t="str">
            <v>ATTOCK CEMENT PAKISTAN LIMITED</v>
          </cell>
        </row>
      </sheetData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u Crss"/>
      <sheetName val="admin cross"/>
      <sheetName val="Manu_Crss"/>
      <sheetName val="admin_cross"/>
      <sheetName val="Purchases"/>
      <sheetName val="Sheet1"/>
      <sheetName val="CPMLETE TB - original"/>
      <sheetName val="back up "/>
      <sheetName val="back up 2"/>
      <sheetName val="Range Page"/>
      <sheetName val="Country Budget x 6"/>
      <sheetName val="Manu_Crss1"/>
      <sheetName val="admin_cross1"/>
      <sheetName val="3_2"/>
    </sheetNames>
    <sheetDataSet>
      <sheetData sheetId="0" refreshError="1">
        <row r="1">
          <cell r="A1" t="str">
            <v>A F Ferguson &amp; Co.</v>
          </cell>
        </row>
        <row r="2">
          <cell r="A2" t="str">
            <v>Beecham Pakistan (Pvt) Limited</v>
          </cell>
          <cell r="B2"/>
          <cell r="C2"/>
          <cell r="D2"/>
          <cell r="E2"/>
          <cell r="F2"/>
          <cell r="G2" t="str">
            <v xml:space="preserve">Prepared by: </v>
          </cell>
        </row>
        <row r="3">
          <cell r="A3" t="str">
            <v>Year Ended December 31, 2001</v>
          </cell>
        </row>
        <row r="4">
          <cell r="A4" t="str">
            <v>Profit &amp; Loss Account</v>
          </cell>
          <cell r="D4">
            <v>0</v>
          </cell>
          <cell r="E4"/>
          <cell r="F4"/>
          <cell r="G4" t="str">
            <v xml:space="preserve">Reviewed by: </v>
          </cell>
        </row>
        <row r="5">
          <cell r="A5" t="str">
            <v>Profit and Loss Account - Manufacturing Expenses</v>
          </cell>
        </row>
        <row r="6">
          <cell r="A6" t="str">
            <v>Administration, marketing &amp; general expenses - Cross Charges</v>
          </cell>
        </row>
        <row r="7">
          <cell r="C7" t="str">
            <v>Period Ended June 30, 2001</v>
          </cell>
        </row>
        <row r="8">
          <cell r="J8" t="str">
            <v>Dec.31, 2000</v>
          </cell>
        </row>
        <row r="9">
          <cell r="C9" t="str">
            <v>As per</v>
          </cell>
          <cell r="D9" t="str">
            <v>Cross</v>
          </cell>
          <cell r="E9" t="str">
            <v>Cross</v>
          </cell>
          <cell r="F9" t="str">
            <v>NET</v>
          </cell>
          <cell r="G9" t="str">
            <v>Cross</v>
          </cell>
          <cell r="H9" t="str">
            <v>Cross</v>
          </cell>
          <cell r="I9" t="str">
            <v>GROSS</v>
          </cell>
          <cell r="J9" t="str">
            <v>GROSS</v>
          </cell>
        </row>
        <row r="10">
          <cell r="C10" t="str">
            <v>Trial</v>
          </cell>
          <cell r="D10" t="str">
            <v>Charged</v>
          </cell>
          <cell r="E10" t="str">
            <v>Charged</v>
          </cell>
          <cell r="F10" t="str">
            <v>Expenses</v>
          </cell>
          <cell r="G10" t="str">
            <v>Charged</v>
          </cell>
          <cell r="H10" t="str">
            <v>Charged</v>
          </cell>
          <cell r="I10" t="str">
            <v>Expenses</v>
          </cell>
          <cell r="J10" t="str">
            <v>Expenses</v>
          </cell>
        </row>
        <row r="11">
          <cell r="C11" t="str">
            <v>Balance</v>
          </cell>
          <cell r="D11" t="str">
            <v>to SK&amp;F</v>
          </cell>
          <cell r="E11" t="str">
            <v>to GW</v>
          </cell>
          <cell r="F11"/>
          <cell r="G11" t="str">
            <v>by SK&amp;F</v>
          </cell>
          <cell r="H11" t="str">
            <v>by GW</v>
          </cell>
        </row>
        <row r="13">
          <cell r="A13" t="str">
            <v>Salaries &amp; wages</v>
          </cell>
          <cell r="B13"/>
          <cell r="C13">
            <v>42634839</v>
          </cell>
          <cell r="D13">
            <v>1207084</v>
          </cell>
          <cell r="E13">
            <v>484270</v>
          </cell>
          <cell r="F13">
            <v>44326193</v>
          </cell>
          <cell r="G13">
            <v>-1969029</v>
          </cell>
          <cell r="H13">
            <v>-161248</v>
          </cell>
          <cell r="I13">
            <v>42195916</v>
          </cell>
          <cell r="J13">
            <v>81030765</v>
          </cell>
        </row>
        <row r="14">
          <cell r="A14" t="str">
            <v>Fuel &amp; power</v>
          </cell>
          <cell r="B14"/>
          <cell r="C14">
            <v>3622775</v>
          </cell>
          <cell r="D14">
            <v>0</v>
          </cell>
          <cell r="E14"/>
          <cell r="F14">
            <v>3622775</v>
          </cell>
          <cell r="G14">
            <v>0</v>
          </cell>
          <cell r="H14"/>
          <cell r="I14">
            <v>3622775</v>
          </cell>
          <cell r="J14">
            <v>13408036</v>
          </cell>
        </row>
        <row r="15">
          <cell r="A15" t="str">
            <v>Rent, rates and taxes</v>
          </cell>
          <cell r="B15"/>
          <cell r="C15">
            <v>1676205</v>
          </cell>
          <cell r="D15">
            <v>0</v>
          </cell>
          <cell r="E15"/>
          <cell r="F15">
            <v>1676205</v>
          </cell>
          <cell r="G15">
            <v>0</v>
          </cell>
          <cell r="H15">
            <v>-289004</v>
          </cell>
          <cell r="I15">
            <v>1676205</v>
          </cell>
          <cell r="J15">
            <v>1667456</v>
          </cell>
        </row>
        <row r="16">
          <cell r="A16" t="str">
            <v>Lease rentals</v>
          </cell>
          <cell r="B16"/>
          <cell r="C16">
            <v>482889</v>
          </cell>
          <cell r="D16">
            <v>0</v>
          </cell>
          <cell r="E16">
            <v>0</v>
          </cell>
          <cell r="F16">
            <v>482889</v>
          </cell>
          <cell r="G16">
            <v>-41417</v>
          </cell>
          <cell r="H16">
            <v>-175196</v>
          </cell>
          <cell r="I16">
            <v>441472</v>
          </cell>
          <cell r="J16">
            <v>1405299</v>
          </cell>
        </row>
        <row r="17">
          <cell r="A17" t="str">
            <v>Insurance</v>
          </cell>
          <cell r="B17"/>
          <cell r="C17">
            <v>1073204</v>
          </cell>
          <cell r="D17">
            <v>0</v>
          </cell>
          <cell r="E17"/>
          <cell r="F17">
            <v>1073204</v>
          </cell>
          <cell r="G17">
            <v>0</v>
          </cell>
          <cell r="H17"/>
          <cell r="I17">
            <v>1073204</v>
          </cell>
          <cell r="J17">
            <v>2365911</v>
          </cell>
        </row>
        <row r="18">
          <cell r="A18" t="str">
            <v>Stationery</v>
          </cell>
          <cell r="B18"/>
          <cell r="C18">
            <v>230479</v>
          </cell>
          <cell r="D18">
            <v>0</v>
          </cell>
          <cell r="E18"/>
          <cell r="F18">
            <v>230479</v>
          </cell>
          <cell r="G18">
            <v>-1147366</v>
          </cell>
          <cell r="H18"/>
          <cell r="I18">
            <v>230479</v>
          </cell>
          <cell r="J18">
            <v>676918</v>
          </cell>
        </row>
        <row r="19">
          <cell r="A19" t="str">
            <v>Repairs &amp; maintenance</v>
          </cell>
          <cell r="B19"/>
          <cell r="C19">
            <v>4998146</v>
          </cell>
          <cell r="D19">
            <v>10559</v>
          </cell>
          <cell r="E19">
            <v>6074</v>
          </cell>
          <cell r="F19">
            <v>5014779</v>
          </cell>
          <cell r="G19">
            <v>-19404</v>
          </cell>
          <cell r="H19"/>
          <cell r="I19">
            <v>4995375</v>
          </cell>
          <cell r="J19">
            <v>38537640</v>
          </cell>
        </row>
        <row r="20">
          <cell r="A20" t="str">
            <v>Travelling</v>
          </cell>
          <cell r="B20"/>
          <cell r="C20">
            <v>1141608</v>
          </cell>
          <cell r="D20"/>
          <cell r="E20"/>
          <cell r="F20">
            <v>1141608</v>
          </cell>
          <cell r="G20">
            <v>-51185</v>
          </cell>
          <cell r="H20"/>
          <cell r="I20">
            <v>1141608</v>
          </cell>
          <cell r="J20">
            <v>2159038</v>
          </cell>
        </row>
        <row r="21">
          <cell r="A21" t="str">
            <v>Vehicle running</v>
          </cell>
          <cell r="B21"/>
          <cell r="C21">
            <v>675532</v>
          </cell>
          <cell r="D21">
            <v>21802</v>
          </cell>
          <cell r="E21">
            <v>6429</v>
          </cell>
          <cell r="F21">
            <v>703763</v>
          </cell>
          <cell r="G21">
            <v>-56895</v>
          </cell>
          <cell r="H21"/>
          <cell r="I21">
            <v>646868</v>
          </cell>
          <cell r="J21">
            <v>1405808</v>
          </cell>
        </row>
        <row r="22">
          <cell r="A22" t="str">
            <v>Depreciation</v>
          </cell>
          <cell r="B22"/>
          <cell r="C22">
            <v>10609121</v>
          </cell>
          <cell r="D22">
            <v>0</v>
          </cell>
          <cell r="E22"/>
          <cell r="F22">
            <v>10609121</v>
          </cell>
          <cell r="G22">
            <v>0</v>
          </cell>
          <cell r="H22"/>
          <cell r="I22">
            <v>10609121</v>
          </cell>
          <cell r="J22">
            <v>17303269</v>
          </cell>
        </row>
        <row r="23">
          <cell r="A23" t="str">
            <v>Canteen expenses</v>
          </cell>
          <cell r="B23"/>
          <cell r="C23">
            <v>3785098</v>
          </cell>
          <cell r="D23">
            <v>0</v>
          </cell>
          <cell r="E23"/>
          <cell r="F23">
            <v>3785098</v>
          </cell>
          <cell r="G23">
            <v>0</v>
          </cell>
          <cell r="H23">
            <v>-151847</v>
          </cell>
          <cell r="I23">
            <v>3785098</v>
          </cell>
          <cell r="J23">
            <v>7131494</v>
          </cell>
        </row>
        <row r="24">
          <cell r="A24" t="str">
            <v>Laboratory expenses</v>
          </cell>
          <cell r="B24"/>
          <cell r="C24">
            <v>552052</v>
          </cell>
          <cell r="D24">
            <v>0</v>
          </cell>
          <cell r="E24"/>
          <cell r="F24">
            <v>552052</v>
          </cell>
          <cell r="G24">
            <v>0</v>
          </cell>
          <cell r="H24"/>
          <cell r="I24">
            <v>552052</v>
          </cell>
          <cell r="J24">
            <v>2013290</v>
          </cell>
        </row>
        <row r="25">
          <cell r="A25" t="str">
            <v>Postage, telex &amp; telephone</v>
          </cell>
          <cell r="B25"/>
          <cell r="C25">
            <v>513175</v>
          </cell>
          <cell r="D25">
            <v>11613</v>
          </cell>
          <cell r="E25">
            <v>6015</v>
          </cell>
          <cell r="F25">
            <v>530803</v>
          </cell>
          <cell r="G25">
            <v>-26665</v>
          </cell>
          <cell r="H25"/>
          <cell r="I25">
            <v>504138</v>
          </cell>
          <cell r="J25">
            <v>991726</v>
          </cell>
        </row>
        <row r="26">
          <cell r="A26" t="str">
            <v>Service charges</v>
          </cell>
          <cell r="B26"/>
          <cell r="C26">
            <v>1416231</v>
          </cell>
          <cell r="D26">
            <v>155611</v>
          </cell>
          <cell r="E26">
            <v>64970</v>
          </cell>
          <cell r="F26">
            <v>0</v>
          </cell>
          <cell r="G26">
            <v>-4951614</v>
          </cell>
          <cell r="H26">
            <v>-243129</v>
          </cell>
          <cell r="I26">
            <v>-4951614</v>
          </cell>
          <cell r="J26">
            <v>0</v>
          </cell>
        </row>
        <row r="27">
          <cell r="A27" t="str">
            <v>Security expenses</v>
          </cell>
          <cell r="B27"/>
          <cell r="C27">
            <v>803515</v>
          </cell>
          <cell r="D27">
            <v>0</v>
          </cell>
          <cell r="E27"/>
          <cell r="F27">
            <v>803515</v>
          </cell>
          <cell r="G27">
            <v>0</v>
          </cell>
          <cell r="H27"/>
          <cell r="I27">
            <v>803515</v>
          </cell>
          <cell r="J27">
            <v>1728931</v>
          </cell>
        </row>
        <row r="28">
          <cell r="A28" t="str">
            <v>Royalty</v>
          </cell>
          <cell r="B28"/>
          <cell r="C28">
            <v>215062</v>
          </cell>
          <cell r="D28">
            <v>0</v>
          </cell>
          <cell r="E28"/>
          <cell r="F28">
            <v>215062</v>
          </cell>
          <cell r="G28">
            <v>0</v>
          </cell>
          <cell r="H28"/>
          <cell r="I28">
            <v>215062</v>
          </cell>
          <cell r="J28">
            <v>551312</v>
          </cell>
        </row>
        <row r="29">
          <cell r="A29" t="str">
            <v>General</v>
          </cell>
          <cell r="B29"/>
          <cell r="C29">
            <v>1553160</v>
          </cell>
          <cell r="D29"/>
          <cell r="E29"/>
          <cell r="F29">
            <v>1553160</v>
          </cell>
          <cell r="G29">
            <v>-204900</v>
          </cell>
          <cell r="H29">
            <v>-77584</v>
          </cell>
          <cell r="I29">
            <v>1270676</v>
          </cell>
          <cell r="J29">
            <v>1464597</v>
          </cell>
        </row>
        <row r="30">
          <cell r="A30" t="str">
            <v>Donations</v>
          </cell>
          <cell r="C30">
            <v>74566860</v>
          </cell>
          <cell r="D30">
            <v>1251058</v>
          </cell>
          <cell r="E30">
            <v>502788</v>
          </cell>
          <cell r="F30">
            <v>76320706</v>
          </cell>
          <cell r="G30">
            <v>-7269924</v>
          </cell>
          <cell r="H30">
            <v>-238832</v>
          </cell>
          <cell r="I30">
            <v>68811950</v>
          </cell>
          <cell r="J30">
            <v>173841490</v>
          </cell>
        </row>
      </sheetData>
      <sheetData sheetId="1" refreshError="1">
        <row r="1">
          <cell r="A1" t="str">
            <v>A F Ferguson &amp; Co.</v>
          </cell>
        </row>
        <row r="2">
          <cell r="A2" t="str">
            <v>Beecham Pakistan (Pvt) Limited</v>
          </cell>
          <cell r="B2"/>
          <cell r="C2"/>
          <cell r="D2"/>
          <cell r="E2"/>
          <cell r="F2"/>
          <cell r="G2" t="str">
            <v xml:space="preserve">Prepared by: </v>
          </cell>
        </row>
        <row r="3">
          <cell r="A3" t="str">
            <v>Year Ended December 31, 2001</v>
          </cell>
        </row>
        <row r="4">
          <cell r="A4" t="str">
            <v>Profit &amp; Loss Account</v>
          </cell>
          <cell r="B4"/>
          <cell r="C4"/>
          <cell r="D4">
            <v>0</v>
          </cell>
          <cell r="E4"/>
          <cell r="F4"/>
          <cell r="G4" t="str">
            <v xml:space="preserve">Reviewed by: </v>
          </cell>
        </row>
        <row r="5">
          <cell r="A5" t="str">
            <v>Profit and Loss Account - Manufacturing Expenses</v>
          </cell>
        </row>
        <row r="6">
          <cell r="A6" t="str">
            <v>Administration, marketing &amp; general expenses - Cross Charges</v>
          </cell>
        </row>
        <row r="7">
          <cell r="C7" t="str">
            <v>Period ended June 30, 2001</v>
          </cell>
        </row>
        <row r="8">
          <cell r="J8" t="str">
            <v>Dec.31, 2001</v>
          </cell>
        </row>
        <row r="9">
          <cell r="C9" t="str">
            <v>As per</v>
          </cell>
          <cell r="D9" t="str">
            <v>Cross</v>
          </cell>
          <cell r="E9" t="str">
            <v>Cross</v>
          </cell>
          <cell r="F9" t="str">
            <v>NET</v>
          </cell>
          <cell r="G9" t="str">
            <v>Cross</v>
          </cell>
          <cell r="H9" t="str">
            <v>Cross</v>
          </cell>
          <cell r="I9" t="str">
            <v>GROSS</v>
          </cell>
          <cell r="J9" t="str">
            <v>GROSS</v>
          </cell>
        </row>
        <row r="10">
          <cell r="C10" t="str">
            <v>Trial</v>
          </cell>
          <cell r="D10" t="str">
            <v>Charged</v>
          </cell>
          <cell r="E10" t="str">
            <v>Charged to</v>
          </cell>
          <cell r="F10" t="str">
            <v>Expenses</v>
          </cell>
          <cell r="G10" t="str">
            <v>Charged</v>
          </cell>
          <cell r="H10" t="str">
            <v>Charged</v>
          </cell>
          <cell r="I10" t="str">
            <v>Expenses</v>
          </cell>
          <cell r="J10" t="str">
            <v>Expenses</v>
          </cell>
        </row>
        <row r="11">
          <cell r="C11" t="str">
            <v>Balance</v>
          </cell>
          <cell r="D11" t="str">
            <v>to SK&amp;F</v>
          </cell>
          <cell r="E11" t="str">
            <v>GW</v>
          </cell>
          <cell r="F11"/>
          <cell r="G11" t="str">
            <v>by SK&amp;F</v>
          </cell>
          <cell r="H11" t="str">
            <v>by GW</v>
          </cell>
        </row>
        <row r="13">
          <cell r="A13" t="str">
            <v>Salaries, wages, and other benefits</v>
          </cell>
          <cell r="B13"/>
          <cell r="C13">
            <v>58699942.400000006</v>
          </cell>
          <cell r="D13">
            <v>7108108</v>
          </cell>
          <cell r="E13">
            <v>2022352</v>
          </cell>
          <cell r="F13">
            <v>67830402.400000006</v>
          </cell>
          <cell r="G13">
            <v>-9362096</v>
          </cell>
          <cell r="H13">
            <v>-3369914</v>
          </cell>
          <cell r="I13">
            <v>55098392.400000006</v>
          </cell>
          <cell r="J13">
            <v>76518024</v>
          </cell>
        </row>
        <row r="14">
          <cell r="A14" t="str">
            <v>Handling, freight &amp; transportation</v>
          </cell>
          <cell r="B14"/>
          <cell r="C14">
            <v>5310057</v>
          </cell>
          <cell r="D14">
            <v>0</v>
          </cell>
          <cell r="E14"/>
          <cell r="F14">
            <v>5310057</v>
          </cell>
          <cell r="G14">
            <v>-108552</v>
          </cell>
          <cell r="H14"/>
          <cell r="I14">
            <v>5201505</v>
          </cell>
          <cell r="J14">
            <v>11663445</v>
          </cell>
        </row>
        <row r="15">
          <cell r="A15" t="str">
            <v>Travelling</v>
          </cell>
          <cell r="B15"/>
          <cell r="C15">
            <v>10529473</v>
          </cell>
          <cell r="D15">
            <v>509384</v>
          </cell>
          <cell r="E15"/>
          <cell r="F15">
            <v>11038857</v>
          </cell>
          <cell r="G15">
            <v>-1212387</v>
          </cell>
          <cell r="H15">
            <v>-289004</v>
          </cell>
          <cell r="I15">
            <v>9537466</v>
          </cell>
          <cell r="J15">
            <v>17159834</v>
          </cell>
        </row>
        <row r="16">
          <cell r="A16" t="str">
            <v>Vehicle running</v>
          </cell>
          <cell r="B16"/>
          <cell r="C16">
            <v>1904437</v>
          </cell>
          <cell r="D16">
            <v>328318</v>
          </cell>
          <cell r="E16">
            <v>103396</v>
          </cell>
          <cell r="F16">
            <v>2336151</v>
          </cell>
          <cell r="G16">
            <v>-480881</v>
          </cell>
          <cell r="H16">
            <v>-175196</v>
          </cell>
          <cell r="I16">
            <v>1680074</v>
          </cell>
          <cell r="J16">
            <v>3026321</v>
          </cell>
        </row>
        <row r="17">
          <cell r="A17" t="str">
            <v>Advertising</v>
          </cell>
          <cell r="B17"/>
          <cell r="C17">
            <v>8013274</v>
          </cell>
          <cell r="D17">
            <v>0</v>
          </cell>
          <cell r="E17"/>
          <cell r="F17">
            <v>8013274</v>
          </cell>
          <cell r="G17">
            <v>0</v>
          </cell>
          <cell r="H17"/>
          <cell r="I17">
            <v>8013274</v>
          </cell>
          <cell r="J17">
            <v>18437970</v>
          </cell>
        </row>
        <row r="18">
          <cell r="A18" t="str">
            <v>Sales promotion</v>
          </cell>
          <cell r="B18"/>
          <cell r="C18">
            <v>25821278</v>
          </cell>
          <cell r="D18">
            <v>478848</v>
          </cell>
          <cell r="E18"/>
          <cell r="F18">
            <v>26300126</v>
          </cell>
          <cell r="G18">
            <v>-1147366</v>
          </cell>
          <cell r="H18"/>
          <cell r="I18">
            <v>25152760</v>
          </cell>
          <cell r="J18">
            <v>53658635</v>
          </cell>
        </row>
        <row r="19">
          <cell r="A19" t="str">
            <v>Depreciation</v>
          </cell>
          <cell r="B19"/>
          <cell r="C19">
            <v>1795645</v>
          </cell>
          <cell r="D19">
            <v>10559</v>
          </cell>
          <cell r="E19">
            <v>6074</v>
          </cell>
          <cell r="F19">
            <v>1795645</v>
          </cell>
          <cell r="G19">
            <v>-19404</v>
          </cell>
          <cell r="H19"/>
          <cell r="I19">
            <v>1795645</v>
          </cell>
          <cell r="J19">
            <v>3815993</v>
          </cell>
        </row>
        <row r="20">
          <cell r="A20" t="str">
            <v>Rent, rates and taxes</v>
          </cell>
          <cell r="B20"/>
          <cell r="C20">
            <v>1440849</v>
          </cell>
          <cell r="D20"/>
          <cell r="E20"/>
          <cell r="F20">
            <v>1440849</v>
          </cell>
          <cell r="G20">
            <v>-51185</v>
          </cell>
          <cell r="H20"/>
          <cell r="I20">
            <v>1389664</v>
          </cell>
          <cell r="J20">
            <v>2006793</v>
          </cell>
        </row>
        <row r="21">
          <cell r="A21" t="str">
            <v>Lease rentals</v>
          </cell>
          <cell r="B21"/>
          <cell r="C21">
            <v>5216454</v>
          </cell>
          <cell r="D21">
            <v>1203082</v>
          </cell>
          <cell r="E21">
            <v>321739</v>
          </cell>
          <cell r="F21">
            <v>6741275</v>
          </cell>
          <cell r="G21">
            <v>-4289803</v>
          </cell>
          <cell r="H21"/>
          <cell r="I21">
            <v>2451472</v>
          </cell>
          <cell r="J21">
            <v>3396065</v>
          </cell>
        </row>
        <row r="22">
          <cell r="A22" t="str">
            <v>Insurance</v>
          </cell>
          <cell r="B22"/>
          <cell r="C22">
            <v>1149250</v>
          </cell>
          <cell r="D22">
            <v>0</v>
          </cell>
          <cell r="E22"/>
          <cell r="F22">
            <v>1149250</v>
          </cell>
          <cell r="G22">
            <v>0</v>
          </cell>
          <cell r="H22"/>
          <cell r="I22">
            <v>1149250</v>
          </cell>
          <cell r="J22">
            <v>1990764</v>
          </cell>
        </row>
        <row r="23">
          <cell r="A23" t="str">
            <v>Training expenses</v>
          </cell>
          <cell r="B23"/>
          <cell r="C23">
            <v>1043535</v>
          </cell>
          <cell r="D23">
            <v>221931</v>
          </cell>
          <cell r="E23"/>
          <cell r="F23">
            <v>1265466</v>
          </cell>
          <cell r="G23">
            <v>-609830</v>
          </cell>
          <cell r="H23">
            <v>-151847</v>
          </cell>
          <cell r="I23">
            <v>503789</v>
          </cell>
          <cell r="J23">
            <v>4655836</v>
          </cell>
        </row>
        <row r="24">
          <cell r="A24" t="str">
            <v>Utilities expense</v>
          </cell>
          <cell r="B24"/>
          <cell r="C24">
            <v>310500</v>
          </cell>
          <cell r="D24">
            <v>0</v>
          </cell>
          <cell r="E24"/>
          <cell r="F24">
            <v>310500</v>
          </cell>
          <cell r="G24">
            <v>0</v>
          </cell>
          <cell r="H24"/>
          <cell r="I24">
            <v>310500</v>
          </cell>
          <cell r="J24">
            <v>579504</v>
          </cell>
        </row>
        <row r="25">
          <cell r="A25" t="str">
            <v>Subscriptions</v>
          </cell>
          <cell r="B25"/>
          <cell r="C25">
            <v>571615</v>
          </cell>
          <cell r="D25">
            <v>11613</v>
          </cell>
          <cell r="E25">
            <v>6015</v>
          </cell>
          <cell r="F25">
            <v>571615</v>
          </cell>
          <cell r="G25">
            <v>-26665</v>
          </cell>
          <cell r="H25"/>
          <cell r="I25">
            <v>571615</v>
          </cell>
          <cell r="J25">
            <v>168126</v>
          </cell>
        </row>
        <row r="26">
          <cell r="A26" t="str">
            <v>Repairs &amp; maintenence</v>
          </cell>
          <cell r="B26"/>
          <cell r="C26">
            <v>1416231</v>
          </cell>
          <cell r="D26">
            <v>155611</v>
          </cell>
          <cell r="E26">
            <v>64970</v>
          </cell>
          <cell r="F26">
            <v>1636812</v>
          </cell>
          <cell r="G26">
            <v>-1232375</v>
          </cell>
          <cell r="H26">
            <v>-243129</v>
          </cell>
          <cell r="I26">
            <v>161308</v>
          </cell>
          <cell r="J26">
            <v>219111</v>
          </cell>
        </row>
        <row r="27">
          <cell r="A27" t="str">
            <v>Stationery</v>
          </cell>
          <cell r="B27"/>
          <cell r="C27">
            <v>963351</v>
          </cell>
          <cell r="D27">
            <v>0</v>
          </cell>
          <cell r="E27"/>
          <cell r="F27">
            <v>963351</v>
          </cell>
          <cell r="G27">
            <v>-365119</v>
          </cell>
          <cell r="H27"/>
          <cell r="I27">
            <v>598232</v>
          </cell>
          <cell r="J27">
            <v>2791839</v>
          </cell>
        </row>
        <row r="28">
          <cell r="A28" t="str">
            <v>Legal and professional</v>
          </cell>
          <cell r="B28"/>
          <cell r="C28">
            <v>1642778</v>
          </cell>
          <cell r="D28">
            <v>2673</v>
          </cell>
          <cell r="E28"/>
          <cell r="F28">
            <v>1645451</v>
          </cell>
          <cell r="G28">
            <v>-329666</v>
          </cell>
          <cell r="H28"/>
          <cell r="I28">
            <v>1315785</v>
          </cell>
          <cell r="J28">
            <v>7776000</v>
          </cell>
        </row>
        <row r="29">
          <cell r="A29" t="str">
            <v>Auditors' remuneration</v>
          </cell>
          <cell r="B29"/>
          <cell r="C29">
            <v>2738307</v>
          </cell>
          <cell r="D29"/>
          <cell r="E29"/>
          <cell r="F29">
            <v>2738307</v>
          </cell>
          <cell r="G29">
            <v>-204900</v>
          </cell>
          <cell r="H29">
            <v>-77584</v>
          </cell>
          <cell r="I29">
            <v>2738307</v>
          </cell>
          <cell r="J29">
            <v>1930000</v>
          </cell>
        </row>
        <row r="30">
          <cell r="A30" t="str">
            <v>Donations</v>
          </cell>
          <cell r="B30"/>
          <cell r="C30">
            <v>39400</v>
          </cell>
          <cell r="D30">
            <v>1251058</v>
          </cell>
          <cell r="E30">
            <v>502788</v>
          </cell>
          <cell r="F30">
            <v>39400</v>
          </cell>
          <cell r="G30">
            <v>-7269924</v>
          </cell>
          <cell r="H30">
            <v>-238832</v>
          </cell>
          <cell r="I30">
            <v>39400</v>
          </cell>
          <cell r="J30">
            <v>256377</v>
          </cell>
        </row>
        <row r="31">
          <cell r="A31" t="str">
            <v>Postage, telex and telephone</v>
          </cell>
          <cell r="B31"/>
          <cell r="C31">
            <v>2809964</v>
          </cell>
          <cell r="D31">
            <v>199504</v>
          </cell>
          <cell r="E31">
            <v>106675</v>
          </cell>
          <cell r="F31">
            <v>3116143</v>
          </cell>
          <cell r="G31">
            <v>-903008</v>
          </cell>
          <cell r="H31">
            <v>-66888</v>
          </cell>
          <cell r="I31">
            <v>2146247</v>
          </cell>
          <cell r="J31">
            <v>2858506</v>
          </cell>
        </row>
        <row r="32">
          <cell r="A32" t="str">
            <v>Bad debts</v>
          </cell>
          <cell r="B32"/>
          <cell r="C32">
            <v>2595257</v>
          </cell>
          <cell r="D32"/>
          <cell r="E32"/>
          <cell r="F32">
            <v>2595257</v>
          </cell>
          <cell r="G32"/>
          <cell r="H32"/>
          <cell r="I32">
            <v>2595257</v>
          </cell>
          <cell r="J32">
            <v>3171311</v>
          </cell>
        </row>
        <row r="33">
          <cell r="A33" t="str">
            <v>General</v>
          </cell>
          <cell r="B33"/>
          <cell r="C33">
            <v>1447975</v>
          </cell>
          <cell r="D33">
            <v>222411</v>
          </cell>
          <cell r="E33">
            <v>53076</v>
          </cell>
          <cell r="F33">
            <v>1723462</v>
          </cell>
          <cell r="G33">
            <v>-1213331</v>
          </cell>
          <cell r="H33">
            <v>-351245</v>
          </cell>
          <cell r="I33">
            <v>158886</v>
          </cell>
          <cell r="J33">
            <v>863753</v>
          </cell>
        </row>
        <row r="34">
          <cell r="C34">
            <v>135459572.40000001</v>
          </cell>
          <cell r="D34">
            <v>10429870</v>
          </cell>
          <cell r="E34">
            <v>2672208</v>
          </cell>
          <cell r="F34">
            <v>148561650.40000001</v>
          </cell>
          <cell r="G34">
            <v>-21305599</v>
          </cell>
          <cell r="H34">
            <v>-4647223</v>
          </cell>
          <cell r="I34">
            <v>122608828.40000001</v>
          </cell>
          <cell r="J34">
            <v>216944207</v>
          </cell>
        </row>
      </sheetData>
      <sheetData sheetId="2">
        <row r="1">
          <cell r="A1" t="str">
            <v>A F Ferguson &amp; Co.</v>
          </cell>
        </row>
      </sheetData>
      <sheetData sheetId="3">
        <row r="1">
          <cell r="A1" t="str">
            <v>A F Ferguson &amp; Co.</v>
          </cell>
        </row>
      </sheetData>
      <sheetData sheetId="4" refreshError="1"/>
      <sheetData sheetId="5"/>
      <sheetData sheetId="6">
        <row r="1">
          <cell r="A1" t="str">
            <v>ATTOCK CEMENT PAKISTAN LIMITED</v>
          </cell>
        </row>
      </sheetData>
      <sheetData sheetId="7"/>
      <sheetData sheetId="8"/>
      <sheetData sheetId="9" refreshError="1"/>
      <sheetData sheetId="10" refreshError="1"/>
      <sheetData sheetId="11">
        <row r="1">
          <cell r="A1" t="str">
            <v>A F Ferguson &amp; Co.</v>
          </cell>
        </row>
      </sheetData>
      <sheetData sheetId="12">
        <row r="1">
          <cell r="A1" t="str">
            <v>A F Ferguson &amp; Co.</v>
          </cell>
        </row>
      </sheetData>
      <sheetData sheetId="1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vider_aggrigate"/>
      <sheetName val="GS regions"/>
      <sheetName val="UC demographics"/>
      <sheetName val="UC Summary"/>
      <sheetName val="Providers Peshawar region"/>
      <sheetName val="Provider"/>
      <sheetName val="Employee"/>
      <sheetName val="Pivot provider"/>
      <sheetName val="UC name"/>
      <sheetName val="Tehsils"/>
      <sheetName val="Tehsils 2013"/>
      <sheetName val="Staff"/>
      <sheetName val="GR"/>
      <sheetName val="Disricts"/>
      <sheetName val="Census 1998"/>
      <sheetName val="Sheet1"/>
      <sheetName val="Sheet2"/>
      <sheetName val="Punjab UC list"/>
      <sheetName val="Faisalabad"/>
      <sheetName val="Unmatched FSD reg"/>
      <sheetName val="FMCG form"/>
      <sheetName val="Bahawalpur"/>
      <sheetName val="Unmatched Gujranwala"/>
      <sheetName val="Gujranwala"/>
      <sheetName val="Multan"/>
      <sheetName val="Lahore"/>
      <sheetName val="Unmatched Multan"/>
      <sheetName val="Unmatched Islamabad Region"/>
      <sheetName val="Islamabad"/>
      <sheetName val="Karachi"/>
      <sheetName val="Unmatched provicder Karachi reg"/>
      <sheetName val="Providers Peshawar"/>
      <sheetName val="Peshawar"/>
      <sheetName val="Sukkur"/>
      <sheetName val="Potential users"/>
    </sheetNames>
    <sheetDataSet>
      <sheetData sheetId="0"/>
      <sheetData sheetId="1"/>
      <sheetData sheetId="2">
        <row r="6">
          <cell r="G6" t="str">
            <v>Attok TEHSIL</v>
          </cell>
        </row>
        <row r="35">
          <cell r="G35" t="str">
            <v>Fate Jang TEHSIL</v>
          </cell>
        </row>
        <row r="49">
          <cell r="G49" t="str">
            <v>HASAN ABDAL TEHSIL</v>
          </cell>
        </row>
        <row r="57">
          <cell r="G57" t="str">
            <v>Jand Tehsil</v>
          </cell>
        </row>
        <row r="69">
          <cell r="G69" t="str">
            <v>PINDI GHEB TEHSIL</v>
          </cell>
        </row>
        <row r="82">
          <cell r="G82" t="str">
            <v>BAHAWALNAGAR TEHSIL</v>
          </cell>
        </row>
        <row r="114">
          <cell r="G114" t="str">
            <v>Chishtian Tehsil</v>
          </cell>
        </row>
        <row r="143">
          <cell r="G143" t="str">
            <v>Fort Abbas Tehsil</v>
          </cell>
        </row>
        <row r="159">
          <cell r="G159" t="str">
            <v>HAROONABAD TEHSIL</v>
          </cell>
        </row>
        <row r="184">
          <cell r="G184" t="str">
            <v>MINCHINABAD TEHSIL</v>
          </cell>
        </row>
        <row r="206">
          <cell r="G206" t="str">
            <v>AHMADPUR EAST TEHSIL</v>
          </cell>
        </row>
        <row r="238">
          <cell r="G238" t="str">
            <v>Bahawalpur City</v>
          </cell>
        </row>
        <row r="275">
          <cell r="G275" t="str">
            <v>HASILPUR TEHSIL</v>
          </cell>
        </row>
        <row r="289">
          <cell r="G289" t="str">
            <v>YAZMAN TEHSIL</v>
          </cell>
        </row>
        <row r="309">
          <cell r="G309" t="str">
            <v>KHAIRPUR TAMEWALI TEHSIL</v>
          </cell>
        </row>
        <row r="317">
          <cell r="G317" t="str">
            <v>BHAKKAR TEHSIL</v>
          </cell>
        </row>
        <row r="334">
          <cell r="G334" t="str">
            <v>DARYA KHAN TEHSIL</v>
          </cell>
        </row>
        <row r="345">
          <cell r="G345" t="str">
            <v>KALUR KOT TEHSIL</v>
          </cell>
        </row>
        <row r="356">
          <cell r="G356" t="str">
            <v>MANKERA TEHSIL</v>
          </cell>
        </row>
        <row r="364">
          <cell r="G364" t="str">
            <v>Chakwal Tehsil</v>
          </cell>
        </row>
        <row r="403">
          <cell r="G403" t="str">
            <v>CHOA SAIDAN SHAH TEHSIL</v>
          </cell>
        </row>
        <row r="411">
          <cell r="G411" t="str">
            <v>TALA GANG TEHSIL</v>
          </cell>
        </row>
        <row r="434">
          <cell r="G434" t="str">
            <v>Dera Ghazi Khan Teh.</v>
          </cell>
        </row>
        <row r="480">
          <cell r="G480" t="str">
            <v>TAUNSA TEHSIL</v>
          </cell>
        </row>
        <row r="493">
          <cell r="G493" t="str">
            <v>Jinnah Town (FSD)</v>
          </cell>
        </row>
        <row r="654">
          <cell r="G654" t="str">
            <v>JARANWALA TEHSIL</v>
          </cell>
        </row>
        <row r="710">
          <cell r="G710" t="str">
            <v>CHAK JHUMRA TEHSIL</v>
          </cell>
        </row>
        <row r="725">
          <cell r="G725" t="str">
            <v>SAMMUNDRI TEHSIL</v>
          </cell>
        </row>
        <row r="753">
          <cell r="G753" t="str">
            <v>TANDLIAN WALA TEHSIL</v>
          </cell>
        </row>
        <row r="781">
          <cell r="G781" t="str">
            <v>Khiali Shah Pur Town (GRW)</v>
          </cell>
        </row>
        <row r="885">
          <cell r="G885" t="str">
            <v>WAZIRABAD TEHSIL</v>
          </cell>
        </row>
        <row r="925">
          <cell r="G925" t="str">
            <v>KAMOKE TEHSIL</v>
          </cell>
        </row>
        <row r="949">
          <cell r="G949" t="str">
            <v>NOWSHERA VIRKAN TEHSIL</v>
          </cell>
        </row>
        <row r="974">
          <cell r="G974" t="str">
            <v>GUJRAT TEHSIL</v>
          </cell>
        </row>
        <row r="1040">
          <cell r="G1040" t="str">
            <v>KHARIAN TEHSIL</v>
          </cell>
        </row>
        <row r="1086">
          <cell r="G1086" t="str">
            <v>SARAI ALAMGIR TEHSIL</v>
          </cell>
        </row>
        <row r="1095">
          <cell r="G1095" t="str">
            <v>Hafizabad Tehsil</v>
          </cell>
        </row>
        <row r="1123">
          <cell r="G1123" t="str">
            <v>PINDI BHATTIAN TEHSIL</v>
          </cell>
        </row>
        <row r="1140">
          <cell r="G1140" t="str">
            <v>CHINIOT TEHSIL</v>
          </cell>
        </row>
        <row r="1185">
          <cell r="G1185" t="str">
            <v>JHANG TEHSIL</v>
          </cell>
        </row>
        <row r="1240">
          <cell r="G1240" t="str">
            <v>SHORKOT TEHSIL</v>
          </cell>
        </row>
        <row r="1270">
          <cell r="G1270" t="str">
            <v>JHELUM TEHSIL</v>
          </cell>
        </row>
        <row r="1299">
          <cell r="G1299" t="str">
            <v>PIND DADAN KHAN TEHSIL</v>
          </cell>
        </row>
        <row r="1316">
          <cell r="G1316" t="str">
            <v>SOHAWA TEHSIL</v>
          </cell>
        </row>
        <row r="1327">
          <cell r="G1327" t="str">
            <v>CHUNIAN TEHSIL</v>
          </cell>
        </row>
        <row r="1354">
          <cell r="G1354" t="str">
            <v>KASUR TEHSIL</v>
          </cell>
        </row>
        <row r="1409">
          <cell r="G1409" t="str">
            <v>PATTOKI TEHSIL</v>
          </cell>
        </row>
        <row r="1440">
          <cell r="G1440" t="str">
            <v>KABIRWALA TEHSIL</v>
          </cell>
        </row>
        <row r="1475">
          <cell r="G1475" t="str">
            <v>MIAN CHANNU TEHSIL</v>
          </cell>
        </row>
        <row r="1506">
          <cell r="G1506" t="str">
            <v>JAHANIAN TEHSIL</v>
          </cell>
        </row>
        <row r="1518">
          <cell r="G1518" t="str">
            <v>KHANEWAL TEHSIL</v>
          </cell>
        </row>
        <row r="1544">
          <cell r="G1544" t="str">
            <v>Khushab Tehsil</v>
          </cell>
        </row>
        <row r="1588">
          <cell r="G1588" t="str">
            <v>NOORPUR TEHSIL</v>
          </cell>
        </row>
        <row r="1599">
          <cell r="G1599" t="str">
            <v>Aziz Bhatti Town</v>
          </cell>
        </row>
        <row r="1613">
          <cell r="G1613" t="str">
            <v>Samanabad Town</v>
          </cell>
        </row>
        <row r="1646">
          <cell r="G1646" t="str">
            <v>Iqbal Town</v>
          </cell>
        </row>
        <row r="1672">
          <cell r="G1672" t="str">
            <v>Nishtar Town</v>
          </cell>
        </row>
        <row r="1699">
          <cell r="G1699" t="str">
            <v>Shalamar Town</v>
          </cell>
        </row>
        <row r="1729">
          <cell r="G1729" t="str">
            <v>Shalamar Town</v>
          </cell>
        </row>
        <row r="1752">
          <cell r="G1752" t="str">
            <v>Layyah Tehsil</v>
          </cell>
        </row>
        <row r="1775">
          <cell r="G1775" t="str">
            <v>CHOUBARA TEHSIL</v>
          </cell>
        </row>
        <row r="1782">
          <cell r="G1782" t="str">
            <v>KAROR LAL ESAN TEHSIL</v>
          </cell>
        </row>
        <row r="1797">
          <cell r="G1797" t="str">
            <v>LODHRAN TEHSIL</v>
          </cell>
        </row>
        <row r="1826">
          <cell r="G1826" t="str">
            <v>DUNYAPUR TEHSIL</v>
          </cell>
        </row>
        <row r="1849">
          <cell r="G1849" t="str">
            <v>KAHROR PACCA TEHSIL</v>
          </cell>
        </row>
        <row r="1872">
          <cell r="G1872" t="str">
            <v>MANDI BAHAUDDIN TEHSIL</v>
          </cell>
        </row>
        <row r="1899">
          <cell r="G1899" t="str">
            <v>MALAKWAL TEHSIL</v>
          </cell>
        </row>
        <row r="1918">
          <cell r="G1918" t="str">
            <v>PHALIA TEHSIL</v>
          </cell>
        </row>
        <row r="1940">
          <cell r="G1940" t="str">
            <v>MIANWALI TEHSIL</v>
          </cell>
        </row>
        <row r="1968">
          <cell r="G1968" t="str">
            <v>PIPLAN TEHSIL</v>
          </cell>
        </row>
        <row r="1983">
          <cell r="G1983" t="str">
            <v>ISAKHEL TEHSIL</v>
          </cell>
        </row>
        <row r="2000">
          <cell r="G2000" t="str">
            <v>Bosan Town (MTN)</v>
          </cell>
        </row>
        <row r="2061">
          <cell r="G2061" t="str">
            <v>Bosan Town (MTN)</v>
          </cell>
        </row>
        <row r="2099">
          <cell r="G2099" t="str">
            <v>JALALPUR PIRWALA TEHSIL</v>
          </cell>
        </row>
        <row r="2116">
          <cell r="G2116" t="str">
            <v>SHUJABAD TEHSIL</v>
          </cell>
        </row>
        <row r="2133">
          <cell r="G2133" t="str">
            <v>KOT ADDU TEHSIL</v>
          </cell>
        </row>
        <row r="2163">
          <cell r="G2163" t="str">
            <v>MUZAFFARGARH TEHSIL</v>
          </cell>
        </row>
        <row r="2202">
          <cell r="G2202" t="str">
            <v>ALIPUR TEHSIL</v>
          </cell>
        </row>
        <row r="2216">
          <cell r="G2216" t="str">
            <v>JATOI TEHSIL</v>
          </cell>
        </row>
        <row r="2234">
          <cell r="G2234" t="str">
            <v>Narowal Tehsil</v>
          </cell>
        </row>
        <row r="2274">
          <cell r="G2274" t="str">
            <v>Shakargarh Tehsil</v>
          </cell>
        </row>
        <row r="2309">
          <cell r="G2309" t="str">
            <v>DEPALPUR TEHSIL</v>
          </cell>
        </row>
        <row r="2365">
          <cell r="G2365" t="str">
            <v>OKARA TEHSIL</v>
          </cell>
        </row>
        <row r="2410">
          <cell r="G2410" t="str">
            <v>RENALA KHURD TEHSIL</v>
          </cell>
        </row>
        <row r="2428">
          <cell r="G2428" t="str">
            <v>Arifwala Tehsil</v>
          </cell>
        </row>
        <row r="2458">
          <cell r="G2458" t="str">
            <v>Pakpattan Tehsil</v>
          </cell>
        </row>
        <row r="2492">
          <cell r="G2492" t="str">
            <v>KHANPUR TEHSIL</v>
          </cell>
        </row>
        <row r="2519">
          <cell r="G2519" t="str">
            <v>LIAQUAT PUR TEHSIL</v>
          </cell>
        </row>
        <row r="2544">
          <cell r="G2544" t="str">
            <v>RAHIM YAR KHAN TEHSIL</v>
          </cell>
        </row>
        <row r="2584">
          <cell r="G2584" t="str">
            <v>SADIQABAD TEHSIL</v>
          </cell>
        </row>
        <row r="2614">
          <cell r="G2614" t="str">
            <v>JAMPUR TEHSIL</v>
          </cell>
        </row>
        <row r="2634">
          <cell r="G2634" t="str">
            <v>RAJANPUR TEHSIL</v>
          </cell>
        </row>
        <row r="2651">
          <cell r="G2651" t="str">
            <v>ROJHAN TEHSIL</v>
          </cell>
        </row>
        <row r="2660">
          <cell r="G2660" t="str">
            <v>Potohar Town</v>
          </cell>
        </row>
        <row r="2750">
          <cell r="G2750" t="str">
            <v>Gujar Khan Town</v>
          </cell>
        </row>
        <row r="2784">
          <cell r="G2784" t="str">
            <v>Kahuta Town</v>
          </cell>
        </row>
        <row r="2809">
          <cell r="G2809" t="str">
            <v>Kotli Sattian Town</v>
          </cell>
        </row>
        <row r="2818">
          <cell r="G2818" t="str">
            <v>Muree Town</v>
          </cell>
        </row>
        <row r="2834">
          <cell r="G2834" t="str">
            <v>Taxila Town</v>
          </cell>
        </row>
        <row r="2848">
          <cell r="G2848" t="str">
            <v>Chichawatni Tehsil</v>
          </cell>
        </row>
        <row r="2888">
          <cell r="G2888" t="str">
            <v>Sahiwal Tehsil</v>
          </cell>
        </row>
        <row r="2942">
          <cell r="G2942" t="str">
            <v>Kot Momin</v>
          </cell>
        </row>
        <row r="2996">
          <cell r="G2996" t="str">
            <v>SARGODHA TEHSIL</v>
          </cell>
        </row>
        <row r="3060">
          <cell r="G3060" t="str">
            <v>SAHIWAL TEHSIL (Sargodha)</v>
          </cell>
        </row>
        <row r="3075">
          <cell r="G3075" t="str">
            <v>SHAHPUR TEHSIL</v>
          </cell>
        </row>
        <row r="3091">
          <cell r="G3091" t="str">
            <v>SILLANWALI TEHSIL</v>
          </cell>
        </row>
        <row r="3107">
          <cell r="G3107" t="str">
            <v>Muridke Tehsil</v>
          </cell>
        </row>
        <row r="3157">
          <cell r="G3157" t="str">
            <v>Nankana Sahib Tehsil</v>
          </cell>
        </row>
        <row r="3194">
          <cell r="G3194" t="str">
            <v>Sangla Hill Tehsil</v>
          </cell>
        </row>
        <row r="3225">
          <cell r="G3225" t="str">
            <v>SHEIKHUPURA TEHSIL</v>
          </cell>
        </row>
        <row r="3277">
          <cell r="G3277" t="str">
            <v>DASKA TEHSIL</v>
          </cell>
        </row>
        <row r="3321">
          <cell r="G3321" t="str">
            <v>PASRUR TEHSIL</v>
          </cell>
        </row>
        <row r="3351">
          <cell r="G3351" t="str">
            <v>SIALKOT TEHSIL</v>
          </cell>
        </row>
        <row r="3408">
          <cell r="G3408" t="str">
            <v>Toba Tek Singh Tehsil</v>
          </cell>
        </row>
        <row r="3440">
          <cell r="G3440" t="str">
            <v>GOJRA TEHSIL</v>
          </cell>
        </row>
        <row r="3464">
          <cell r="G3464" t="str">
            <v>KAMALIA TEHSIL</v>
          </cell>
        </row>
        <row r="3491">
          <cell r="G3491" t="str">
            <v>BUREWALA TEHSIL</v>
          </cell>
        </row>
        <row r="3523">
          <cell r="G3523" t="str">
            <v>MAILSI TEHSIL</v>
          </cell>
        </row>
        <row r="3557">
          <cell r="G3557" t="str">
            <v>VEHARI TEHSIL</v>
          </cell>
        </row>
        <row r="3583">
          <cell r="G3583" t="str">
            <v>BADIN TALUKA</v>
          </cell>
        </row>
        <row r="3618">
          <cell r="G3618" t="str">
            <v>GOLARCHI TALUKA</v>
          </cell>
        </row>
        <row r="3644">
          <cell r="G3644" t="str">
            <v>MATLI TALUKA</v>
          </cell>
        </row>
        <row r="3673">
          <cell r="G3673" t="str">
            <v>TANDO BAGO TALUKA</v>
          </cell>
        </row>
        <row r="3699">
          <cell r="G3699" t="str">
            <v>Dadu Taluka</v>
          </cell>
        </row>
        <row r="3715">
          <cell r="G3715" t="str">
            <v>JOHI TALUKA</v>
          </cell>
        </row>
        <row r="3725">
          <cell r="G3725" t="str">
            <v>KHAIRPUR NATHAN SHAH TALUKA</v>
          </cell>
        </row>
        <row r="3737">
          <cell r="G3737" t="str">
            <v>KOTRI TALUKA</v>
          </cell>
        </row>
        <row r="3751">
          <cell r="G3751" t="str">
            <v>MEHAR TALUKA</v>
          </cell>
        </row>
        <row r="3768">
          <cell r="G3768" t="str">
            <v>SEHWAN TALUKA</v>
          </cell>
        </row>
        <row r="3778">
          <cell r="G3778" t="str">
            <v>THANO BULA KHAN TALUKA</v>
          </cell>
        </row>
        <row r="3784">
          <cell r="G3784" t="str">
            <v>DAHARKI TALUKA</v>
          </cell>
        </row>
        <row r="3800">
          <cell r="G3800" t="str">
            <v>GHOTKI TALUKA</v>
          </cell>
        </row>
        <row r="3821">
          <cell r="G3821" t="str">
            <v>KHANGARH TALUKA</v>
          </cell>
        </row>
        <row r="3834">
          <cell r="G3834" t="str">
            <v>MIRPUR MATHELO TALUKA</v>
          </cell>
        </row>
        <row r="3849">
          <cell r="G3849" t="str">
            <v>UBAURO TALUKA</v>
          </cell>
        </row>
        <row r="3864">
          <cell r="G3864" t="str">
            <v>Hyderabad city Taluka</v>
          </cell>
        </row>
        <row r="3886">
          <cell r="G3886" t="str">
            <v>HALA TALUKA</v>
          </cell>
        </row>
        <row r="3900">
          <cell r="G3900" t="str">
            <v>HYDERABAD TALUKA</v>
          </cell>
        </row>
        <row r="3918">
          <cell r="G3918" t="str">
            <v>LATIFABAD TALUKA</v>
          </cell>
        </row>
        <row r="3921">
          <cell r="G3921" t="str">
            <v>MATIARI TALUKA</v>
          </cell>
        </row>
        <row r="3938">
          <cell r="G3938" t="str">
            <v>QASIMABAD TALUKA</v>
          </cell>
        </row>
        <row r="3941">
          <cell r="G3941" t="str">
            <v>TANDO ALLAHYAR TALUKA</v>
          </cell>
        </row>
        <row r="3974">
          <cell r="G3974" t="str">
            <v>TANDO M. KHAN TALUKA</v>
          </cell>
        </row>
        <row r="4008">
          <cell r="G4008" t="str">
            <v>JACOBABAD TALUKA</v>
          </cell>
        </row>
        <row r="4023">
          <cell r="G4023" t="str">
            <v>GARHI KHAIRO TALUKA</v>
          </cell>
        </row>
        <row r="4030">
          <cell r="G4030" t="str">
            <v>KANDHKOT TALUKA</v>
          </cell>
        </row>
        <row r="4055">
          <cell r="G4055" t="str">
            <v>KASHMORE TALUKA</v>
          </cell>
        </row>
        <row r="4074">
          <cell r="G4074" t="str">
            <v>THUL TALUKA</v>
          </cell>
        </row>
        <row r="4094">
          <cell r="G4094" t="str">
            <v>Gulberg Town</v>
          </cell>
        </row>
        <row r="4102">
          <cell r="G4102" t="str">
            <v>Liaquatabad Town</v>
          </cell>
        </row>
        <row r="4113">
          <cell r="G4113" t="str">
            <v>North Nazimabad Town</v>
          </cell>
        </row>
        <row r="4123">
          <cell r="G4123" t="str">
            <v>New Karachi Town</v>
          </cell>
        </row>
        <row r="4136">
          <cell r="G4136" t="str">
            <v>Gulshan Town</v>
          </cell>
        </row>
        <row r="4149">
          <cell r="G4149" t="str">
            <v>Korangi Town</v>
          </cell>
        </row>
        <row r="4158">
          <cell r="G4158" t="str">
            <v>Landhi Twon</v>
          </cell>
        </row>
        <row r="4170">
          <cell r="G4170" t="str">
            <v>Shah Faisal Town</v>
          </cell>
        </row>
        <row r="4178">
          <cell r="G4178" t="str">
            <v>Malir Town</v>
          </cell>
        </row>
        <row r="4188">
          <cell r="G4188" t="str">
            <v>Bin Qasim Town</v>
          </cell>
        </row>
        <row r="4195">
          <cell r="G4195" t="str">
            <v>Gadap Town</v>
          </cell>
        </row>
        <row r="4203">
          <cell r="G4203" t="str">
            <v>Jamshed Town</v>
          </cell>
        </row>
        <row r="4216">
          <cell r="G4216" t="str">
            <v>Lyari Town</v>
          </cell>
        </row>
        <row r="4227">
          <cell r="G4227" t="str">
            <v>Saddar Town</v>
          </cell>
        </row>
        <row r="4240">
          <cell r="G4240" t="str">
            <v>Baldia Town</v>
          </cell>
        </row>
        <row r="4248">
          <cell r="G4248" t="str">
            <v>Kimari Town</v>
          </cell>
        </row>
        <row r="4257">
          <cell r="G4257" t="str">
            <v>Orangi Town</v>
          </cell>
        </row>
        <row r="4270">
          <cell r="G4270" t="str">
            <v>S.I.T.E. Town</v>
          </cell>
        </row>
        <row r="4279">
          <cell r="G4279" t="str">
            <v>FAIZ GANJ TALUKA</v>
          </cell>
        </row>
        <row r="4288">
          <cell r="G4288" t="str">
            <v>GAMBAT TALUKA</v>
          </cell>
        </row>
        <row r="4299">
          <cell r="G4299" t="str">
            <v>KHAIRPUR TALUKA</v>
          </cell>
        </row>
        <row r="4315">
          <cell r="G4315" t="str">
            <v>KINGRI TALUKA</v>
          </cell>
        </row>
        <row r="4328">
          <cell r="G4328" t="str">
            <v>KOT DIJI TALUKA</v>
          </cell>
        </row>
        <row r="4340">
          <cell r="G4340" t="str">
            <v>MIRWAH TALUKA</v>
          </cell>
        </row>
        <row r="4353">
          <cell r="G4353" t="str">
            <v>NARA TALUKA</v>
          </cell>
        </row>
        <row r="4358">
          <cell r="G4358" t="str">
            <v>SOBHO DERO TALUKA</v>
          </cell>
        </row>
        <row r="4368">
          <cell r="G4368" t="str">
            <v>DOKRI TALUKA</v>
          </cell>
        </row>
        <row r="4384">
          <cell r="G4384" t="str">
            <v>KAMBAR ALI KHAN TALUKA</v>
          </cell>
        </row>
        <row r="4396">
          <cell r="G4396" t="str">
            <v>LARKANA TALUKA</v>
          </cell>
        </row>
        <row r="4415">
          <cell r="G4415" t="str">
            <v>MIRO KHAN TALUKA</v>
          </cell>
        </row>
        <row r="4424">
          <cell r="G4424" t="str">
            <v>RATODERO TALUKA</v>
          </cell>
        </row>
        <row r="4434">
          <cell r="G4434" t="str">
            <v>SHAHDAD KOT TALUKA</v>
          </cell>
        </row>
        <row r="4443">
          <cell r="G4443" t="str">
            <v>WARAH TALUKA</v>
          </cell>
        </row>
        <row r="4456">
          <cell r="G4456" t="str">
            <v>DIGRI TALUKA</v>
          </cell>
        </row>
        <row r="4470">
          <cell r="G4470" t="str">
            <v>KOT GHULAM MOHAMMAD TALUKA</v>
          </cell>
        </row>
        <row r="4479">
          <cell r="G4479" t="str">
            <v>MIRPUR KHAS TALUKA</v>
          </cell>
        </row>
        <row r="4497">
          <cell r="G4497" t="str">
            <v>Nawabshah Taluka</v>
          </cell>
        </row>
        <row r="4543">
          <cell r="G4543" t="str">
            <v>DAULAT PUR TALUKA</v>
          </cell>
        </row>
        <row r="4573">
          <cell r="G4573" t="str">
            <v>SAKRAND TALUKA</v>
          </cell>
        </row>
        <row r="4592">
          <cell r="G4592" t="str">
            <v>BHIRIA TALUKA</v>
          </cell>
        </row>
        <row r="4608">
          <cell r="G4608" t="str">
            <v>KANDIARO TALUKA</v>
          </cell>
        </row>
        <row r="4625">
          <cell r="G4625" t="str">
            <v>MORO TALUKA</v>
          </cell>
        </row>
        <row r="4637">
          <cell r="G4637" t="str">
            <v>NAUSHAHRO FEROZE TALUKA</v>
          </cell>
        </row>
        <row r="4651">
          <cell r="G4651" t="str">
            <v>JAM NAWAZ ALI TALUKA</v>
          </cell>
        </row>
        <row r="4657">
          <cell r="G4657" t="str">
            <v>KHIPRO TALUKA</v>
          </cell>
        </row>
        <row r="4670">
          <cell r="G4670" t="str">
            <v>SANGHAR TALUKA</v>
          </cell>
        </row>
        <row r="4684">
          <cell r="G4684" t="str">
            <v>SHAHDADPUR TALUKA</v>
          </cell>
        </row>
        <row r="4700">
          <cell r="G4700" t="str">
            <v>SINJHORO TALUKA</v>
          </cell>
        </row>
        <row r="4711">
          <cell r="G4711" t="str">
            <v>TANDO ADAM TALUKA</v>
          </cell>
        </row>
        <row r="4721">
          <cell r="G4721" t="str">
            <v>GARHI YASIN TALUKA</v>
          </cell>
        </row>
        <row r="4735">
          <cell r="G4735" t="str">
            <v>KHANPUR TALUKA</v>
          </cell>
        </row>
        <row r="4745">
          <cell r="G4745" t="str">
            <v>LAKHI TALUKA</v>
          </cell>
        </row>
        <row r="4758">
          <cell r="G4758" t="str">
            <v>SHIKARPUR TALUKA</v>
          </cell>
        </row>
        <row r="4773">
          <cell r="G4773" t="str">
            <v>PANO AQIL TALUKA</v>
          </cell>
        </row>
        <row r="4791">
          <cell r="G4791" t="str">
            <v>ROHRI TALUKA</v>
          </cell>
        </row>
        <row r="4805">
          <cell r="G4805" t="str">
            <v>SALEHPAT TALUKA</v>
          </cell>
        </row>
        <row r="4815">
          <cell r="G4815" t="str">
            <v>SUKKUR TALUKA</v>
          </cell>
        </row>
        <row r="4828">
          <cell r="G4828" t="str">
            <v>CHACHRO TALUKA</v>
          </cell>
        </row>
        <row r="4845">
          <cell r="G4845" t="str">
            <v>DIPLO TALUKA</v>
          </cell>
        </row>
        <row r="4854">
          <cell r="G4854" t="str">
            <v>MITHI TALUKA</v>
          </cell>
        </row>
        <row r="4867">
          <cell r="G4867" t="str">
            <v>NAGAR PARKAR TALUKA</v>
          </cell>
        </row>
        <row r="4874">
          <cell r="G4874" t="str">
            <v>GHORABARI TALUKA</v>
          </cell>
        </row>
        <row r="4879">
          <cell r="G4879" t="str">
            <v>JATI TALUKA</v>
          </cell>
        </row>
        <row r="4886">
          <cell r="G4886" t="str">
            <v>KETI BUNDER TALUKA</v>
          </cell>
        </row>
        <row r="4889">
          <cell r="G4889" t="str">
            <v>MIRPUR BATHORO TALUKA</v>
          </cell>
        </row>
        <row r="4899">
          <cell r="G4899" t="str">
            <v>MIRPUR SAKRO TALUKA</v>
          </cell>
        </row>
        <row r="4911">
          <cell r="G4911" t="str">
            <v>SHAH BUNDER TALUKA</v>
          </cell>
        </row>
        <row r="4917">
          <cell r="G4917" t="str">
            <v>SUJAWAL TALUKA</v>
          </cell>
        </row>
        <row r="4923">
          <cell r="G4923" t="str">
            <v>Thatta city Taluka</v>
          </cell>
        </row>
        <row r="4937">
          <cell r="G4937" t="str">
            <v>KUNRI TALUKA</v>
          </cell>
        </row>
        <row r="4945">
          <cell r="G4945" t="str">
            <v>PITHORO TALUKA</v>
          </cell>
        </row>
        <row r="4950">
          <cell r="G4950" t="str">
            <v>SAMARO TALUKA</v>
          </cell>
        </row>
        <row r="4956">
          <cell r="G4956" t="str">
            <v>UMER KOT TALUKA</v>
          </cell>
        </row>
        <row r="4971">
          <cell r="G4971" t="str">
            <v>Abbotabad Tehsil</v>
          </cell>
        </row>
        <row r="5021">
          <cell r="G5021" t="str">
            <v>Peshawar Town IV</v>
          </cell>
        </row>
        <row r="5063">
          <cell r="G5063" t="str">
            <v>ALLAI TEHSIL</v>
          </cell>
        </row>
        <row r="5071">
          <cell r="G5071" t="str">
            <v>BATAGRAM TEHSIL</v>
          </cell>
        </row>
        <row r="5083">
          <cell r="G5083" t="str">
            <v>Peshawar Town I</v>
          </cell>
        </row>
        <row r="5110">
          <cell r="G5110" t="str">
            <v>CHITRAL SUB-DIVISION</v>
          </cell>
        </row>
        <row r="5147">
          <cell r="G5147" t="str">
            <v>LAKKI MARWAT TEHSIL</v>
          </cell>
        </row>
        <row r="5159">
          <cell r="G5159" t="str">
            <v>Paharpur Tehsil</v>
          </cell>
        </row>
        <row r="5169">
          <cell r="G5169" t="str">
            <v xml:space="preserve">Khyber AGENCY </v>
          </cell>
        </row>
        <row r="5176">
          <cell r="G5176" t="str">
            <v>Mohmand Agency</v>
          </cell>
        </row>
        <row r="5203">
          <cell r="G5203" t="str">
            <v>TRIBAL AREA ADJ IN FATA</v>
          </cell>
        </row>
        <row r="5212">
          <cell r="G5212" t="str">
            <v>KOHAT Tehsil</v>
          </cell>
        </row>
        <row r="5223">
          <cell r="G5223" t="str">
            <v>TRIBAL AREA ADJ IN FATA</v>
          </cell>
        </row>
        <row r="5242">
          <cell r="G5242" t="str">
            <v>Haripur Tehsil</v>
          </cell>
        </row>
        <row r="5279">
          <cell r="G5279" t="str">
            <v>GHAZI TEHSIL</v>
          </cell>
        </row>
        <row r="5286">
          <cell r="G5286" t="str">
            <v>Peshawar Town II</v>
          </cell>
        </row>
        <row r="5291">
          <cell r="G5291" t="str">
            <v>TEMERGARA SUB-DIVISION</v>
          </cell>
        </row>
        <row r="5302">
          <cell r="G5302" t="str">
            <v>Charsadda Tehsil</v>
          </cell>
        </row>
        <row r="5309">
          <cell r="G5309" t="str">
            <v>DIR TEHSIL</v>
          </cell>
        </row>
        <row r="5341">
          <cell r="G5341" t="str">
            <v>DASSU TEHSIL</v>
          </cell>
        </row>
        <row r="5357">
          <cell r="G5357" t="str">
            <v>PALAS TEHSIL</v>
          </cell>
        </row>
        <row r="5367">
          <cell r="G5367" t="str">
            <v>PATTAN TEHSIL</v>
          </cell>
        </row>
        <row r="5378">
          <cell r="G5378" t="str">
            <v>BARAWAL TEHSIL</v>
          </cell>
        </row>
        <row r="5412">
          <cell r="G5412" t="str">
            <v>CHITRAL SUB-DIVISION</v>
          </cell>
        </row>
        <row r="5419">
          <cell r="G5419" t="str">
            <v>SWAT TEHSIL</v>
          </cell>
        </row>
        <row r="5438">
          <cell r="G5438" t="str">
            <v>Kulachi Tehsil</v>
          </cell>
        </row>
        <row r="5447">
          <cell r="G5447" t="str">
            <v>MARDAN TEHSIL</v>
          </cell>
        </row>
        <row r="5459">
          <cell r="G5459" t="str">
            <v>BALA KOT TEHSIL</v>
          </cell>
        </row>
        <row r="5471">
          <cell r="G5471" t="str">
            <v>F.R KALA DHAKA Tehsil</v>
          </cell>
        </row>
        <row r="5476">
          <cell r="G5476" t="str">
            <v>OGHI TEHSIL</v>
          </cell>
        </row>
        <row r="5487">
          <cell r="G5487" t="str">
            <v>MANSEHRA TEHSIL</v>
          </cell>
        </row>
        <row r="5523">
          <cell r="G5523" t="str">
            <v>KARAK TEHSIL</v>
          </cell>
        </row>
        <row r="5580">
          <cell r="G5580" t="str">
            <v>Peshawar Town IV</v>
          </cell>
        </row>
        <row r="5598">
          <cell r="G5598" t="str">
            <v>SWAT RANI ZAI TEHSIL</v>
          </cell>
        </row>
        <row r="5652">
          <cell r="G5652" t="str">
            <v>KALKOT(KOHISTAN)TEHSIL</v>
          </cell>
        </row>
        <row r="5746">
          <cell r="G5746" t="str">
            <v>MARDAN TEHSIL</v>
          </cell>
        </row>
        <row r="5755">
          <cell r="G5755" t="str">
            <v>TAKHT BHAI TEHSIL</v>
          </cell>
        </row>
        <row r="5758">
          <cell r="G5758" t="str">
            <v>Swabi Tehsil</v>
          </cell>
        </row>
        <row r="5762">
          <cell r="G5762" t="str">
            <v>D.I.KHAN TEHSIL</v>
          </cell>
        </row>
        <row r="5765">
          <cell r="G5765" t="str">
            <v>TANGI TEHSIL</v>
          </cell>
        </row>
        <row r="5770">
          <cell r="G5770" t="str">
            <v xml:space="preserve">Khyber AGENCY </v>
          </cell>
        </row>
        <row r="5787">
          <cell r="G5787" t="str">
            <v>TEMERGARA SUB-DIVISION</v>
          </cell>
        </row>
        <row r="5826">
          <cell r="G5826" t="str">
            <v>KURRAM Agency</v>
          </cell>
        </row>
        <row r="5839">
          <cell r="G5839" t="str">
            <v>Bannu Tehsil</v>
          </cell>
        </row>
        <row r="5891">
          <cell r="G5891" t="str">
            <v>Peshawar Town IV</v>
          </cell>
        </row>
        <row r="5907">
          <cell r="G5907" t="str">
            <v>JANDOOL SUB-DIVISION</v>
          </cell>
        </row>
        <row r="5910">
          <cell r="G5910" t="str">
            <v xml:space="preserve">BAJAUR AGENCY </v>
          </cell>
        </row>
        <row r="5920">
          <cell r="G5920" t="str">
            <v>TANGI TEHSIL</v>
          </cell>
        </row>
        <row r="5923">
          <cell r="G5923" t="str">
            <v>Nowshera Tehsil</v>
          </cell>
        </row>
        <row r="5926">
          <cell r="G5926" t="str">
            <v>Bannu Tehsil</v>
          </cell>
        </row>
        <row r="5933">
          <cell r="G5933" t="str">
            <v>AWARAN SUB-DIVISION</v>
          </cell>
        </row>
        <row r="5941">
          <cell r="G5941" t="str">
            <v>BARKHAN SUB-DIVISION</v>
          </cell>
        </row>
        <row r="5949">
          <cell r="G5949" t="str">
            <v>BHAG SUB-DIVISION</v>
          </cell>
        </row>
        <row r="5956">
          <cell r="G5956" t="str">
            <v>DHADAR SUB-DIVISION</v>
          </cell>
        </row>
        <row r="5969">
          <cell r="G5969" t="str">
            <v>LEHRI SUB-DIVISION</v>
          </cell>
        </row>
        <row r="5975">
          <cell r="G5975" t="str">
            <v>MACH SUB-DIVISION</v>
          </cell>
        </row>
        <row r="5977">
          <cell r="G5977" t="str">
            <v>SANNI SUB-DIVISION</v>
          </cell>
        </row>
        <row r="5985">
          <cell r="G5985" t="str">
            <v>DALBANDIN SUB-DIVISION</v>
          </cell>
        </row>
        <row r="5992">
          <cell r="G5992" t="str">
            <v>NUSHKI SUB-DIVISION</v>
          </cell>
        </row>
        <row r="6002">
          <cell r="G6002" t="str">
            <v>TAFTAN SUB-DIVISION</v>
          </cell>
        </row>
        <row r="6004">
          <cell r="G6004" t="str">
            <v>DERA BUGTI SUB-DIVISION</v>
          </cell>
        </row>
        <row r="6008">
          <cell r="G6008" t="str">
            <v>PHELAWAGH SUB-DIVISION</v>
          </cell>
        </row>
        <row r="6013">
          <cell r="G6013" t="str">
            <v>SUI SUB-DIVISION</v>
          </cell>
        </row>
        <row r="6017">
          <cell r="G6017" t="str">
            <v>GWADAR SUB-DIVISION</v>
          </cell>
        </row>
        <row r="6025">
          <cell r="G6025" t="str">
            <v>PASNI SUB-DIVISION</v>
          </cell>
        </row>
        <row r="6031">
          <cell r="G6031" t="str">
            <v>JHAT PAT SUB-DIVISION</v>
          </cell>
        </row>
        <row r="6049">
          <cell r="G6049" t="str">
            <v>USTA MOHAMMAD SUB-DIVISION</v>
          </cell>
        </row>
        <row r="6064">
          <cell r="G6064" t="str">
            <v>GANDAWA SUB-DIVISION</v>
          </cell>
        </row>
        <row r="6069">
          <cell r="G6069" t="str">
            <v>JHAL MAGSI SUB-DIVISION</v>
          </cell>
        </row>
        <row r="6074">
          <cell r="G6074" t="str">
            <v>KALAT SUB-DIVISION</v>
          </cell>
        </row>
        <row r="6083">
          <cell r="G6083" t="str">
            <v>SURAB SUB-DIVISION</v>
          </cell>
        </row>
        <row r="6092">
          <cell r="G6092" t="str">
            <v>BULEDA SUB-DIVISION</v>
          </cell>
        </row>
        <row r="6097">
          <cell r="G6097" t="str">
            <v>DASHT SUB-DIVISION</v>
          </cell>
        </row>
        <row r="6101">
          <cell r="G6101" t="str">
            <v>KECH (TURBAT) SUB-DIVISION</v>
          </cell>
        </row>
        <row r="6120">
          <cell r="G6120" t="str">
            <v>TUMP SUB-DIVISION</v>
          </cell>
        </row>
        <row r="6128">
          <cell r="G6128" t="str">
            <v>KHARAN SUB-DIVISION</v>
          </cell>
        </row>
        <row r="6137">
          <cell r="G6137" t="str">
            <v>MASHKHEL SUB-DIVISION</v>
          </cell>
        </row>
        <row r="6139">
          <cell r="G6139" t="str">
            <v>RAKHSHAN (BESIMA) SUB-DIVISION</v>
          </cell>
        </row>
        <row r="6144">
          <cell r="G6144" t="str">
            <v>KHUZDAR SUB-DIVISION</v>
          </cell>
        </row>
        <row r="6158">
          <cell r="G6158" t="str">
            <v>NAL SUB-DIVISION</v>
          </cell>
        </row>
        <row r="6166">
          <cell r="G6166" t="str">
            <v>WADH SUB-DIVISION</v>
          </cell>
        </row>
        <row r="6175">
          <cell r="G6175" t="str">
            <v>CHAMAN SUB-DIVISION</v>
          </cell>
        </row>
        <row r="6181">
          <cell r="G6181" t="str">
            <v>GULISTAN SUB-DIVISION</v>
          </cell>
        </row>
        <row r="6186">
          <cell r="G6186" t="str">
            <v>KILLA SAIFULLAH SUB-DIVISION</v>
          </cell>
        </row>
        <row r="6194">
          <cell r="G6194" t="str">
            <v>UPPER ZHOB SUB-DIVISION</v>
          </cell>
        </row>
        <row r="6201">
          <cell r="G6201" t="str">
            <v>KAHAN SUB-DIVISION</v>
          </cell>
        </row>
        <row r="6203">
          <cell r="G6203" t="str">
            <v>KOHLU SUB-DIVISION</v>
          </cell>
        </row>
        <row r="6207">
          <cell r="G6207" t="str">
            <v>MAWAND SUB-DIVISION</v>
          </cell>
        </row>
        <row r="6209">
          <cell r="G6209" t="str">
            <v>BELA SUB-DIVISION</v>
          </cell>
        </row>
        <row r="6220">
          <cell r="G6220" t="str">
            <v>DUREJI SUB-DIVISION</v>
          </cell>
        </row>
        <row r="6222">
          <cell r="G6222" t="str">
            <v>HUB SUB-DIVISION</v>
          </cell>
        </row>
        <row r="6230">
          <cell r="G6230" t="str">
            <v>KANRAJ SUB-DIVISION</v>
          </cell>
        </row>
        <row r="6231">
          <cell r="G6231" t="str">
            <v>DUKI SUB-DIVISION</v>
          </cell>
        </row>
        <row r="6238">
          <cell r="G6238" t="str">
            <v>LORALAI SUB-DIVISION</v>
          </cell>
        </row>
        <row r="6251">
          <cell r="G6251" t="str">
            <v>SINJAWI SUB-DIVISION</v>
          </cell>
        </row>
        <row r="6255">
          <cell r="G6255" t="str">
            <v>DASHT (Saddar) SUB-DIVISION</v>
          </cell>
        </row>
        <row r="6259">
          <cell r="G6259" t="str">
            <v>MASTUNG SUB-DIVISION</v>
          </cell>
        </row>
        <row r="6269">
          <cell r="G6269" t="str">
            <v>MUSAKHEL SUB-DIVISION</v>
          </cell>
        </row>
        <row r="6280">
          <cell r="G6280" t="str">
            <v>CHHATTAR SUB-DIVISION</v>
          </cell>
        </row>
        <row r="6285">
          <cell r="G6285" t="str">
            <v>DERA MURAD JAMALI SUB-DIVISION</v>
          </cell>
        </row>
        <row r="6298">
          <cell r="G6298" t="str">
            <v>PANJGUR SUB-DIVISION</v>
          </cell>
        </row>
        <row r="6314">
          <cell r="G6314" t="str">
            <v>BARSHORE SUB-DIVISION</v>
          </cell>
        </row>
        <row r="6321">
          <cell r="G6321" t="str">
            <v>KAREZAT SUB-DIVISION</v>
          </cell>
        </row>
        <row r="6326">
          <cell r="G6326" t="str">
            <v>Pishin</v>
          </cell>
        </row>
        <row r="6341">
          <cell r="G6341" t="str">
            <v>QUETTA CITY SUB-DIVISION</v>
          </cell>
        </row>
        <row r="6365">
          <cell r="G6365" t="str">
            <v>QUETTA SADDAR SUB-DIVISION</v>
          </cell>
        </row>
        <row r="6396">
          <cell r="G6396" t="str">
            <v>HARNAI SUB-DIVISION</v>
          </cell>
        </row>
        <row r="6401">
          <cell r="G6401" t="str">
            <v>SIBI SUB-DIVISION</v>
          </cell>
        </row>
        <row r="6411">
          <cell r="G6411" t="str">
            <v>KAKAR KHURASAN SUB-DIVISION</v>
          </cell>
        </row>
        <row r="6413">
          <cell r="G6413" t="str">
            <v>SHERANI SUB-DIVISION</v>
          </cell>
        </row>
        <row r="6420">
          <cell r="G6420" t="str">
            <v>ZHOB SUB-DIVISION</v>
          </cell>
        </row>
        <row r="6435">
          <cell r="G6435" t="str">
            <v>ZIARAT SUB-DIVISION</v>
          </cell>
        </row>
        <row r="6509">
          <cell r="G6509" t="str">
            <v>KOHAT Tehsil</v>
          </cell>
        </row>
        <row r="6561">
          <cell r="G6561" t="str">
            <v>SWAT TEHSIL</v>
          </cell>
        </row>
        <row r="6585">
          <cell r="G6585" t="str">
            <v>Paharpur Tehsil</v>
          </cell>
        </row>
        <row r="6646">
          <cell r="G6646" t="str">
            <v>SWAT TEHSIL</v>
          </cell>
        </row>
        <row r="6697">
          <cell r="G6697" t="str">
            <v>KOHAT Tehsil</v>
          </cell>
        </row>
        <row r="6725">
          <cell r="G6725" t="str">
            <v>SWAT TEHSIL</v>
          </cell>
        </row>
        <row r="6750">
          <cell r="G6750" t="str">
            <v>CHITRAL SUB-DIVISION</v>
          </cell>
        </row>
        <row r="6918">
          <cell r="G6918" t="str">
            <v>Kotli</v>
          </cell>
        </row>
        <row r="6919">
          <cell r="G6919" t="str">
            <v>Muzaffarabad /Rawalkot</v>
          </cell>
        </row>
        <row r="6920">
          <cell r="G6920" t="str">
            <v>Gilgit</v>
          </cell>
        </row>
        <row r="6921">
          <cell r="G6921" t="str">
            <v>Skardu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Calc"/>
      <sheetName val="Dashboard"/>
      <sheetName val="Array Sumifs"/>
      <sheetName val="slicer linking demo"/>
      <sheetName val="Sales_Qty_MRKT"/>
      <sheetName val="Sales_CYPs_MRKT"/>
      <sheetName val="UC demographics"/>
    </sheetNames>
    <sheetDataSet>
      <sheetData sheetId="0">
        <row r="4">
          <cell r="B4" t="str">
            <v>KARACHI</v>
          </cell>
          <cell r="C4" t="str">
            <v>Sathi 3s</v>
          </cell>
        </row>
        <row r="5">
          <cell r="B5" t="str">
            <v>KARACHI</v>
          </cell>
          <cell r="C5" t="str">
            <v>Sathi 3s: Dotted &amp; Delay</v>
          </cell>
        </row>
        <row r="6">
          <cell r="B6" t="str">
            <v>KARACHI</v>
          </cell>
          <cell r="C6" t="str">
            <v>Sathi 3s: Studded &amp; Ribbed</v>
          </cell>
        </row>
        <row r="7">
          <cell r="B7" t="str">
            <v>KARACHI</v>
          </cell>
          <cell r="C7" t="str">
            <v>Sathi 6s: Dotted &amp; Delay</v>
          </cell>
        </row>
        <row r="8">
          <cell r="B8" t="str">
            <v>KARACHI</v>
          </cell>
          <cell r="C8" t="str">
            <v>Sathi 6s: Studded &amp; Ribbed</v>
          </cell>
        </row>
        <row r="9">
          <cell r="B9" t="str">
            <v>KARACHI</v>
          </cell>
          <cell r="C9" t="str">
            <v>Sathi 12s</v>
          </cell>
        </row>
        <row r="10">
          <cell r="B10" t="str">
            <v>KARACHI</v>
          </cell>
          <cell r="C10" t="str">
            <v>Sathi 6s</v>
          </cell>
        </row>
        <row r="11">
          <cell r="B11" t="str">
            <v>KARACHI</v>
          </cell>
          <cell r="C11" t="str">
            <v>Touch Delay 3s</v>
          </cell>
        </row>
        <row r="12">
          <cell r="B12" t="str">
            <v>KARACHI</v>
          </cell>
          <cell r="C12" t="str">
            <v>Touch Delay 6s</v>
          </cell>
        </row>
        <row r="13">
          <cell r="B13" t="str">
            <v>KARACHI</v>
          </cell>
          <cell r="C13" t="str">
            <v>Touch Dotted 3s</v>
          </cell>
        </row>
        <row r="14">
          <cell r="B14" t="str">
            <v>KARACHI</v>
          </cell>
          <cell r="C14" t="str">
            <v>Touch Dotted 6s</v>
          </cell>
        </row>
        <row r="15">
          <cell r="B15" t="str">
            <v>KARACHI</v>
          </cell>
          <cell r="C15" t="str">
            <v>Touch Ribbed 3s</v>
          </cell>
        </row>
        <row r="16">
          <cell r="B16" t="str">
            <v>KARACHI</v>
          </cell>
          <cell r="C16" t="str">
            <v>Touch Ribbed 6s</v>
          </cell>
        </row>
        <row r="17">
          <cell r="B17" t="str">
            <v>KARACHI</v>
          </cell>
          <cell r="C17" t="str">
            <v>Jadelle</v>
          </cell>
        </row>
        <row r="18">
          <cell r="B18" t="str">
            <v>KARACHI</v>
          </cell>
          <cell r="C18" t="str">
            <v>Depo Provera</v>
          </cell>
        </row>
        <row r="19">
          <cell r="B19" t="str">
            <v>KARACHI</v>
          </cell>
          <cell r="C19" t="str">
            <v>Femiject</v>
          </cell>
        </row>
        <row r="20">
          <cell r="B20" t="str">
            <v>KARACHI</v>
          </cell>
          <cell r="C20" t="str">
            <v>Novaject</v>
          </cell>
        </row>
        <row r="21">
          <cell r="B21" t="str">
            <v>KARACHI</v>
          </cell>
          <cell r="C21" t="str">
            <v>Protect 10 (Safeload)</v>
          </cell>
        </row>
        <row r="22">
          <cell r="B22" t="str">
            <v>KARACHI</v>
          </cell>
          <cell r="C22" t="str">
            <v>Protect 3 (3 Years)</v>
          </cell>
        </row>
        <row r="23">
          <cell r="B23" t="str">
            <v>KARACHI</v>
          </cell>
          <cell r="C23" t="str">
            <v>Protect 5 (Multiload)</v>
          </cell>
        </row>
        <row r="24">
          <cell r="B24" t="str">
            <v>KARACHI</v>
          </cell>
          <cell r="C24" t="str">
            <v>Protect 5 Premium</v>
          </cell>
        </row>
        <row r="25">
          <cell r="B25" t="str">
            <v>KARACHI</v>
          </cell>
          <cell r="C25" t="str">
            <v>ECP</v>
          </cell>
        </row>
        <row r="26">
          <cell r="B26" t="str">
            <v>KARACHI</v>
          </cell>
          <cell r="C26" t="str">
            <v>NOVODOL</v>
          </cell>
        </row>
        <row r="27">
          <cell r="B27" t="str">
            <v>KARACHI</v>
          </cell>
          <cell r="C27" t="str">
            <v>VSC</v>
          </cell>
        </row>
        <row r="28">
          <cell r="B28" t="str">
            <v>SUKKUR</v>
          </cell>
          <cell r="C28" t="str">
            <v>Sathi 3s</v>
          </cell>
        </row>
        <row r="29">
          <cell r="B29" t="str">
            <v>SUKKUR</v>
          </cell>
          <cell r="C29" t="str">
            <v>Sathi 3s: Dotted &amp; Delay</v>
          </cell>
        </row>
        <row r="30">
          <cell r="B30" t="str">
            <v>SUKKUR</v>
          </cell>
          <cell r="C30" t="str">
            <v>Sathi 3s: Studded &amp; Ribbed</v>
          </cell>
        </row>
        <row r="31">
          <cell r="B31" t="str">
            <v>SUKKUR</v>
          </cell>
          <cell r="C31" t="str">
            <v>Sathi 6s: Dotted &amp; Delay</v>
          </cell>
        </row>
        <row r="32">
          <cell r="B32" t="str">
            <v>SUKKUR</v>
          </cell>
          <cell r="C32" t="str">
            <v>Sathi 6s: Studded &amp; Ribbed</v>
          </cell>
        </row>
        <row r="33">
          <cell r="B33" t="str">
            <v>SUKKUR</v>
          </cell>
          <cell r="C33" t="str">
            <v>Sathi 12s</v>
          </cell>
        </row>
        <row r="34">
          <cell r="B34" t="str">
            <v>SUKKUR</v>
          </cell>
          <cell r="C34" t="str">
            <v>Sathi 6s</v>
          </cell>
        </row>
        <row r="35">
          <cell r="B35" t="str">
            <v>SUKKUR</v>
          </cell>
          <cell r="C35" t="str">
            <v>Touch Delay 3s</v>
          </cell>
        </row>
        <row r="36">
          <cell r="B36" t="str">
            <v>SUKKUR</v>
          </cell>
          <cell r="C36" t="str">
            <v>Touch Delay 6s</v>
          </cell>
        </row>
        <row r="37">
          <cell r="B37" t="str">
            <v>SUKKUR</v>
          </cell>
          <cell r="C37" t="str">
            <v>Touch Dotted 3s</v>
          </cell>
        </row>
        <row r="38">
          <cell r="B38" t="str">
            <v>SUKKUR</v>
          </cell>
          <cell r="C38" t="str">
            <v>Touch Dotted 6s</v>
          </cell>
        </row>
        <row r="39">
          <cell r="B39" t="str">
            <v>SUKKUR</v>
          </cell>
          <cell r="C39" t="str">
            <v>Touch Ribbed 3s</v>
          </cell>
        </row>
        <row r="40">
          <cell r="B40" t="str">
            <v>SUKKUR</v>
          </cell>
          <cell r="C40" t="str">
            <v>Touch Ribbed 6s</v>
          </cell>
        </row>
        <row r="41">
          <cell r="B41" t="str">
            <v>SUKKUR</v>
          </cell>
          <cell r="C41" t="str">
            <v>Jadelle</v>
          </cell>
        </row>
        <row r="42">
          <cell r="B42" t="str">
            <v>SUKKUR</v>
          </cell>
          <cell r="C42" t="str">
            <v>Depo Provera</v>
          </cell>
        </row>
        <row r="43">
          <cell r="B43" t="str">
            <v>SUKKUR</v>
          </cell>
          <cell r="C43" t="str">
            <v>Femiject</v>
          </cell>
        </row>
        <row r="44">
          <cell r="B44" t="str">
            <v>SUKKUR</v>
          </cell>
          <cell r="C44" t="str">
            <v>Novaject</v>
          </cell>
        </row>
        <row r="45">
          <cell r="B45" t="str">
            <v>SUKKUR</v>
          </cell>
          <cell r="C45" t="str">
            <v>Protect 10 (Safeload)</v>
          </cell>
        </row>
        <row r="46">
          <cell r="B46" t="str">
            <v>SUKKUR</v>
          </cell>
          <cell r="C46" t="str">
            <v>Protect 3 (3 Years)</v>
          </cell>
        </row>
        <row r="47">
          <cell r="B47" t="str">
            <v>SUKKUR</v>
          </cell>
          <cell r="C47" t="str">
            <v>Protect 5 (Multiload)</v>
          </cell>
        </row>
        <row r="48">
          <cell r="B48" t="str">
            <v>SUKKUR</v>
          </cell>
          <cell r="C48" t="str">
            <v>Protect 5 Premium</v>
          </cell>
        </row>
        <row r="49">
          <cell r="B49" t="str">
            <v>SUKKUR</v>
          </cell>
          <cell r="C49" t="str">
            <v>ECP</v>
          </cell>
        </row>
        <row r="50">
          <cell r="B50" t="str">
            <v>SUKKUR</v>
          </cell>
          <cell r="C50" t="str">
            <v>NOVODOL</v>
          </cell>
        </row>
        <row r="51">
          <cell r="B51" t="str">
            <v>SUKKUR</v>
          </cell>
          <cell r="C51" t="str">
            <v>VSC</v>
          </cell>
        </row>
        <row r="52">
          <cell r="B52" t="str">
            <v>BAHAWALPUR</v>
          </cell>
          <cell r="C52" t="str">
            <v>Sathi 3s</v>
          </cell>
        </row>
        <row r="53">
          <cell r="B53" t="str">
            <v>BAHAWALPUR</v>
          </cell>
          <cell r="C53" t="str">
            <v>Sathi 3s: Dotted &amp; Delay</v>
          </cell>
        </row>
        <row r="54">
          <cell r="B54" t="str">
            <v>BAHAWALPUR</v>
          </cell>
          <cell r="C54" t="str">
            <v>Sathi 3s: Studded &amp; Ribbed</v>
          </cell>
        </row>
        <row r="55">
          <cell r="B55" t="str">
            <v>BAHAWALPUR</v>
          </cell>
          <cell r="C55" t="str">
            <v>Sathi 6s: Dotted &amp; Delay</v>
          </cell>
        </row>
        <row r="56">
          <cell r="B56" t="str">
            <v>BAHAWALPUR</v>
          </cell>
          <cell r="C56" t="str">
            <v>Sathi 6s: Studded &amp; Ribbed</v>
          </cell>
        </row>
        <row r="57">
          <cell r="B57" t="str">
            <v>BAHAWALPUR</v>
          </cell>
          <cell r="C57" t="str">
            <v>Sathi 12s</v>
          </cell>
        </row>
        <row r="58">
          <cell r="B58" t="str">
            <v>BAHAWALPUR</v>
          </cell>
          <cell r="C58" t="str">
            <v>Sathi 6s</v>
          </cell>
        </row>
        <row r="59">
          <cell r="B59" t="str">
            <v>BAHAWALPUR</v>
          </cell>
          <cell r="C59" t="str">
            <v>Touch Delay 3s</v>
          </cell>
        </row>
        <row r="60">
          <cell r="B60" t="str">
            <v>BAHAWALPUR</v>
          </cell>
          <cell r="C60" t="str">
            <v>Touch Delay 6s</v>
          </cell>
        </row>
        <row r="61">
          <cell r="B61" t="str">
            <v>BAHAWALPUR</v>
          </cell>
          <cell r="C61" t="str">
            <v>Touch Dotted 3s</v>
          </cell>
        </row>
        <row r="62">
          <cell r="B62" t="str">
            <v>BAHAWALPUR</v>
          </cell>
          <cell r="C62" t="str">
            <v>Touch Dotted 6s</v>
          </cell>
        </row>
        <row r="63">
          <cell r="B63" t="str">
            <v>BAHAWALPUR</v>
          </cell>
          <cell r="C63" t="str">
            <v>Touch Ribbed 3s</v>
          </cell>
        </row>
        <row r="64">
          <cell r="B64" t="str">
            <v>BAHAWALPUR</v>
          </cell>
          <cell r="C64" t="str">
            <v>Touch Ribbed 6s</v>
          </cell>
        </row>
        <row r="65">
          <cell r="B65" t="str">
            <v>BAHAWALPUR</v>
          </cell>
          <cell r="C65" t="str">
            <v>Jadelle</v>
          </cell>
        </row>
        <row r="66">
          <cell r="B66" t="str">
            <v>BAHAWALPUR</v>
          </cell>
          <cell r="C66" t="str">
            <v>Depo Provera</v>
          </cell>
        </row>
        <row r="67">
          <cell r="B67" t="str">
            <v>BAHAWALPUR</v>
          </cell>
          <cell r="C67" t="str">
            <v>Femiject</v>
          </cell>
        </row>
        <row r="68">
          <cell r="B68" t="str">
            <v>BAHAWALPUR</v>
          </cell>
          <cell r="C68" t="str">
            <v>Novaject</v>
          </cell>
        </row>
        <row r="69">
          <cell r="B69" t="str">
            <v>BAHAWALPUR</v>
          </cell>
          <cell r="C69" t="str">
            <v>Protect 10 (Safeload)</v>
          </cell>
        </row>
        <row r="70">
          <cell r="B70" t="str">
            <v>BAHAWALPUR</v>
          </cell>
          <cell r="C70" t="str">
            <v>Protect 3 (3 Years)</v>
          </cell>
        </row>
        <row r="71">
          <cell r="B71" t="str">
            <v>BAHAWALPUR</v>
          </cell>
          <cell r="C71" t="str">
            <v>Protect 5 (Multiload)</v>
          </cell>
        </row>
        <row r="72">
          <cell r="B72" t="str">
            <v>BAHAWALPUR</v>
          </cell>
          <cell r="C72" t="str">
            <v>Protect 5 Premium</v>
          </cell>
        </row>
        <row r="73">
          <cell r="B73" t="str">
            <v>BAHAWALPUR</v>
          </cell>
          <cell r="C73" t="str">
            <v>ECP</v>
          </cell>
        </row>
        <row r="74">
          <cell r="B74" t="str">
            <v>BAHAWALPUR</v>
          </cell>
          <cell r="C74" t="str">
            <v>NOVODOL</v>
          </cell>
        </row>
        <row r="75">
          <cell r="B75" t="str">
            <v>BAHAWALPUR</v>
          </cell>
          <cell r="C75" t="str">
            <v>VSC</v>
          </cell>
        </row>
        <row r="76">
          <cell r="B76" t="str">
            <v>MULTAN</v>
          </cell>
          <cell r="C76" t="str">
            <v>Sathi 3s</v>
          </cell>
        </row>
        <row r="77">
          <cell r="B77" t="str">
            <v>MULTAN</v>
          </cell>
          <cell r="C77" t="str">
            <v>Sathi 3s: Dotted &amp; Delay</v>
          </cell>
        </row>
        <row r="78">
          <cell r="B78" t="str">
            <v>MULTAN</v>
          </cell>
          <cell r="C78" t="str">
            <v>Sathi 3s: Studded &amp; Ribbed</v>
          </cell>
        </row>
        <row r="79">
          <cell r="B79" t="str">
            <v>MULTAN</v>
          </cell>
          <cell r="C79" t="str">
            <v>Sathi 6s: Dotted &amp; Delay</v>
          </cell>
        </row>
        <row r="80">
          <cell r="B80" t="str">
            <v>MULTAN</v>
          </cell>
          <cell r="C80" t="str">
            <v>Sathi 6s: Studded &amp; Ribbed</v>
          </cell>
        </row>
        <row r="81">
          <cell r="B81" t="str">
            <v>MULTAN</v>
          </cell>
          <cell r="C81" t="str">
            <v>Sathi 12s</v>
          </cell>
        </row>
        <row r="82">
          <cell r="B82" t="str">
            <v>MULTAN</v>
          </cell>
          <cell r="C82" t="str">
            <v>Sathi 6s</v>
          </cell>
        </row>
        <row r="83">
          <cell r="B83" t="str">
            <v>MULTAN</v>
          </cell>
          <cell r="C83" t="str">
            <v>Touch Delay 3s</v>
          </cell>
        </row>
        <row r="84">
          <cell r="B84" t="str">
            <v>MULTAN</v>
          </cell>
          <cell r="C84" t="str">
            <v>Touch Delay 6s</v>
          </cell>
        </row>
        <row r="85">
          <cell r="B85" t="str">
            <v>MULTAN</v>
          </cell>
          <cell r="C85" t="str">
            <v>Touch Dotted 3s</v>
          </cell>
        </row>
        <row r="86">
          <cell r="B86" t="str">
            <v>MULTAN</v>
          </cell>
          <cell r="C86" t="str">
            <v>Touch Dotted 6s</v>
          </cell>
        </row>
        <row r="87">
          <cell r="B87" t="str">
            <v>MULTAN</v>
          </cell>
          <cell r="C87" t="str">
            <v>Touch Ribbed 3s</v>
          </cell>
        </row>
        <row r="88">
          <cell r="B88" t="str">
            <v>MULTAN</v>
          </cell>
          <cell r="C88" t="str">
            <v>Touch Ribbed 6s</v>
          </cell>
        </row>
        <row r="89">
          <cell r="B89" t="str">
            <v>MULTAN</v>
          </cell>
          <cell r="C89" t="str">
            <v>Jadelle</v>
          </cell>
        </row>
        <row r="90">
          <cell r="B90" t="str">
            <v>MULTAN</v>
          </cell>
          <cell r="C90" t="str">
            <v>Depo Provera</v>
          </cell>
        </row>
        <row r="91">
          <cell r="B91" t="str">
            <v>MULTAN</v>
          </cell>
          <cell r="C91" t="str">
            <v>Femiject</v>
          </cell>
        </row>
        <row r="92">
          <cell r="B92" t="str">
            <v>MULTAN</v>
          </cell>
          <cell r="C92" t="str">
            <v>Novaject</v>
          </cell>
        </row>
        <row r="93">
          <cell r="B93" t="str">
            <v>MULTAN</v>
          </cell>
          <cell r="C93" t="str">
            <v>Protect 10 (Safeload)</v>
          </cell>
        </row>
        <row r="94">
          <cell r="B94" t="str">
            <v>MULTAN</v>
          </cell>
          <cell r="C94" t="str">
            <v>Protect 3 (3 Years)</v>
          </cell>
        </row>
        <row r="95">
          <cell r="B95" t="str">
            <v>MULTAN</v>
          </cell>
          <cell r="C95" t="str">
            <v>Protect 5 (Multiload)</v>
          </cell>
        </row>
        <row r="96">
          <cell r="B96" t="str">
            <v>MULTAN</v>
          </cell>
          <cell r="C96" t="str">
            <v>Protect 5 Premium</v>
          </cell>
        </row>
        <row r="97">
          <cell r="B97" t="str">
            <v>MULTAN</v>
          </cell>
          <cell r="C97" t="str">
            <v>ECP</v>
          </cell>
        </row>
        <row r="98">
          <cell r="B98" t="str">
            <v>MULTAN</v>
          </cell>
          <cell r="C98" t="str">
            <v>NOVODOL</v>
          </cell>
        </row>
        <row r="99">
          <cell r="B99" t="str">
            <v>MULTAN</v>
          </cell>
          <cell r="C99" t="str">
            <v>VSC</v>
          </cell>
        </row>
        <row r="100">
          <cell r="B100" t="str">
            <v>FAISALABAD</v>
          </cell>
          <cell r="C100" t="str">
            <v>Sathi 3s</v>
          </cell>
        </row>
        <row r="101">
          <cell r="B101" t="str">
            <v>FAISALABAD</v>
          </cell>
          <cell r="C101" t="str">
            <v>Sathi 3s: Dotted &amp; Delay</v>
          </cell>
        </row>
        <row r="102">
          <cell r="B102" t="str">
            <v>FAISALABAD</v>
          </cell>
          <cell r="C102" t="str">
            <v>Sathi 3s: Studded &amp; Ribbed</v>
          </cell>
        </row>
        <row r="103">
          <cell r="B103" t="str">
            <v>FAISALABAD</v>
          </cell>
          <cell r="C103" t="str">
            <v>Sathi 6s: Dotted &amp; Delay</v>
          </cell>
        </row>
        <row r="104">
          <cell r="B104" t="str">
            <v>FAISALABAD</v>
          </cell>
          <cell r="C104" t="str">
            <v>Sathi 6s: Studded &amp; Ribbed</v>
          </cell>
        </row>
        <row r="105">
          <cell r="B105" t="str">
            <v>FAISALABAD</v>
          </cell>
          <cell r="C105" t="str">
            <v>Sathi 12s</v>
          </cell>
        </row>
        <row r="106">
          <cell r="B106" t="str">
            <v>FAISALABAD</v>
          </cell>
          <cell r="C106" t="str">
            <v>Sathi 6s</v>
          </cell>
        </row>
        <row r="107">
          <cell r="B107" t="str">
            <v>FAISALABAD</v>
          </cell>
          <cell r="C107" t="str">
            <v>Touch Delay 3s</v>
          </cell>
        </row>
        <row r="108">
          <cell r="B108" t="str">
            <v>FAISALABAD</v>
          </cell>
          <cell r="C108" t="str">
            <v>Touch Delay 6s</v>
          </cell>
        </row>
        <row r="109">
          <cell r="B109" t="str">
            <v>FAISALABAD</v>
          </cell>
          <cell r="C109" t="str">
            <v>Touch Dotted 3s</v>
          </cell>
        </row>
        <row r="110">
          <cell r="B110" t="str">
            <v>FAISALABAD</v>
          </cell>
          <cell r="C110" t="str">
            <v>Touch Dotted 6s</v>
          </cell>
        </row>
        <row r="111">
          <cell r="B111" t="str">
            <v>FAISALABAD</v>
          </cell>
          <cell r="C111" t="str">
            <v>Touch Ribbed 3s</v>
          </cell>
        </row>
        <row r="112">
          <cell r="B112" t="str">
            <v>FAISALABAD</v>
          </cell>
          <cell r="C112" t="str">
            <v>Touch Ribbed 6s</v>
          </cell>
        </row>
        <row r="113">
          <cell r="B113" t="str">
            <v>FAISALABAD</v>
          </cell>
          <cell r="C113" t="str">
            <v>Jadelle</v>
          </cell>
        </row>
        <row r="114">
          <cell r="B114" t="str">
            <v>FAISALABAD</v>
          </cell>
          <cell r="C114" t="str">
            <v>Depo Provera</v>
          </cell>
        </row>
        <row r="115">
          <cell r="B115" t="str">
            <v>FAISALABAD</v>
          </cell>
          <cell r="C115" t="str">
            <v>Femiject</v>
          </cell>
        </row>
        <row r="116">
          <cell r="B116" t="str">
            <v>FAISALABAD</v>
          </cell>
          <cell r="C116" t="str">
            <v>Novaject</v>
          </cell>
        </row>
        <row r="117">
          <cell r="B117" t="str">
            <v>FAISALABAD</v>
          </cell>
          <cell r="C117" t="str">
            <v>Protect 10 (Safeload)</v>
          </cell>
        </row>
        <row r="118">
          <cell r="B118" t="str">
            <v>FAISALABAD</v>
          </cell>
          <cell r="C118" t="str">
            <v>Protect 3 (3 Years)</v>
          </cell>
        </row>
        <row r="119">
          <cell r="B119" t="str">
            <v>FAISALABAD</v>
          </cell>
          <cell r="C119" t="str">
            <v>Protect 5 (Multiload)</v>
          </cell>
        </row>
        <row r="120">
          <cell r="B120" t="str">
            <v>FAISALABAD</v>
          </cell>
          <cell r="C120" t="str">
            <v>Protect 5 Premium</v>
          </cell>
        </row>
        <row r="121">
          <cell r="B121" t="str">
            <v>FAISALABAD</v>
          </cell>
          <cell r="C121" t="str">
            <v>ECP</v>
          </cell>
        </row>
        <row r="122">
          <cell r="B122" t="str">
            <v>FAISALABAD</v>
          </cell>
          <cell r="C122" t="str">
            <v>NOVODOL</v>
          </cell>
        </row>
        <row r="123">
          <cell r="B123" t="str">
            <v>FAISALABAD</v>
          </cell>
          <cell r="C123" t="str">
            <v>VSC</v>
          </cell>
        </row>
        <row r="124">
          <cell r="B124" t="str">
            <v>LAHORE</v>
          </cell>
          <cell r="C124" t="str">
            <v>Sathi 3s</v>
          </cell>
        </row>
        <row r="125">
          <cell r="B125" t="str">
            <v>LAHORE</v>
          </cell>
          <cell r="C125" t="str">
            <v>Sathi 3s: Dotted &amp; Delay</v>
          </cell>
        </row>
        <row r="126">
          <cell r="B126" t="str">
            <v>LAHORE</v>
          </cell>
          <cell r="C126" t="str">
            <v>Sathi 3s: Studded &amp; Ribbed</v>
          </cell>
        </row>
        <row r="127">
          <cell r="B127" t="str">
            <v>LAHORE</v>
          </cell>
          <cell r="C127" t="str">
            <v>Sathi 6s: Dotted &amp; Delay</v>
          </cell>
        </row>
        <row r="128">
          <cell r="B128" t="str">
            <v>LAHORE</v>
          </cell>
          <cell r="C128" t="str">
            <v>Sathi 6s: Studded &amp; Ribbed</v>
          </cell>
        </row>
        <row r="129">
          <cell r="B129" t="str">
            <v>LAHORE</v>
          </cell>
          <cell r="C129" t="str">
            <v>Sathi 12s</v>
          </cell>
        </row>
        <row r="130">
          <cell r="B130" t="str">
            <v>LAHORE</v>
          </cell>
          <cell r="C130" t="str">
            <v>Sathi 6s</v>
          </cell>
        </row>
        <row r="131">
          <cell r="B131" t="str">
            <v>LAHORE</v>
          </cell>
          <cell r="C131" t="str">
            <v>Touch Delay 3s</v>
          </cell>
        </row>
        <row r="132">
          <cell r="B132" t="str">
            <v>LAHORE</v>
          </cell>
          <cell r="C132" t="str">
            <v>Touch Delay 6s</v>
          </cell>
        </row>
        <row r="133">
          <cell r="B133" t="str">
            <v>LAHORE</v>
          </cell>
          <cell r="C133" t="str">
            <v>Touch Dotted 3s</v>
          </cell>
        </row>
        <row r="134">
          <cell r="B134" t="str">
            <v>LAHORE</v>
          </cell>
          <cell r="C134" t="str">
            <v>Touch Dotted 6s</v>
          </cell>
        </row>
        <row r="135">
          <cell r="B135" t="str">
            <v>LAHORE</v>
          </cell>
          <cell r="C135" t="str">
            <v>Touch Ribbed 3s</v>
          </cell>
        </row>
        <row r="136">
          <cell r="B136" t="str">
            <v>LAHORE</v>
          </cell>
          <cell r="C136" t="str">
            <v>Touch Ribbed 6s</v>
          </cell>
        </row>
        <row r="137">
          <cell r="B137" t="str">
            <v>LAHORE</v>
          </cell>
          <cell r="C137" t="str">
            <v>Jadelle</v>
          </cell>
        </row>
        <row r="138">
          <cell r="B138" t="str">
            <v>LAHORE</v>
          </cell>
          <cell r="C138" t="str">
            <v>Depo Provera</v>
          </cell>
        </row>
        <row r="139">
          <cell r="B139" t="str">
            <v>LAHORE</v>
          </cell>
          <cell r="C139" t="str">
            <v>Femiject</v>
          </cell>
        </row>
        <row r="140">
          <cell r="B140" t="str">
            <v>LAHORE</v>
          </cell>
          <cell r="C140" t="str">
            <v>Novaject</v>
          </cell>
        </row>
        <row r="141">
          <cell r="B141" t="str">
            <v>LAHORE</v>
          </cell>
          <cell r="C141" t="str">
            <v>Protect 10 (Safeload)</v>
          </cell>
        </row>
        <row r="142">
          <cell r="B142" t="str">
            <v>LAHORE</v>
          </cell>
          <cell r="C142" t="str">
            <v>Protect 3 (3 Years)</v>
          </cell>
        </row>
        <row r="143">
          <cell r="B143" t="str">
            <v>LAHORE</v>
          </cell>
          <cell r="C143" t="str">
            <v>Protect 5 (Multiload)</v>
          </cell>
        </row>
        <row r="144">
          <cell r="B144" t="str">
            <v>LAHORE</v>
          </cell>
          <cell r="C144" t="str">
            <v>Protect 5 Premium</v>
          </cell>
        </row>
        <row r="145">
          <cell r="B145" t="str">
            <v>LAHORE</v>
          </cell>
          <cell r="C145" t="str">
            <v>ECP</v>
          </cell>
        </row>
        <row r="146">
          <cell r="B146" t="str">
            <v>LAHORE</v>
          </cell>
          <cell r="C146" t="str">
            <v>NOVODOL</v>
          </cell>
        </row>
        <row r="147">
          <cell r="B147" t="str">
            <v>LAHORE</v>
          </cell>
          <cell r="C147" t="str">
            <v>VSC</v>
          </cell>
        </row>
        <row r="148">
          <cell r="B148" t="str">
            <v>GUJRANWALA</v>
          </cell>
          <cell r="C148" t="str">
            <v>Sathi 3s</v>
          </cell>
        </row>
        <row r="149">
          <cell r="B149" t="str">
            <v>GUJRANWALA</v>
          </cell>
          <cell r="C149" t="str">
            <v>Sathi 3s: Dotted &amp; Delay</v>
          </cell>
        </row>
        <row r="150">
          <cell r="B150" t="str">
            <v>GUJRANWALA</v>
          </cell>
          <cell r="C150" t="str">
            <v>Sathi 3s: Studded &amp; Ribbed</v>
          </cell>
        </row>
        <row r="151">
          <cell r="B151" t="str">
            <v>GUJRANWALA</v>
          </cell>
          <cell r="C151" t="str">
            <v>Sathi 6s: Dotted &amp; Delay</v>
          </cell>
        </row>
        <row r="152">
          <cell r="B152" t="str">
            <v>GUJRANWALA</v>
          </cell>
          <cell r="C152" t="str">
            <v>Sathi 6s: Studded &amp; Ribbed</v>
          </cell>
        </row>
        <row r="153">
          <cell r="B153" t="str">
            <v>GUJRANWALA</v>
          </cell>
          <cell r="C153" t="str">
            <v>Sathi 12s</v>
          </cell>
        </row>
        <row r="154">
          <cell r="B154" t="str">
            <v>GUJRANWALA</v>
          </cell>
          <cell r="C154" t="str">
            <v>Sathi 6s</v>
          </cell>
        </row>
        <row r="155">
          <cell r="B155" t="str">
            <v>GUJRANWALA</v>
          </cell>
          <cell r="C155" t="str">
            <v>Touch Delay 3s</v>
          </cell>
        </row>
        <row r="156">
          <cell r="B156" t="str">
            <v>GUJRANWALA</v>
          </cell>
          <cell r="C156" t="str">
            <v>Touch Delay 6s</v>
          </cell>
        </row>
        <row r="157">
          <cell r="B157" t="str">
            <v>GUJRANWALA</v>
          </cell>
          <cell r="C157" t="str">
            <v>Touch Dotted 3s</v>
          </cell>
        </row>
        <row r="158">
          <cell r="B158" t="str">
            <v>GUJRANWALA</v>
          </cell>
          <cell r="C158" t="str">
            <v>Touch Dotted 6s</v>
          </cell>
        </row>
        <row r="159">
          <cell r="B159" t="str">
            <v>GUJRANWALA</v>
          </cell>
          <cell r="C159" t="str">
            <v>Touch Ribbed 3s</v>
          </cell>
        </row>
        <row r="160">
          <cell r="B160" t="str">
            <v>GUJRANWALA</v>
          </cell>
          <cell r="C160" t="str">
            <v>Touch Ribbed 6s</v>
          </cell>
        </row>
        <row r="161">
          <cell r="B161" t="str">
            <v>GUJRANWALA</v>
          </cell>
          <cell r="C161" t="str">
            <v>Jadelle</v>
          </cell>
        </row>
        <row r="162">
          <cell r="B162" t="str">
            <v>GUJRANWALA</v>
          </cell>
          <cell r="C162" t="str">
            <v>Depo Provera</v>
          </cell>
        </row>
        <row r="163">
          <cell r="B163" t="str">
            <v>GUJRANWALA</v>
          </cell>
          <cell r="C163" t="str">
            <v>Femiject</v>
          </cell>
        </row>
        <row r="164">
          <cell r="B164" t="str">
            <v>GUJRANWALA</v>
          </cell>
          <cell r="C164" t="str">
            <v>Novaject</v>
          </cell>
        </row>
        <row r="165">
          <cell r="B165" t="str">
            <v>GUJRANWALA</v>
          </cell>
          <cell r="C165" t="str">
            <v>Protect 10 (Safeload)</v>
          </cell>
        </row>
        <row r="166">
          <cell r="B166" t="str">
            <v>GUJRANWALA</v>
          </cell>
          <cell r="C166" t="str">
            <v>Protect 3 (3 Years)</v>
          </cell>
        </row>
        <row r="167">
          <cell r="B167" t="str">
            <v>GUJRANWALA</v>
          </cell>
          <cell r="C167" t="str">
            <v>Protect 5 (Multiload)</v>
          </cell>
        </row>
        <row r="168">
          <cell r="B168" t="str">
            <v>GUJRANWALA</v>
          </cell>
          <cell r="C168" t="str">
            <v>Protect 5 Premium</v>
          </cell>
        </row>
        <row r="169">
          <cell r="B169" t="str">
            <v>GUJRANWALA</v>
          </cell>
          <cell r="C169" t="str">
            <v>ECP</v>
          </cell>
        </row>
        <row r="170">
          <cell r="B170" t="str">
            <v>GUJRANWALA</v>
          </cell>
          <cell r="C170" t="str">
            <v>NOVODOL</v>
          </cell>
        </row>
        <row r="171">
          <cell r="B171" t="str">
            <v>GUJRANWALA</v>
          </cell>
          <cell r="C171" t="str">
            <v>VSC</v>
          </cell>
        </row>
        <row r="172">
          <cell r="B172" t="str">
            <v>ISLAMABAD</v>
          </cell>
          <cell r="C172" t="str">
            <v>Sathi 3s</v>
          </cell>
        </row>
        <row r="173">
          <cell r="B173" t="str">
            <v>ISLAMABAD</v>
          </cell>
          <cell r="C173" t="str">
            <v>Sathi 3s: Dotted &amp; Delay</v>
          </cell>
        </row>
        <row r="174">
          <cell r="B174" t="str">
            <v>ISLAMABAD</v>
          </cell>
          <cell r="C174" t="str">
            <v>Sathi 3s: Studded &amp; Ribbed</v>
          </cell>
        </row>
        <row r="175">
          <cell r="B175" t="str">
            <v>ISLAMABAD</v>
          </cell>
          <cell r="C175" t="str">
            <v>Sathi 6s: Dotted &amp; Delay</v>
          </cell>
        </row>
        <row r="176">
          <cell r="B176" t="str">
            <v>ISLAMABAD</v>
          </cell>
          <cell r="C176" t="str">
            <v>Sathi 6s: Studded &amp; Ribbed</v>
          </cell>
        </row>
        <row r="177">
          <cell r="B177" t="str">
            <v>ISLAMABAD</v>
          </cell>
          <cell r="C177" t="str">
            <v>Sathi 12s</v>
          </cell>
        </row>
        <row r="178">
          <cell r="B178" t="str">
            <v>ISLAMABAD</v>
          </cell>
          <cell r="C178" t="str">
            <v>Sathi 6s</v>
          </cell>
        </row>
        <row r="179">
          <cell r="B179" t="str">
            <v>ISLAMABAD</v>
          </cell>
          <cell r="C179" t="str">
            <v>Touch Delay 3s</v>
          </cell>
        </row>
        <row r="180">
          <cell r="B180" t="str">
            <v>ISLAMABAD</v>
          </cell>
          <cell r="C180" t="str">
            <v>Touch Delay 6s</v>
          </cell>
        </row>
        <row r="181">
          <cell r="B181" t="str">
            <v>ISLAMABAD</v>
          </cell>
          <cell r="C181" t="str">
            <v>Touch Dotted 3s</v>
          </cell>
        </row>
        <row r="182">
          <cell r="B182" t="str">
            <v>ISLAMABAD</v>
          </cell>
          <cell r="C182" t="str">
            <v>Touch Dotted 6s</v>
          </cell>
        </row>
        <row r="183">
          <cell r="B183" t="str">
            <v>ISLAMABAD</v>
          </cell>
          <cell r="C183" t="str">
            <v>Touch Ribbed 3s</v>
          </cell>
        </row>
        <row r="184">
          <cell r="B184" t="str">
            <v>ISLAMABAD</v>
          </cell>
          <cell r="C184" t="str">
            <v>Touch Ribbed 6s</v>
          </cell>
        </row>
        <row r="185">
          <cell r="B185" t="str">
            <v>ISLAMABAD</v>
          </cell>
          <cell r="C185" t="str">
            <v>Jadelle</v>
          </cell>
        </row>
        <row r="186">
          <cell r="B186" t="str">
            <v>ISLAMABAD</v>
          </cell>
          <cell r="C186" t="str">
            <v>Depo Provera</v>
          </cell>
        </row>
        <row r="187">
          <cell r="B187" t="str">
            <v>ISLAMABAD</v>
          </cell>
          <cell r="C187" t="str">
            <v>Femiject</v>
          </cell>
        </row>
        <row r="188">
          <cell r="B188" t="str">
            <v>ISLAMABAD</v>
          </cell>
          <cell r="C188" t="str">
            <v>Novaject</v>
          </cell>
        </row>
        <row r="189">
          <cell r="B189" t="str">
            <v>ISLAMABAD</v>
          </cell>
          <cell r="C189" t="str">
            <v>Protect 10 (Safeload)</v>
          </cell>
        </row>
        <row r="190">
          <cell r="B190" t="str">
            <v>ISLAMABAD</v>
          </cell>
          <cell r="C190" t="str">
            <v>Protect 3 (3 Years)</v>
          </cell>
        </row>
        <row r="191">
          <cell r="B191" t="str">
            <v>ISLAMABAD</v>
          </cell>
          <cell r="C191" t="str">
            <v>Protect 5 (Multiload)</v>
          </cell>
        </row>
        <row r="192">
          <cell r="B192" t="str">
            <v>ISLAMABAD</v>
          </cell>
          <cell r="C192" t="str">
            <v>Protect 5 Premium</v>
          </cell>
        </row>
        <row r="193">
          <cell r="B193" t="str">
            <v>ISLAMABAD</v>
          </cell>
          <cell r="C193" t="str">
            <v>ECP</v>
          </cell>
        </row>
        <row r="194">
          <cell r="B194" t="str">
            <v>ISLAMABAD</v>
          </cell>
          <cell r="C194" t="str">
            <v>NOVODOL</v>
          </cell>
        </row>
        <row r="195">
          <cell r="B195" t="str">
            <v>ISLAMABAD</v>
          </cell>
          <cell r="C195" t="str">
            <v>VSC</v>
          </cell>
        </row>
        <row r="196">
          <cell r="B196" t="str">
            <v>PESHAWAR</v>
          </cell>
          <cell r="C196" t="str">
            <v>Sathi 3s</v>
          </cell>
        </row>
        <row r="197">
          <cell r="B197" t="str">
            <v>PESHAWAR</v>
          </cell>
          <cell r="C197" t="str">
            <v>Sathi 3s: Dotted &amp; Delay</v>
          </cell>
        </row>
        <row r="198">
          <cell r="B198" t="str">
            <v>PESHAWAR</v>
          </cell>
          <cell r="C198" t="str">
            <v>Sathi 3s: Studded &amp; Ribbed</v>
          </cell>
        </row>
        <row r="199">
          <cell r="B199" t="str">
            <v>PESHAWAR</v>
          </cell>
          <cell r="C199" t="str">
            <v>Sathi 6s: Dotted &amp; Delay</v>
          </cell>
        </row>
        <row r="200">
          <cell r="B200" t="str">
            <v>PESHAWAR</v>
          </cell>
          <cell r="C200" t="str">
            <v>Sathi 6s: Studded &amp; Ribbed</v>
          </cell>
        </row>
        <row r="201">
          <cell r="B201" t="str">
            <v>PESHAWAR</v>
          </cell>
          <cell r="C201" t="str">
            <v>Sathi 12s</v>
          </cell>
        </row>
        <row r="202">
          <cell r="B202" t="str">
            <v>PESHAWAR</v>
          </cell>
          <cell r="C202" t="str">
            <v>Sathi 6s</v>
          </cell>
        </row>
        <row r="203">
          <cell r="B203" t="str">
            <v>PESHAWAR</v>
          </cell>
          <cell r="C203" t="str">
            <v>Touch Delay 3s</v>
          </cell>
        </row>
        <row r="204">
          <cell r="B204" t="str">
            <v>PESHAWAR</v>
          </cell>
          <cell r="C204" t="str">
            <v>Touch Delay 6s</v>
          </cell>
        </row>
        <row r="205">
          <cell r="B205" t="str">
            <v>PESHAWAR</v>
          </cell>
          <cell r="C205" t="str">
            <v>Touch Dotted 3s</v>
          </cell>
        </row>
        <row r="206">
          <cell r="B206" t="str">
            <v>PESHAWAR</v>
          </cell>
          <cell r="C206" t="str">
            <v>Touch Dotted 6s</v>
          </cell>
        </row>
        <row r="207">
          <cell r="B207" t="str">
            <v>PESHAWAR</v>
          </cell>
          <cell r="C207" t="str">
            <v>Touch Ribbed 3s</v>
          </cell>
        </row>
        <row r="208">
          <cell r="B208" t="str">
            <v>PESHAWAR</v>
          </cell>
          <cell r="C208" t="str">
            <v>Touch Ribbed 6s</v>
          </cell>
        </row>
        <row r="209">
          <cell r="B209" t="str">
            <v>PESHAWAR</v>
          </cell>
          <cell r="C209" t="str">
            <v>Jadelle</v>
          </cell>
        </row>
        <row r="210">
          <cell r="B210" t="str">
            <v>PESHAWAR</v>
          </cell>
          <cell r="C210" t="str">
            <v>Depo Provera</v>
          </cell>
        </row>
        <row r="211">
          <cell r="B211" t="str">
            <v>PESHAWAR</v>
          </cell>
          <cell r="C211" t="str">
            <v>Femiject</v>
          </cell>
        </row>
        <row r="212">
          <cell r="B212" t="str">
            <v>PESHAWAR</v>
          </cell>
          <cell r="C212" t="str">
            <v>Novaject</v>
          </cell>
        </row>
        <row r="213">
          <cell r="B213" t="str">
            <v>PESHAWAR</v>
          </cell>
          <cell r="C213" t="str">
            <v>Protect 10 (Safeload)</v>
          </cell>
        </row>
        <row r="214">
          <cell r="B214" t="str">
            <v>PESHAWAR</v>
          </cell>
          <cell r="C214" t="str">
            <v>Protect 3 (3 Years)</v>
          </cell>
        </row>
        <row r="215">
          <cell r="B215" t="str">
            <v>PESHAWAR</v>
          </cell>
          <cell r="C215" t="str">
            <v>Protect 5 (Multiload)</v>
          </cell>
        </row>
        <row r="216">
          <cell r="B216" t="str">
            <v>PESHAWAR</v>
          </cell>
          <cell r="C216" t="str">
            <v>Protect 5 Premium</v>
          </cell>
        </row>
        <row r="217">
          <cell r="B217" t="str">
            <v>PESHAWAR</v>
          </cell>
          <cell r="C217" t="str">
            <v>ECP</v>
          </cell>
        </row>
        <row r="218">
          <cell r="B218" t="str">
            <v>PESHAWAR</v>
          </cell>
          <cell r="C218" t="str">
            <v>NOVODOL</v>
          </cell>
        </row>
        <row r="219">
          <cell r="B219" t="str">
            <v>PESHAWAR</v>
          </cell>
          <cell r="C219" t="str">
            <v>VSC</v>
          </cell>
        </row>
      </sheetData>
      <sheetData sheetId="1">
        <row r="7">
          <cell r="B7" t="str">
            <v>KARACHI</v>
          </cell>
        </row>
        <row r="8">
          <cell r="B8" t="str">
            <v>SUKKUR</v>
          </cell>
        </row>
        <row r="9">
          <cell r="B9" t="str">
            <v>BAHAWALPUR</v>
          </cell>
        </row>
        <row r="10">
          <cell r="B10" t="str">
            <v>MULTAN</v>
          </cell>
        </row>
        <row r="11">
          <cell r="B11" t="str">
            <v>FAISALABAD</v>
          </cell>
        </row>
        <row r="12">
          <cell r="B12" t="str">
            <v>LAHORE</v>
          </cell>
        </row>
        <row r="13">
          <cell r="B13" t="str">
            <v>GUJRANWALA</v>
          </cell>
        </row>
        <row r="14">
          <cell r="B14" t="str">
            <v>ISLAMABAD</v>
          </cell>
        </row>
        <row r="15">
          <cell r="B15" t="str">
            <v>PESHAWAR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EY"/>
      <sheetName val="DeptMasterSheet"/>
      <sheetName val="DeptBudgetSummary"/>
      <sheetName val="Sub Accounts and Unit Costs"/>
      <sheetName val="T&amp;M Summary"/>
      <sheetName val="Trainings &amp; Meetings"/>
      <sheetName val="T&amp;M_UC"/>
      <sheetName val="T&amp;M_TC"/>
      <sheetName val="Travel_Summary"/>
      <sheetName val="Travel by employee"/>
      <sheetName val="Travel"/>
      <sheetName val="Travel_UC"/>
      <sheetName val="Travel_TC"/>
      <sheetName val="Consultants_Summary"/>
      <sheetName val="Consultants"/>
      <sheetName val="Consultants_UC"/>
      <sheetName val="Consultants_TC"/>
      <sheetName val="C&amp;E Summary"/>
      <sheetName val="Communication &amp; Education"/>
      <sheetName val="C&amp;E_UC"/>
      <sheetName val="C&amp;E_TC"/>
      <sheetName val="P&amp;A Summary"/>
      <sheetName val="Promotions &amp; Advertising"/>
      <sheetName val="P&amp;A_UC"/>
      <sheetName val="P&amp;A_TC"/>
      <sheetName val="Research Summary"/>
      <sheetName val="Research"/>
      <sheetName val="ResearchUC"/>
      <sheetName val="ResearchTC"/>
      <sheetName val="Transpor"/>
      <sheetName val="Transport_Allocation"/>
      <sheetName val="Transport_UC"/>
      <sheetName val="Transport_TC"/>
      <sheetName val="Capex Summary"/>
      <sheetName val="CAPEX"/>
      <sheetName val="CAPEX_UC"/>
      <sheetName val="CAPEX_TC"/>
      <sheetName val="OtherDirectCost"/>
      <sheetName val="ODCALLOCATION"/>
      <sheetName val="ODC"/>
      <sheetName val="ODCTC"/>
      <sheetName val="VSC Summary"/>
      <sheetName val="VSC Reimbursements"/>
      <sheetName val="VSCR_UC"/>
      <sheetName val="VSCR_TC"/>
      <sheetName val="HEADCOUNT"/>
      <sheetName val="Commodities"/>
      <sheetName val="Commodities_Purchases"/>
      <sheetName val="Cmty_TOTALCOST_TC"/>
      <sheetName val="Cmty_RM_UC"/>
      <sheetName val="Cmty_RM_TC"/>
      <sheetName val="Cmty_TC_UC"/>
      <sheetName val="Cmty_TC_TC"/>
      <sheetName val="Cmty_LC_UC"/>
      <sheetName val="Cmty_LC_TC"/>
      <sheetName val="Cmty_PC_UC"/>
      <sheetName val="Cmty_PC_TC"/>
      <sheetName val="Cmty_TOTALCOST_S&amp;M%"/>
      <sheetName val="Cmty_TC_S&amp;M"/>
      <sheetName val="Cmty_TOTALCOST_HST%"/>
      <sheetName val="Cmty_TC_HST"/>
      <sheetName val="Sales Summary"/>
      <sheetName val="Sales"/>
      <sheetName val="Sales_UP"/>
      <sheetName val="TotalSales"/>
      <sheetName val="CYP_Factor"/>
      <sheetName val="TotalCYP"/>
      <sheetName val="Data"/>
      <sheetName val="Calc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4">
          <cell r="J4">
            <v>41468</v>
          </cell>
        </row>
        <row r="5">
          <cell r="J5">
            <v>41499</v>
          </cell>
        </row>
        <row r="6">
          <cell r="J6">
            <v>41530</v>
          </cell>
        </row>
        <row r="7">
          <cell r="J7">
            <v>41560</v>
          </cell>
        </row>
        <row r="8">
          <cell r="J8">
            <v>41591</v>
          </cell>
        </row>
        <row r="9">
          <cell r="J9">
            <v>41621</v>
          </cell>
        </row>
        <row r="10">
          <cell r="J10">
            <v>41652</v>
          </cell>
        </row>
        <row r="11">
          <cell r="J11">
            <v>41683</v>
          </cell>
        </row>
        <row r="12">
          <cell r="J12">
            <v>41711</v>
          </cell>
        </row>
        <row r="13">
          <cell r="J13">
            <v>41742</v>
          </cell>
        </row>
        <row r="14">
          <cell r="J14">
            <v>41772</v>
          </cell>
        </row>
        <row r="15">
          <cell r="J15">
            <v>41803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aries"/>
      <sheetName val="Budget"/>
      <sheetName val="T- Exp."/>
      <sheetName val="Detail"/>
      <sheetName val="CFR"/>
      <sheetName val="Bal"/>
      <sheetName val="Data"/>
      <sheetName val="Calc"/>
    </sheetNames>
    <sheetDataSet>
      <sheetData sheetId="0" refreshError="1"/>
      <sheetData sheetId="1">
        <row r="3">
          <cell r="R3">
            <v>52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&amp;A Coding"/>
      <sheetName val="STH"/>
      <sheetName val="P&amp;A Coding (2)"/>
      <sheetName val="GSM Final"/>
      <sheetName val="STH (2)"/>
      <sheetName val="STH Final"/>
      <sheetName val="TCH"/>
      <sheetName val="TCH (2)"/>
      <sheetName val="TCH Final"/>
      <sheetName val="NOP"/>
      <sheetName val="NOP (2)"/>
      <sheetName val="NOP Final"/>
      <sheetName val="NOD"/>
      <sheetName val="NOD (2)"/>
      <sheetName val="NOD Final"/>
      <sheetName val="ECP"/>
      <sheetName val="ECP (2)"/>
      <sheetName val="ECP Final"/>
      <sheetName val="NOJ"/>
      <sheetName val="NOJ (2)"/>
      <sheetName val="NOJ Final"/>
      <sheetName val="MEG"/>
      <sheetName val="MEG (2)"/>
      <sheetName val="MEG Final"/>
      <sheetName val="FEM"/>
      <sheetName val="FEM (2)"/>
      <sheetName val="FEM Final"/>
      <sheetName val="MUL"/>
      <sheetName val="MUL (2)"/>
      <sheetName val="MUL Final"/>
      <sheetName val="SFL"/>
      <sheetName val="SFL (2)"/>
      <sheetName val="SFL Final"/>
      <sheetName val="CSK"/>
      <sheetName val="CSK (2)"/>
      <sheetName val="CSK Final"/>
      <sheetName val="PUR"/>
      <sheetName val="PUR (2)"/>
      <sheetName val="PUR Final"/>
      <sheetName val="BAC"/>
      <sheetName val="BAC (2)"/>
      <sheetName val="BAC Final"/>
      <sheetName val="SSN"/>
      <sheetName val="SSN (2)"/>
      <sheetName val="SSN Final"/>
      <sheetName val="GLN"/>
      <sheetName val="GLN (2)"/>
      <sheetName val="GLN Final"/>
      <sheetName val="CL7"/>
      <sheetName val="CL7 (2)"/>
      <sheetName val="CL7 Final"/>
      <sheetName val="TB"/>
      <sheetName val="TB (2)"/>
      <sheetName val="TB Final"/>
      <sheetName val="VSC"/>
      <sheetName val="VSC (2)"/>
      <sheetName val="VSC Final"/>
      <sheetName val="RE"/>
      <sheetName val="RUR Final"/>
      <sheetName val="CODE"/>
      <sheetName val="CRITERIA11"/>
      <sheetName val="Budget 12"/>
      <sheetName val="CRITERIA12"/>
      <sheetName val="Budget 13"/>
      <sheetName val="CRITERIA13"/>
      <sheetName val="VSC 2"/>
      <sheetName val="Budget 1"/>
      <sheetName val="CRITERIA1"/>
      <sheetName val="Budget 1 (2)"/>
      <sheetName val="CRITERIA7"/>
      <sheetName val="CRITERIA8"/>
      <sheetName val="CRITERIA9"/>
      <sheetName val="CRITERIA10"/>
      <sheetName val="Budget 2"/>
      <sheetName val="CRITERIA2"/>
      <sheetName val="GL Final"/>
      <sheetName val="South"/>
      <sheetName val="CRITERIA3"/>
      <sheetName val="Central"/>
      <sheetName val="CRITERIA4"/>
      <sheetName val="North"/>
      <sheetName val="CRITERIA5"/>
      <sheetName val="WEST"/>
      <sheetName val="CRITERIA6"/>
      <sheetName val="SBMR"/>
      <sheetName val="CST"/>
      <sheetName val="Sheet7"/>
      <sheetName val="CST (2)"/>
      <sheetName val="Budget"/>
      <sheetName val="Travel by employe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>
        <row r="2">
          <cell r="B2" t="str">
            <v>GSM Set of Book</v>
          </cell>
        </row>
        <row r="13">
          <cell r="B13" t="str">
            <v>BUDGET2009-2010</v>
          </cell>
        </row>
        <row r="14">
          <cell r="B14" t="str">
            <v>Central-1 (Zone Wise)</v>
          </cell>
        </row>
        <row r="16">
          <cell r="B16" t="str">
            <v>PKR</v>
          </cell>
        </row>
        <row r="39">
          <cell r="B39" t="str">
            <v>FISPROD</v>
          </cell>
        </row>
      </sheetData>
      <sheetData sheetId="63" refreshError="1"/>
      <sheetData sheetId="64">
        <row r="2">
          <cell r="B2" t="str">
            <v>GSM Set of Book</v>
          </cell>
        </row>
        <row r="13">
          <cell r="B13" t="str">
            <v>BUDGET2009-2010</v>
          </cell>
        </row>
        <row r="14">
          <cell r="B14" t="str">
            <v>North-1 (Zone Wise)</v>
          </cell>
        </row>
        <row r="16">
          <cell r="B16" t="str">
            <v>PKR</v>
          </cell>
        </row>
        <row r="39">
          <cell r="B39" t="str">
            <v>FISPROD</v>
          </cell>
        </row>
      </sheetData>
      <sheetData sheetId="65" refreshError="1"/>
      <sheetData sheetId="66" refreshError="1"/>
      <sheetData sheetId="67">
        <row r="2">
          <cell r="B2" t="str">
            <v>GSM Set of Book</v>
          </cell>
        </row>
        <row r="13">
          <cell r="B13" t="str">
            <v>BUDGET2009-2010</v>
          </cell>
        </row>
        <row r="14">
          <cell r="B14" t="str">
            <v>Head Office Depart wise</v>
          </cell>
        </row>
        <row r="16">
          <cell r="B16" t="str">
            <v>PKR</v>
          </cell>
        </row>
        <row r="39">
          <cell r="B39" t="str">
            <v>FISPROD</v>
          </cell>
        </row>
      </sheetData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>
        <row r="2">
          <cell r="B2" t="str">
            <v>GSM Set of Book</v>
          </cell>
        </row>
        <row r="13">
          <cell r="B13" t="str">
            <v>BUDGET2009-2010</v>
          </cell>
        </row>
        <row r="14">
          <cell r="B14" t="str">
            <v>Head Office Depart wise</v>
          </cell>
        </row>
        <row r="16">
          <cell r="B16" t="str">
            <v>PKR</v>
          </cell>
        </row>
        <row r="39">
          <cell r="B39" t="str">
            <v>FISPROD</v>
          </cell>
        </row>
      </sheetData>
      <sheetData sheetId="75" refreshError="1"/>
      <sheetData sheetId="76" refreshError="1"/>
      <sheetData sheetId="77">
        <row r="2">
          <cell r="B2" t="str">
            <v>GSM Set of Book</v>
          </cell>
        </row>
        <row r="13">
          <cell r="B13" t="str">
            <v>BUDGET2009-2010</v>
          </cell>
        </row>
        <row r="14">
          <cell r="B14" t="str">
            <v>South-1 Zone wise</v>
          </cell>
        </row>
        <row r="16">
          <cell r="B16" t="str">
            <v>PKR</v>
          </cell>
        </row>
        <row r="39">
          <cell r="B39" t="str">
            <v>FISPROD</v>
          </cell>
        </row>
      </sheetData>
      <sheetData sheetId="78" refreshError="1"/>
      <sheetData sheetId="79">
        <row r="2">
          <cell r="B2" t="str">
            <v>GSM Set of Book</v>
          </cell>
        </row>
        <row r="13">
          <cell r="B13" t="str">
            <v>BUDGET2009-2010</v>
          </cell>
        </row>
        <row r="14">
          <cell r="B14" t="str">
            <v>Central-1 (Zone Wise)</v>
          </cell>
        </row>
        <row r="16">
          <cell r="B16" t="str">
            <v>PKR</v>
          </cell>
        </row>
        <row r="39">
          <cell r="B39" t="str">
            <v>FISPROD</v>
          </cell>
        </row>
      </sheetData>
      <sheetData sheetId="80" refreshError="1"/>
      <sheetData sheetId="81">
        <row r="2">
          <cell r="B2" t="str">
            <v>GSM Set of Book</v>
          </cell>
        </row>
        <row r="13">
          <cell r="B13" t="str">
            <v>BUDGET2009-2010</v>
          </cell>
        </row>
        <row r="14">
          <cell r="B14" t="str">
            <v>North-1 (Zone Wise)</v>
          </cell>
        </row>
        <row r="16">
          <cell r="B16" t="str">
            <v>PKR</v>
          </cell>
        </row>
        <row r="39">
          <cell r="B39" t="str">
            <v>FISPROD</v>
          </cell>
        </row>
      </sheetData>
      <sheetData sheetId="82" refreshError="1"/>
      <sheetData sheetId="83">
        <row r="2">
          <cell r="B2" t="str">
            <v>GSM Set of Book</v>
          </cell>
        </row>
        <row r="13">
          <cell r="B13" t="str">
            <v>BUDGET2009-2010</v>
          </cell>
        </row>
        <row r="14">
          <cell r="B14" t="str">
            <v>West Zone wise</v>
          </cell>
        </row>
        <row r="16">
          <cell r="B16" t="str">
            <v>PKR</v>
          </cell>
        </row>
        <row r="39">
          <cell r="B39" t="str">
            <v>FISPROD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R_ASMP"/>
      <sheetName val="HR_Data"/>
      <sheetName val="Keys"/>
      <sheetName val="List_Location"/>
      <sheetName val="Dept."/>
      <sheetName val="Salaries&amp;Benefits_Allocation"/>
      <sheetName val="Salaries&amp;Benefits_TC"/>
      <sheetName val="Pivot_Dept_wise"/>
      <sheetName val="Pivot_Headcount"/>
      <sheetName val="Sales Incentive Scheme"/>
      <sheetName val="Travel by employee"/>
    </sheetNames>
    <sheetDataSet>
      <sheetData sheetId="0">
        <row r="11">
          <cell r="R11">
            <v>110</v>
          </cell>
        </row>
      </sheetData>
      <sheetData sheetId="1"/>
      <sheetData sheetId="2">
        <row r="2">
          <cell r="B2" t="str">
            <v>Central 1</v>
          </cell>
          <cell r="C2" t="str">
            <v>1-Head Office</v>
          </cell>
          <cell r="E2" t="str">
            <v>Social Franchising</v>
          </cell>
          <cell r="F2" t="str">
            <v>Existing</v>
          </cell>
          <cell r="G2" t="str">
            <v>P</v>
          </cell>
          <cell r="I2" t="str">
            <v>A</v>
          </cell>
          <cell r="J2" t="str">
            <v>Administration</v>
          </cell>
          <cell r="K2" t="str">
            <v>Male</v>
          </cell>
        </row>
        <row r="3">
          <cell r="C3" t="str">
            <v xml:space="preserve">2-South Region </v>
          </cell>
          <cell r="E3" t="str">
            <v>Social Marketing</v>
          </cell>
          <cell r="F3" t="str">
            <v>Vacant</v>
          </cell>
          <cell r="G3" t="str">
            <v>C</v>
          </cell>
          <cell r="I3" t="str">
            <v>G</v>
          </cell>
          <cell r="J3" t="str">
            <v>Communication &amp; Public Affair</v>
          </cell>
          <cell r="K3" t="str">
            <v>Female</v>
          </cell>
        </row>
        <row r="4">
          <cell r="C4" t="str">
            <v>3-Karachi-1 Zone</v>
          </cell>
          <cell r="E4" t="str">
            <v>Non Family Planning</v>
          </cell>
          <cell r="F4" t="str">
            <v>Vacant &amp; Proposed</v>
          </cell>
          <cell r="I4" t="str">
            <v>G1</v>
          </cell>
          <cell r="J4" t="str">
            <v>Executive</v>
          </cell>
        </row>
        <row r="5">
          <cell r="C5" t="str">
            <v>4-Karachi-2 Zone</v>
          </cell>
          <cell r="E5" t="str">
            <v>Shared</v>
          </cell>
          <cell r="I5" t="str">
            <v>G2</v>
          </cell>
          <cell r="J5" t="str">
            <v>Finance</v>
          </cell>
        </row>
        <row r="6">
          <cell r="C6" t="str">
            <v>5-Hyderabad  Zone</v>
          </cell>
          <cell r="I6" t="str">
            <v>M1</v>
          </cell>
          <cell r="J6" t="str">
            <v>HR</v>
          </cell>
        </row>
        <row r="7">
          <cell r="C7" t="str">
            <v>6-Sukkur/Quetta Zone</v>
          </cell>
          <cell r="I7" t="str">
            <v>M2</v>
          </cell>
          <cell r="J7" t="str">
            <v>Internal Audit</v>
          </cell>
        </row>
        <row r="8">
          <cell r="C8" t="str">
            <v xml:space="preserve">7-Central 1 Region </v>
          </cell>
          <cell r="I8" t="str">
            <v>M3</v>
          </cell>
          <cell r="J8" t="str">
            <v>IPC</v>
          </cell>
        </row>
        <row r="9">
          <cell r="C9" t="str">
            <v>8-Lahore - 1 Zone</v>
          </cell>
          <cell r="I9" t="str">
            <v>M4</v>
          </cell>
          <cell r="J9" t="str">
            <v>IT</v>
          </cell>
        </row>
        <row r="10">
          <cell r="C10" t="str">
            <v>9-Lahore - 2 Zone</v>
          </cell>
          <cell r="I10" t="str">
            <v>O1</v>
          </cell>
          <cell r="J10" t="str">
            <v>Marketing</v>
          </cell>
        </row>
        <row r="11">
          <cell r="C11" t="str">
            <v>10-Sargodha Zone</v>
          </cell>
          <cell r="I11" t="str">
            <v>O2</v>
          </cell>
          <cell r="J11" t="str">
            <v>Procurement</v>
          </cell>
        </row>
        <row r="12">
          <cell r="C12" t="str">
            <v>11-Faisalabad Zone</v>
          </cell>
          <cell r="I12" t="str">
            <v>S</v>
          </cell>
          <cell r="J12" t="str">
            <v>PSU</v>
          </cell>
        </row>
        <row r="13">
          <cell r="C13" t="str">
            <v>12-Gujranwala Zone</v>
          </cell>
          <cell r="J13" t="str">
            <v>Research</v>
          </cell>
        </row>
        <row r="14">
          <cell r="C14" t="str">
            <v xml:space="preserve">13-North Region </v>
          </cell>
          <cell r="J14" t="str">
            <v>Sales</v>
          </cell>
        </row>
        <row r="15">
          <cell r="C15" t="str">
            <v>14-Peshawar-1 Zone</v>
          </cell>
          <cell r="J15" t="str">
            <v>Special Projects</v>
          </cell>
        </row>
        <row r="16">
          <cell r="C16" t="str">
            <v>15-Peshawar-2 Zone</v>
          </cell>
          <cell r="J16" t="str">
            <v>TB</v>
          </cell>
        </row>
        <row r="17">
          <cell r="C17" t="str">
            <v>16-Mardan Zone</v>
          </cell>
          <cell r="J17" t="str">
            <v>Trainings</v>
          </cell>
        </row>
        <row r="18">
          <cell r="C18" t="str">
            <v>17-Rawalpindi Zone</v>
          </cell>
          <cell r="J18" t="str">
            <v>VSC &amp; MVA</v>
          </cell>
        </row>
        <row r="19">
          <cell r="C19" t="str">
            <v>18-Abbotabad Zone</v>
          </cell>
        </row>
        <row r="20">
          <cell r="C20" t="str">
            <v xml:space="preserve">19-Central 2 Region </v>
          </cell>
        </row>
        <row r="21">
          <cell r="C21" t="str">
            <v>20-Bhawalpur Zone</v>
          </cell>
        </row>
        <row r="22">
          <cell r="C22" t="str">
            <v>21-Multan-1 Zone</v>
          </cell>
        </row>
        <row r="23">
          <cell r="C23" t="str">
            <v>22-Multan-2 Zone</v>
          </cell>
        </row>
      </sheetData>
      <sheetData sheetId="3">
        <row r="1">
          <cell r="A1" t="str">
            <v>Location</v>
          </cell>
        </row>
        <row r="2">
          <cell r="A2" t="str">
            <v>Head Office</v>
          </cell>
        </row>
        <row r="3">
          <cell r="A3" t="str">
            <v>Region</v>
          </cell>
        </row>
        <row r="4">
          <cell r="A4" t="str">
            <v>Zone</v>
          </cell>
        </row>
        <row r="5">
          <cell r="A5">
            <v>0</v>
          </cell>
        </row>
        <row r="6">
          <cell r="A6">
            <v>0</v>
          </cell>
        </row>
        <row r="7">
          <cell r="A7">
            <v>0</v>
          </cell>
        </row>
        <row r="8">
          <cell r="A8">
            <v>0</v>
          </cell>
        </row>
        <row r="9">
          <cell r="A9">
            <v>0</v>
          </cell>
        </row>
        <row r="10">
          <cell r="A10">
            <v>0</v>
          </cell>
        </row>
        <row r="11">
          <cell r="A11">
            <v>0</v>
          </cell>
        </row>
        <row r="12">
          <cell r="A12">
            <v>0</v>
          </cell>
        </row>
        <row r="13">
          <cell r="A13">
            <v>0</v>
          </cell>
        </row>
        <row r="14">
          <cell r="A14">
            <v>0</v>
          </cell>
        </row>
        <row r="15">
          <cell r="A15">
            <v>0</v>
          </cell>
        </row>
        <row r="16">
          <cell r="A16">
            <v>0</v>
          </cell>
        </row>
        <row r="17">
          <cell r="A17">
            <v>0</v>
          </cell>
        </row>
        <row r="18">
          <cell r="A18">
            <v>0</v>
          </cell>
        </row>
        <row r="19">
          <cell r="A19">
            <v>0</v>
          </cell>
        </row>
        <row r="20">
          <cell r="A20">
            <v>0</v>
          </cell>
        </row>
        <row r="21">
          <cell r="A21">
            <v>0</v>
          </cell>
        </row>
        <row r="22">
          <cell r="A22">
            <v>0</v>
          </cell>
        </row>
        <row r="23">
          <cell r="A23">
            <v>0</v>
          </cell>
        </row>
        <row r="24">
          <cell r="A24">
            <v>0</v>
          </cell>
        </row>
      </sheetData>
      <sheetData sheetId="4">
        <row r="2">
          <cell r="A2" t="str">
            <v>Administration</v>
          </cell>
        </row>
      </sheetData>
      <sheetData sheetId="5"/>
      <sheetData sheetId="6">
        <row r="2">
          <cell r="B2" t="str">
            <v>Gross Salary for Permanent Staff</v>
          </cell>
        </row>
      </sheetData>
      <sheetData sheetId="7"/>
      <sheetData sheetId="8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General Assumption"/>
      <sheetName val="Sales Summary"/>
      <sheetName val="Database"/>
      <sheetName val="Sales Assumptions"/>
      <sheetName val="Sales Qty Region"/>
      <sheetName val="Sales_Dist.UP"/>
      <sheetName val="Sales_Inst.UP"/>
      <sheetName val="CYP_Total"/>
      <sheetName val="CYP_Factor"/>
      <sheetName val="Sales_Dist.Total"/>
      <sheetName val="Sales_Net_Total"/>
      <sheetName val="General Assumption(final)"/>
      <sheetName val="COGS Summary"/>
      <sheetName val="COGS_Database"/>
      <sheetName val="Commodities Assumptions"/>
      <sheetName val="Commodities Summary"/>
      <sheetName val="Commodities_Purchases"/>
      <sheetName val="DataSheet"/>
      <sheetName val="Cmty_TOTALCOST"/>
      <sheetName val="Cmty_RM_UC"/>
      <sheetName val="Cmty_RM_TC"/>
      <sheetName val="Cmty_PC_UC"/>
      <sheetName val="Cmty_PC_TC"/>
      <sheetName val="Cmty_LC_UC"/>
      <sheetName val="Cmty_LC_TC"/>
      <sheetName val="Cmty_TC_UC"/>
      <sheetName val="Cmty_Total_UC"/>
      <sheetName val="Cmty_TC_TC"/>
      <sheetName val="Sales&amp;Com_Diff"/>
      <sheetName val="Budg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E4">
            <v>1</v>
          </cell>
          <cell r="F4">
            <v>1</v>
          </cell>
        </row>
        <row r="5">
          <cell r="E5">
            <v>1.1000000000000001</v>
          </cell>
          <cell r="F5">
            <v>1.05</v>
          </cell>
        </row>
        <row r="6">
          <cell r="E6">
            <v>1.1000000000000001</v>
          </cell>
          <cell r="F6">
            <v>1.05</v>
          </cell>
        </row>
        <row r="10">
          <cell r="I10" t="str">
            <v>Social Franchising</v>
          </cell>
        </row>
        <row r="11">
          <cell r="I11" t="str">
            <v>Social Marketing</v>
          </cell>
        </row>
        <row r="12">
          <cell r="I12" t="str">
            <v>Non Family Planning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CR"/>
      <sheetName val="Ledger Data"/>
      <sheetName val="Chart1"/>
      <sheetName val="Module1"/>
      <sheetName val="CRITERIA13"/>
      <sheetName val="CRITERIA1"/>
      <sheetName val="CRITERIA12"/>
      <sheetName val="CRITERIA2"/>
      <sheetName val="CRITERIA3"/>
      <sheetName val="CRITERIA4"/>
      <sheetName val="CRITERIA5"/>
      <sheetName val="CRITERIA6"/>
    </sheetNames>
    <sheetDataSet>
      <sheetData sheetId="0" refreshError="1"/>
      <sheetData sheetId="1">
        <row r="3">
          <cell r="D3" t="str">
            <v/>
          </cell>
          <cell r="M3" t="str">
            <v/>
          </cell>
          <cell r="P3" t="str">
            <v/>
          </cell>
        </row>
        <row r="6">
          <cell r="D6" t="str">
            <v/>
          </cell>
          <cell r="M6" t="str">
            <v/>
          </cell>
          <cell r="P6" t="str">
            <v/>
          </cell>
        </row>
        <row r="7">
          <cell r="D7" t="str">
            <v>Budget</v>
          </cell>
          <cell r="M7" t="str">
            <v>Total</v>
          </cell>
          <cell r="P7" t="str">
            <v>cumulative</v>
          </cell>
        </row>
        <row r="8">
          <cell r="D8" t="str">
            <v>Link</v>
          </cell>
          <cell r="M8" t="str">
            <v>expenses</v>
          </cell>
          <cell r="P8" t="str">
            <v>expenses</v>
          </cell>
        </row>
        <row r="9">
          <cell r="D9" t="str">
            <v>ê</v>
          </cell>
          <cell r="M9" t="str">
            <v>this period</v>
          </cell>
          <cell r="P9">
            <v>37346</v>
          </cell>
        </row>
        <row r="10">
          <cell r="M10" t="str">
            <v>NLG</v>
          </cell>
          <cell r="P10" t="str">
            <v>NLG</v>
          </cell>
        </row>
        <row r="11">
          <cell r="D11" t="str">
            <v/>
          </cell>
        </row>
        <row r="12">
          <cell r="D12" t="str">
            <v/>
          </cell>
          <cell r="M12" t="str">
            <v/>
          </cell>
          <cell r="P12" t="str">
            <v/>
          </cell>
        </row>
        <row r="13">
          <cell r="D13">
            <v>1</v>
          </cell>
          <cell r="M13">
            <v>0</v>
          </cell>
          <cell r="P13">
            <v>0</v>
          </cell>
        </row>
        <row r="14">
          <cell r="D14">
            <v>1</v>
          </cell>
          <cell r="M14">
            <v>0</v>
          </cell>
          <cell r="P14">
            <v>0</v>
          </cell>
        </row>
        <row r="15">
          <cell r="D15">
            <v>1</v>
          </cell>
          <cell r="M15">
            <v>0</v>
          </cell>
          <cell r="P15">
            <v>0</v>
          </cell>
        </row>
        <row r="16">
          <cell r="D16">
            <v>1</v>
          </cell>
          <cell r="M16">
            <v>0</v>
          </cell>
          <cell r="P16">
            <v>0</v>
          </cell>
        </row>
        <row r="17">
          <cell r="D17">
            <v>1</v>
          </cell>
          <cell r="M17">
            <v>0</v>
          </cell>
          <cell r="P17">
            <v>0</v>
          </cell>
        </row>
        <row r="18">
          <cell r="D18">
            <v>1</v>
          </cell>
          <cell r="M18">
            <v>0</v>
          </cell>
          <cell r="P18">
            <v>0</v>
          </cell>
        </row>
        <row r="19">
          <cell r="D19">
            <v>1</v>
          </cell>
          <cell r="M19">
            <v>0</v>
          </cell>
          <cell r="P19">
            <v>0</v>
          </cell>
        </row>
        <row r="20">
          <cell r="D20">
            <v>1</v>
          </cell>
          <cell r="M20">
            <v>0</v>
          </cell>
          <cell r="P20">
            <v>0</v>
          </cell>
        </row>
        <row r="21">
          <cell r="D21">
            <v>1</v>
          </cell>
          <cell r="M21">
            <v>0</v>
          </cell>
          <cell r="P21">
            <v>0</v>
          </cell>
        </row>
        <row r="22">
          <cell r="D22">
            <v>1</v>
          </cell>
          <cell r="M22">
            <v>0</v>
          </cell>
          <cell r="P22">
            <v>0</v>
          </cell>
        </row>
        <row r="23">
          <cell r="D23">
            <v>1</v>
          </cell>
          <cell r="M23">
            <v>0</v>
          </cell>
          <cell r="P23">
            <v>0</v>
          </cell>
        </row>
        <row r="24">
          <cell r="D24">
            <v>5.2</v>
          </cell>
          <cell r="M24">
            <v>0</v>
          </cell>
          <cell r="P24">
            <v>166.69</v>
          </cell>
        </row>
        <row r="25">
          <cell r="D25">
            <v>5.2</v>
          </cell>
          <cell r="M25">
            <v>99.45</v>
          </cell>
          <cell r="P25">
            <v>142.36000000000001</v>
          </cell>
        </row>
        <row r="26">
          <cell r="D26">
            <v>5.2</v>
          </cell>
          <cell r="M26">
            <v>0</v>
          </cell>
          <cell r="P26">
            <v>56.75</v>
          </cell>
        </row>
        <row r="27">
          <cell r="D27">
            <v>5.0999999999999996</v>
          </cell>
          <cell r="M27">
            <v>0</v>
          </cell>
          <cell r="P27">
            <v>0</v>
          </cell>
        </row>
        <row r="28">
          <cell r="D28">
            <v>5.0999999999999996</v>
          </cell>
          <cell r="M28">
            <v>0</v>
          </cell>
          <cell r="P28">
            <v>0</v>
          </cell>
        </row>
        <row r="29">
          <cell r="D29">
            <v>5.2</v>
          </cell>
          <cell r="M29">
            <v>0</v>
          </cell>
          <cell r="P29">
            <v>0</v>
          </cell>
        </row>
        <row r="30">
          <cell r="D30">
            <v>5.0999999999999996</v>
          </cell>
          <cell r="M30">
            <v>0</v>
          </cell>
          <cell r="P30">
            <v>0</v>
          </cell>
        </row>
        <row r="31">
          <cell r="D31">
            <v>4</v>
          </cell>
          <cell r="M31">
            <v>0</v>
          </cell>
          <cell r="P31">
            <v>0</v>
          </cell>
        </row>
        <row r="32">
          <cell r="D32">
            <v>2</v>
          </cell>
          <cell r="M32">
            <v>0</v>
          </cell>
          <cell r="P32">
            <v>23200</v>
          </cell>
        </row>
        <row r="33">
          <cell r="D33">
            <v>2</v>
          </cell>
          <cell r="M33">
            <v>0</v>
          </cell>
          <cell r="P33">
            <v>0</v>
          </cell>
        </row>
        <row r="34">
          <cell r="D34">
            <v>2</v>
          </cell>
          <cell r="M34">
            <v>0</v>
          </cell>
          <cell r="P34">
            <v>4000</v>
          </cell>
        </row>
        <row r="35">
          <cell r="D35">
            <v>2</v>
          </cell>
          <cell r="M35">
            <v>0</v>
          </cell>
          <cell r="P35">
            <v>0</v>
          </cell>
        </row>
        <row r="36">
          <cell r="D36">
            <v>3</v>
          </cell>
          <cell r="M36">
            <v>0</v>
          </cell>
          <cell r="P36">
            <v>0</v>
          </cell>
        </row>
        <row r="37">
          <cell r="D37">
            <v>3</v>
          </cell>
          <cell r="M37">
            <v>0</v>
          </cell>
          <cell r="P37">
            <v>0</v>
          </cell>
        </row>
        <row r="38">
          <cell r="D38">
            <v>6.1</v>
          </cell>
          <cell r="M38">
            <v>0</v>
          </cell>
          <cell r="P38">
            <v>0</v>
          </cell>
        </row>
        <row r="39">
          <cell r="D39">
            <v>6.2</v>
          </cell>
          <cell r="M39">
            <v>0</v>
          </cell>
          <cell r="P39">
            <v>0</v>
          </cell>
        </row>
        <row r="40">
          <cell r="D40">
            <v>6.2</v>
          </cell>
          <cell r="M40">
            <v>0</v>
          </cell>
          <cell r="P40">
            <v>0</v>
          </cell>
        </row>
        <row r="41">
          <cell r="D41">
            <v>6.1</v>
          </cell>
          <cell r="M41">
            <v>0</v>
          </cell>
          <cell r="P41">
            <v>0</v>
          </cell>
        </row>
        <row r="42">
          <cell r="D42">
            <v>6.2</v>
          </cell>
          <cell r="M42">
            <v>0</v>
          </cell>
          <cell r="P42">
            <v>0</v>
          </cell>
        </row>
        <row r="43">
          <cell r="D43">
            <v>6.2</v>
          </cell>
          <cell r="M43">
            <v>0</v>
          </cell>
          <cell r="P43">
            <v>0</v>
          </cell>
        </row>
        <row r="44">
          <cell r="D44">
            <v>6.2</v>
          </cell>
          <cell r="M44">
            <v>0</v>
          </cell>
          <cell r="P44">
            <v>0</v>
          </cell>
        </row>
        <row r="45">
          <cell r="D45">
            <v>6.2</v>
          </cell>
          <cell r="M45">
            <v>0</v>
          </cell>
          <cell r="P45">
            <v>0</v>
          </cell>
        </row>
        <row r="46">
          <cell r="D46">
            <v>6.2</v>
          </cell>
          <cell r="M46">
            <v>0</v>
          </cell>
          <cell r="P46">
            <v>0</v>
          </cell>
        </row>
        <row r="47">
          <cell r="D47">
            <v>7.1</v>
          </cell>
          <cell r="M47">
            <v>0</v>
          </cell>
          <cell r="P47">
            <v>0</v>
          </cell>
        </row>
        <row r="48">
          <cell r="D48">
            <v>7.1</v>
          </cell>
          <cell r="M48">
            <v>0</v>
          </cell>
          <cell r="P48">
            <v>0</v>
          </cell>
        </row>
        <row r="49">
          <cell r="D49">
            <v>7.1</v>
          </cell>
          <cell r="M49">
            <v>0</v>
          </cell>
          <cell r="P49">
            <v>0</v>
          </cell>
        </row>
        <row r="50">
          <cell r="D50">
            <v>7.2</v>
          </cell>
          <cell r="M50">
            <v>0</v>
          </cell>
          <cell r="P50">
            <v>0</v>
          </cell>
        </row>
        <row r="51">
          <cell r="D51">
            <v>7.2</v>
          </cell>
          <cell r="M51">
            <v>0</v>
          </cell>
          <cell r="P51">
            <v>0</v>
          </cell>
        </row>
        <row r="52">
          <cell r="D52">
            <v>7.3</v>
          </cell>
          <cell r="M52">
            <v>0</v>
          </cell>
          <cell r="P52">
            <v>0</v>
          </cell>
        </row>
        <row r="53">
          <cell r="D53">
            <v>7.3</v>
          </cell>
          <cell r="M53">
            <v>0</v>
          </cell>
          <cell r="P53">
            <v>0</v>
          </cell>
        </row>
        <row r="54">
          <cell r="D54">
            <v>7.3</v>
          </cell>
          <cell r="M54">
            <v>0</v>
          </cell>
          <cell r="P54">
            <v>0</v>
          </cell>
        </row>
        <row r="55">
          <cell r="D55">
            <v>7.3</v>
          </cell>
          <cell r="M55">
            <v>0</v>
          </cell>
          <cell r="P55">
            <v>0</v>
          </cell>
        </row>
        <row r="56">
          <cell r="D56">
            <v>7.3</v>
          </cell>
          <cell r="M56">
            <v>0</v>
          </cell>
          <cell r="P56">
            <v>0</v>
          </cell>
        </row>
        <row r="57">
          <cell r="D57">
            <v>8</v>
          </cell>
          <cell r="M57">
            <v>0</v>
          </cell>
          <cell r="P57">
            <v>0</v>
          </cell>
        </row>
        <row r="58">
          <cell r="D58">
            <v>7.3</v>
          </cell>
          <cell r="M58">
            <v>0</v>
          </cell>
          <cell r="P58">
            <v>0</v>
          </cell>
        </row>
        <row r="59">
          <cell r="D59">
            <v>7.3</v>
          </cell>
          <cell r="M59">
            <v>0</v>
          </cell>
          <cell r="P59">
            <v>0</v>
          </cell>
        </row>
        <row r="60">
          <cell r="D60">
            <v>7.4</v>
          </cell>
          <cell r="M60">
            <v>0</v>
          </cell>
          <cell r="P60">
            <v>0</v>
          </cell>
        </row>
        <row r="61">
          <cell r="D61">
            <v>7.4</v>
          </cell>
          <cell r="M61">
            <v>0</v>
          </cell>
          <cell r="P61">
            <v>0</v>
          </cell>
        </row>
        <row r="62">
          <cell r="D62">
            <v>7.4</v>
          </cell>
          <cell r="M62">
            <v>0</v>
          </cell>
          <cell r="P62">
            <v>0</v>
          </cell>
        </row>
        <row r="63">
          <cell r="D63">
            <v>7.4</v>
          </cell>
          <cell r="M63">
            <v>0</v>
          </cell>
          <cell r="P63">
            <v>0</v>
          </cell>
        </row>
        <row r="64">
          <cell r="D64">
            <v>8</v>
          </cell>
          <cell r="M64">
            <v>0</v>
          </cell>
          <cell r="P64">
            <v>0</v>
          </cell>
        </row>
        <row r="65">
          <cell r="D65">
            <v>8</v>
          </cell>
          <cell r="M65">
            <v>0</v>
          </cell>
          <cell r="P65">
            <v>0</v>
          </cell>
        </row>
        <row r="66">
          <cell r="D66">
            <v>8</v>
          </cell>
          <cell r="M66">
            <v>0</v>
          </cell>
          <cell r="P66">
            <v>0</v>
          </cell>
        </row>
        <row r="67">
          <cell r="D67">
            <v>8</v>
          </cell>
          <cell r="M67">
            <v>0</v>
          </cell>
          <cell r="P67">
            <v>0</v>
          </cell>
        </row>
        <row r="68">
          <cell r="D68" t="str">
            <v/>
          </cell>
          <cell r="P68" t="str">
            <v/>
          </cell>
        </row>
        <row r="69">
          <cell r="D69" t="str">
            <v>NLG</v>
          </cell>
          <cell r="M69" t="str">
            <v/>
          </cell>
          <cell r="P69" t="str">
            <v/>
          </cell>
        </row>
        <row r="70">
          <cell r="D70" t="str">
            <v>NLG</v>
          </cell>
          <cell r="M70">
            <v>99.45</v>
          </cell>
          <cell r="P70">
            <v>27565.8</v>
          </cell>
        </row>
        <row r="71">
          <cell r="D71" t="str">
            <v/>
          </cell>
          <cell r="M71" t="str">
            <v>NLG</v>
          </cell>
          <cell r="P71" t="str">
            <v>NLG</v>
          </cell>
        </row>
        <row r="72">
          <cell r="D72" t="str">
            <v/>
          </cell>
        </row>
        <row r="73">
          <cell r="D73" t="str">
            <v/>
          </cell>
          <cell r="P73" t="str">
            <v/>
          </cell>
        </row>
        <row r="74">
          <cell r="D74">
            <v>1</v>
          </cell>
          <cell r="M74">
            <v>0</v>
          </cell>
          <cell r="P74">
            <v>0</v>
          </cell>
        </row>
        <row r="75">
          <cell r="D75">
            <v>1</v>
          </cell>
          <cell r="M75">
            <v>0</v>
          </cell>
          <cell r="P75">
            <v>0</v>
          </cell>
        </row>
        <row r="76">
          <cell r="D76">
            <v>1</v>
          </cell>
          <cell r="M76">
            <v>0</v>
          </cell>
          <cell r="P76">
            <v>0</v>
          </cell>
        </row>
        <row r="77">
          <cell r="D77">
            <v>1</v>
          </cell>
          <cell r="M77">
            <v>0</v>
          </cell>
          <cell r="P77">
            <v>0</v>
          </cell>
        </row>
        <row r="78">
          <cell r="D78">
            <v>1</v>
          </cell>
          <cell r="M78">
            <v>0</v>
          </cell>
          <cell r="P78">
            <v>0</v>
          </cell>
        </row>
        <row r="79">
          <cell r="D79">
            <v>1</v>
          </cell>
          <cell r="M79">
            <v>0</v>
          </cell>
          <cell r="P79">
            <v>0</v>
          </cell>
        </row>
        <row r="80">
          <cell r="D80">
            <v>1</v>
          </cell>
          <cell r="M80">
            <v>0</v>
          </cell>
          <cell r="P80">
            <v>0.39</v>
          </cell>
        </row>
        <row r="81">
          <cell r="D81">
            <v>1</v>
          </cell>
          <cell r="M81">
            <v>0</v>
          </cell>
          <cell r="P81">
            <v>0</v>
          </cell>
        </row>
        <row r="82">
          <cell r="D82">
            <v>4</v>
          </cell>
          <cell r="M82">
            <v>0</v>
          </cell>
          <cell r="P82">
            <v>0</v>
          </cell>
        </row>
        <row r="83">
          <cell r="D83">
            <v>1</v>
          </cell>
          <cell r="M83">
            <v>0</v>
          </cell>
          <cell r="P83">
            <v>0</v>
          </cell>
        </row>
        <row r="84">
          <cell r="D84">
            <v>5.2</v>
          </cell>
          <cell r="M84">
            <v>962.03</v>
          </cell>
          <cell r="P84">
            <v>2623.39</v>
          </cell>
        </row>
        <row r="85">
          <cell r="D85">
            <v>5.2</v>
          </cell>
          <cell r="M85">
            <v>271.55</v>
          </cell>
          <cell r="P85">
            <v>14733.61</v>
          </cell>
        </row>
        <row r="86">
          <cell r="D86">
            <v>5.2</v>
          </cell>
          <cell r="M86">
            <v>144.93</v>
          </cell>
          <cell r="P86">
            <v>3620.13</v>
          </cell>
        </row>
        <row r="87">
          <cell r="D87">
            <v>5.2</v>
          </cell>
          <cell r="M87">
            <v>0</v>
          </cell>
          <cell r="P87">
            <v>3770.23</v>
          </cell>
        </row>
        <row r="88">
          <cell r="D88">
            <v>5.0999999999999996</v>
          </cell>
          <cell r="M88">
            <v>0</v>
          </cell>
          <cell r="P88">
            <v>5867.72</v>
          </cell>
        </row>
        <row r="89">
          <cell r="D89">
            <v>5.0999999999999996</v>
          </cell>
          <cell r="M89">
            <v>0</v>
          </cell>
          <cell r="P89">
            <v>800.36</v>
          </cell>
        </row>
        <row r="90">
          <cell r="D90">
            <v>5.2</v>
          </cell>
          <cell r="M90">
            <v>0</v>
          </cell>
          <cell r="P90">
            <v>4723.84</v>
          </cell>
        </row>
        <row r="91">
          <cell r="D91">
            <v>5.0999999999999996</v>
          </cell>
          <cell r="M91">
            <v>278.91000000000003</v>
          </cell>
          <cell r="P91">
            <v>460.35</v>
          </cell>
        </row>
        <row r="92">
          <cell r="D92">
            <v>4</v>
          </cell>
          <cell r="M92">
            <v>9657.91</v>
          </cell>
          <cell r="P92">
            <v>9657.91</v>
          </cell>
        </row>
        <row r="93">
          <cell r="D93">
            <v>4</v>
          </cell>
          <cell r="M93">
            <v>2280.6999999999998</v>
          </cell>
          <cell r="P93">
            <v>13181.01</v>
          </cell>
        </row>
        <row r="94">
          <cell r="D94">
            <v>4</v>
          </cell>
          <cell r="M94">
            <v>1669.5</v>
          </cell>
          <cell r="P94">
            <v>1873.68</v>
          </cell>
        </row>
        <row r="95">
          <cell r="D95">
            <v>4</v>
          </cell>
          <cell r="M95">
            <v>3944.98</v>
          </cell>
          <cell r="P95">
            <v>26994.77</v>
          </cell>
        </row>
        <row r="96">
          <cell r="D96">
            <v>4</v>
          </cell>
          <cell r="M96">
            <v>55.22</v>
          </cell>
          <cell r="P96">
            <v>43.5</v>
          </cell>
        </row>
        <row r="97">
          <cell r="D97">
            <v>4</v>
          </cell>
          <cell r="M97">
            <v>0</v>
          </cell>
          <cell r="P97">
            <v>53.13</v>
          </cell>
        </row>
        <row r="98">
          <cell r="D98">
            <v>4</v>
          </cell>
          <cell r="M98">
            <v>2104.7800000000002</v>
          </cell>
          <cell r="P98">
            <v>2859.18</v>
          </cell>
        </row>
        <row r="99">
          <cell r="D99">
            <v>4</v>
          </cell>
          <cell r="M99">
            <v>2900.07</v>
          </cell>
          <cell r="P99">
            <v>8034.34</v>
          </cell>
        </row>
        <row r="100">
          <cell r="D100">
            <v>4</v>
          </cell>
          <cell r="M100">
            <v>73.98</v>
          </cell>
          <cell r="P100">
            <v>73.98</v>
          </cell>
        </row>
        <row r="101">
          <cell r="D101">
            <v>4</v>
          </cell>
          <cell r="M101">
            <v>40926.22</v>
          </cell>
          <cell r="P101">
            <v>207933.05</v>
          </cell>
        </row>
        <row r="102">
          <cell r="D102">
            <v>6.1</v>
          </cell>
          <cell r="M102">
            <v>0</v>
          </cell>
          <cell r="P102">
            <v>6771.7</v>
          </cell>
        </row>
        <row r="103">
          <cell r="D103">
            <v>6.2</v>
          </cell>
          <cell r="M103">
            <v>0</v>
          </cell>
          <cell r="P103">
            <v>0</v>
          </cell>
        </row>
        <row r="104">
          <cell r="D104">
            <v>6.2</v>
          </cell>
          <cell r="M104">
            <v>0</v>
          </cell>
          <cell r="P104">
            <v>0</v>
          </cell>
        </row>
        <row r="105">
          <cell r="D105">
            <v>6.2</v>
          </cell>
          <cell r="M105">
            <v>1364.32</v>
          </cell>
          <cell r="P105">
            <v>12945.78</v>
          </cell>
        </row>
        <row r="106">
          <cell r="D106">
            <v>6.1</v>
          </cell>
          <cell r="M106">
            <v>0</v>
          </cell>
          <cell r="P106">
            <v>63.89</v>
          </cell>
        </row>
        <row r="107">
          <cell r="D107">
            <v>6.2</v>
          </cell>
          <cell r="M107">
            <v>112.63</v>
          </cell>
          <cell r="P107">
            <v>768.65</v>
          </cell>
        </row>
        <row r="108">
          <cell r="D108">
            <v>6.2</v>
          </cell>
          <cell r="M108">
            <v>1725.34</v>
          </cell>
          <cell r="P108">
            <v>14643.81</v>
          </cell>
        </row>
        <row r="109">
          <cell r="D109">
            <v>6.2</v>
          </cell>
          <cell r="M109">
            <v>764.9</v>
          </cell>
          <cell r="P109">
            <v>11572.38</v>
          </cell>
        </row>
        <row r="110">
          <cell r="D110">
            <v>6.2</v>
          </cell>
          <cell r="M110">
            <v>594.91</v>
          </cell>
          <cell r="P110">
            <v>653.58000000000004</v>
          </cell>
        </row>
        <row r="111">
          <cell r="D111">
            <v>6.2</v>
          </cell>
          <cell r="M111">
            <v>0</v>
          </cell>
          <cell r="P111">
            <v>0</v>
          </cell>
        </row>
        <row r="112">
          <cell r="D112">
            <v>7.1</v>
          </cell>
          <cell r="M112">
            <v>39396.47</v>
          </cell>
          <cell r="P112">
            <v>192791.77</v>
          </cell>
        </row>
        <row r="113">
          <cell r="D113">
            <v>7.1</v>
          </cell>
          <cell r="M113">
            <v>0</v>
          </cell>
          <cell r="P113">
            <v>0</v>
          </cell>
        </row>
        <row r="114">
          <cell r="D114">
            <v>7.1</v>
          </cell>
          <cell r="M114">
            <v>0</v>
          </cell>
          <cell r="P114">
            <v>1155.07</v>
          </cell>
        </row>
        <row r="115">
          <cell r="D115">
            <v>7.4</v>
          </cell>
          <cell r="M115">
            <v>0</v>
          </cell>
        </row>
        <row r="116">
          <cell r="D116">
            <v>7.2</v>
          </cell>
          <cell r="M116">
            <v>27.3</v>
          </cell>
          <cell r="P116">
            <v>4665.57</v>
          </cell>
        </row>
        <row r="117">
          <cell r="D117">
            <v>7.2</v>
          </cell>
          <cell r="M117">
            <v>7665.91</v>
          </cell>
          <cell r="P117">
            <v>21280.87</v>
          </cell>
        </row>
        <row r="118">
          <cell r="D118">
            <v>7.2</v>
          </cell>
          <cell r="M118">
            <v>53.99</v>
          </cell>
          <cell r="P118">
            <v>1648.75</v>
          </cell>
        </row>
        <row r="119">
          <cell r="D119">
            <v>7.2</v>
          </cell>
          <cell r="M119">
            <v>0</v>
          </cell>
          <cell r="P119">
            <v>1595.63</v>
          </cell>
        </row>
        <row r="120">
          <cell r="D120">
            <v>7.2</v>
          </cell>
          <cell r="M120">
            <v>0</v>
          </cell>
          <cell r="P120">
            <v>0</v>
          </cell>
        </row>
        <row r="121">
          <cell r="D121">
            <v>7.3</v>
          </cell>
          <cell r="M121">
            <v>7386.43</v>
          </cell>
          <cell r="P121">
            <v>20238.47</v>
          </cell>
        </row>
        <row r="122">
          <cell r="D122">
            <v>7.3</v>
          </cell>
          <cell r="M122">
            <v>1883.8</v>
          </cell>
          <cell r="P122">
            <v>13948.29</v>
          </cell>
        </row>
        <row r="123">
          <cell r="D123">
            <v>8</v>
          </cell>
          <cell r="M123">
            <v>0</v>
          </cell>
          <cell r="P123">
            <v>0</v>
          </cell>
        </row>
        <row r="124">
          <cell r="D124">
            <v>7.3</v>
          </cell>
          <cell r="M124">
            <v>0</v>
          </cell>
          <cell r="P124">
            <v>0</v>
          </cell>
        </row>
        <row r="125">
          <cell r="D125">
            <v>8</v>
          </cell>
          <cell r="M125">
            <v>113.68</v>
          </cell>
          <cell r="P125">
            <v>4119.6899999999996</v>
          </cell>
        </row>
        <row r="126">
          <cell r="D126">
            <v>7.3</v>
          </cell>
          <cell r="M126">
            <v>29480.5</v>
          </cell>
          <cell r="P126">
            <v>101517.37</v>
          </cell>
        </row>
        <row r="127">
          <cell r="D127">
            <v>7.4</v>
          </cell>
          <cell r="M127">
            <v>0</v>
          </cell>
          <cell r="P127">
            <v>664.12</v>
          </cell>
        </row>
        <row r="128">
          <cell r="D128">
            <v>7.4</v>
          </cell>
          <cell r="M128">
            <v>0</v>
          </cell>
          <cell r="P128">
            <v>4589.24</v>
          </cell>
        </row>
        <row r="129">
          <cell r="D129">
            <v>8</v>
          </cell>
          <cell r="M129">
            <v>336.38</v>
          </cell>
          <cell r="P129">
            <v>336.38</v>
          </cell>
        </row>
        <row r="130">
          <cell r="D130">
            <v>8</v>
          </cell>
          <cell r="M130">
            <v>2505</v>
          </cell>
          <cell r="P130">
            <v>23864.6</v>
          </cell>
        </row>
        <row r="131">
          <cell r="D131">
            <v>8</v>
          </cell>
          <cell r="M131">
            <v>0</v>
          </cell>
          <cell r="P131">
            <v>244.07</v>
          </cell>
        </row>
        <row r="132">
          <cell r="D132">
            <v>8</v>
          </cell>
          <cell r="M132">
            <v>1244.1600000000001</v>
          </cell>
          <cell r="P132">
            <v>29653.51</v>
          </cell>
        </row>
        <row r="133">
          <cell r="D133">
            <v>8</v>
          </cell>
          <cell r="M133">
            <v>0</v>
          </cell>
          <cell r="P133">
            <v>0</v>
          </cell>
        </row>
        <row r="134">
          <cell r="D134">
            <v>8</v>
          </cell>
          <cell r="M134">
            <v>0</v>
          </cell>
          <cell r="P134">
            <v>709.9</v>
          </cell>
        </row>
        <row r="135">
          <cell r="D135">
            <v>8</v>
          </cell>
          <cell r="M135">
            <v>0</v>
          </cell>
          <cell r="P135">
            <v>0</v>
          </cell>
        </row>
        <row r="136">
          <cell r="M136">
            <v>0</v>
          </cell>
          <cell r="P136">
            <v>0</v>
          </cell>
        </row>
        <row r="137">
          <cell r="M137">
            <v>0</v>
          </cell>
          <cell r="P137">
            <v>0</v>
          </cell>
        </row>
        <row r="138">
          <cell r="D138">
            <v>2</v>
          </cell>
          <cell r="M138">
            <v>0</v>
          </cell>
          <cell r="P138">
            <v>0</v>
          </cell>
        </row>
        <row r="139">
          <cell r="D139">
            <v>3</v>
          </cell>
          <cell r="M139">
            <v>0</v>
          </cell>
          <cell r="P139">
            <v>0</v>
          </cell>
        </row>
        <row r="140">
          <cell r="D140">
            <v>3</v>
          </cell>
          <cell r="M140">
            <v>0</v>
          </cell>
          <cell r="P140">
            <v>322</v>
          </cell>
        </row>
        <row r="141">
          <cell r="D141">
            <v>3</v>
          </cell>
          <cell r="M141">
            <v>0</v>
          </cell>
          <cell r="P141">
            <v>0</v>
          </cell>
        </row>
        <row r="142">
          <cell r="D142">
            <v>3</v>
          </cell>
          <cell r="M142">
            <v>0</v>
          </cell>
          <cell r="P142">
            <v>0</v>
          </cell>
        </row>
        <row r="143">
          <cell r="D143">
            <v>5.2</v>
          </cell>
          <cell r="M143">
            <v>0</v>
          </cell>
          <cell r="P143">
            <v>0</v>
          </cell>
        </row>
        <row r="144">
          <cell r="D144">
            <v>5.2</v>
          </cell>
          <cell r="M144">
            <v>27.9</v>
          </cell>
          <cell r="P144">
            <v>58.37</v>
          </cell>
        </row>
        <row r="145">
          <cell r="D145" t="str">
            <v/>
          </cell>
          <cell r="M145" t="str">
            <v/>
          </cell>
          <cell r="P145" t="str">
            <v/>
          </cell>
        </row>
        <row r="146">
          <cell r="D146" t="str">
            <v>EUR</v>
          </cell>
          <cell r="M146" t="str">
            <v/>
          </cell>
          <cell r="P146" t="str">
            <v/>
          </cell>
        </row>
        <row r="147">
          <cell r="D147" t="str">
            <v>NLG</v>
          </cell>
          <cell r="M147">
            <v>159954.4</v>
          </cell>
          <cell r="P147">
            <v>778128.03</v>
          </cell>
        </row>
        <row r="148">
          <cell r="D148" t="str">
            <v>NLG</v>
          </cell>
          <cell r="M148">
            <v>160053.85</v>
          </cell>
          <cell r="P148">
            <v>805693.83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Assumption"/>
      <sheetName val="Summary"/>
      <sheetName val="Assumptions"/>
      <sheetName val="DataSheet"/>
      <sheetName val="Commodities_Purchases"/>
      <sheetName val="Cmty_TOTALCOST"/>
      <sheetName val="Cmty_RM_UC"/>
      <sheetName val="Cmty_RM_TC"/>
      <sheetName val="Cmty_PC_UC"/>
      <sheetName val="Cmty_PC_TC"/>
      <sheetName val="Cmty_LC_UC"/>
      <sheetName val="Cmty_LC_TC"/>
      <sheetName val="Cmty_TC_UC"/>
      <sheetName val="Cmty_TC_TC"/>
      <sheetName val="CRITERIA13"/>
      <sheetName val="CRITERIA1"/>
      <sheetName val="CRITERIA12"/>
      <sheetName val="CRITERIA2"/>
      <sheetName val="CRITERIA3"/>
      <sheetName val="CRITERIA4"/>
      <sheetName val="CRITERIA5"/>
      <sheetName val="CRITERIA6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 t="str">
            <v>SUB ACCOUNT</v>
          </cell>
          <cell r="B1" t="str">
            <v>PROJECT</v>
          </cell>
          <cell r="C1">
            <v>41821</v>
          </cell>
          <cell r="D1">
            <v>41852</v>
          </cell>
          <cell r="E1">
            <v>41883</v>
          </cell>
          <cell r="F1">
            <v>41914</v>
          </cell>
          <cell r="G1">
            <v>41945</v>
          </cell>
          <cell r="H1">
            <v>41976</v>
          </cell>
          <cell r="I1">
            <v>42007</v>
          </cell>
          <cell r="J1">
            <v>42038</v>
          </cell>
          <cell r="K1">
            <v>42069</v>
          </cell>
          <cell r="L1">
            <v>42100</v>
          </cell>
          <cell r="M1">
            <v>42131</v>
          </cell>
          <cell r="N1">
            <v>42162</v>
          </cell>
          <cell r="O1">
            <v>42193</v>
          </cell>
          <cell r="P1">
            <v>42224</v>
          </cell>
          <cell r="Q1">
            <v>42255</v>
          </cell>
          <cell r="R1">
            <v>42286</v>
          </cell>
          <cell r="S1">
            <v>42317</v>
          </cell>
          <cell r="T1">
            <v>42348</v>
          </cell>
          <cell r="U1">
            <v>42379</v>
          </cell>
          <cell r="V1">
            <v>42410</v>
          </cell>
          <cell r="W1">
            <v>42441</v>
          </cell>
          <cell r="X1">
            <v>42472</v>
          </cell>
          <cell r="Y1">
            <v>42503</v>
          </cell>
          <cell r="Z1">
            <v>42534</v>
          </cell>
          <cell r="AA1">
            <v>42565</v>
          </cell>
          <cell r="AB1">
            <v>42596</v>
          </cell>
          <cell r="AC1">
            <v>42627</v>
          </cell>
          <cell r="AD1">
            <v>42658</v>
          </cell>
          <cell r="AE1">
            <v>42689</v>
          </cell>
          <cell r="AF1">
            <v>42720</v>
          </cell>
          <cell r="AG1">
            <v>42751</v>
          </cell>
          <cell r="AH1">
            <v>42782</v>
          </cell>
          <cell r="AI1">
            <v>42813</v>
          </cell>
          <cell r="AJ1">
            <v>42844</v>
          </cell>
          <cell r="AK1">
            <v>42875</v>
          </cell>
          <cell r="AL1">
            <v>42906</v>
          </cell>
          <cell r="AM1" t="str">
            <v>BUDGET YEAR 1</v>
          </cell>
        </row>
        <row r="2">
          <cell r="A2" t="str">
            <v>SATHI 3S</v>
          </cell>
          <cell r="B2" t="str">
            <v>LAD III</v>
          </cell>
          <cell r="AM2">
            <v>0</v>
          </cell>
        </row>
        <row r="3">
          <cell r="A3" t="str">
            <v>SATHI 3S</v>
          </cell>
          <cell r="B3" t="str">
            <v>KFW- 12.0M Euro</v>
          </cell>
          <cell r="AM3">
            <v>0</v>
          </cell>
        </row>
        <row r="4">
          <cell r="A4" t="str">
            <v>SATHI 3S</v>
          </cell>
          <cell r="B4" t="str">
            <v>DFID</v>
          </cell>
          <cell r="AM4">
            <v>0</v>
          </cell>
        </row>
        <row r="5">
          <cell r="A5" t="str">
            <v>SATHI 3S</v>
          </cell>
          <cell r="B5" t="str">
            <v>USAID     SIFPO</v>
          </cell>
          <cell r="AM5">
            <v>0</v>
          </cell>
        </row>
        <row r="6">
          <cell r="A6" t="str">
            <v>SATHI 3S</v>
          </cell>
          <cell r="B6" t="str">
            <v>GF ROUND - 8</v>
          </cell>
          <cell r="AM6">
            <v>0</v>
          </cell>
        </row>
        <row r="7">
          <cell r="A7" t="str">
            <v>SATHI 3S</v>
          </cell>
          <cell r="B7" t="str">
            <v>GF ROUND - 9</v>
          </cell>
          <cell r="AM7">
            <v>0</v>
          </cell>
        </row>
        <row r="8">
          <cell r="A8" t="str">
            <v>SATHI 3S</v>
          </cell>
          <cell r="B8" t="str">
            <v>PACKARD</v>
          </cell>
          <cell r="AM8">
            <v>0</v>
          </cell>
        </row>
        <row r="9">
          <cell r="A9" t="str">
            <v>SATHI 3S</v>
          </cell>
          <cell r="B9" t="str">
            <v>PI- GSM</v>
          </cell>
          <cell r="AM9">
            <v>0</v>
          </cell>
        </row>
        <row r="10">
          <cell r="A10" t="str">
            <v>SATHI 3S</v>
          </cell>
          <cell r="B10" t="str">
            <v>NEW DONOR</v>
          </cell>
          <cell r="AM10">
            <v>0</v>
          </cell>
        </row>
        <row r="11">
          <cell r="A11" t="str">
            <v>SATHI 3S</v>
          </cell>
          <cell r="B11" t="str">
            <v>Donor 10</v>
          </cell>
          <cell r="AM11">
            <v>0</v>
          </cell>
        </row>
        <row r="12">
          <cell r="A12" t="str">
            <v>Sathi 6s</v>
          </cell>
          <cell r="B12" t="str">
            <v>LAD III</v>
          </cell>
          <cell r="AM12">
            <v>0</v>
          </cell>
        </row>
        <row r="13">
          <cell r="A13" t="str">
            <v>Sathi 6s</v>
          </cell>
          <cell r="B13" t="str">
            <v>KFW- 12.0M Euro</v>
          </cell>
          <cell r="AM13">
            <v>0</v>
          </cell>
        </row>
        <row r="14">
          <cell r="A14" t="str">
            <v>Sathi 6s</v>
          </cell>
          <cell r="B14" t="str">
            <v>DFID</v>
          </cell>
          <cell r="AM14">
            <v>0</v>
          </cell>
        </row>
        <row r="15">
          <cell r="A15" t="str">
            <v>Sathi 6s</v>
          </cell>
          <cell r="B15" t="str">
            <v>USAID     SIFPO</v>
          </cell>
          <cell r="AM15">
            <v>0</v>
          </cell>
        </row>
        <row r="16">
          <cell r="A16" t="str">
            <v>Sathi 6s</v>
          </cell>
          <cell r="B16" t="str">
            <v>GF ROUND - 8</v>
          </cell>
          <cell r="AM16">
            <v>0</v>
          </cell>
        </row>
        <row r="17">
          <cell r="A17" t="str">
            <v>Sathi 6s</v>
          </cell>
          <cell r="B17" t="str">
            <v>GF ROUND - 9</v>
          </cell>
          <cell r="AM17">
            <v>0</v>
          </cell>
        </row>
        <row r="18">
          <cell r="A18" t="str">
            <v>Sathi 6s</v>
          </cell>
          <cell r="B18" t="str">
            <v>PACKARD</v>
          </cell>
          <cell r="AM18">
            <v>0</v>
          </cell>
        </row>
        <row r="19">
          <cell r="A19" t="str">
            <v>Sathi 6s</v>
          </cell>
          <cell r="B19" t="str">
            <v>PI- GSM</v>
          </cell>
          <cell r="AM19">
            <v>0</v>
          </cell>
        </row>
        <row r="20">
          <cell r="A20" t="str">
            <v>Sathi 6s</v>
          </cell>
          <cell r="B20" t="str">
            <v>NEW DONOR</v>
          </cell>
          <cell r="AM20">
            <v>0</v>
          </cell>
        </row>
        <row r="21">
          <cell r="A21" t="str">
            <v>Sathi 6s</v>
          </cell>
          <cell r="B21" t="str">
            <v>Donor 10</v>
          </cell>
          <cell r="AM21">
            <v>0</v>
          </cell>
        </row>
        <row r="22">
          <cell r="A22" t="str">
            <v>TOUCH 3S (Classic and Ribbed)</v>
          </cell>
          <cell r="B22" t="str">
            <v>LAD III</v>
          </cell>
          <cell r="AM22">
            <v>0</v>
          </cell>
        </row>
        <row r="23">
          <cell r="A23" t="str">
            <v>TOUCH 3S (Classic and Ribbed)</v>
          </cell>
          <cell r="B23" t="str">
            <v>KFW- 12.0M Euro</v>
          </cell>
          <cell r="AM23">
            <v>0</v>
          </cell>
        </row>
        <row r="24">
          <cell r="A24" t="str">
            <v>TOUCH 3S (Classic and Ribbed)</v>
          </cell>
          <cell r="B24" t="str">
            <v>DFID</v>
          </cell>
          <cell r="AM24">
            <v>0</v>
          </cell>
        </row>
        <row r="25">
          <cell r="A25" t="str">
            <v>TOUCH 3S (Classic and Ribbed)</v>
          </cell>
          <cell r="B25" t="str">
            <v>USAID     SIFPO</v>
          </cell>
          <cell r="AM25">
            <v>0</v>
          </cell>
        </row>
        <row r="26">
          <cell r="A26" t="str">
            <v>TOUCH 3S (Classic and Ribbed)</v>
          </cell>
          <cell r="B26" t="str">
            <v>GF ROUND - 8</v>
          </cell>
          <cell r="AM26">
            <v>0</v>
          </cell>
        </row>
        <row r="27">
          <cell r="A27" t="str">
            <v>TOUCH 3S (Classic and Ribbed)</v>
          </cell>
          <cell r="B27" t="str">
            <v>GF ROUND - 9</v>
          </cell>
          <cell r="AM27">
            <v>0</v>
          </cell>
        </row>
        <row r="28">
          <cell r="A28" t="str">
            <v>TOUCH 3S (Classic and Ribbed)</v>
          </cell>
          <cell r="B28" t="str">
            <v>PACKARD</v>
          </cell>
          <cell r="AM28">
            <v>0</v>
          </cell>
        </row>
        <row r="29">
          <cell r="A29" t="str">
            <v>TOUCH 3S (Classic and Ribbed)</v>
          </cell>
          <cell r="B29" t="str">
            <v>PI- GSM</v>
          </cell>
          <cell r="AM29">
            <v>0</v>
          </cell>
        </row>
        <row r="30">
          <cell r="A30" t="str">
            <v>TOUCH 3S (Classic and Ribbed)</v>
          </cell>
          <cell r="B30" t="str">
            <v>NEW DONOR</v>
          </cell>
          <cell r="AM30">
            <v>0</v>
          </cell>
        </row>
        <row r="31">
          <cell r="A31" t="str">
            <v>TOUCH 3S (Classic and Ribbed)</v>
          </cell>
          <cell r="B31" t="str">
            <v>Donor 10</v>
          </cell>
          <cell r="AM31">
            <v>0</v>
          </cell>
        </row>
        <row r="32">
          <cell r="A32" t="str">
            <v>TOUCH 6S (Classic and Ribbed)</v>
          </cell>
          <cell r="B32" t="str">
            <v>LAD III</v>
          </cell>
          <cell r="AM32">
            <v>0</v>
          </cell>
        </row>
        <row r="33">
          <cell r="A33" t="str">
            <v>TOUCH 6S (Classic and Ribbed)</v>
          </cell>
          <cell r="B33" t="str">
            <v>KFW- 12.0M Euro</v>
          </cell>
          <cell r="AM33">
            <v>0</v>
          </cell>
        </row>
        <row r="34">
          <cell r="A34" t="str">
            <v>TOUCH 6S (Classic and Ribbed)</v>
          </cell>
          <cell r="B34" t="str">
            <v>DFID</v>
          </cell>
          <cell r="AM34">
            <v>0</v>
          </cell>
        </row>
        <row r="35">
          <cell r="A35" t="str">
            <v>TOUCH 6S (Classic and Ribbed)</v>
          </cell>
          <cell r="B35" t="str">
            <v>USAID     SIFPO</v>
          </cell>
          <cell r="AM35">
            <v>0</v>
          </cell>
        </row>
        <row r="36">
          <cell r="A36" t="str">
            <v>TOUCH 6S (Classic and Ribbed)</v>
          </cell>
          <cell r="B36" t="str">
            <v>GF ROUND - 8</v>
          </cell>
          <cell r="AM36">
            <v>0</v>
          </cell>
        </row>
        <row r="37">
          <cell r="A37" t="str">
            <v>TOUCH 6S (Classic and Ribbed)</v>
          </cell>
          <cell r="B37" t="str">
            <v>GF ROUND - 9</v>
          </cell>
          <cell r="AM37">
            <v>0</v>
          </cell>
        </row>
        <row r="38">
          <cell r="A38" t="str">
            <v>TOUCH 6S (Classic and Ribbed)</v>
          </cell>
          <cell r="B38" t="str">
            <v>PACKARD</v>
          </cell>
          <cell r="AM38">
            <v>0</v>
          </cell>
        </row>
        <row r="39">
          <cell r="A39" t="str">
            <v>TOUCH 6S (Classic and Ribbed)</v>
          </cell>
          <cell r="B39" t="str">
            <v>PI- GSM</v>
          </cell>
          <cell r="AM39">
            <v>0</v>
          </cell>
        </row>
        <row r="40">
          <cell r="A40" t="str">
            <v>TOUCH 6S (Classic and Ribbed)</v>
          </cell>
          <cell r="B40" t="str">
            <v>NEW DONOR</v>
          </cell>
          <cell r="AM40">
            <v>0</v>
          </cell>
        </row>
        <row r="41">
          <cell r="A41" t="str">
            <v>TOUCH 6S (Classic and Ribbed)</v>
          </cell>
          <cell r="B41" t="str">
            <v>Donor 10</v>
          </cell>
          <cell r="AM41">
            <v>0</v>
          </cell>
        </row>
        <row r="42">
          <cell r="A42" t="str">
            <v>TOUCH 3s (Dotted)</v>
          </cell>
          <cell r="B42" t="str">
            <v>LAD III</v>
          </cell>
          <cell r="AM42">
            <v>0</v>
          </cell>
        </row>
        <row r="43">
          <cell r="A43" t="str">
            <v>TOUCH 3s (Dotted)</v>
          </cell>
          <cell r="B43" t="str">
            <v>KFW- 12.0M Euro</v>
          </cell>
          <cell r="AM43">
            <v>0</v>
          </cell>
        </row>
        <row r="44">
          <cell r="A44" t="str">
            <v>TOUCH 3s (Dotted)</v>
          </cell>
          <cell r="B44" t="str">
            <v>DFID</v>
          </cell>
          <cell r="AM44">
            <v>0</v>
          </cell>
        </row>
        <row r="45">
          <cell r="A45" t="str">
            <v>TOUCH 3s (Dotted)</v>
          </cell>
          <cell r="B45" t="str">
            <v>USAID     SIFPO</v>
          </cell>
          <cell r="AM45">
            <v>0</v>
          </cell>
        </row>
        <row r="46">
          <cell r="A46" t="str">
            <v>TOUCH 3s (Dotted)</v>
          </cell>
          <cell r="B46" t="str">
            <v>GF ROUND - 8</v>
          </cell>
          <cell r="AM46">
            <v>0</v>
          </cell>
        </row>
        <row r="47">
          <cell r="A47" t="str">
            <v>TOUCH 3s (Dotted)</v>
          </cell>
          <cell r="B47" t="str">
            <v>GF ROUND - 9</v>
          </cell>
          <cell r="AM47">
            <v>0</v>
          </cell>
        </row>
        <row r="48">
          <cell r="A48" t="str">
            <v>TOUCH 3s (Dotted)</v>
          </cell>
          <cell r="B48" t="str">
            <v>PACKARD</v>
          </cell>
          <cell r="AM48">
            <v>0</v>
          </cell>
        </row>
        <row r="49">
          <cell r="A49" t="str">
            <v>TOUCH 3s (Dotted)</v>
          </cell>
          <cell r="B49" t="str">
            <v>PI- GSM</v>
          </cell>
          <cell r="AM49">
            <v>0</v>
          </cell>
        </row>
        <row r="50">
          <cell r="A50" t="str">
            <v>TOUCH 3s (Dotted)</v>
          </cell>
          <cell r="B50" t="str">
            <v>NEW DONOR</v>
          </cell>
          <cell r="AM50">
            <v>0</v>
          </cell>
        </row>
        <row r="51">
          <cell r="A51" t="str">
            <v>TOUCH 3s (Dotted)</v>
          </cell>
          <cell r="B51" t="str">
            <v>Donor 10</v>
          </cell>
          <cell r="AM51">
            <v>0</v>
          </cell>
        </row>
        <row r="52">
          <cell r="A52" t="str">
            <v>TOUCH 6s (Dotted)</v>
          </cell>
          <cell r="B52" t="str">
            <v>LAD III</v>
          </cell>
          <cell r="AM52">
            <v>0</v>
          </cell>
        </row>
        <row r="53">
          <cell r="A53" t="str">
            <v>TOUCH 6s (Dotted)</v>
          </cell>
          <cell r="B53" t="str">
            <v>KFW- 12.0M Euro</v>
          </cell>
          <cell r="AM53">
            <v>0</v>
          </cell>
        </row>
        <row r="54">
          <cell r="A54" t="str">
            <v>TOUCH 6s (Dotted)</v>
          </cell>
          <cell r="B54" t="str">
            <v>DFID</v>
          </cell>
          <cell r="AM54">
            <v>0</v>
          </cell>
        </row>
        <row r="55">
          <cell r="A55" t="str">
            <v>TOUCH 6s (Dotted)</v>
          </cell>
          <cell r="B55" t="str">
            <v>USAID     SIFPO</v>
          </cell>
          <cell r="AM55">
            <v>0</v>
          </cell>
        </row>
        <row r="56">
          <cell r="A56" t="str">
            <v>TOUCH 6s (Dotted)</v>
          </cell>
          <cell r="B56" t="str">
            <v>GF ROUND - 8</v>
          </cell>
          <cell r="AM56">
            <v>0</v>
          </cell>
        </row>
        <row r="57">
          <cell r="A57" t="str">
            <v>TOUCH 6s (Dotted)</v>
          </cell>
          <cell r="B57" t="str">
            <v>GF ROUND - 9</v>
          </cell>
          <cell r="AM57">
            <v>0</v>
          </cell>
        </row>
        <row r="58">
          <cell r="A58" t="str">
            <v>TOUCH 6s (Dotted)</v>
          </cell>
          <cell r="B58" t="str">
            <v>PACKARD</v>
          </cell>
          <cell r="AM58">
            <v>0</v>
          </cell>
        </row>
        <row r="59">
          <cell r="A59" t="str">
            <v>TOUCH 6s (Dotted)</v>
          </cell>
          <cell r="B59" t="str">
            <v>PI- GSM</v>
          </cell>
          <cell r="AM59">
            <v>0</v>
          </cell>
        </row>
        <row r="60">
          <cell r="A60" t="str">
            <v>TOUCH 6s (Dotted)</v>
          </cell>
          <cell r="B60" t="str">
            <v>NEW DONOR</v>
          </cell>
          <cell r="AM60">
            <v>0</v>
          </cell>
        </row>
        <row r="61">
          <cell r="A61" t="str">
            <v>TOUCH 6s (Dotted)</v>
          </cell>
          <cell r="B61" t="str">
            <v>Donor 10</v>
          </cell>
          <cell r="AM61">
            <v>0</v>
          </cell>
        </row>
        <row r="62">
          <cell r="A62" t="str">
            <v>Nova</v>
          </cell>
          <cell r="B62" t="str">
            <v>LAD III</v>
          </cell>
          <cell r="AM62">
            <v>0</v>
          </cell>
        </row>
        <row r="63">
          <cell r="A63" t="str">
            <v>Nova</v>
          </cell>
          <cell r="B63" t="str">
            <v>KFW- 12.0M Euro</v>
          </cell>
          <cell r="AM63">
            <v>0</v>
          </cell>
        </row>
        <row r="64">
          <cell r="A64" t="str">
            <v>Nova</v>
          </cell>
          <cell r="B64" t="str">
            <v>DFID</v>
          </cell>
          <cell r="AM64">
            <v>0</v>
          </cell>
        </row>
        <row r="65">
          <cell r="A65" t="str">
            <v>Nova</v>
          </cell>
          <cell r="B65" t="str">
            <v>USAID     SIFPO</v>
          </cell>
          <cell r="AM65">
            <v>0</v>
          </cell>
        </row>
        <row r="66">
          <cell r="A66" t="str">
            <v>Nova</v>
          </cell>
          <cell r="B66" t="str">
            <v>GF ROUND - 8</v>
          </cell>
          <cell r="AM66">
            <v>0</v>
          </cell>
        </row>
        <row r="67">
          <cell r="A67" t="str">
            <v>Nova</v>
          </cell>
          <cell r="B67" t="str">
            <v>GF ROUND - 9</v>
          </cell>
          <cell r="AM67">
            <v>0</v>
          </cell>
        </row>
        <row r="68">
          <cell r="A68" t="str">
            <v>Nova</v>
          </cell>
          <cell r="B68" t="str">
            <v>PACKARD</v>
          </cell>
          <cell r="AM68">
            <v>0</v>
          </cell>
        </row>
        <row r="69">
          <cell r="A69" t="str">
            <v>Nova</v>
          </cell>
          <cell r="B69" t="str">
            <v>PI- GSM</v>
          </cell>
          <cell r="AM69">
            <v>0</v>
          </cell>
        </row>
        <row r="70">
          <cell r="A70" t="str">
            <v>Nova</v>
          </cell>
          <cell r="B70" t="str">
            <v>NEW DONOR</v>
          </cell>
          <cell r="AM70">
            <v>0</v>
          </cell>
        </row>
        <row r="71">
          <cell r="A71" t="str">
            <v>Nova</v>
          </cell>
          <cell r="B71" t="str">
            <v>Donor 10</v>
          </cell>
          <cell r="AM71">
            <v>0</v>
          </cell>
        </row>
        <row r="72">
          <cell r="A72" t="str">
            <v>NOVODOL</v>
          </cell>
          <cell r="B72" t="str">
            <v>LAD III</v>
          </cell>
          <cell r="AM72">
            <v>0</v>
          </cell>
        </row>
        <row r="73">
          <cell r="A73" t="str">
            <v>NOVODOL</v>
          </cell>
          <cell r="B73" t="str">
            <v>KFW- 12.0M Euro</v>
          </cell>
          <cell r="AM73">
            <v>0</v>
          </cell>
        </row>
        <row r="74">
          <cell r="A74" t="str">
            <v>NOVODOL</v>
          </cell>
          <cell r="B74" t="str">
            <v>DFID</v>
          </cell>
          <cell r="AM74">
            <v>0</v>
          </cell>
        </row>
        <row r="75">
          <cell r="A75" t="str">
            <v>NOVODOL</v>
          </cell>
          <cell r="B75" t="str">
            <v>USAID     SIFPO</v>
          </cell>
          <cell r="AM75">
            <v>0</v>
          </cell>
        </row>
        <row r="76">
          <cell r="A76" t="str">
            <v>NOVODOL</v>
          </cell>
          <cell r="B76" t="str">
            <v>GF ROUND - 8</v>
          </cell>
          <cell r="AM76">
            <v>0</v>
          </cell>
        </row>
        <row r="77">
          <cell r="A77" t="str">
            <v>NOVODOL</v>
          </cell>
          <cell r="B77" t="str">
            <v>GF ROUND - 9</v>
          </cell>
          <cell r="AM77">
            <v>0</v>
          </cell>
        </row>
        <row r="78">
          <cell r="A78" t="str">
            <v>NOVODOL</v>
          </cell>
          <cell r="B78" t="str">
            <v>PACKARD</v>
          </cell>
          <cell r="AM78">
            <v>0</v>
          </cell>
        </row>
        <row r="79">
          <cell r="A79" t="str">
            <v>NOVODOL</v>
          </cell>
          <cell r="B79" t="str">
            <v>PI- GSM</v>
          </cell>
          <cell r="AM79">
            <v>0</v>
          </cell>
        </row>
        <row r="80">
          <cell r="A80" t="str">
            <v>NOVODOL</v>
          </cell>
          <cell r="B80" t="str">
            <v>NEW DONOR</v>
          </cell>
          <cell r="AM80">
            <v>0</v>
          </cell>
        </row>
        <row r="81">
          <cell r="A81" t="str">
            <v>NOVODOL</v>
          </cell>
          <cell r="B81" t="str">
            <v>Donor 10</v>
          </cell>
          <cell r="AM81">
            <v>0</v>
          </cell>
        </row>
        <row r="82">
          <cell r="A82" t="str">
            <v>ECP</v>
          </cell>
          <cell r="B82" t="str">
            <v>LAD III</v>
          </cell>
          <cell r="AM82">
            <v>0</v>
          </cell>
        </row>
        <row r="83">
          <cell r="A83" t="str">
            <v>ECP</v>
          </cell>
          <cell r="B83" t="str">
            <v>KFW- 12.0M Euro</v>
          </cell>
          <cell r="AM83">
            <v>0</v>
          </cell>
        </row>
        <row r="84">
          <cell r="A84" t="str">
            <v>ECP</v>
          </cell>
          <cell r="B84" t="str">
            <v>DFID</v>
          </cell>
          <cell r="AM84">
            <v>0</v>
          </cell>
        </row>
        <row r="85">
          <cell r="A85" t="str">
            <v>ECP</v>
          </cell>
          <cell r="B85" t="str">
            <v>USAID     SIFPO</v>
          </cell>
          <cell r="AM85">
            <v>0</v>
          </cell>
        </row>
        <row r="86">
          <cell r="A86" t="str">
            <v>ECP</v>
          </cell>
          <cell r="B86" t="str">
            <v>GF ROUND - 8</v>
          </cell>
          <cell r="AM86">
            <v>0</v>
          </cell>
        </row>
        <row r="87">
          <cell r="A87" t="str">
            <v>ECP</v>
          </cell>
          <cell r="B87" t="str">
            <v>GF ROUND - 9</v>
          </cell>
          <cell r="AM87">
            <v>0</v>
          </cell>
        </row>
        <row r="88">
          <cell r="A88" t="str">
            <v>ECP</v>
          </cell>
          <cell r="B88" t="str">
            <v>PACKARD</v>
          </cell>
          <cell r="AM88">
            <v>0</v>
          </cell>
        </row>
        <row r="89">
          <cell r="A89" t="str">
            <v>ECP</v>
          </cell>
          <cell r="B89" t="str">
            <v>PI- GSM</v>
          </cell>
          <cell r="AM89">
            <v>0</v>
          </cell>
        </row>
        <row r="90">
          <cell r="A90" t="str">
            <v>ECP</v>
          </cell>
          <cell r="B90" t="str">
            <v>NEW DONOR</v>
          </cell>
          <cell r="AM90">
            <v>0</v>
          </cell>
        </row>
        <row r="91">
          <cell r="A91" t="str">
            <v>ECP</v>
          </cell>
          <cell r="B91" t="str">
            <v>Donor 10</v>
          </cell>
          <cell r="AM91">
            <v>0</v>
          </cell>
        </row>
        <row r="92">
          <cell r="A92" t="str">
            <v>NOVAJECT</v>
          </cell>
          <cell r="B92" t="str">
            <v>LAD III</v>
          </cell>
          <cell r="AM92">
            <v>0</v>
          </cell>
        </row>
        <row r="93">
          <cell r="A93" t="str">
            <v>NOVAJECT</v>
          </cell>
          <cell r="B93" t="str">
            <v>KFW- 12.0M Euro</v>
          </cell>
          <cell r="AM93">
            <v>0</v>
          </cell>
        </row>
        <row r="94">
          <cell r="A94" t="str">
            <v>NOVAJECT</v>
          </cell>
          <cell r="B94" t="str">
            <v>DFID</v>
          </cell>
          <cell r="AM94">
            <v>0</v>
          </cell>
        </row>
        <row r="95">
          <cell r="A95" t="str">
            <v>NOVAJECT</v>
          </cell>
          <cell r="B95" t="str">
            <v>USAID     SIFPO</v>
          </cell>
          <cell r="AM95">
            <v>0</v>
          </cell>
        </row>
        <row r="96">
          <cell r="A96" t="str">
            <v>NOVAJECT</v>
          </cell>
          <cell r="B96" t="str">
            <v>GF ROUND - 8</v>
          </cell>
          <cell r="AM96">
            <v>0</v>
          </cell>
        </row>
        <row r="97">
          <cell r="A97" t="str">
            <v>NOVAJECT</v>
          </cell>
          <cell r="B97" t="str">
            <v>GF ROUND - 9</v>
          </cell>
          <cell r="AM97">
            <v>0</v>
          </cell>
        </row>
        <row r="98">
          <cell r="A98" t="str">
            <v>NOVAJECT</v>
          </cell>
          <cell r="B98" t="str">
            <v>PACKARD</v>
          </cell>
          <cell r="AM98">
            <v>0</v>
          </cell>
        </row>
        <row r="99">
          <cell r="A99" t="str">
            <v>NOVAJECT</v>
          </cell>
          <cell r="B99" t="str">
            <v>PI- GSM</v>
          </cell>
          <cell r="AM99">
            <v>0</v>
          </cell>
        </row>
        <row r="100">
          <cell r="A100" t="str">
            <v>NOVAJECT</v>
          </cell>
          <cell r="B100" t="str">
            <v>NEW DONOR</v>
          </cell>
          <cell r="AM100">
            <v>0</v>
          </cell>
        </row>
        <row r="101">
          <cell r="A101" t="str">
            <v>NOVAJECT</v>
          </cell>
          <cell r="B101" t="str">
            <v>Donor 10</v>
          </cell>
          <cell r="AM101">
            <v>0</v>
          </cell>
        </row>
        <row r="102">
          <cell r="A102" t="str">
            <v>FEMIJECT</v>
          </cell>
          <cell r="B102" t="str">
            <v>LAD III</v>
          </cell>
          <cell r="AM102">
            <v>0</v>
          </cell>
        </row>
        <row r="103">
          <cell r="A103" t="str">
            <v>FEMIJECT</v>
          </cell>
          <cell r="B103" t="str">
            <v>KFW- 12.0M Euro</v>
          </cell>
          <cell r="AM103">
            <v>0</v>
          </cell>
        </row>
        <row r="104">
          <cell r="A104" t="str">
            <v>FEMIJECT</v>
          </cell>
          <cell r="B104" t="str">
            <v>DFID</v>
          </cell>
          <cell r="AM104">
            <v>0</v>
          </cell>
        </row>
        <row r="105">
          <cell r="A105" t="str">
            <v>FEMIJECT</v>
          </cell>
          <cell r="B105" t="str">
            <v>USAID     SIFPO</v>
          </cell>
          <cell r="AM105">
            <v>0</v>
          </cell>
        </row>
        <row r="106">
          <cell r="A106" t="str">
            <v>FEMIJECT</v>
          </cell>
          <cell r="B106" t="str">
            <v>GF ROUND - 8</v>
          </cell>
          <cell r="AM106">
            <v>0</v>
          </cell>
        </row>
        <row r="107">
          <cell r="A107" t="str">
            <v>FEMIJECT</v>
          </cell>
          <cell r="B107" t="str">
            <v>GF ROUND - 9</v>
          </cell>
          <cell r="AM107">
            <v>0</v>
          </cell>
        </row>
        <row r="108">
          <cell r="A108" t="str">
            <v>FEMIJECT</v>
          </cell>
          <cell r="B108" t="str">
            <v>PACKARD</v>
          </cell>
          <cell r="AM108">
            <v>0</v>
          </cell>
        </row>
        <row r="109">
          <cell r="A109" t="str">
            <v>FEMIJECT</v>
          </cell>
          <cell r="B109" t="str">
            <v>PI- GSM</v>
          </cell>
          <cell r="AM109">
            <v>0</v>
          </cell>
        </row>
        <row r="110">
          <cell r="A110" t="str">
            <v>FEMIJECT</v>
          </cell>
          <cell r="B110" t="str">
            <v>NEW DONOR</v>
          </cell>
          <cell r="AM110">
            <v>0</v>
          </cell>
        </row>
        <row r="111">
          <cell r="A111" t="str">
            <v>FEMIJECT</v>
          </cell>
          <cell r="B111" t="str">
            <v>Donor 10</v>
          </cell>
          <cell r="AM111">
            <v>0</v>
          </cell>
        </row>
        <row r="112">
          <cell r="A112" t="str">
            <v>DEPO PROVERA</v>
          </cell>
          <cell r="B112" t="str">
            <v>LAD III</v>
          </cell>
          <cell r="AM112">
            <v>0</v>
          </cell>
        </row>
        <row r="113">
          <cell r="A113" t="str">
            <v>DEPO PROVERA</v>
          </cell>
          <cell r="B113" t="str">
            <v>KFW- 12.0M Euro</v>
          </cell>
          <cell r="AM113">
            <v>0</v>
          </cell>
        </row>
        <row r="114">
          <cell r="A114" t="str">
            <v>DEPO PROVERA</v>
          </cell>
          <cell r="B114" t="str">
            <v>DFID</v>
          </cell>
          <cell r="AM114">
            <v>0</v>
          </cell>
        </row>
        <row r="115">
          <cell r="A115" t="str">
            <v>DEPO PROVERA</v>
          </cell>
          <cell r="B115" t="str">
            <v>USAID     SIFPO</v>
          </cell>
          <cell r="AM115">
            <v>0</v>
          </cell>
        </row>
        <row r="116">
          <cell r="A116" t="str">
            <v>DEPO PROVERA</v>
          </cell>
          <cell r="B116" t="str">
            <v>GF ROUND - 8</v>
          </cell>
          <cell r="AM116">
            <v>0</v>
          </cell>
        </row>
        <row r="117">
          <cell r="A117" t="str">
            <v>DEPO PROVERA</v>
          </cell>
          <cell r="B117" t="str">
            <v>GF ROUND - 9</v>
          </cell>
          <cell r="AM117">
            <v>0</v>
          </cell>
        </row>
        <row r="118">
          <cell r="A118" t="str">
            <v>DEPO PROVERA</v>
          </cell>
          <cell r="B118" t="str">
            <v>PACKARD</v>
          </cell>
          <cell r="AM118">
            <v>0</v>
          </cell>
        </row>
        <row r="119">
          <cell r="A119" t="str">
            <v>DEPO PROVERA</v>
          </cell>
          <cell r="B119" t="str">
            <v>PI- GSM</v>
          </cell>
          <cell r="AM119">
            <v>0</v>
          </cell>
        </row>
        <row r="120">
          <cell r="A120" t="str">
            <v>DEPO PROVERA</v>
          </cell>
          <cell r="B120" t="str">
            <v>NEW DONOR</v>
          </cell>
          <cell r="AM120">
            <v>0</v>
          </cell>
        </row>
        <row r="121">
          <cell r="A121" t="str">
            <v>DEPO PROVERA</v>
          </cell>
          <cell r="B121" t="str">
            <v>Donor 10</v>
          </cell>
          <cell r="AM121">
            <v>0</v>
          </cell>
        </row>
        <row r="122">
          <cell r="A122" t="str">
            <v>MULTILOAD</v>
          </cell>
          <cell r="B122" t="str">
            <v>LAD III</v>
          </cell>
          <cell r="AM122">
            <v>0</v>
          </cell>
        </row>
        <row r="123">
          <cell r="A123" t="str">
            <v>MULTILOAD</v>
          </cell>
          <cell r="B123" t="str">
            <v>KFW- 12.0M Euro</v>
          </cell>
          <cell r="AM123">
            <v>0</v>
          </cell>
        </row>
        <row r="124">
          <cell r="A124" t="str">
            <v>MULTILOAD</v>
          </cell>
          <cell r="B124" t="str">
            <v>DFID</v>
          </cell>
          <cell r="AM124">
            <v>0</v>
          </cell>
        </row>
        <row r="125">
          <cell r="A125" t="str">
            <v>MULTILOAD</v>
          </cell>
          <cell r="B125" t="str">
            <v>USAID     SIFPO</v>
          </cell>
          <cell r="AM125">
            <v>0</v>
          </cell>
        </row>
        <row r="126">
          <cell r="A126" t="str">
            <v>MULTILOAD</v>
          </cell>
          <cell r="B126" t="str">
            <v>GF ROUND - 8</v>
          </cell>
          <cell r="AM126">
            <v>0</v>
          </cell>
        </row>
        <row r="127">
          <cell r="A127" t="str">
            <v>MULTILOAD</v>
          </cell>
          <cell r="B127" t="str">
            <v>GF ROUND - 9</v>
          </cell>
          <cell r="AM127">
            <v>0</v>
          </cell>
        </row>
        <row r="128">
          <cell r="A128" t="str">
            <v>MULTILOAD</v>
          </cell>
          <cell r="B128" t="str">
            <v>PACKARD</v>
          </cell>
          <cell r="AM128">
            <v>0</v>
          </cell>
        </row>
        <row r="129">
          <cell r="A129" t="str">
            <v>MULTILOAD</v>
          </cell>
          <cell r="B129" t="str">
            <v>PI- GSM</v>
          </cell>
          <cell r="AM129">
            <v>0</v>
          </cell>
        </row>
        <row r="130">
          <cell r="A130" t="str">
            <v>MULTILOAD</v>
          </cell>
          <cell r="B130" t="str">
            <v>NEW DONOR</v>
          </cell>
          <cell r="AM130">
            <v>0</v>
          </cell>
        </row>
        <row r="131">
          <cell r="A131" t="str">
            <v>MULTILOAD</v>
          </cell>
          <cell r="B131" t="str">
            <v>Donor 10</v>
          </cell>
          <cell r="AM131">
            <v>0</v>
          </cell>
        </row>
        <row r="132">
          <cell r="A132" t="str">
            <v>SAFELOAD</v>
          </cell>
          <cell r="B132" t="str">
            <v>LAD III</v>
          </cell>
          <cell r="AM132">
            <v>0</v>
          </cell>
        </row>
        <row r="133">
          <cell r="A133" t="str">
            <v>SAFELOAD</v>
          </cell>
          <cell r="B133" t="str">
            <v>KFW- 12.0M Euro</v>
          </cell>
          <cell r="AM133">
            <v>0</v>
          </cell>
        </row>
        <row r="134">
          <cell r="A134" t="str">
            <v>SAFELOAD</v>
          </cell>
          <cell r="B134" t="str">
            <v>DFID</v>
          </cell>
          <cell r="AM134">
            <v>0</v>
          </cell>
        </row>
        <row r="135">
          <cell r="A135" t="str">
            <v>SAFELOAD</v>
          </cell>
          <cell r="B135" t="str">
            <v>USAID     SIFPO</v>
          </cell>
          <cell r="AM135">
            <v>0</v>
          </cell>
        </row>
        <row r="136">
          <cell r="A136" t="str">
            <v>SAFELOAD</v>
          </cell>
          <cell r="B136" t="str">
            <v>GF ROUND - 8</v>
          </cell>
          <cell r="AM136">
            <v>0</v>
          </cell>
        </row>
        <row r="137">
          <cell r="A137" t="str">
            <v>SAFELOAD</v>
          </cell>
          <cell r="B137" t="str">
            <v>GF ROUND - 9</v>
          </cell>
          <cell r="AM137">
            <v>0</v>
          </cell>
        </row>
        <row r="138">
          <cell r="A138" t="str">
            <v>SAFELOAD</v>
          </cell>
          <cell r="B138" t="str">
            <v>PACKARD</v>
          </cell>
          <cell r="AM138">
            <v>0</v>
          </cell>
        </row>
        <row r="139">
          <cell r="A139" t="str">
            <v>SAFELOAD</v>
          </cell>
          <cell r="B139" t="str">
            <v>PI- GSM</v>
          </cell>
          <cell r="AM139">
            <v>0</v>
          </cell>
        </row>
        <row r="140">
          <cell r="A140" t="str">
            <v>SAFELOAD</v>
          </cell>
          <cell r="B140" t="str">
            <v>NEW DONOR</v>
          </cell>
          <cell r="AM140">
            <v>0</v>
          </cell>
        </row>
        <row r="141">
          <cell r="A141" t="str">
            <v>SAFELOAD</v>
          </cell>
          <cell r="B141" t="str">
            <v>Donor 10</v>
          </cell>
          <cell r="AM141">
            <v>0</v>
          </cell>
        </row>
        <row r="142">
          <cell r="A142" t="str">
            <v>Famiplant</v>
          </cell>
          <cell r="B142" t="str">
            <v>LAD III</v>
          </cell>
          <cell r="AM142">
            <v>0</v>
          </cell>
        </row>
        <row r="143">
          <cell r="A143" t="str">
            <v>Famiplant</v>
          </cell>
          <cell r="B143" t="str">
            <v>KFW- 12.0M Euro</v>
          </cell>
          <cell r="AM143">
            <v>0</v>
          </cell>
        </row>
        <row r="144">
          <cell r="A144" t="str">
            <v>Famiplant</v>
          </cell>
          <cell r="B144" t="str">
            <v>DFID</v>
          </cell>
          <cell r="AM144">
            <v>0</v>
          </cell>
        </row>
        <row r="145">
          <cell r="A145" t="str">
            <v>Famiplant</v>
          </cell>
          <cell r="B145" t="str">
            <v>USAID     SIFPO</v>
          </cell>
          <cell r="AM145">
            <v>0</v>
          </cell>
        </row>
        <row r="146">
          <cell r="A146" t="str">
            <v>Famiplant</v>
          </cell>
          <cell r="B146" t="str">
            <v>GF ROUND - 8</v>
          </cell>
          <cell r="AM146">
            <v>0</v>
          </cell>
        </row>
        <row r="147">
          <cell r="A147" t="str">
            <v>Famiplant</v>
          </cell>
          <cell r="B147" t="str">
            <v>GF ROUND - 9</v>
          </cell>
          <cell r="AM147">
            <v>0</v>
          </cell>
        </row>
        <row r="148">
          <cell r="A148" t="str">
            <v>Famiplant</v>
          </cell>
          <cell r="B148" t="str">
            <v>PACKARD</v>
          </cell>
          <cell r="AM148">
            <v>0</v>
          </cell>
        </row>
        <row r="149">
          <cell r="A149" t="str">
            <v>Famiplant</v>
          </cell>
          <cell r="B149" t="str">
            <v>PI- GSM</v>
          </cell>
          <cell r="AM149">
            <v>0</v>
          </cell>
        </row>
        <row r="150">
          <cell r="A150" t="str">
            <v>Famiplant</v>
          </cell>
          <cell r="B150" t="str">
            <v>NEW DONOR</v>
          </cell>
          <cell r="AM150">
            <v>0</v>
          </cell>
        </row>
        <row r="151">
          <cell r="A151" t="str">
            <v>Famiplant</v>
          </cell>
          <cell r="B151" t="str">
            <v>Donor 10</v>
          </cell>
          <cell r="AM151">
            <v>0</v>
          </cell>
        </row>
        <row r="152">
          <cell r="A152" t="str">
            <v>Jadelle</v>
          </cell>
          <cell r="B152" t="str">
            <v>LAD III</v>
          </cell>
          <cell r="AM152">
            <v>0</v>
          </cell>
        </row>
        <row r="153">
          <cell r="A153" t="str">
            <v>Jadelle</v>
          </cell>
          <cell r="B153" t="str">
            <v>KFW- 12.0M Euro</v>
          </cell>
          <cell r="AM153">
            <v>0</v>
          </cell>
        </row>
        <row r="154">
          <cell r="A154" t="str">
            <v>Jadelle</v>
          </cell>
          <cell r="B154" t="str">
            <v>DFID</v>
          </cell>
          <cell r="AM154">
            <v>0</v>
          </cell>
        </row>
        <row r="155">
          <cell r="A155" t="str">
            <v>Jadelle</v>
          </cell>
          <cell r="B155" t="str">
            <v>USAID     SIFPO</v>
          </cell>
          <cell r="AM155">
            <v>0</v>
          </cell>
        </row>
        <row r="156">
          <cell r="A156" t="str">
            <v>Jadelle</v>
          </cell>
          <cell r="B156" t="str">
            <v>GF ROUND - 8</v>
          </cell>
          <cell r="AM156">
            <v>0</v>
          </cell>
        </row>
        <row r="157">
          <cell r="A157" t="str">
            <v>Jadelle</v>
          </cell>
          <cell r="B157" t="str">
            <v>GF ROUND - 9</v>
          </cell>
          <cell r="AM157">
            <v>0</v>
          </cell>
        </row>
        <row r="158">
          <cell r="A158" t="str">
            <v>Jadelle</v>
          </cell>
          <cell r="B158" t="str">
            <v>PACKARD</v>
          </cell>
          <cell r="AM158">
            <v>0</v>
          </cell>
        </row>
        <row r="159">
          <cell r="A159" t="str">
            <v>Jadelle</v>
          </cell>
          <cell r="B159" t="str">
            <v>PI- GSM</v>
          </cell>
          <cell r="AM159">
            <v>0</v>
          </cell>
        </row>
        <row r="160">
          <cell r="A160" t="str">
            <v>Jadelle</v>
          </cell>
          <cell r="B160" t="str">
            <v>NEW DONOR</v>
          </cell>
          <cell r="AM160">
            <v>0</v>
          </cell>
        </row>
        <row r="161">
          <cell r="A161" t="str">
            <v>Jadelle</v>
          </cell>
          <cell r="B161" t="str">
            <v>Donor 10</v>
          </cell>
          <cell r="AM161">
            <v>0</v>
          </cell>
        </row>
        <row r="162">
          <cell r="A162" t="str">
            <v>CLEAN START KIT</v>
          </cell>
          <cell r="B162" t="str">
            <v>LAD III</v>
          </cell>
          <cell r="AM162">
            <v>0</v>
          </cell>
        </row>
        <row r="163">
          <cell r="A163" t="str">
            <v>CLEAN START KIT</v>
          </cell>
          <cell r="B163" t="str">
            <v>KFW- 12.0M Euro</v>
          </cell>
          <cell r="AM163">
            <v>0</v>
          </cell>
        </row>
        <row r="164">
          <cell r="A164" t="str">
            <v>CLEAN START KIT</v>
          </cell>
          <cell r="B164" t="str">
            <v>DFID</v>
          </cell>
          <cell r="AM164">
            <v>0</v>
          </cell>
        </row>
        <row r="165">
          <cell r="A165" t="str">
            <v>CLEAN START KIT</v>
          </cell>
          <cell r="B165" t="str">
            <v>USAID     SIFPO</v>
          </cell>
          <cell r="AM165">
            <v>0</v>
          </cell>
        </row>
        <row r="166">
          <cell r="A166" t="str">
            <v>CLEAN START KIT</v>
          </cell>
          <cell r="B166" t="str">
            <v>GF ROUND - 8</v>
          </cell>
          <cell r="AM166">
            <v>0</v>
          </cell>
        </row>
        <row r="167">
          <cell r="A167" t="str">
            <v>CLEAN START KIT</v>
          </cell>
          <cell r="B167" t="str">
            <v>GF ROUND - 9</v>
          </cell>
          <cell r="AM167">
            <v>0</v>
          </cell>
        </row>
        <row r="168">
          <cell r="A168" t="str">
            <v>CLEAN START KIT</v>
          </cell>
          <cell r="B168" t="str">
            <v>PACKARD</v>
          </cell>
          <cell r="AM168">
            <v>0</v>
          </cell>
        </row>
        <row r="169">
          <cell r="A169" t="str">
            <v>CLEAN START KIT</v>
          </cell>
          <cell r="B169" t="str">
            <v>PI- GSM</v>
          </cell>
          <cell r="AM169">
            <v>0</v>
          </cell>
        </row>
        <row r="170">
          <cell r="A170" t="str">
            <v>CLEAN START KIT</v>
          </cell>
          <cell r="B170" t="str">
            <v>NEW DONOR</v>
          </cell>
          <cell r="AM170">
            <v>0</v>
          </cell>
        </row>
        <row r="171">
          <cell r="A171" t="str">
            <v>CLEAN START KIT</v>
          </cell>
          <cell r="B171" t="str">
            <v>Donor 10</v>
          </cell>
          <cell r="AM171">
            <v>0</v>
          </cell>
        </row>
        <row r="172">
          <cell r="A172" t="str">
            <v>CLEAR 7</v>
          </cell>
          <cell r="B172" t="str">
            <v>LAD III</v>
          </cell>
          <cell r="AM172">
            <v>0</v>
          </cell>
        </row>
        <row r="173">
          <cell r="A173" t="str">
            <v>CLEAR 7</v>
          </cell>
          <cell r="B173" t="str">
            <v>KFW- 12.0M Euro</v>
          </cell>
          <cell r="AM173">
            <v>0</v>
          </cell>
        </row>
        <row r="174">
          <cell r="A174" t="str">
            <v>CLEAR 7</v>
          </cell>
          <cell r="B174" t="str">
            <v>DFID</v>
          </cell>
          <cell r="AM174">
            <v>0</v>
          </cell>
        </row>
        <row r="175">
          <cell r="A175" t="str">
            <v>CLEAR 7</v>
          </cell>
          <cell r="B175" t="str">
            <v>USAID     SIFPO</v>
          </cell>
          <cell r="AM175">
            <v>0</v>
          </cell>
        </row>
        <row r="176">
          <cell r="A176" t="str">
            <v>CLEAR 7</v>
          </cell>
          <cell r="B176" t="str">
            <v>GF ROUND - 8</v>
          </cell>
          <cell r="AM176">
            <v>0</v>
          </cell>
        </row>
        <row r="177">
          <cell r="A177" t="str">
            <v>CLEAR 7</v>
          </cell>
          <cell r="B177" t="str">
            <v>GF ROUND - 9</v>
          </cell>
          <cell r="AM177">
            <v>0</v>
          </cell>
        </row>
        <row r="178">
          <cell r="A178" t="str">
            <v>CLEAR 7</v>
          </cell>
          <cell r="B178" t="str">
            <v>PACKARD</v>
          </cell>
          <cell r="AM178">
            <v>0</v>
          </cell>
        </row>
        <row r="179">
          <cell r="A179" t="str">
            <v>CLEAR 7</v>
          </cell>
          <cell r="B179" t="str">
            <v>PI- GSM</v>
          </cell>
          <cell r="AM179">
            <v>0</v>
          </cell>
        </row>
        <row r="180">
          <cell r="A180" t="str">
            <v>CLEAR 7</v>
          </cell>
          <cell r="B180" t="str">
            <v>NEW DONOR</v>
          </cell>
          <cell r="AM180">
            <v>0</v>
          </cell>
        </row>
        <row r="181">
          <cell r="A181" t="str">
            <v>CLEAR 7</v>
          </cell>
          <cell r="B181" t="str">
            <v>Donor 10</v>
          </cell>
          <cell r="AM181">
            <v>0</v>
          </cell>
        </row>
        <row r="182">
          <cell r="A182" t="str">
            <v>AQUA TABS (T-10)</v>
          </cell>
          <cell r="B182" t="str">
            <v>LAD III</v>
          </cell>
          <cell r="AM182">
            <v>0</v>
          </cell>
        </row>
        <row r="183">
          <cell r="A183" t="str">
            <v>AQUA TABS (T-10)</v>
          </cell>
          <cell r="B183" t="str">
            <v>KFW- 12.0M Euro</v>
          </cell>
          <cell r="AM183">
            <v>0</v>
          </cell>
        </row>
        <row r="184">
          <cell r="A184" t="str">
            <v>AQUA TABS (T-10)</v>
          </cell>
          <cell r="B184" t="str">
            <v>DFID</v>
          </cell>
          <cell r="AM184">
            <v>0</v>
          </cell>
        </row>
        <row r="185">
          <cell r="A185" t="str">
            <v>AQUA TABS (T-10)</v>
          </cell>
          <cell r="B185" t="str">
            <v>USAID     SIFPO</v>
          </cell>
          <cell r="AM185">
            <v>0</v>
          </cell>
        </row>
        <row r="186">
          <cell r="A186" t="str">
            <v>AQUA TABS (T-10)</v>
          </cell>
          <cell r="B186" t="str">
            <v>GF ROUND - 8</v>
          </cell>
          <cell r="AM186">
            <v>0</v>
          </cell>
        </row>
        <row r="187">
          <cell r="A187" t="str">
            <v>AQUA TABS (T-10)</v>
          </cell>
          <cell r="B187" t="str">
            <v>GF ROUND - 9</v>
          </cell>
          <cell r="AM187">
            <v>0</v>
          </cell>
        </row>
        <row r="188">
          <cell r="A188" t="str">
            <v>AQUA TABS (T-10)</v>
          </cell>
          <cell r="B188" t="str">
            <v>PACKARD</v>
          </cell>
          <cell r="AM188">
            <v>0</v>
          </cell>
        </row>
        <row r="189">
          <cell r="A189" t="str">
            <v>AQUA TABS (T-10)</v>
          </cell>
          <cell r="B189" t="str">
            <v>PI- GSM</v>
          </cell>
          <cell r="AM189">
            <v>0</v>
          </cell>
        </row>
        <row r="190">
          <cell r="A190" t="str">
            <v>AQUA TABS (T-10)</v>
          </cell>
          <cell r="B190" t="str">
            <v>NEW DONOR</v>
          </cell>
          <cell r="AM190">
            <v>0</v>
          </cell>
        </row>
        <row r="191">
          <cell r="A191" t="str">
            <v>AQUA TABS (T-10)</v>
          </cell>
          <cell r="B191" t="str">
            <v>Donor 10</v>
          </cell>
          <cell r="AM191">
            <v>0</v>
          </cell>
        </row>
        <row r="192">
          <cell r="A192" t="str">
            <v>AQUA TABS (T-20)</v>
          </cell>
          <cell r="B192" t="str">
            <v>LAD III</v>
          </cell>
          <cell r="AM192">
            <v>0</v>
          </cell>
        </row>
        <row r="193">
          <cell r="A193" t="str">
            <v>AQUA TABS (T-20)</v>
          </cell>
          <cell r="B193" t="str">
            <v>KFW- 12.0M Euro</v>
          </cell>
          <cell r="AM193">
            <v>0</v>
          </cell>
        </row>
        <row r="194">
          <cell r="A194" t="str">
            <v>AQUA TABS (T-20)</v>
          </cell>
          <cell r="B194" t="str">
            <v>DFID</v>
          </cell>
          <cell r="AM194">
            <v>0</v>
          </cell>
        </row>
        <row r="195">
          <cell r="A195" t="str">
            <v>AQUA TABS (T-20)</v>
          </cell>
          <cell r="B195" t="str">
            <v>USAID     SIFPO</v>
          </cell>
          <cell r="AM195">
            <v>0</v>
          </cell>
        </row>
        <row r="196">
          <cell r="A196" t="str">
            <v>AQUA TABS (T-20)</v>
          </cell>
          <cell r="B196" t="str">
            <v>GF ROUND - 8</v>
          </cell>
          <cell r="AM196">
            <v>0</v>
          </cell>
        </row>
        <row r="197">
          <cell r="A197" t="str">
            <v>AQUA TABS (T-20)</v>
          </cell>
          <cell r="B197" t="str">
            <v>GF ROUND - 9</v>
          </cell>
          <cell r="AM197">
            <v>0</v>
          </cell>
        </row>
        <row r="198">
          <cell r="A198" t="str">
            <v>AQUA TABS (T-20)</v>
          </cell>
          <cell r="B198" t="str">
            <v>PACKARD</v>
          </cell>
          <cell r="AM198">
            <v>0</v>
          </cell>
        </row>
        <row r="199">
          <cell r="A199" t="str">
            <v>AQUA TABS (T-20)</v>
          </cell>
          <cell r="B199" t="str">
            <v>PI- GSM</v>
          </cell>
          <cell r="AM199">
            <v>0</v>
          </cell>
        </row>
        <row r="200">
          <cell r="A200" t="str">
            <v>AQUA TABS (T-20)</v>
          </cell>
          <cell r="B200" t="str">
            <v>NEW DONOR</v>
          </cell>
          <cell r="AM200">
            <v>0</v>
          </cell>
        </row>
        <row r="201">
          <cell r="A201" t="str">
            <v>AQUA TABS (T-20)</v>
          </cell>
          <cell r="B201" t="str">
            <v>Donor 10</v>
          </cell>
          <cell r="AM201">
            <v>0</v>
          </cell>
        </row>
        <row r="202">
          <cell r="A202" t="str">
            <v>BABY ACTIVE</v>
          </cell>
          <cell r="B202" t="str">
            <v>LAD III</v>
          </cell>
          <cell r="AM202">
            <v>0</v>
          </cell>
        </row>
        <row r="203">
          <cell r="A203" t="str">
            <v>BABY ACTIVE</v>
          </cell>
          <cell r="B203" t="str">
            <v>KFW- 12.0M Euro</v>
          </cell>
          <cell r="AM203">
            <v>0</v>
          </cell>
        </row>
        <row r="204">
          <cell r="A204" t="str">
            <v>BABY ACTIVE</v>
          </cell>
          <cell r="B204" t="str">
            <v>DFID</v>
          </cell>
          <cell r="AM204">
            <v>0</v>
          </cell>
        </row>
        <row r="205">
          <cell r="A205" t="str">
            <v>BABY ACTIVE</v>
          </cell>
          <cell r="B205" t="str">
            <v>USAID     SIFPO</v>
          </cell>
          <cell r="AM205">
            <v>0</v>
          </cell>
        </row>
        <row r="206">
          <cell r="A206" t="str">
            <v>BABY ACTIVE</v>
          </cell>
          <cell r="B206" t="str">
            <v>GF ROUND - 8</v>
          </cell>
          <cell r="AM206">
            <v>0</v>
          </cell>
        </row>
        <row r="207">
          <cell r="A207" t="str">
            <v>BABY ACTIVE</v>
          </cell>
          <cell r="B207" t="str">
            <v>GF ROUND - 9</v>
          </cell>
          <cell r="AM207">
            <v>0</v>
          </cell>
        </row>
        <row r="208">
          <cell r="A208" t="str">
            <v>BABY ACTIVE</v>
          </cell>
          <cell r="B208" t="str">
            <v>PACKARD</v>
          </cell>
          <cell r="AM208">
            <v>0</v>
          </cell>
        </row>
        <row r="209">
          <cell r="A209" t="str">
            <v>BABY ACTIVE</v>
          </cell>
          <cell r="B209" t="str">
            <v>PI- GSM</v>
          </cell>
          <cell r="AM209">
            <v>0</v>
          </cell>
        </row>
        <row r="210">
          <cell r="A210" t="str">
            <v>BABY ACTIVE</v>
          </cell>
          <cell r="B210" t="str">
            <v>NEW DONOR</v>
          </cell>
          <cell r="AM210">
            <v>0</v>
          </cell>
        </row>
        <row r="211">
          <cell r="A211" t="str">
            <v>BABY ACTIVE</v>
          </cell>
          <cell r="B211" t="str">
            <v>Donor 10</v>
          </cell>
          <cell r="AM211">
            <v>0</v>
          </cell>
        </row>
        <row r="212">
          <cell r="A212" t="str">
            <v>Pure</v>
          </cell>
          <cell r="B212" t="str">
            <v>LAD III</v>
          </cell>
          <cell r="AM212">
            <v>0</v>
          </cell>
        </row>
        <row r="213">
          <cell r="A213" t="str">
            <v>Pure</v>
          </cell>
          <cell r="B213" t="str">
            <v>KFW- 12.0M Euro</v>
          </cell>
          <cell r="AM213">
            <v>0</v>
          </cell>
        </row>
        <row r="214">
          <cell r="A214" t="str">
            <v>Pure</v>
          </cell>
          <cell r="B214" t="str">
            <v>DFID</v>
          </cell>
          <cell r="AM214">
            <v>0</v>
          </cell>
        </row>
        <row r="215">
          <cell r="A215" t="str">
            <v>Pure</v>
          </cell>
          <cell r="B215" t="str">
            <v>USAID     SIFPO</v>
          </cell>
          <cell r="AM215">
            <v>0</v>
          </cell>
        </row>
        <row r="216">
          <cell r="A216" t="str">
            <v>Pure</v>
          </cell>
          <cell r="B216" t="str">
            <v>GF ROUND - 8</v>
          </cell>
          <cell r="AM216">
            <v>0</v>
          </cell>
        </row>
        <row r="217">
          <cell r="A217" t="str">
            <v>Pure</v>
          </cell>
          <cell r="B217" t="str">
            <v>GF ROUND - 9</v>
          </cell>
          <cell r="AM217">
            <v>0</v>
          </cell>
        </row>
        <row r="218">
          <cell r="A218" t="str">
            <v>Pure</v>
          </cell>
          <cell r="B218" t="str">
            <v>PACKARD</v>
          </cell>
          <cell r="AM218">
            <v>0</v>
          </cell>
        </row>
        <row r="219">
          <cell r="A219" t="str">
            <v>Pure</v>
          </cell>
          <cell r="B219" t="str">
            <v>PI- GSM</v>
          </cell>
          <cell r="AM219">
            <v>0</v>
          </cell>
        </row>
        <row r="220">
          <cell r="A220" t="str">
            <v>Pure</v>
          </cell>
          <cell r="B220" t="str">
            <v>NEW DONOR</v>
          </cell>
          <cell r="AM220">
            <v>0</v>
          </cell>
        </row>
        <row r="221">
          <cell r="A221" t="str">
            <v>Pure</v>
          </cell>
          <cell r="B221" t="str">
            <v>Donor 10</v>
          </cell>
          <cell r="AM221">
            <v>0</v>
          </cell>
        </row>
        <row r="222">
          <cell r="A222" t="str">
            <v xml:space="preserve">CHLOR TABS  10s </v>
          </cell>
          <cell r="B222" t="str">
            <v>LAD III</v>
          </cell>
          <cell r="AM222">
            <v>0</v>
          </cell>
        </row>
        <row r="223">
          <cell r="A223" t="str">
            <v xml:space="preserve">CHLOR TABS  10s </v>
          </cell>
          <cell r="B223" t="str">
            <v>KFW- 12.0M Euro</v>
          </cell>
          <cell r="AM223">
            <v>0</v>
          </cell>
        </row>
        <row r="224">
          <cell r="A224" t="str">
            <v xml:space="preserve">CHLOR TABS  10s </v>
          </cell>
          <cell r="B224" t="str">
            <v>DFID</v>
          </cell>
          <cell r="AM224">
            <v>0</v>
          </cell>
        </row>
        <row r="225">
          <cell r="A225" t="str">
            <v xml:space="preserve">CHLOR TABS  10s </v>
          </cell>
          <cell r="B225" t="str">
            <v>USAID     SIFPO</v>
          </cell>
          <cell r="AM225">
            <v>0</v>
          </cell>
        </row>
        <row r="226">
          <cell r="A226" t="str">
            <v xml:space="preserve">CHLOR TABS  10s </v>
          </cell>
          <cell r="B226" t="str">
            <v>GF ROUND - 8</v>
          </cell>
          <cell r="AM226">
            <v>0</v>
          </cell>
        </row>
        <row r="227">
          <cell r="A227" t="str">
            <v xml:space="preserve">CHLOR TABS  10s </v>
          </cell>
          <cell r="B227" t="str">
            <v>GF ROUND - 9</v>
          </cell>
          <cell r="AM227">
            <v>0</v>
          </cell>
        </row>
        <row r="228">
          <cell r="A228" t="str">
            <v xml:space="preserve">CHLOR TABS  10s </v>
          </cell>
          <cell r="B228" t="str">
            <v>PACKARD</v>
          </cell>
          <cell r="AM228">
            <v>0</v>
          </cell>
        </row>
        <row r="229">
          <cell r="A229" t="str">
            <v xml:space="preserve">CHLOR TABS  10s </v>
          </cell>
          <cell r="B229" t="str">
            <v>PI- GSM</v>
          </cell>
          <cell r="AM229">
            <v>0</v>
          </cell>
        </row>
        <row r="230">
          <cell r="A230" t="str">
            <v xml:space="preserve">CHLOR TABS  10s </v>
          </cell>
          <cell r="B230" t="str">
            <v>NEW DONOR</v>
          </cell>
          <cell r="AM230">
            <v>0</v>
          </cell>
        </row>
        <row r="231">
          <cell r="A231" t="str">
            <v xml:space="preserve">CHLOR TABS  10s </v>
          </cell>
          <cell r="B231" t="str">
            <v>Donor 10</v>
          </cell>
          <cell r="AM231">
            <v>0</v>
          </cell>
        </row>
        <row r="232">
          <cell r="A232" t="str">
            <v xml:space="preserve">CHLOR TABS  25s </v>
          </cell>
          <cell r="B232" t="str">
            <v>LAD III</v>
          </cell>
          <cell r="AM232">
            <v>0</v>
          </cell>
        </row>
        <row r="233">
          <cell r="A233" t="str">
            <v xml:space="preserve">CHLOR TABS  25s </v>
          </cell>
          <cell r="B233" t="str">
            <v>KFW- 12.0M Euro</v>
          </cell>
          <cell r="AM233">
            <v>0</v>
          </cell>
        </row>
        <row r="234">
          <cell r="A234" t="str">
            <v xml:space="preserve">CHLOR TABS  25s </v>
          </cell>
          <cell r="B234" t="str">
            <v>DFID</v>
          </cell>
          <cell r="AM234">
            <v>0</v>
          </cell>
        </row>
        <row r="235">
          <cell r="A235" t="str">
            <v xml:space="preserve">CHLOR TABS  25s </v>
          </cell>
          <cell r="B235" t="str">
            <v>USAID     SIFPO</v>
          </cell>
          <cell r="AM235">
            <v>0</v>
          </cell>
        </row>
        <row r="236">
          <cell r="A236" t="str">
            <v xml:space="preserve">CHLOR TABS  25s </v>
          </cell>
          <cell r="B236" t="str">
            <v>GF ROUND - 8</v>
          </cell>
          <cell r="AM236">
            <v>0</v>
          </cell>
        </row>
        <row r="237">
          <cell r="A237" t="str">
            <v xml:space="preserve">CHLOR TABS  25s </v>
          </cell>
          <cell r="B237" t="str">
            <v>GF ROUND - 9</v>
          </cell>
          <cell r="AM237">
            <v>0</v>
          </cell>
        </row>
        <row r="238">
          <cell r="A238" t="str">
            <v xml:space="preserve">CHLOR TABS  25s </v>
          </cell>
          <cell r="B238" t="str">
            <v>PACKARD</v>
          </cell>
          <cell r="AM238">
            <v>0</v>
          </cell>
        </row>
        <row r="239">
          <cell r="A239" t="str">
            <v xml:space="preserve">CHLOR TABS  25s </v>
          </cell>
          <cell r="B239" t="str">
            <v>PI- GSM</v>
          </cell>
          <cell r="AM239">
            <v>0</v>
          </cell>
        </row>
        <row r="240">
          <cell r="A240" t="str">
            <v xml:space="preserve">CHLOR TABS  25s </v>
          </cell>
          <cell r="B240" t="str">
            <v>NEW DONOR</v>
          </cell>
          <cell r="AM240">
            <v>0</v>
          </cell>
        </row>
        <row r="241">
          <cell r="A241" t="str">
            <v xml:space="preserve">CHLOR TABS  25s </v>
          </cell>
          <cell r="B241" t="str">
            <v>Donor 10</v>
          </cell>
          <cell r="AM241">
            <v>0</v>
          </cell>
        </row>
        <row r="242">
          <cell r="A242" t="str">
            <v>VSC</v>
          </cell>
          <cell r="B242" t="str">
            <v>LAD III</v>
          </cell>
          <cell r="AM242">
            <v>0</v>
          </cell>
        </row>
        <row r="243">
          <cell r="A243" t="str">
            <v>VSC</v>
          </cell>
          <cell r="B243" t="str">
            <v>KFW- 12.0M Euro</v>
          </cell>
          <cell r="AM243">
            <v>0</v>
          </cell>
        </row>
        <row r="244">
          <cell r="A244" t="str">
            <v>VSC</v>
          </cell>
          <cell r="B244" t="str">
            <v>DFID</v>
          </cell>
          <cell r="AM244">
            <v>0</v>
          </cell>
        </row>
        <row r="245">
          <cell r="A245" t="str">
            <v>VSC</v>
          </cell>
          <cell r="B245" t="str">
            <v>USAID     SIFPO</v>
          </cell>
          <cell r="AM245">
            <v>0</v>
          </cell>
        </row>
        <row r="246">
          <cell r="A246" t="str">
            <v>VSC</v>
          </cell>
          <cell r="B246" t="str">
            <v>GF ROUND - 8</v>
          </cell>
          <cell r="AM246">
            <v>0</v>
          </cell>
        </row>
        <row r="247">
          <cell r="A247" t="str">
            <v>VSC</v>
          </cell>
          <cell r="B247" t="str">
            <v>GF ROUND - 9</v>
          </cell>
          <cell r="AM247">
            <v>0</v>
          </cell>
        </row>
        <row r="248">
          <cell r="A248" t="str">
            <v>VSC</v>
          </cell>
          <cell r="B248" t="str">
            <v>PACKARD</v>
          </cell>
          <cell r="AM248">
            <v>0</v>
          </cell>
        </row>
        <row r="249">
          <cell r="A249" t="str">
            <v>VSC</v>
          </cell>
          <cell r="B249" t="str">
            <v>PI- GSM</v>
          </cell>
          <cell r="AM249">
            <v>0</v>
          </cell>
        </row>
        <row r="250">
          <cell r="A250" t="str">
            <v>VSC</v>
          </cell>
          <cell r="B250" t="str">
            <v>NEW DONOR</v>
          </cell>
          <cell r="AM250">
            <v>0</v>
          </cell>
        </row>
        <row r="251">
          <cell r="A251" t="str">
            <v>VSC</v>
          </cell>
          <cell r="B251" t="str">
            <v>Donor 10</v>
          </cell>
          <cell r="AM251">
            <v>0</v>
          </cell>
        </row>
        <row r="252">
          <cell r="A252" t="str">
            <v>Product 26</v>
          </cell>
          <cell r="B252" t="str">
            <v>LAD III</v>
          </cell>
          <cell r="AM252">
            <v>0</v>
          </cell>
        </row>
        <row r="253">
          <cell r="A253" t="str">
            <v>Product 26</v>
          </cell>
          <cell r="B253" t="str">
            <v>KFW- 12.0M Euro</v>
          </cell>
          <cell r="AM253">
            <v>0</v>
          </cell>
        </row>
        <row r="254">
          <cell r="A254" t="str">
            <v>Product 26</v>
          </cell>
          <cell r="B254" t="str">
            <v>DFID</v>
          </cell>
          <cell r="AM254">
            <v>0</v>
          </cell>
        </row>
        <row r="255">
          <cell r="A255" t="str">
            <v>Product 26</v>
          </cell>
          <cell r="B255" t="str">
            <v>USAID     SIFPO</v>
          </cell>
          <cell r="AM255">
            <v>0</v>
          </cell>
        </row>
        <row r="256">
          <cell r="A256" t="str">
            <v>Product 26</v>
          </cell>
          <cell r="B256" t="str">
            <v>GF ROUND - 8</v>
          </cell>
          <cell r="AM256">
            <v>0</v>
          </cell>
        </row>
        <row r="257">
          <cell r="A257" t="str">
            <v>Product 26</v>
          </cell>
          <cell r="B257" t="str">
            <v>GF ROUND - 9</v>
          </cell>
          <cell r="AM257">
            <v>0</v>
          </cell>
        </row>
        <row r="258">
          <cell r="A258" t="str">
            <v>Product 26</v>
          </cell>
          <cell r="B258" t="str">
            <v>PACKARD</v>
          </cell>
          <cell r="AM258">
            <v>0</v>
          </cell>
        </row>
        <row r="259">
          <cell r="A259" t="str">
            <v>Product 26</v>
          </cell>
          <cell r="B259" t="str">
            <v>PI- GSM</v>
          </cell>
          <cell r="AM259">
            <v>0</v>
          </cell>
        </row>
        <row r="260">
          <cell r="A260" t="str">
            <v>Product 26</v>
          </cell>
          <cell r="B260" t="str">
            <v>NEW DONOR</v>
          </cell>
          <cell r="AM260">
            <v>0</v>
          </cell>
        </row>
        <row r="261">
          <cell r="A261" t="str">
            <v>Product 26</v>
          </cell>
          <cell r="B261" t="str">
            <v>Donor 10</v>
          </cell>
          <cell r="AM261">
            <v>0</v>
          </cell>
        </row>
        <row r="262">
          <cell r="A262" t="str">
            <v>Product 27</v>
          </cell>
          <cell r="B262" t="str">
            <v>LAD III</v>
          </cell>
          <cell r="AM262">
            <v>0</v>
          </cell>
        </row>
        <row r="263">
          <cell r="A263" t="str">
            <v>Product 27</v>
          </cell>
          <cell r="B263" t="str">
            <v>KFW- 12.0M Euro</v>
          </cell>
          <cell r="AM263">
            <v>0</v>
          </cell>
        </row>
        <row r="264">
          <cell r="A264" t="str">
            <v>Product 27</v>
          </cell>
          <cell r="B264" t="str">
            <v>DFID</v>
          </cell>
          <cell r="AM264">
            <v>0</v>
          </cell>
        </row>
        <row r="265">
          <cell r="A265" t="str">
            <v>Product 27</v>
          </cell>
          <cell r="B265" t="str">
            <v>USAID     SIFPO</v>
          </cell>
          <cell r="AM265">
            <v>0</v>
          </cell>
        </row>
        <row r="266">
          <cell r="A266" t="str">
            <v>Product 27</v>
          </cell>
          <cell r="B266" t="str">
            <v>GF ROUND - 8</v>
          </cell>
          <cell r="AM266">
            <v>0</v>
          </cell>
        </row>
        <row r="267">
          <cell r="A267" t="str">
            <v>Product 27</v>
          </cell>
          <cell r="B267" t="str">
            <v>GF ROUND - 9</v>
          </cell>
          <cell r="AM267">
            <v>0</v>
          </cell>
        </row>
        <row r="268">
          <cell r="A268" t="str">
            <v>Product 27</v>
          </cell>
          <cell r="B268" t="str">
            <v>PACKARD</v>
          </cell>
          <cell r="AM268">
            <v>0</v>
          </cell>
        </row>
        <row r="269">
          <cell r="A269" t="str">
            <v>Product 27</v>
          </cell>
          <cell r="B269" t="str">
            <v>PI- GSM</v>
          </cell>
          <cell r="AM269">
            <v>0</v>
          </cell>
        </row>
        <row r="270">
          <cell r="A270" t="str">
            <v>Product 27</v>
          </cell>
          <cell r="B270" t="str">
            <v>NEW DONOR</v>
          </cell>
          <cell r="AM270">
            <v>0</v>
          </cell>
        </row>
        <row r="271">
          <cell r="A271" t="str">
            <v>Product 27</v>
          </cell>
          <cell r="B271" t="str">
            <v>Donor 10</v>
          </cell>
          <cell r="AM271">
            <v>0</v>
          </cell>
        </row>
        <row r="272">
          <cell r="A272" t="str">
            <v>Product 28</v>
          </cell>
          <cell r="B272" t="str">
            <v>LAD III</v>
          </cell>
          <cell r="AM272">
            <v>0</v>
          </cell>
        </row>
        <row r="273">
          <cell r="A273" t="str">
            <v>Product 28</v>
          </cell>
          <cell r="B273" t="str">
            <v>KFW- 12.0M Euro</v>
          </cell>
          <cell r="AM273">
            <v>0</v>
          </cell>
        </row>
        <row r="274">
          <cell r="A274" t="str">
            <v>Product 28</v>
          </cell>
          <cell r="B274" t="str">
            <v>DFID</v>
          </cell>
          <cell r="AM274">
            <v>0</v>
          </cell>
        </row>
        <row r="275">
          <cell r="A275" t="str">
            <v>Product 28</v>
          </cell>
          <cell r="B275" t="str">
            <v>USAID     SIFPO</v>
          </cell>
          <cell r="AM275">
            <v>0</v>
          </cell>
        </row>
        <row r="276">
          <cell r="A276" t="str">
            <v>Product 28</v>
          </cell>
          <cell r="B276" t="str">
            <v>GF ROUND - 8</v>
          </cell>
          <cell r="AM276">
            <v>0</v>
          </cell>
        </row>
        <row r="277">
          <cell r="A277" t="str">
            <v>Product 28</v>
          </cell>
          <cell r="B277" t="str">
            <v>GF ROUND - 9</v>
          </cell>
          <cell r="AM277">
            <v>0</v>
          </cell>
        </row>
        <row r="278">
          <cell r="A278" t="str">
            <v>Product 28</v>
          </cell>
          <cell r="B278" t="str">
            <v>PACKARD</v>
          </cell>
          <cell r="AM278">
            <v>0</v>
          </cell>
        </row>
        <row r="279">
          <cell r="A279" t="str">
            <v>Product 28</v>
          </cell>
          <cell r="B279" t="str">
            <v>PI- GSM</v>
          </cell>
          <cell r="AM279">
            <v>0</v>
          </cell>
        </row>
        <row r="280">
          <cell r="A280" t="str">
            <v>Product 28</v>
          </cell>
          <cell r="B280" t="str">
            <v>NEW DONOR</v>
          </cell>
          <cell r="AM280">
            <v>0</v>
          </cell>
        </row>
        <row r="281">
          <cell r="A281" t="str">
            <v>Product 28</v>
          </cell>
          <cell r="B281" t="str">
            <v>Donor 10</v>
          </cell>
          <cell r="AM281">
            <v>0</v>
          </cell>
        </row>
        <row r="282">
          <cell r="A282" t="str">
            <v>Product 29</v>
          </cell>
          <cell r="B282" t="str">
            <v>LAD III</v>
          </cell>
          <cell r="AM282">
            <v>0</v>
          </cell>
        </row>
        <row r="283">
          <cell r="A283" t="str">
            <v>Product 29</v>
          </cell>
          <cell r="B283" t="str">
            <v>KFW- 12.0M Euro</v>
          </cell>
          <cell r="AM283">
            <v>0</v>
          </cell>
        </row>
        <row r="284">
          <cell r="A284" t="str">
            <v>Product 29</v>
          </cell>
          <cell r="B284" t="str">
            <v>DFID</v>
          </cell>
          <cell r="AM284">
            <v>0</v>
          </cell>
        </row>
        <row r="285">
          <cell r="A285" t="str">
            <v>Product 29</v>
          </cell>
          <cell r="B285" t="str">
            <v>USAID     SIFPO</v>
          </cell>
          <cell r="AM285">
            <v>0</v>
          </cell>
        </row>
        <row r="286">
          <cell r="A286" t="str">
            <v>Product 29</v>
          </cell>
          <cell r="B286" t="str">
            <v>GF ROUND - 8</v>
          </cell>
          <cell r="AM286">
            <v>0</v>
          </cell>
        </row>
        <row r="287">
          <cell r="A287" t="str">
            <v>Product 29</v>
          </cell>
          <cell r="B287" t="str">
            <v>GF ROUND - 9</v>
          </cell>
          <cell r="AM287">
            <v>0</v>
          </cell>
        </row>
        <row r="288">
          <cell r="A288" t="str">
            <v>Product 29</v>
          </cell>
          <cell r="B288" t="str">
            <v>PACKARD</v>
          </cell>
          <cell r="AM288">
            <v>0</v>
          </cell>
        </row>
        <row r="289">
          <cell r="A289" t="str">
            <v>Product 29</v>
          </cell>
          <cell r="B289" t="str">
            <v>PI- GSM</v>
          </cell>
          <cell r="AM289">
            <v>0</v>
          </cell>
        </row>
        <row r="290">
          <cell r="A290" t="str">
            <v>Product 29</v>
          </cell>
          <cell r="B290" t="str">
            <v>NEW DONOR</v>
          </cell>
          <cell r="AM290">
            <v>0</v>
          </cell>
        </row>
        <row r="291">
          <cell r="A291" t="str">
            <v>Product 29</v>
          </cell>
          <cell r="B291" t="str">
            <v>Donor 10</v>
          </cell>
          <cell r="AM291">
            <v>0</v>
          </cell>
        </row>
        <row r="292">
          <cell r="A292" t="str">
            <v>Product 30</v>
          </cell>
          <cell r="B292" t="str">
            <v>LAD III</v>
          </cell>
          <cell r="AM292">
            <v>0</v>
          </cell>
        </row>
        <row r="293">
          <cell r="A293" t="str">
            <v>Product 30</v>
          </cell>
          <cell r="B293" t="str">
            <v>KFW- 12.0M Euro</v>
          </cell>
          <cell r="AM293">
            <v>0</v>
          </cell>
        </row>
        <row r="294">
          <cell r="A294" t="str">
            <v>Product 30</v>
          </cell>
          <cell r="B294" t="str">
            <v>DFID</v>
          </cell>
          <cell r="AM294">
            <v>0</v>
          </cell>
        </row>
        <row r="295">
          <cell r="A295" t="str">
            <v>Product 30</v>
          </cell>
          <cell r="B295" t="str">
            <v>USAID     SIFPO</v>
          </cell>
          <cell r="AM295">
            <v>0</v>
          </cell>
        </row>
        <row r="296">
          <cell r="A296" t="str">
            <v>Product 30</v>
          </cell>
          <cell r="B296" t="str">
            <v>GF ROUND - 8</v>
          </cell>
          <cell r="AM296">
            <v>0</v>
          </cell>
        </row>
        <row r="297">
          <cell r="A297" t="str">
            <v>Product 30</v>
          </cell>
          <cell r="B297" t="str">
            <v>GF ROUND - 9</v>
          </cell>
          <cell r="AM297">
            <v>0</v>
          </cell>
        </row>
        <row r="298">
          <cell r="A298" t="str">
            <v>Product 30</v>
          </cell>
          <cell r="B298" t="str">
            <v>PACKARD</v>
          </cell>
          <cell r="AM298">
            <v>0</v>
          </cell>
        </row>
        <row r="299">
          <cell r="A299" t="str">
            <v>Product 30</v>
          </cell>
          <cell r="B299" t="str">
            <v>PI- GSM</v>
          </cell>
          <cell r="AM299">
            <v>0</v>
          </cell>
        </row>
        <row r="300">
          <cell r="A300" t="str">
            <v>Product 30</v>
          </cell>
          <cell r="B300" t="str">
            <v>NEW DONOR</v>
          </cell>
          <cell r="AM300">
            <v>0</v>
          </cell>
        </row>
        <row r="301">
          <cell r="A301" t="str">
            <v>Product 30</v>
          </cell>
          <cell r="B301" t="str">
            <v>Donor 10</v>
          </cell>
          <cell r="AM301">
            <v>0</v>
          </cell>
        </row>
        <row r="302">
          <cell r="AM302">
            <v>0</v>
          </cell>
        </row>
      </sheetData>
      <sheetData sheetId="5" refreshError="1"/>
      <sheetData sheetId="6" refreshError="1"/>
      <sheetData sheetId="7">
        <row r="1">
          <cell r="A1" t="str">
            <v>SUB ACCOUNT</v>
          </cell>
          <cell r="B1" t="str">
            <v>PROJECT</v>
          </cell>
          <cell r="C1">
            <v>41821</v>
          </cell>
          <cell r="D1">
            <v>41852</v>
          </cell>
          <cell r="E1">
            <v>41883</v>
          </cell>
          <cell r="F1">
            <v>41914</v>
          </cell>
          <cell r="G1">
            <v>41945</v>
          </cell>
          <cell r="H1">
            <v>41976</v>
          </cell>
          <cell r="I1">
            <v>42007</v>
          </cell>
          <cell r="J1">
            <v>42038</v>
          </cell>
          <cell r="K1">
            <v>42069</v>
          </cell>
          <cell r="L1">
            <v>42100</v>
          </cell>
          <cell r="M1">
            <v>42131</v>
          </cell>
          <cell r="N1">
            <v>42162</v>
          </cell>
          <cell r="O1">
            <v>42193</v>
          </cell>
          <cell r="P1">
            <v>42224</v>
          </cell>
          <cell r="Q1">
            <v>42255</v>
          </cell>
          <cell r="R1">
            <v>42286</v>
          </cell>
          <cell r="S1">
            <v>42317</v>
          </cell>
          <cell r="T1">
            <v>42348</v>
          </cell>
          <cell r="U1">
            <v>42379</v>
          </cell>
          <cell r="V1">
            <v>42410</v>
          </cell>
          <cell r="W1">
            <v>42441</v>
          </cell>
          <cell r="X1">
            <v>42472</v>
          </cell>
          <cell r="Y1">
            <v>42503</v>
          </cell>
          <cell r="Z1">
            <v>42534</v>
          </cell>
          <cell r="AA1">
            <v>42565</v>
          </cell>
          <cell r="AB1">
            <v>42596</v>
          </cell>
          <cell r="AC1">
            <v>42627</v>
          </cell>
          <cell r="AD1">
            <v>42658</v>
          </cell>
          <cell r="AE1">
            <v>42689</v>
          </cell>
          <cell r="AF1">
            <v>42720</v>
          </cell>
          <cell r="AG1">
            <v>42751</v>
          </cell>
          <cell r="AH1">
            <v>42782</v>
          </cell>
          <cell r="AI1">
            <v>42813</v>
          </cell>
          <cell r="AJ1">
            <v>42844</v>
          </cell>
          <cell r="AK1">
            <v>42875</v>
          </cell>
          <cell r="AL1">
            <v>42906</v>
          </cell>
          <cell r="AM1" t="str">
            <v>BUDGET YEAR 1</v>
          </cell>
        </row>
        <row r="2">
          <cell r="A2" t="str">
            <v>SATHI 3S</v>
          </cell>
          <cell r="B2" t="str">
            <v>LAD III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</row>
        <row r="3">
          <cell r="A3" t="str">
            <v>SATHI 3S</v>
          </cell>
          <cell r="B3" t="str">
            <v>KFW- 12.0M Euro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</row>
        <row r="4">
          <cell r="A4" t="str">
            <v>SATHI 3S</v>
          </cell>
          <cell r="B4" t="str">
            <v>DFID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</row>
        <row r="5">
          <cell r="A5" t="str">
            <v>SATHI 3S</v>
          </cell>
          <cell r="B5" t="str">
            <v>USAID     SIFPO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</row>
        <row r="6">
          <cell r="A6" t="str">
            <v>SATHI 3S</v>
          </cell>
          <cell r="B6" t="str">
            <v>GF ROUND - 8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</row>
        <row r="7">
          <cell r="A7" t="str">
            <v>SATHI 3S</v>
          </cell>
          <cell r="B7" t="str">
            <v>GF ROUND - 9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</row>
        <row r="8">
          <cell r="A8" t="str">
            <v>SATHI 3S</v>
          </cell>
          <cell r="B8" t="str">
            <v>PACKARD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</row>
        <row r="9">
          <cell r="A9" t="str">
            <v>SATHI 3S</v>
          </cell>
          <cell r="B9" t="str">
            <v>PI- GSM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</row>
        <row r="10">
          <cell r="A10" t="str">
            <v>SATHI 3S</v>
          </cell>
          <cell r="B10" t="str">
            <v>NEW DONOR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</row>
        <row r="11">
          <cell r="A11" t="str">
            <v>SATHI 3S</v>
          </cell>
          <cell r="B11" t="str">
            <v>Donor 10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</row>
        <row r="12">
          <cell r="A12" t="str">
            <v>Sathi 6s</v>
          </cell>
          <cell r="B12" t="str">
            <v>LAD III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</row>
        <row r="13">
          <cell r="A13" t="str">
            <v>Sathi 6s</v>
          </cell>
          <cell r="B13" t="str">
            <v>KFW- 12.0M Euro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</row>
        <row r="14">
          <cell r="A14" t="str">
            <v>Sathi 6s</v>
          </cell>
          <cell r="B14" t="str">
            <v>DFID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</row>
        <row r="15">
          <cell r="A15" t="str">
            <v>Sathi 6s</v>
          </cell>
          <cell r="B15" t="str">
            <v>USAID     SIFPO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</row>
        <row r="16">
          <cell r="A16" t="str">
            <v>Sathi 6s</v>
          </cell>
          <cell r="B16" t="str">
            <v>GF ROUND - 8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</row>
        <row r="17">
          <cell r="A17" t="str">
            <v>Sathi 6s</v>
          </cell>
          <cell r="B17" t="str">
            <v>GF ROUND - 9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</row>
        <row r="18">
          <cell r="A18" t="str">
            <v>Sathi 6s</v>
          </cell>
          <cell r="B18" t="str">
            <v>PACKARD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</row>
        <row r="19">
          <cell r="A19" t="str">
            <v>Sathi 6s</v>
          </cell>
          <cell r="B19" t="str">
            <v>PI- GSM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</row>
        <row r="20">
          <cell r="A20" t="str">
            <v>Sathi 6s</v>
          </cell>
          <cell r="B20" t="str">
            <v>NEW DONOR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</row>
        <row r="21">
          <cell r="A21" t="str">
            <v>Sathi 6s</v>
          </cell>
          <cell r="B21" t="str">
            <v>Donor 10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</row>
        <row r="22">
          <cell r="A22" t="str">
            <v>TOUCH 3S (Classic and Ribbed)</v>
          </cell>
          <cell r="B22" t="str">
            <v>LAD III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</row>
        <row r="23">
          <cell r="A23" t="str">
            <v>TOUCH 3S (Classic and Ribbed)</v>
          </cell>
          <cell r="B23" t="str">
            <v>KFW- 12.0M Euro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</row>
        <row r="24">
          <cell r="A24" t="str">
            <v>TOUCH 3S (Classic and Ribbed)</v>
          </cell>
          <cell r="B24" t="str">
            <v>DFID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</row>
        <row r="25">
          <cell r="A25" t="str">
            <v>TOUCH 3S (Classic and Ribbed)</v>
          </cell>
          <cell r="B25" t="str">
            <v>USAID     SIFPO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</row>
        <row r="26">
          <cell r="A26" t="str">
            <v>TOUCH 3S (Classic and Ribbed)</v>
          </cell>
          <cell r="B26" t="str">
            <v>GF ROUND - 8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</row>
        <row r="27">
          <cell r="A27" t="str">
            <v>TOUCH 3S (Classic and Ribbed)</v>
          </cell>
          <cell r="B27" t="str">
            <v>GF ROUND - 9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</row>
        <row r="28">
          <cell r="A28" t="str">
            <v>TOUCH 3S (Classic and Ribbed)</v>
          </cell>
          <cell r="B28" t="str">
            <v>PACKARD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</row>
        <row r="29">
          <cell r="A29" t="str">
            <v>TOUCH 3S (Classic and Ribbed)</v>
          </cell>
          <cell r="B29" t="str">
            <v>PI- GSM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</row>
        <row r="30">
          <cell r="A30" t="str">
            <v>TOUCH 3S (Classic and Ribbed)</v>
          </cell>
          <cell r="B30" t="str">
            <v>NEW DONOR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</row>
        <row r="31">
          <cell r="A31" t="str">
            <v>TOUCH 3S (Classic and Ribbed)</v>
          </cell>
          <cell r="B31" t="str">
            <v>Donor 10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</row>
        <row r="32">
          <cell r="A32" t="str">
            <v>TOUCH 6S (Classic and Ribbed)</v>
          </cell>
          <cell r="B32" t="str">
            <v>LAD III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</row>
        <row r="33">
          <cell r="A33" t="str">
            <v>TOUCH 6S (Classic and Ribbed)</v>
          </cell>
          <cell r="B33" t="str">
            <v>KFW- 12.0M Euro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</row>
        <row r="34">
          <cell r="A34" t="str">
            <v>TOUCH 6S (Classic and Ribbed)</v>
          </cell>
          <cell r="B34" t="str">
            <v>DFID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</row>
        <row r="35">
          <cell r="A35" t="str">
            <v>TOUCH 6S (Classic and Ribbed)</v>
          </cell>
          <cell r="B35" t="str">
            <v>USAID     SIFPO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</row>
        <row r="36">
          <cell r="A36" t="str">
            <v>TOUCH 6S (Classic and Ribbed)</v>
          </cell>
          <cell r="B36" t="str">
            <v>GF ROUND - 8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</row>
        <row r="37">
          <cell r="A37" t="str">
            <v>TOUCH 6S (Classic and Ribbed)</v>
          </cell>
          <cell r="B37" t="str">
            <v>GF ROUND - 9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</row>
        <row r="38">
          <cell r="A38" t="str">
            <v>TOUCH 6S (Classic and Ribbed)</v>
          </cell>
          <cell r="B38" t="str">
            <v>PACKARD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</row>
        <row r="39">
          <cell r="A39" t="str">
            <v>TOUCH 6S (Classic and Ribbed)</v>
          </cell>
          <cell r="B39" t="str">
            <v>PI- GSM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</row>
        <row r="40">
          <cell r="A40" t="str">
            <v>TOUCH 6S (Classic and Ribbed)</v>
          </cell>
          <cell r="B40" t="str">
            <v>NEW DONOR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</row>
        <row r="41">
          <cell r="A41" t="str">
            <v>TOUCH 6S (Classic and Ribbed)</v>
          </cell>
          <cell r="B41" t="str">
            <v>Donor 10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</row>
        <row r="42">
          <cell r="A42" t="str">
            <v>TOUCH 3s (Dotted)</v>
          </cell>
          <cell r="B42" t="str">
            <v>LAD III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</row>
        <row r="43">
          <cell r="A43" t="str">
            <v>TOUCH 3s (Dotted)</v>
          </cell>
          <cell r="B43" t="str">
            <v>KFW- 12.0M Euro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</row>
        <row r="44">
          <cell r="A44" t="str">
            <v>TOUCH 3s (Dotted)</v>
          </cell>
          <cell r="B44" t="str">
            <v>DFID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</row>
        <row r="45">
          <cell r="A45" t="str">
            <v>TOUCH 3s (Dotted)</v>
          </cell>
          <cell r="B45" t="str">
            <v>USAID     SIFPO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</row>
        <row r="46">
          <cell r="A46" t="str">
            <v>TOUCH 3s (Dotted)</v>
          </cell>
          <cell r="B46" t="str">
            <v>GF ROUND - 8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</row>
        <row r="47">
          <cell r="A47" t="str">
            <v>TOUCH 3s (Dotted)</v>
          </cell>
          <cell r="B47" t="str">
            <v>GF ROUND - 9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</row>
        <row r="48">
          <cell r="A48" t="str">
            <v>TOUCH 3s (Dotted)</v>
          </cell>
          <cell r="B48" t="str">
            <v>PACKARD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</row>
        <row r="49">
          <cell r="A49" t="str">
            <v>TOUCH 3s (Dotted)</v>
          </cell>
          <cell r="B49" t="str">
            <v>PI- GSM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</row>
        <row r="50">
          <cell r="A50" t="str">
            <v>TOUCH 3s (Dotted)</v>
          </cell>
          <cell r="B50" t="str">
            <v>NEW DONOR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</row>
        <row r="51">
          <cell r="A51" t="str">
            <v>TOUCH 3s (Dotted)</v>
          </cell>
          <cell r="B51" t="str">
            <v>Donor 10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</row>
        <row r="52">
          <cell r="A52" t="str">
            <v>TOUCH 6s (Dotted)</v>
          </cell>
          <cell r="B52" t="str">
            <v>LAD III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</row>
        <row r="53">
          <cell r="A53" t="str">
            <v>TOUCH 6s (Dotted)</v>
          </cell>
          <cell r="B53" t="str">
            <v>KFW- 12.0M Euro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</row>
        <row r="54">
          <cell r="A54" t="str">
            <v>TOUCH 6s (Dotted)</v>
          </cell>
          <cell r="B54" t="str">
            <v>DFID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</row>
        <row r="55">
          <cell r="A55" t="str">
            <v>TOUCH 6s (Dotted)</v>
          </cell>
          <cell r="B55" t="str">
            <v>USAID     SIFPO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</row>
        <row r="56">
          <cell r="A56" t="str">
            <v>TOUCH 6s (Dotted)</v>
          </cell>
          <cell r="B56" t="str">
            <v>GF ROUND - 8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</row>
        <row r="57">
          <cell r="A57" t="str">
            <v>TOUCH 6s (Dotted)</v>
          </cell>
          <cell r="B57" t="str">
            <v>GF ROUND - 9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</row>
        <row r="58">
          <cell r="A58" t="str">
            <v>TOUCH 6s (Dotted)</v>
          </cell>
          <cell r="B58" t="str">
            <v>PACKARD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</row>
        <row r="59">
          <cell r="A59" t="str">
            <v>TOUCH 6s (Dotted)</v>
          </cell>
          <cell r="B59" t="str">
            <v>PI- GSM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</row>
        <row r="60">
          <cell r="A60" t="str">
            <v>TOUCH 6s (Dotted)</v>
          </cell>
          <cell r="B60" t="str">
            <v>NEW DONOR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</row>
        <row r="61">
          <cell r="A61" t="str">
            <v>TOUCH 6s (Dotted)</v>
          </cell>
          <cell r="B61" t="str">
            <v>Donor 10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</row>
        <row r="62">
          <cell r="A62" t="str">
            <v>Nova</v>
          </cell>
          <cell r="B62" t="str">
            <v>LAD III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</row>
        <row r="63">
          <cell r="A63" t="str">
            <v>Nova</v>
          </cell>
          <cell r="B63" t="str">
            <v>KFW- 12.0M Euro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</row>
        <row r="64">
          <cell r="A64" t="str">
            <v>Nova</v>
          </cell>
          <cell r="B64" t="str">
            <v>DFID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</row>
        <row r="65">
          <cell r="A65" t="str">
            <v>Nova</v>
          </cell>
          <cell r="B65" t="str">
            <v>USAID     SIFPO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</row>
        <row r="66">
          <cell r="A66" t="str">
            <v>Nova</v>
          </cell>
          <cell r="B66" t="str">
            <v>GF ROUND - 8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</row>
        <row r="67">
          <cell r="A67" t="str">
            <v>Nova</v>
          </cell>
          <cell r="B67" t="str">
            <v>GF ROUND - 9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</row>
        <row r="68">
          <cell r="A68" t="str">
            <v>Nova</v>
          </cell>
          <cell r="B68" t="str">
            <v>PACKARD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</row>
        <row r="69">
          <cell r="A69" t="str">
            <v>Nova</v>
          </cell>
          <cell r="B69" t="str">
            <v>PI- GSM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</row>
        <row r="70">
          <cell r="A70" t="str">
            <v>Nova</v>
          </cell>
          <cell r="B70" t="str">
            <v>NEW DONOR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</row>
        <row r="71">
          <cell r="A71" t="str">
            <v>Nova</v>
          </cell>
          <cell r="B71" t="str">
            <v>Donor 10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</row>
        <row r="72">
          <cell r="A72" t="str">
            <v>NOVODOL</v>
          </cell>
          <cell r="B72" t="str">
            <v>LAD III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</row>
        <row r="73">
          <cell r="A73" t="str">
            <v>NOVODOL</v>
          </cell>
          <cell r="B73" t="str">
            <v>KFW- 12.0M Euro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</row>
        <row r="74">
          <cell r="A74" t="str">
            <v>NOVODOL</v>
          </cell>
          <cell r="B74" t="str">
            <v>DFID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</row>
        <row r="75">
          <cell r="A75" t="str">
            <v>NOVODOL</v>
          </cell>
          <cell r="B75" t="str">
            <v>USAID     SIFPO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</row>
        <row r="76">
          <cell r="A76" t="str">
            <v>NOVODOL</v>
          </cell>
          <cell r="B76" t="str">
            <v>GF ROUND - 8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</row>
        <row r="77">
          <cell r="A77" t="str">
            <v>NOVODOL</v>
          </cell>
          <cell r="B77" t="str">
            <v>GF ROUND - 9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</row>
        <row r="78">
          <cell r="A78" t="str">
            <v>NOVODOL</v>
          </cell>
          <cell r="B78" t="str">
            <v>PACKARD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</row>
        <row r="79">
          <cell r="A79" t="str">
            <v>NOVODOL</v>
          </cell>
          <cell r="B79" t="str">
            <v>PI- GSM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</row>
        <row r="80">
          <cell r="A80" t="str">
            <v>NOVODOL</v>
          </cell>
          <cell r="B80" t="str">
            <v>NEW DONOR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</row>
        <row r="81">
          <cell r="A81" t="str">
            <v>NOVODOL</v>
          </cell>
          <cell r="B81" t="str">
            <v>Donor 10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</row>
        <row r="82">
          <cell r="A82" t="str">
            <v>ECP</v>
          </cell>
          <cell r="B82" t="str">
            <v>LAD III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</row>
        <row r="83">
          <cell r="A83" t="str">
            <v>ECP</v>
          </cell>
          <cell r="B83" t="str">
            <v>KFW- 12.0M Euro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</row>
        <row r="84">
          <cell r="A84" t="str">
            <v>ECP</v>
          </cell>
          <cell r="B84" t="str">
            <v>DFID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</row>
        <row r="85">
          <cell r="A85" t="str">
            <v>ECP</v>
          </cell>
          <cell r="B85" t="str">
            <v>USAID     SIFPO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</row>
        <row r="86">
          <cell r="A86" t="str">
            <v>ECP</v>
          </cell>
          <cell r="B86" t="str">
            <v>GF ROUND - 8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</row>
        <row r="87">
          <cell r="A87" t="str">
            <v>ECP</v>
          </cell>
          <cell r="B87" t="str">
            <v>GF ROUND - 9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</row>
        <row r="88">
          <cell r="A88" t="str">
            <v>ECP</v>
          </cell>
          <cell r="B88" t="str">
            <v>PACKARD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</row>
        <row r="89">
          <cell r="A89" t="str">
            <v>ECP</v>
          </cell>
          <cell r="B89" t="str">
            <v>PI- GSM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</row>
        <row r="90">
          <cell r="A90" t="str">
            <v>ECP</v>
          </cell>
          <cell r="B90" t="str">
            <v>NEW DONOR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</row>
        <row r="91">
          <cell r="A91" t="str">
            <v>ECP</v>
          </cell>
          <cell r="B91" t="str">
            <v>Donor 10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</row>
        <row r="92">
          <cell r="A92" t="str">
            <v>NOVAJECT</v>
          </cell>
          <cell r="B92" t="str">
            <v>LAD III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</row>
        <row r="93">
          <cell r="A93" t="str">
            <v>NOVAJECT</v>
          </cell>
          <cell r="B93" t="str">
            <v>KFW- 12.0M Euro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</row>
        <row r="94">
          <cell r="A94" t="str">
            <v>NOVAJECT</v>
          </cell>
          <cell r="B94" t="str">
            <v>DFID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</row>
        <row r="95">
          <cell r="A95" t="str">
            <v>NOVAJECT</v>
          </cell>
          <cell r="B95" t="str">
            <v>USAID     SIFPO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</row>
        <row r="96">
          <cell r="A96" t="str">
            <v>NOVAJECT</v>
          </cell>
          <cell r="B96" t="str">
            <v>GF ROUND - 8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</row>
        <row r="97">
          <cell r="A97" t="str">
            <v>NOVAJECT</v>
          </cell>
          <cell r="B97" t="str">
            <v>GF ROUND - 9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</row>
        <row r="98">
          <cell r="A98" t="str">
            <v>NOVAJECT</v>
          </cell>
          <cell r="B98" t="str">
            <v>PACKARD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</row>
        <row r="99">
          <cell r="A99" t="str">
            <v>NOVAJECT</v>
          </cell>
          <cell r="B99" t="str">
            <v>PI- GSM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</row>
        <row r="100">
          <cell r="A100" t="str">
            <v>NOVAJECT</v>
          </cell>
          <cell r="B100" t="str">
            <v>NEW DONOR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</row>
        <row r="101">
          <cell r="A101" t="str">
            <v>NOVAJECT</v>
          </cell>
          <cell r="B101" t="str">
            <v>Donor 10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</row>
        <row r="102">
          <cell r="A102" t="str">
            <v>FEMIJECT</v>
          </cell>
          <cell r="B102" t="str">
            <v>LAD III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</row>
        <row r="103">
          <cell r="A103" t="str">
            <v>FEMIJECT</v>
          </cell>
          <cell r="B103" t="str">
            <v>KFW- 12.0M Euro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</row>
        <row r="104">
          <cell r="A104" t="str">
            <v>FEMIJECT</v>
          </cell>
          <cell r="B104" t="str">
            <v>DFID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</row>
        <row r="105">
          <cell r="A105" t="str">
            <v>FEMIJECT</v>
          </cell>
          <cell r="B105" t="str">
            <v>USAID     SIFPO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</row>
        <row r="106">
          <cell r="A106" t="str">
            <v>FEMIJECT</v>
          </cell>
          <cell r="B106" t="str">
            <v>GF ROUND - 8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</row>
        <row r="107">
          <cell r="A107" t="str">
            <v>FEMIJECT</v>
          </cell>
          <cell r="B107" t="str">
            <v>GF ROUND - 9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</row>
        <row r="108">
          <cell r="A108" t="str">
            <v>FEMIJECT</v>
          </cell>
          <cell r="B108" t="str">
            <v>PACKARD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</row>
        <row r="109">
          <cell r="A109" t="str">
            <v>FEMIJECT</v>
          </cell>
          <cell r="B109" t="str">
            <v>PI- GSM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</row>
        <row r="110">
          <cell r="A110" t="str">
            <v>FEMIJECT</v>
          </cell>
          <cell r="B110" t="str">
            <v>NEW DONOR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</row>
        <row r="111">
          <cell r="A111" t="str">
            <v>FEMIJECT</v>
          </cell>
          <cell r="B111" t="str">
            <v>Donor 10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</row>
        <row r="112">
          <cell r="A112" t="str">
            <v>DEPO PROVERA</v>
          </cell>
          <cell r="B112" t="str">
            <v>LAD III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</row>
        <row r="113">
          <cell r="A113" t="str">
            <v>DEPO PROVERA</v>
          </cell>
          <cell r="B113" t="str">
            <v>KFW- 12.0M Euro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</row>
        <row r="114">
          <cell r="A114" t="str">
            <v>DEPO PROVERA</v>
          </cell>
          <cell r="B114" t="str">
            <v>DFID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</row>
        <row r="115">
          <cell r="A115" t="str">
            <v>DEPO PROVERA</v>
          </cell>
          <cell r="B115" t="str">
            <v>USAID     SIFPO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</row>
        <row r="116">
          <cell r="A116" t="str">
            <v>DEPO PROVERA</v>
          </cell>
          <cell r="B116" t="str">
            <v>GF ROUND - 8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</row>
        <row r="117">
          <cell r="A117" t="str">
            <v>DEPO PROVERA</v>
          </cell>
          <cell r="B117" t="str">
            <v>GF ROUND - 9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</row>
        <row r="118">
          <cell r="A118" t="str">
            <v>DEPO PROVERA</v>
          </cell>
          <cell r="B118" t="str">
            <v>PACKARD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</row>
        <row r="119">
          <cell r="A119" t="str">
            <v>DEPO PROVERA</v>
          </cell>
          <cell r="B119" t="str">
            <v>PI- GSM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</row>
        <row r="120">
          <cell r="A120" t="str">
            <v>DEPO PROVERA</v>
          </cell>
          <cell r="B120" t="str">
            <v>NEW DONOR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</row>
        <row r="121">
          <cell r="A121" t="str">
            <v>DEPO PROVERA</v>
          </cell>
          <cell r="B121" t="str">
            <v>Donor 10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</row>
        <row r="122">
          <cell r="A122" t="str">
            <v>MULTILOAD</v>
          </cell>
          <cell r="B122" t="str">
            <v>LAD III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</row>
        <row r="123">
          <cell r="A123" t="str">
            <v>MULTILOAD</v>
          </cell>
          <cell r="B123" t="str">
            <v>KFW- 12.0M Euro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</row>
        <row r="124">
          <cell r="A124" t="str">
            <v>MULTILOAD</v>
          </cell>
          <cell r="B124" t="str">
            <v>DFID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</row>
        <row r="125">
          <cell r="A125" t="str">
            <v>MULTILOAD</v>
          </cell>
          <cell r="B125" t="str">
            <v>USAID     SIFPO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</row>
        <row r="126">
          <cell r="A126" t="str">
            <v>MULTILOAD</v>
          </cell>
          <cell r="B126" t="str">
            <v>GF ROUND - 8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</row>
        <row r="127">
          <cell r="A127" t="str">
            <v>MULTILOAD</v>
          </cell>
          <cell r="B127" t="str">
            <v>GF ROUND - 9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</row>
        <row r="128">
          <cell r="A128" t="str">
            <v>MULTILOAD</v>
          </cell>
          <cell r="B128" t="str">
            <v>PACKARD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</row>
        <row r="129">
          <cell r="A129" t="str">
            <v>MULTILOAD</v>
          </cell>
          <cell r="B129" t="str">
            <v>PI- GSM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</row>
        <row r="130">
          <cell r="A130" t="str">
            <v>MULTILOAD</v>
          </cell>
          <cell r="B130" t="str">
            <v>NEW DONOR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</row>
        <row r="131">
          <cell r="A131" t="str">
            <v>MULTILOAD</v>
          </cell>
          <cell r="B131" t="str">
            <v>Donor 10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</row>
        <row r="132">
          <cell r="A132" t="str">
            <v>SAFELOAD</v>
          </cell>
          <cell r="B132" t="str">
            <v>LAD III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</row>
        <row r="133">
          <cell r="A133" t="str">
            <v>SAFELOAD</v>
          </cell>
          <cell r="B133" t="str">
            <v>KFW- 12.0M Euro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</row>
        <row r="134">
          <cell r="A134" t="str">
            <v>SAFELOAD</v>
          </cell>
          <cell r="B134" t="str">
            <v>DFID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</row>
        <row r="135">
          <cell r="A135" t="str">
            <v>SAFELOAD</v>
          </cell>
          <cell r="B135" t="str">
            <v>USAID     SIFPO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</row>
        <row r="136">
          <cell r="A136" t="str">
            <v>SAFELOAD</v>
          </cell>
          <cell r="B136" t="str">
            <v>GF ROUND - 8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</row>
        <row r="137">
          <cell r="A137" t="str">
            <v>SAFELOAD</v>
          </cell>
          <cell r="B137" t="str">
            <v>GF ROUND - 9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</row>
        <row r="138">
          <cell r="A138" t="str">
            <v>SAFELOAD</v>
          </cell>
          <cell r="B138" t="str">
            <v>PACKARD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</row>
        <row r="139">
          <cell r="A139" t="str">
            <v>SAFELOAD</v>
          </cell>
          <cell r="B139" t="str">
            <v>PI- GSM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</row>
        <row r="140">
          <cell r="A140" t="str">
            <v>SAFELOAD</v>
          </cell>
          <cell r="B140" t="str">
            <v>NEW DONOR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</row>
        <row r="141">
          <cell r="A141" t="str">
            <v>SAFELOAD</v>
          </cell>
          <cell r="B141" t="str">
            <v>Donor 10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</row>
        <row r="142">
          <cell r="A142" t="str">
            <v>Famiplant</v>
          </cell>
          <cell r="B142" t="str">
            <v>LAD III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</row>
        <row r="143">
          <cell r="A143" t="str">
            <v>Famiplant</v>
          </cell>
          <cell r="B143" t="str">
            <v>KFW- 12.0M Euro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</row>
        <row r="144">
          <cell r="A144" t="str">
            <v>Famiplant</v>
          </cell>
          <cell r="B144" t="str">
            <v>DFID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</row>
        <row r="145">
          <cell r="A145" t="str">
            <v>Famiplant</v>
          </cell>
          <cell r="B145" t="str">
            <v>USAID     SIFPO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</row>
        <row r="146">
          <cell r="A146" t="str">
            <v>Famiplant</v>
          </cell>
          <cell r="B146" t="str">
            <v>GF ROUND - 8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</row>
        <row r="147">
          <cell r="A147" t="str">
            <v>Famiplant</v>
          </cell>
          <cell r="B147" t="str">
            <v>GF ROUND - 9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</row>
        <row r="148">
          <cell r="A148" t="str">
            <v>Famiplant</v>
          </cell>
          <cell r="B148" t="str">
            <v>PACKARD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</row>
        <row r="149">
          <cell r="A149" t="str">
            <v>Famiplant</v>
          </cell>
          <cell r="B149" t="str">
            <v>PI- GSM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</row>
        <row r="150">
          <cell r="A150" t="str">
            <v>Famiplant</v>
          </cell>
          <cell r="B150" t="str">
            <v>NEW DONOR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</row>
        <row r="151">
          <cell r="A151" t="str">
            <v>Famiplant</v>
          </cell>
          <cell r="B151" t="str">
            <v>Donor 10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</row>
        <row r="152">
          <cell r="A152" t="str">
            <v>Jadelle</v>
          </cell>
          <cell r="B152" t="str">
            <v>LAD III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</row>
        <row r="153">
          <cell r="A153" t="str">
            <v>Jadelle</v>
          </cell>
          <cell r="B153" t="str">
            <v>KFW- 12.0M Euro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</row>
        <row r="154">
          <cell r="A154" t="str">
            <v>Jadelle</v>
          </cell>
          <cell r="B154" t="str">
            <v>DFID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</row>
        <row r="155">
          <cell r="A155" t="str">
            <v>Jadelle</v>
          </cell>
          <cell r="B155" t="str">
            <v>USAID     SIFPO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</row>
        <row r="156">
          <cell r="A156" t="str">
            <v>Jadelle</v>
          </cell>
          <cell r="B156" t="str">
            <v>GF ROUND - 8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</row>
        <row r="157">
          <cell r="A157" t="str">
            <v>Jadelle</v>
          </cell>
          <cell r="B157" t="str">
            <v>GF ROUND - 9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</row>
        <row r="158">
          <cell r="A158" t="str">
            <v>Jadelle</v>
          </cell>
          <cell r="B158" t="str">
            <v>PACKARD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</row>
        <row r="159">
          <cell r="A159" t="str">
            <v>Jadelle</v>
          </cell>
          <cell r="B159" t="str">
            <v>PI- GSM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</row>
        <row r="160">
          <cell r="A160" t="str">
            <v>Jadelle</v>
          </cell>
          <cell r="B160" t="str">
            <v>NEW DONOR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</row>
        <row r="161">
          <cell r="A161" t="str">
            <v>Jadelle</v>
          </cell>
          <cell r="B161" t="str">
            <v>Donor 10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</row>
        <row r="162">
          <cell r="A162" t="str">
            <v>CLEAN START KIT</v>
          </cell>
          <cell r="B162" t="str">
            <v>LAD III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</row>
        <row r="163">
          <cell r="A163" t="str">
            <v>CLEAN START KIT</v>
          </cell>
          <cell r="B163" t="str">
            <v>KFW- 12.0M Euro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</row>
        <row r="164">
          <cell r="A164" t="str">
            <v>CLEAN START KIT</v>
          </cell>
          <cell r="B164" t="str">
            <v>DFID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</row>
        <row r="165">
          <cell r="A165" t="str">
            <v>CLEAN START KIT</v>
          </cell>
          <cell r="B165" t="str">
            <v>USAID     SIFPO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</row>
        <row r="166">
          <cell r="A166" t="str">
            <v>CLEAN START KIT</v>
          </cell>
          <cell r="B166" t="str">
            <v>GF ROUND - 8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</row>
        <row r="167">
          <cell r="A167" t="str">
            <v>CLEAN START KIT</v>
          </cell>
          <cell r="B167" t="str">
            <v>GF ROUND - 9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</row>
        <row r="168">
          <cell r="A168" t="str">
            <v>CLEAN START KIT</v>
          </cell>
          <cell r="B168" t="str">
            <v>PACKARD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</row>
        <row r="169">
          <cell r="A169" t="str">
            <v>CLEAN START KIT</v>
          </cell>
          <cell r="B169" t="str">
            <v>PI- GSM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</row>
        <row r="170">
          <cell r="A170" t="str">
            <v>CLEAN START KIT</v>
          </cell>
          <cell r="B170" t="str">
            <v>NEW DONOR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</row>
        <row r="171">
          <cell r="A171" t="str">
            <v>CLEAN START KIT</v>
          </cell>
          <cell r="B171" t="str">
            <v>Donor 10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</row>
        <row r="172">
          <cell r="A172" t="str">
            <v>CLEAR 7</v>
          </cell>
          <cell r="B172" t="str">
            <v>LAD III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</row>
        <row r="173">
          <cell r="A173" t="str">
            <v>CLEAR 7</v>
          </cell>
          <cell r="B173" t="str">
            <v>KFW- 12.0M Euro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</row>
        <row r="174">
          <cell r="A174" t="str">
            <v>CLEAR 7</v>
          </cell>
          <cell r="B174" t="str">
            <v>DFID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</row>
        <row r="175">
          <cell r="A175" t="str">
            <v>CLEAR 7</v>
          </cell>
          <cell r="B175" t="str">
            <v>USAID     SIFPO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</row>
        <row r="176">
          <cell r="A176" t="str">
            <v>CLEAR 7</v>
          </cell>
          <cell r="B176" t="str">
            <v>GF ROUND - 8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</row>
        <row r="177">
          <cell r="A177" t="str">
            <v>CLEAR 7</v>
          </cell>
          <cell r="B177" t="str">
            <v>GF ROUND - 9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</row>
        <row r="178">
          <cell r="A178" t="str">
            <v>CLEAR 7</v>
          </cell>
          <cell r="B178" t="str">
            <v>PACKARD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</row>
        <row r="179">
          <cell r="A179" t="str">
            <v>CLEAR 7</v>
          </cell>
          <cell r="B179" t="str">
            <v>PI- GSM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</row>
        <row r="180">
          <cell r="A180" t="str">
            <v>CLEAR 7</v>
          </cell>
          <cell r="B180" t="str">
            <v>NEW DONOR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</row>
        <row r="181">
          <cell r="A181" t="str">
            <v>CLEAR 7</v>
          </cell>
          <cell r="B181" t="str">
            <v>Donor 10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</row>
        <row r="182">
          <cell r="A182" t="str">
            <v>AQUA TABS (T-10)</v>
          </cell>
          <cell r="B182" t="str">
            <v>LAD III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</row>
        <row r="183">
          <cell r="A183" t="str">
            <v>AQUA TABS (T-10)</v>
          </cell>
          <cell r="B183" t="str">
            <v>KFW- 12.0M Euro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</row>
        <row r="184">
          <cell r="A184" t="str">
            <v>AQUA TABS (T-10)</v>
          </cell>
          <cell r="B184" t="str">
            <v>DFID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</row>
        <row r="185">
          <cell r="A185" t="str">
            <v>AQUA TABS (T-10)</v>
          </cell>
          <cell r="B185" t="str">
            <v>USAID     SIFPO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</row>
        <row r="186">
          <cell r="A186" t="str">
            <v>AQUA TABS (T-10)</v>
          </cell>
          <cell r="B186" t="str">
            <v>GF ROUND - 8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</row>
        <row r="187">
          <cell r="A187" t="str">
            <v>AQUA TABS (T-10)</v>
          </cell>
          <cell r="B187" t="str">
            <v>GF ROUND - 9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</row>
        <row r="188">
          <cell r="A188" t="str">
            <v>AQUA TABS (T-10)</v>
          </cell>
          <cell r="B188" t="str">
            <v>PACKARD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</row>
        <row r="189">
          <cell r="A189" t="str">
            <v>AQUA TABS (T-10)</v>
          </cell>
          <cell r="B189" t="str">
            <v>PI- GSM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</row>
        <row r="190">
          <cell r="A190" t="str">
            <v>AQUA TABS (T-10)</v>
          </cell>
          <cell r="B190" t="str">
            <v>NEW DONOR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</row>
        <row r="191">
          <cell r="A191" t="str">
            <v>AQUA TABS (T-10)</v>
          </cell>
          <cell r="B191" t="str">
            <v>Donor 10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</row>
        <row r="192">
          <cell r="A192" t="str">
            <v>AQUA TABS (T-20)</v>
          </cell>
          <cell r="B192" t="str">
            <v>LAD III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</row>
        <row r="193">
          <cell r="A193" t="str">
            <v>AQUA TABS (T-20)</v>
          </cell>
          <cell r="B193" t="str">
            <v>KFW- 12.0M Euro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</row>
        <row r="194">
          <cell r="A194" t="str">
            <v>AQUA TABS (T-20)</v>
          </cell>
          <cell r="B194" t="str">
            <v>DFID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</row>
        <row r="195">
          <cell r="A195" t="str">
            <v>AQUA TABS (T-20)</v>
          </cell>
          <cell r="B195" t="str">
            <v>USAID     SIFPO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</row>
        <row r="196">
          <cell r="A196" t="str">
            <v>AQUA TABS (T-20)</v>
          </cell>
          <cell r="B196" t="str">
            <v>GF ROUND - 8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</row>
        <row r="197">
          <cell r="A197" t="str">
            <v>AQUA TABS (T-20)</v>
          </cell>
          <cell r="B197" t="str">
            <v>GF ROUND - 9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</row>
        <row r="198">
          <cell r="A198" t="str">
            <v>AQUA TABS (T-20)</v>
          </cell>
          <cell r="B198" t="str">
            <v>PACKARD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</row>
        <row r="199">
          <cell r="A199" t="str">
            <v>AQUA TABS (T-20)</v>
          </cell>
          <cell r="B199" t="str">
            <v>PI- GSM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</row>
        <row r="200">
          <cell r="A200" t="str">
            <v>AQUA TABS (T-20)</v>
          </cell>
          <cell r="B200" t="str">
            <v>NEW DONOR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</row>
        <row r="201">
          <cell r="A201" t="str">
            <v>AQUA TABS (T-20)</v>
          </cell>
          <cell r="B201" t="str">
            <v>Donor 10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</row>
        <row r="202">
          <cell r="A202" t="str">
            <v>BABY ACTIVE</v>
          </cell>
          <cell r="B202" t="str">
            <v>LAD III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</row>
        <row r="203">
          <cell r="A203" t="str">
            <v>BABY ACTIVE</v>
          </cell>
          <cell r="B203" t="str">
            <v>KFW- 12.0M Euro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</row>
        <row r="204">
          <cell r="A204" t="str">
            <v>BABY ACTIVE</v>
          </cell>
          <cell r="B204" t="str">
            <v>DFID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</row>
        <row r="205">
          <cell r="A205" t="str">
            <v>BABY ACTIVE</v>
          </cell>
          <cell r="B205" t="str">
            <v>USAID     SIFPO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</row>
        <row r="206">
          <cell r="A206" t="str">
            <v>BABY ACTIVE</v>
          </cell>
          <cell r="B206" t="str">
            <v>GF ROUND - 8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</row>
        <row r="207">
          <cell r="A207" t="str">
            <v>BABY ACTIVE</v>
          </cell>
          <cell r="B207" t="str">
            <v>GF ROUND - 9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</row>
        <row r="208">
          <cell r="A208" t="str">
            <v>BABY ACTIVE</v>
          </cell>
          <cell r="B208" t="str">
            <v>PACKARD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</row>
        <row r="209">
          <cell r="A209" t="str">
            <v>BABY ACTIVE</v>
          </cell>
          <cell r="B209" t="str">
            <v>PI- GSM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</row>
        <row r="210">
          <cell r="A210" t="str">
            <v>BABY ACTIVE</v>
          </cell>
          <cell r="B210" t="str">
            <v>NEW DONOR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</row>
        <row r="211">
          <cell r="A211" t="str">
            <v>BABY ACTIVE</v>
          </cell>
          <cell r="B211" t="str">
            <v>Donor 10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</row>
        <row r="212">
          <cell r="A212" t="str">
            <v>Pure</v>
          </cell>
          <cell r="B212" t="str">
            <v>LAD III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</row>
        <row r="213">
          <cell r="A213" t="str">
            <v>Pure</v>
          </cell>
          <cell r="B213" t="str">
            <v>KFW- 12.0M Euro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</row>
        <row r="214">
          <cell r="A214" t="str">
            <v>Pure</v>
          </cell>
          <cell r="B214" t="str">
            <v>DFID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</row>
        <row r="215">
          <cell r="A215" t="str">
            <v>Pure</v>
          </cell>
          <cell r="B215" t="str">
            <v>USAID     SIFPO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</row>
        <row r="216">
          <cell r="A216" t="str">
            <v>Pure</v>
          </cell>
          <cell r="B216" t="str">
            <v>GF ROUND - 8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</row>
        <row r="217">
          <cell r="A217" t="str">
            <v>Pure</v>
          </cell>
          <cell r="B217" t="str">
            <v>GF ROUND - 9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</row>
        <row r="218">
          <cell r="A218" t="str">
            <v>Pure</v>
          </cell>
          <cell r="B218" t="str">
            <v>PACKARD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</row>
        <row r="219">
          <cell r="A219" t="str">
            <v>Pure</v>
          </cell>
          <cell r="B219" t="str">
            <v>PI- GSM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</row>
        <row r="220">
          <cell r="A220" t="str">
            <v>Pure</v>
          </cell>
          <cell r="B220" t="str">
            <v>NEW DONOR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</row>
        <row r="221">
          <cell r="A221" t="str">
            <v>Pure</v>
          </cell>
          <cell r="B221" t="str">
            <v>Donor 10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</row>
        <row r="222">
          <cell r="A222" t="str">
            <v xml:space="preserve">CHLOR TABS  10s </v>
          </cell>
          <cell r="B222" t="str">
            <v>LAD III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</row>
        <row r="223">
          <cell r="A223" t="str">
            <v xml:space="preserve">CHLOR TABS  10s </v>
          </cell>
          <cell r="B223" t="str">
            <v>KFW- 12.0M Euro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</row>
        <row r="224">
          <cell r="A224" t="str">
            <v xml:space="preserve">CHLOR TABS  10s </v>
          </cell>
          <cell r="B224" t="str">
            <v>DFID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</row>
        <row r="225">
          <cell r="A225" t="str">
            <v xml:space="preserve">CHLOR TABS  10s </v>
          </cell>
          <cell r="B225" t="str">
            <v>USAID     SIFPO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</row>
        <row r="226">
          <cell r="A226" t="str">
            <v xml:space="preserve">CHLOR TABS  10s </v>
          </cell>
          <cell r="B226" t="str">
            <v>GF ROUND - 8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</row>
        <row r="227">
          <cell r="A227" t="str">
            <v xml:space="preserve">CHLOR TABS  10s </v>
          </cell>
          <cell r="B227" t="str">
            <v>GF ROUND - 9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</row>
        <row r="228">
          <cell r="A228" t="str">
            <v xml:space="preserve">CHLOR TABS  10s </v>
          </cell>
          <cell r="B228" t="str">
            <v>PACKARD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</row>
        <row r="229">
          <cell r="A229" t="str">
            <v xml:space="preserve">CHLOR TABS  10s </v>
          </cell>
          <cell r="B229" t="str">
            <v>PI- GSM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</row>
        <row r="230">
          <cell r="A230" t="str">
            <v xml:space="preserve">CHLOR TABS  10s </v>
          </cell>
          <cell r="B230" t="str">
            <v>NEW DONOR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</row>
        <row r="231">
          <cell r="A231" t="str">
            <v xml:space="preserve">CHLOR TABS  10s </v>
          </cell>
          <cell r="B231" t="str">
            <v>Donor 10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</row>
        <row r="232">
          <cell r="A232" t="str">
            <v xml:space="preserve">CHLOR TABS  25s </v>
          </cell>
          <cell r="B232" t="str">
            <v>LAD III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</row>
        <row r="233">
          <cell r="A233" t="str">
            <v xml:space="preserve">CHLOR TABS  25s </v>
          </cell>
          <cell r="B233" t="str">
            <v>KFW- 12.0M Euro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</row>
        <row r="234">
          <cell r="A234" t="str">
            <v xml:space="preserve">CHLOR TABS  25s </v>
          </cell>
          <cell r="B234" t="str">
            <v>DFID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</row>
        <row r="235">
          <cell r="A235" t="str">
            <v xml:space="preserve">CHLOR TABS  25s </v>
          </cell>
          <cell r="B235" t="str">
            <v>USAID     SIFPO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</row>
        <row r="236">
          <cell r="A236" t="str">
            <v xml:space="preserve">CHLOR TABS  25s </v>
          </cell>
          <cell r="B236" t="str">
            <v>GF ROUND - 8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</row>
        <row r="237">
          <cell r="A237" t="str">
            <v xml:space="preserve">CHLOR TABS  25s </v>
          </cell>
          <cell r="B237" t="str">
            <v>GF ROUND - 9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</row>
        <row r="238">
          <cell r="A238" t="str">
            <v xml:space="preserve">CHLOR TABS  25s </v>
          </cell>
          <cell r="B238" t="str">
            <v>PACKARD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</row>
        <row r="239">
          <cell r="A239" t="str">
            <v xml:space="preserve">CHLOR TABS  25s </v>
          </cell>
          <cell r="B239" t="str">
            <v>PI- GSM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</row>
        <row r="240">
          <cell r="A240" t="str">
            <v xml:space="preserve">CHLOR TABS  25s </v>
          </cell>
          <cell r="B240" t="str">
            <v>NEW DONOR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</row>
        <row r="241">
          <cell r="A241" t="str">
            <v xml:space="preserve">CHLOR TABS  25s </v>
          </cell>
          <cell r="B241" t="str">
            <v>Donor 10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</row>
        <row r="242">
          <cell r="A242" t="str">
            <v>VSC</v>
          </cell>
          <cell r="B242" t="str">
            <v>LAD III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</row>
        <row r="243">
          <cell r="A243" t="str">
            <v>VSC</v>
          </cell>
          <cell r="B243" t="str">
            <v>KFW- 12.0M Euro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</row>
        <row r="244">
          <cell r="A244" t="str">
            <v>VSC</v>
          </cell>
          <cell r="B244" t="str">
            <v>DFID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</row>
        <row r="245">
          <cell r="A245" t="str">
            <v>VSC</v>
          </cell>
          <cell r="B245" t="str">
            <v>USAID     SIFPO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</row>
        <row r="246">
          <cell r="A246" t="str">
            <v>VSC</v>
          </cell>
          <cell r="B246" t="str">
            <v>GF ROUND - 8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</row>
        <row r="247">
          <cell r="A247" t="str">
            <v>VSC</v>
          </cell>
          <cell r="B247" t="str">
            <v>GF ROUND - 9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</row>
        <row r="248">
          <cell r="A248" t="str">
            <v>VSC</v>
          </cell>
          <cell r="B248" t="str">
            <v>PACKARD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</row>
        <row r="249">
          <cell r="A249" t="str">
            <v>VSC</v>
          </cell>
          <cell r="B249" t="str">
            <v>PI- GSM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</row>
        <row r="250">
          <cell r="A250" t="str">
            <v>VSC</v>
          </cell>
          <cell r="B250" t="str">
            <v>NEW DONOR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</row>
        <row r="251">
          <cell r="A251" t="str">
            <v>VSC</v>
          </cell>
          <cell r="B251" t="str">
            <v>Donor 10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</row>
        <row r="252">
          <cell r="A252" t="str">
            <v>Product 26</v>
          </cell>
          <cell r="B252" t="str">
            <v>LAD III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</row>
        <row r="253">
          <cell r="A253" t="str">
            <v>Product 26</v>
          </cell>
          <cell r="B253" t="str">
            <v>KFW- 12.0M Euro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</row>
        <row r="254">
          <cell r="A254" t="str">
            <v>Product 26</v>
          </cell>
          <cell r="B254" t="str">
            <v>DFID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</row>
        <row r="255">
          <cell r="A255" t="str">
            <v>Product 26</v>
          </cell>
          <cell r="B255" t="str">
            <v>USAID     SIFPO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</row>
        <row r="256">
          <cell r="A256" t="str">
            <v>Product 26</v>
          </cell>
          <cell r="B256" t="str">
            <v>GF ROUND - 8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</row>
        <row r="257">
          <cell r="A257" t="str">
            <v>Product 26</v>
          </cell>
          <cell r="B257" t="str">
            <v>GF ROUND - 9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</row>
        <row r="258">
          <cell r="A258" t="str">
            <v>Product 26</v>
          </cell>
          <cell r="B258" t="str">
            <v>PACKARD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</row>
        <row r="259">
          <cell r="A259" t="str">
            <v>Product 26</v>
          </cell>
          <cell r="B259" t="str">
            <v>PI- GSM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</row>
        <row r="260">
          <cell r="A260" t="str">
            <v>Product 26</v>
          </cell>
          <cell r="B260" t="str">
            <v>NEW DONOR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</row>
        <row r="261">
          <cell r="A261" t="str">
            <v>Product 26</v>
          </cell>
          <cell r="B261" t="str">
            <v>Donor 10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</row>
        <row r="262">
          <cell r="A262" t="str">
            <v>Product 27</v>
          </cell>
          <cell r="B262" t="str">
            <v>LAD III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</row>
        <row r="263">
          <cell r="A263" t="str">
            <v>Product 27</v>
          </cell>
          <cell r="B263" t="str">
            <v>KFW- 12.0M Euro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</row>
        <row r="264">
          <cell r="A264" t="str">
            <v>Product 27</v>
          </cell>
          <cell r="B264" t="str">
            <v>DFID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</row>
        <row r="265">
          <cell r="A265" t="str">
            <v>Product 27</v>
          </cell>
          <cell r="B265" t="str">
            <v>USAID     SIFPO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</row>
        <row r="266">
          <cell r="A266" t="str">
            <v>Product 27</v>
          </cell>
          <cell r="B266" t="str">
            <v>GF ROUND - 8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</row>
        <row r="267">
          <cell r="A267" t="str">
            <v>Product 27</v>
          </cell>
          <cell r="B267" t="str">
            <v>GF ROUND - 9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</row>
        <row r="268">
          <cell r="A268" t="str">
            <v>Product 27</v>
          </cell>
          <cell r="B268" t="str">
            <v>PACKARD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</row>
        <row r="269">
          <cell r="A269" t="str">
            <v>Product 27</v>
          </cell>
          <cell r="B269" t="str">
            <v>PI- GSM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</row>
        <row r="270">
          <cell r="A270" t="str">
            <v>Product 27</v>
          </cell>
          <cell r="B270" t="str">
            <v>NEW DONOR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</row>
        <row r="271">
          <cell r="A271" t="str">
            <v>Product 27</v>
          </cell>
          <cell r="B271" t="str">
            <v>Donor 10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</row>
        <row r="272">
          <cell r="A272" t="str">
            <v>Product 28</v>
          </cell>
          <cell r="B272" t="str">
            <v>LAD III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</row>
        <row r="273">
          <cell r="A273" t="str">
            <v>Product 28</v>
          </cell>
          <cell r="B273" t="str">
            <v>KFW- 12.0M Euro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</row>
        <row r="274">
          <cell r="A274" t="str">
            <v>Product 28</v>
          </cell>
          <cell r="B274" t="str">
            <v>DFID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</row>
        <row r="275">
          <cell r="A275" t="str">
            <v>Product 28</v>
          </cell>
          <cell r="B275" t="str">
            <v>USAID     SIFPO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</row>
        <row r="276">
          <cell r="A276" t="str">
            <v>Product 28</v>
          </cell>
          <cell r="B276" t="str">
            <v>GF ROUND - 8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</row>
        <row r="277">
          <cell r="A277" t="str">
            <v>Product 28</v>
          </cell>
          <cell r="B277" t="str">
            <v>GF ROUND - 9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</row>
        <row r="278">
          <cell r="A278" t="str">
            <v>Product 28</v>
          </cell>
          <cell r="B278" t="str">
            <v>PACKARD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</row>
        <row r="279">
          <cell r="A279" t="str">
            <v>Product 28</v>
          </cell>
          <cell r="B279" t="str">
            <v>PI- GSM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</row>
        <row r="280">
          <cell r="A280" t="str">
            <v>Product 28</v>
          </cell>
          <cell r="B280" t="str">
            <v>NEW DONOR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</row>
        <row r="281">
          <cell r="A281" t="str">
            <v>Product 28</v>
          </cell>
          <cell r="B281" t="str">
            <v>Donor 10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</row>
        <row r="282">
          <cell r="A282" t="str">
            <v>Product 29</v>
          </cell>
          <cell r="B282" t="str">
            <v>LAD III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</row>
        <row r="283">
          <cell r="A283" t="str">
            <v>Product 29</v>
          </cell>
          <cell r="B283" t="str">
            <v>KFW- 12.0M Euro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</row>
        <row r="284">
          <cell r="A284" t="str">
            <v>Product 29</v>
          </cell>
          <cell r="B284" t="str">
            <v>DFID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</row>
        <row r="285">
          <cell r="A285" t="str">
            <v>Product 29</v>
          </cell>
          <cell r="B285" t="str">
            <v>USAID     SIFPO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</row>
        <row r="286">
          <cell r="A286" t="str">
            <v>Product 29</v>
          </cell>
          <cell r="B286" t="str">
            <v>GF ROUND - 8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</row>
        <row r="287">
          <cell r="A287" t="str">
            <v>Product 29</v>
          </cell>
          <cell r="B287" t="str">
            <v>GF ROUND - 9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</row>
        <row r="288">
          <cell r="A288" t="str">
            <v>Product 29</v>
          </cell>
          <cell r="B288" t="str">
            <v>PACKARD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</row>
        <row r="289">
          <cell r="A289" t="str">
            <v>Product 29</v>
          </cell>
          <cell r="B289" t="str">
            <v>PI- GSM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</row>
        <row r="290">
          <cell r="A290" t="str">
            <v>Product 29</v>
          </cell>
          <cell r="B290" t="str">
            <v>NEW DONOR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</row>
        <row r="291">
          <cell r="A291" t="str">
            <v>Product 29</v>
          </cell>
          <cell r="B291" t="str">
            <v>Donor 10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</row>
        <row r="292">
          <cell r="A292" t="str">
            <v>Product 30</v>
          </cell>
          <cell r="B292" t="str">
            <v>LAD III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</row>
        <row r="293">
          <cell r="A293" t="str">
            <v>Product 30</v>
          </cell>
          <cell r="B293" t="str">
            <v>KFW- 12.0M Euro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</row>
        <row r="294">
          <cell r="A294" t="str">
            <v>Product 30</v>
          </cell>
          <cell r="B294" t="str">
            <v>DFID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</row>
        <row r="295">
          <cell r="A295" t="str">
            <v>Product 30</v>
          </cell>
          <cell r="B295" t="str">
            <v>USAID     SIFPO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</row>
        <row r="296">
          <cell r="A296" t="str">
            <v>Product 30</v>
          </cell>
          <cell r="B296" t="str">
            <v>GF ROUND - 8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</row>
        <row r="297">
          <cell r="A297" t="str">
            <v>Product 30</v>
          </cell>
          <cell r="B297" t="str">
            <v>GF ROUND - 9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</row>
        <row r="298">
          <cell r="A298" t="str">
            <v>Product 30</v>
          </cell>
          <cell r="B298" t="str">
            <v>PACKARD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</row>
        <row r="299">
          <cell r="A299" t="str">
            <v>Product 30</v>
          </cell>
          <cell r="B299" t="str">
            <v>PI- GSM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</row>
        <row r="300">
          <cell r="A300" t="str">
            <v>Product 30</v>
          </cell>
          <cell r="B300" t="str">
            <v>NEW DONOR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</row>
        <row r="301">
          <cell r="A301" t="str">
            <v>Product 30</v>
          </cell>
          <cell r="B301" t="str">
            <v>Donor 10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</row>
        <row r="302">
          <cell r="AM302">
            <v>0</v>
          </cell>
        </row>
      </sheetData>
      <sheetData sheetId="8" refreshError="1"/>
      <sheetData sheetId="9">
        <row r="1">
          <cell r="A1" t="str">
            <v>SUB ACCOUNT</v>
          </cell>
          <cell r="B1" t="str">
            <v>PROJECT</v>
          </cell>
          <cell r="C1">
            <v>41821</v>
          </cell>
          <cell r="D1">
            <v>41852</v>
          </cell>
          <cell r="E1">
            <v>41883</v>
          </cell>
          <cell r="F1">
            <v>41914</v>
          </cell>
          <cell r="G1">
            <v>41945</v>
          </cell>
          <cell r="H1">
            <v>41976</v>
          </cell>
          <cell r="I1">
            <v>42007</v>
          </cell>
          <cell r="J1">
            <v>42038</v>
          </cell>
          <cell r="K1">
            <v>42069</v>
          </cell>
          <cell r="L1">
            <v>42100</v>
          </cell>
          <cell r="M1">
            <v>42131</v>
          </cell>
          <cell r="N1">
            <v>42162</v>
          </cell>
          <cell r="O1">
            <v>42193</v>
          </cell>
          <cell r="P1">
            <v>42224</v>
          </cell>
          <cell r="Q1">
            <v>42255</v>
          </cell>
          <cell r="R1">
            <v>42286</v>
          </cell>
          <cell r="S1">
            <v>42317</v>
          </cell>
          <cell r="T1">
            <v>42348</v>
          </cell>
          <cell r="U1">
            <v>42379</v>
          </cell>
          <cell r="V1">
            <v>42410</v>
          </cell>
          <cell r="W1">
            <v>42441</v>
          </cell>
          <cell r="X1">
            <v>42472</v>
          </cell>
          <cell r="Y1">
            <v>42503</v>
          </cell>
          <cell r="Z1">
            <v>42534</v>
          </cell>
          <cell r="AA1">
            <v>42565</v>
          </cell>
          <cell r="AB1">
            <v>42596</v>
          </cell>
          <cell r="AC1">
            <v>42627</v>
          </cell>
          <cell r="AD1">
            <v>42658</v>
          </cell>
          <cell r="AE1">
            <v>42689</v>
          </cell>
          <cell r="AF1">
            <v>42720</v>
          </cell>
          <cell r="AG1">
            <v>42751</v>
          </cell>
          <cell r="AH1">
            <v>42782</v>
          </cell>
          <cell r="AI1">
            <v>42813</v>
          </cell>
          <cell r="AJ1">
            <v>42844</v>
          </cell>
          <cell r="AK1">
            <v>42875</v>
          </cell>
          <cell r="AL1">
            <v>42906</v>
          </cell>
          <cell r="AM1" t="str">
            <v>BUDGET YEAR 1</v>
          </cell>
        </row>
        <row r="2">
          <cell r="A2" t="str">
            <v>SATHI 3S</v>
          </cell>
          <cell r="B2" t="str">
            <v>LAD III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</row>
        <row r="3">
          <cell r="A3" t="str">
            <v>SATHI 3S</v>
          </cell>
          <cell r="B3" t="str">
            <v>KFW- 12.0M Euro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</row>
        <row r="4">
          <cell r="A4" t="str">
            <v>SATHI 3S</v>
          </cell>
          <cell r="B4" t="str">
            <v>DFID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</row>
        <row r="5">
          <cell r="A5" t="str">
            <v>SATHI 3S</v>
          </cell>
          <cell r="B5" t="str">
            <v>USAID     SIFPO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</row>
        <row r="6">
          <cell r="A6" t="str">
            <v>SATHI 3S</v>
          </cell>
          <cell r="B6" t="str">
            <v>GF ROUND - 8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</row>
        <row r="7">
          <cell r="A7" t="str">
            <v>SATHI 3S</v>
          </cell>
          <cell r="B7" t="str">
            <v>GF ROUND - 9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</row>
        <row r="8">
          <cell r="A8" t="str">
            <v>SATHI 3S</v>
          </cell>
          <cell r="B8" t="str">
            <v>PACKARD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</row>
        <row r="9">
          <cell r="A9" t="str">
            <v>SATHI 3S</v>
          </cell>
          <cell r="B9" t="str">
            <v>PI- GSM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</row>
        <row r="10">
          <cell r="A10" t="str">
            <v>SATHI 3S</v>
          </cell>
          <cell r="B10" t="str">
            <v>NEW DONOR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</row>
        <row r="11">
          <cell r="A11" t="str">
            <v>SATHI 3S</v>
          </cell>
          <cell r="B11" t="str">
            <v>Donor 10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</row>
        <row r="12">
          <cell r="A12" t="str">
            <v>Sathi 6s</v>
          </cell>
          <cell r="B12" t="str">
            <v>LAD III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</row>
        <row r="13">
          <cell r="A13" t="str">
            <v>Sathi 6s</v>
          </cell>
          <cell r="B13" t="str">
            <v>KFW- 12.0M Euro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</row>
        <row r="14">
          <cell r="A14" t="str">
            <v>Sathi 6s</v>
          </cell>
          <cell r="B14" t="str">
            <v>DFID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</row>
        <row r="15">
          <cell r="A15" t="str">
            <v>Sathi 6s</v>
          </cell>
          <cell r="B15" t="str">
            <v>USAID     SIFPO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</row>
        <row r="16">
          <cell r="A16" t="str">
            <v>Sathi 6s</v>
          </cell>
          <cell r="B16" t="str">
            <v>GF ROUND - 8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</row>
        <row r="17">
          <cell r="A17" t="str">
            <v>Sathi 6s</v>
          </cell>
          <cell r="B17" t="str">
            <v>GF ROUND - 9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</row>
        <row r="18">
          <cell r="A18" t="str">
            <v>Sathi 6s</v>
          </cell>
          <cell r="B18" t="str">
            <v>PACKARD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</row>
        <row r="19">
          <cell r="A19" t="str">
            <v>Sathi 6s</v>
          </cell>
          <cell r="B19" t="str">
            <v>PI- GSM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</row>
        <row r="20">
          <cell r="A20" t="str">
            <v>Sathi 6s</v>
          </cell>
          <cell r="B20" t="str">
            <v>NEW DONOR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</row>
        <row r="21">
          <cell r="A21" t="str">
            <v>Sathi 6s</v>
          </cell>
          <cell r="B21" t="str">
            <v>Donor 10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</row>
        <row r="22">
          <cell r="A22" t="str">
            <v>TOUCH 3S (Classic and Ribbed)</v>
          </cell>
          <cell r="B22" t="str">
            <v>LAD III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</row>
        <row r="23">
          <cell r="A23" t="str">
            <v>TOUCH 3S (Classic and Ribbed)</v>
          </cell>
          <cell r="B23" t="str">
            <v>KFW- 12.0M Euro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</row>
        <row r="24">
          <cell r="A24" t="str">
            <v>TOUCH 3S (Classic and Ribbed)</v>
          </cell>
          <cell r="B24" t="str">
            <v>DFID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</row>
        <row r="25">
          <cell r="A25" t="str">
            <v>TOUCH 3S (Classic and Ribbed)</v>
          </cell>
          <cell r="B25" t="str">
            <v>USAID     SIFPO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</row>
        <row r="26">
          <cell r="A26" t="str">
            <v>TOUCH 3S (Classic and Ribbed)</v>
          </cell>
          <cell r="B26" t="str">
            <v>GF ROUND - 8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</row>
        <row r="27">
          <cell r="A27" t="str">
            <v>TOUCH 3S (Classic and Ribbed)</v>
          </cell>
          <cell r="B27" t="str">
            <v>GF ROUND - 9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</row>
        <row r="28">
          <cell r="A28" t="str">
            <v>TOUCH 3S (Classic and Ribbed)</v>
          </cell>
          <cell r="B28" t="str">
            <v>PACKARD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</row>
        <row r="29">
          <cell r="A29" t="str">
            <v>TOUCH 3S (Classic and Ribbed)</v>
          </cell>
          <cell r="B29" t="str">
            <v>PI- GSM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</row>
        <row r="30">
          <cell r="A30" t="str">
            <v>TOUCH 3S (Classic and Ribbed)</v>
          </cell>
          <cell r="B30" t="str">
            <v>NEW DONOR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</row>
        <row r="31">
          <cell r="A31" t="str">
            <v>TOUCH 3S (Classic and Ribbed)</v>
          </cell>
          <cell r="B31" t="str">
            <v>Donor 10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</row>
        <row r="32">
          <cell r="A32" t="str">
            <v>TOUCH 6S (Classic and Ribbed)</v>
          </cell>
          <cell r="B32" t="str">
            <v>LAD III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</row>
        <row r="33">
          <cell r="A33" t="str">
            <v>TOUCH 6S (Classic and Ribbed)</v>
          </cell>
          <cell r="B33" t="str">
            <v>KFW- 12.0M Euro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</row>
        <row r="34">
          <cell r="A34" t="str">
            <v>TOUCH 6S (Classic and Ribbed)</v>
          </cell>
          <cell r="B34" t="str">
            <v>DFID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</row>
        <row r="35">
          <cell r="A35" t="str">
            <v>TOUCH 6S (Classic and Ribbed)</v>
          </cell>
          <cell r="B35" t="str">
            <v>USAID     SIFPO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</row>
        <row r="36">
          <cell r="A36" t="str">
            <v>TOUCH 6S (Classic and Ribbed)</v>
          </cell>
          <cell r="B36" t="str">
            <v>GF ROUND - 8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</row>
        <row r="37">
          <cell r="A37" t="str">
            <v>TOUCH 6S (Classic and Ribbed)</v>
          </cell>
          <cell r="B37" t="str">
            <v>GF ROUND - 9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</row>
        <row r="38">
          <cell r="A38" t="str">
            <v>TOUCH 6S (Classic and Ribbed)</v>
          </cell>
          <cell r="B38" t="str">
            <v>PACKARD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</row>
        <row r="39">
          <cell r="A39" t="str">
            <v>TOUCH 6S (Classic and Ribbed)</v>
          </cell>
          <cell r="B39" t="str">
            <v>PI- GSM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</row>
        <row r="40">
          <cell r="A40" t="str">
            <v>TOUCH 6S (Classic and Ribbed)</v>
          </cell>
          <cell r="B40" t="str">
            <v>NEW DONOR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</row>
        <row r="41">
          <cell r="A41" t="str">
            <v>TOUCH 6S (Classic and Ribbed)</v>
          </cell>
          <cell r="B41" t="str">
            <v>Donor 10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</row>
        <row r="42">
          <cell r="A42" t="str">
            <v>TOUCH 3s (Dotted)</v>
          </cell>
          <cell r="B42" t="str">
            <v>LAD III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</row>
        <row r="43">
          <cell r="A43" t="str">
            <v>TOUCH 3s (Dotted)</v>
          </cell>
          <cell r="B43" t="str">
            <v>KFW- 12.0M Euro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</row>
        <row r="44">
          <cell r="A44" t="str">
            <v>TOUCH 3s (Dotted)</v>
          </cell>
          <cell r="B44" t="str">
            <v>DFID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</row>
        <row r="45">
          <cell r="A45" t="str">
            <v>TOUCH 3s (Dotted)</v>
          </cell>
          <cell r="B45" t="str">
            <v>USAID     SIFPO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</row>
        <row r="46">
          <cell r="A46" t="str">
            <v>TOUCH 3s (Dotted)</v>
          </cell>
          <cell r="B46" t="str">
            <v>GF ROUND - 8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</row>
        <row r="47">
          <cell r="A47" t="str">
            <v>TOUCH 3s (Dotted)</v>
          </cell>
          <cell r="B47" t="str">
            <v>GF ROUND - 9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</row>
        <row r="48">
          <cell r="A48" t="str">
            <v>TOUCH 3s (Dotted)</v>
          </cell>
          <cell r="B48" t="str">
            <v>PACKARD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</row>
        <row r="49">
          <cell r="A49" t="str">
            <v>TOUCH 3s (Dotted)</v>
          </cell>
          <cell r="B49" t="str">
            <v>PI- GSM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</row>
        <row r="50">
          <cell r="A50" t="str">
            <v>TOUCH 3s (Dotted)</v>
          </cell>
          <cell r="B50" t="str">
            <v>NEW DONOR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</row>
        <row r="51">
          <cell r="A51" t="str">
            <v>TOUCH 3s (Dotted)</v>
          </cell>
          <cell r="B51" t="str">
            <v>Donor 10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</row>
        <row r="52">
          <cell r="A52" t="str">
            <v>TOUCH 6s (Dotted)</v>
          </cell>
          <cell r="B52" t="str">
            <v>LAD III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</row>
        <row r="53">
          <cell r="A53" t="str">
            <v>TOUCH 6s (Dotted)</v>
          </cell>
          <cell r="B53" t="str">
            <v>KFW- 12.0M Euro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</row>
        <row r="54">
          <cell r="A54" t="str">
            <v>TOUCH 6s (Dotted)</v>
          </cell>
          <cell r="B54" t="str">
            <v>DFID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</row>
        <row r="55">
          <cell r="A55" t="str">
            <v>TOUCH 6s (Dotted)</v>
          </cell>
          <cell r="B55" t="str">
            <v>USAID     SIFPO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</row>
        <row r="56">
          <cell r="A56" t="str">
            <v>TOUCH 6s (Dotted)</v>
          </cell>
          <cell r="B56" t="str">
            <v>GF ROUND - 8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</row>
        <row r="57">
          <cell r="A57" t="str">
            <v>TOUCH 6s (Dotted)</v>
          </cell>
          <cell r="B57" t="str">
            <v>GF ROUND - 9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</row>
        <row r="58">
          <cell r="A58" t="str">
            <v>TOUCH 6s (Dotted)</v>
          </cell>
          <cell r="B58" t="str">
            <v>PACKARD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</row>
        <row r="59">
          <cell r="A59" t="str">
            <v>TOUCH 6s (Dotted)</v>
          </cell>
          <cell r="B59" t="str">
            <v>PI- GSM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</row>
        <row r="60">
          <cell r="A60" t="str">
            <v>TOUCH 6s (Dotted)</v>
          </cell>
          <cell r="B60" t="str">
            <v>NEW DONOR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</row>
        <row r="61">
          <cell r="A61" t="str">
            <v>TOUCH 6s (Dotted)</v>
          </cell>
          <cell r="B61" t="str">
            <v>Donor 10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</row>
        <row r="62">
          <cell r="A62" t="str">
            <v>Nova</v>
          </cell>
          <cell r="B62" t="str">
            <v>LAD III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</row>
        <row r="63">
          <cell r="A63" t="str">
            <v>Nova</v>
          </cell>
          <cell r="B63" t="str">
            <v>KFW- 12.0M Euro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</row>
        <row r="64">
          <cell r="A64" t="str">
            <v>Nova</v>
          </cell>
          <cell r="B64" t="str">
            <v>DFID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</row>
        <row r="65">
          <cell r="A65" t="str">
            <v>Nova</v>
          </cell>
          <cell r="B65" t="str">
            <v>USAID     SIFPO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</row>
        <row r="66">
          <cell r="A66" t="str">
            <v>Nova</v>
          </cell>
          <cell r="B66" t="str">
            <v>GF ROUND - 8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</row>
        <row r="67">
          <cell r="A67" t="str">
            <v>Nova</v>
          </cell>
          <cell r="B67" t="str">
            <v>GF ROUND - 9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</row>
        <row r="68">
          <cell r="A68" t="str">
            <v>Nova</v>
          </cell>
          <cell r="B68" t="str">
            <v>PACKARD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</row>
        <row r="69">
          <cell r="A69" t="str">
            <v>Nova</v>
          </cell>
          <cell r="B69" t="str">
            <v>PI- GSM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</row>
        <row r="70">
          <cell r="A70" t="str">
            <v>Nova</v>
          </cell>
          <cell r="B70" t="str">
            <v>NEW DONOR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</row>
        <row r="71">
          <cell r="A71" t="str">
            <v>Nova</v>
          </cell>
          <cell r="B71" t="str">
            <v>Donor 10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</row>
        <row r="72">
          <cell r="A72" t="str">
            <v>NOVODOL</v>
          </cell>
          <cell r="B72" t="str">
            <v>LAD III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</row>
        <row r="73">
          <cell r="A73" t="str">
            <v>NOVODOL</v>
          </cell>
          <cell r="B73" t="str">
            <v>KFW- 12.0M Euro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</row>
        <row r="74">
          <cell r="A74" t="str">
            <v>NOVODOL</v>
          </cell>
          <cell r="B74" t="str">
            <v>DFID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</row>
        <row r="75">
          <cell r="A75" t="str">
            <v>NOVODOL</v>
          </cell>
          <cell r="B75" t="str">
            <v>USAID     SIFPO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</row>
        <row r="76">
          <cell r="A76" t="str">
            <v>NOVODOL</v>
          </cell>
          <cell r="B76" t="str">
            <v>GF ROUND - 8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</row>
        <row r="77">
          <cell r="A77" t="str">
            <v>NOVODOL</v>
          </cell>
          <cell r="B77" t="str">
            <v>GF ROUND - 9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</row>
        <row r="78">
          <cell r="A78" t="str">
            <v>NOVODOL</v>
          </cell>
          <cell r="B78" t="str">
            <v>PACKARD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</row>
        <row r="79">
          <cell r="A79" t="str">
            <v>NOVODOL</v>
          </cell>
          <cell r="B79" t="str">
            <v>PI- GSM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</row>
        <row r="80">
          <cell r="A80" t="str">
            <v>NOVODOL</v>
          </cell>
          <cell r="B80" t="str">
            <v>NEW DONOR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</row>
        <row r="81">
          <cell r="A81" t="str">
            <v>NOVODOL</v>
          </cell>
          <cell r="B81" t="str">
            <v>Donor 10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</row>
        <row r="82">
          <cell r="A82" t="str">
            <v>ECP</v>
          </cell>
          <cell r="B82" t="str">
            <v>LAD III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</row>
        <row r="83">
          <cell r="A83" t="str">
            <v>ECP</v>
          </cell>
          <cell r="B83" t="str">
            <v>KFW- 12.0M Euro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</row>
        <row r="84">
          <cell r="A84" t="str">
            <v>ECP</v>
          </cell>
          <cell r="B84" t="str">
            <v>DFID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</row>
        <row r="85">
          <cell r="A85" t="str">
            <v>ECP</v>
          </cell>
          <cell r="B85" t="str">
            <v>USAID     SIFPO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</row>
        <row r="86">
          <cell r="A86" t="str">
            <v>ECP</v>
          </cell>
          <cell r="B86" t="str">
            <v>GF ROUND - 8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</row>
        <row r="87">
          <cell r="A87" t="str">
            <v>ECP</v>
          </cell>
          <cell r="B87" t="str">
            <v>GF ROUND - 9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</row>
        <row r="88">
          <cell r="A88" t="str">
            <v>ECP</v>
          </cell>
          <cell r="B88" t="str">
            <v>PACKARD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</row>
        <row r="89">
          <cell r="A89" t="str">
            <v>ECP</v>
          </cell>
          <cell r="B89" t="str">
            <v>PI- GSM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</row>
        <row r="90">
          <cell r="A90" t="str">
            <v>ECP</v>
          </cell>
          <cell r="B90" t="str">
            <v>NEW DONOR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</row>
        <row r="91">
          <cell r="A91" t="str">
            <v>ECP</v>
          </cell>
          <cell r="B91" t="str">
            <v>Donor 10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</row>
        <row r="92">
          <cell r="A92" t="str">
            <v>NOVAJECT</v>
          </cell>
          <cell r="B92" t="str">
            <v>LAD III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</row>
        <row r="93">
          <cell r="A93" t="str">
            <v>NOVAJECT</v>
          </cell>
          <cell r="B93" t="str">
            <v>KFW- 12.0M Euro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</row>
        <row r="94">
          <cell r="A94" t="str">
            <v>NOVAJECT</v>
          </cell>
          <cell r="B94" t="str">
            <v>DFID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</row>
        <row r="95">
          <cell r="A95" t="str">
            <v>NOVAJECT</v>
          </cell>
          <cell r="B95" t="str">
            <v>USAID     SIFPO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</row>
        <row r="96">
          <cell r="A96" t="str">
            <v>NOVAJECT</v>
          </cell>
          <cell r="B96" t="str">
            <v>GF ROUND - 8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</row>
        <row r="97">
          <cell r="A97" t="str">
            <v>NOVAJECT</v>
          </cell>
          <cell r="B97" t="str">
            <v>GF ROUND - 9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</row>
        <row r="98">
          <cell r="A98" t="str">
            <v>NOVAJECT</v>
          </cell>
          <cell r="B98" t="str">
            <v>PACKARD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</row>
        <row r="99">
          <cell r="A99" t="str">
            <v>NOVAJECT</v>
          </cell>
          <cell r="B99" t="str">
            <v>PI- GSM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</row>
        <row r="100">
          <cell r="A100" t="str">
            <v>NOVAJECT</v>
          </cell>
          <cell r="B100" t="str">
            <v>NEW DONOR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</row>
        <row r="101">
          <cell r="A101" t="str">
            <v>NOVAJECT</v>
          </cell>
          <cell r="B101" t="str">
            <v>Donor 10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</row>
        <row r="102">
          <cell r="A102" t="str">
            <v>FEMIJECT</v>
          </cell>
          <cell r="B102" t="str">
            <v>LAD III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</row>
        <row r="103">
          <cell r="A103" t="str">
            <v>FEMIJECT</v>
          </cell>
          <cell r="B103" t="str">
            <v>KFW- 12.0M Euro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</row>
        <row r="104">
          <cell r="A104" t="str">
            <v>FEMIJECT</v>
          </cell>
          <cell r="B104" t="str">
            <v>DFID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</row>
        <row r="105">
          <cell r="A105" t="str">
            <v>FEMIJECT</v>
          </cell>
          <cell r="B105" t="str">
            <v>USAID     SIFPO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</row>
        <row r="106">
          <cell r="A106" t="str">
            <v>FEMIJECT</v>
          </cell>
          <cell r="B106" t="str">
            <v>GF ROUND - 8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</row>
        <row r="107">
          <cell r="A107" t="str">
            <v>FEMIJECT</v>
          </cell>
          <cell r="B107" t="str">
            <v>GF ROUND - 9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</row>
        <row r="108">
          <cell r="A108" t="str">
            <v>FEMIJECT</v>
          </cell>
          <cell r="B108" t="str">
            <v>PACKARD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</row>
        <row r="109">
          <cell r="A109" t="str">
            <v>FEMIJECT</v>
          </cell>
          <cell r="B109" t="str">
            <v>PI- GSM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</row>
        <row r="110">
          <cell r="A110" t="str">
            <v>FEMIJECT</v>
          </cell>
          <cell r="B110" t="str">
            <v>NEW DONOR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</row>
        <row r="111">
          <cell r="A111" t="str">
            <v>FEMIJECT</v>
          </cell>
          <cell r="B111" t="str">
            <v>Donor 10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</row>
        <row r="112">
          <cell r="A112" t="str">
            <v>DEPO PROVERA</v>
          </cell>
          <cell r="B112" t="str">
            <v>LAD III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</row>
        <row r="113">
          <cell r="A113" t="str">
            <v>DEPO PROVERA</v>
          </cell>
          <cell r="B113" t="str">
            <v>KFW- 12.0M Euro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</row>
        <row r="114">
          <cell r="A114" t="str">
            <v>DEPO PROVERA</v>
          </cell>
          <cell r="B114" t="str">
            <v>DFID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</row>
        <row r="115">
          <cell r="A115" t="str">
            <v>DEPO PROVERA</v>
          </cell>
          <cell r="B115" t="str">
            <v>USAID     SIFPO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</row>
        <row r="116">
          <cell r="A116" t="str">
            <v>DEPO PROVERA</v>
          </cell>
          <cell r="B116" t="str">
            <v>GF ROUND - 8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</row>
        <row r="117">
          <cell r="A117" t="str">
            <v>DEPO PROVERA</v>
          </cell>
          <cell r="B117" t="str">
            <v>GF ROUND - 9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</row>
        <row r="118">
          <cell r="A118" t="str">
            <v>DEPO PROVERA</v>
          </cell>
          <cell r="B118" t="str">
            <v>PACKARD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</row>
        <row r="119">
          <cell r="A119" t="str">
            <v>DEPO PROVERA</v>
          </cell>
          <cell r="B119" t="str">
            <v>PI- GSM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</row>
        <row r="120">
          <cell r="A120" t="str">
            <v>DEPO PROVERA</v>
          </cell>
          <cell r="B120" t="str">
            <v>NEW DONOR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</row>
        <row r="121">
          <cell r="A121" t="str">
            <v>DEPO PROVERA</v>
          </cell>
          <cell r="B121" t="str">
            <v>Donor 10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</row>
        <row r="122">
          <cell r="A122" t="str">
            <v>MULTILOAD</v>
          </cell>
          <cell r="B122" t="str">
            <v>LAD III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</row>
        <row r="123">
          <cell r="A123" t="str">
            <v>MULTILOAD</v>
          </cell>
          <cell r="B123" t="str">
            <v>KFW- 12.0M Euro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</row>
        <row r="124">
          <cell r="A124" t="str">
            <v>MULTILOAD</v>
          </cell>
          <cell r="B124" t="str">
            <v>DFID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</row>
        <row r="125">
          <cell r="A125" t="str">
            <v>MULTILOAD</v>
          </cell>
          <cell r="B125" t="str">
            <v>USAID     SIFPO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</row>
        <row r="126">
          <cell r="A126" t="str">
            <v>MULTILOAD</v>
          </cell>
          <cell r="B126" t="str">
            <v>GF ROUND - 8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</row>
        <row r="127">
          <cell r="A127" t="str">
            <v>MULTILOAD</v>
          </cell>
          <cell r="B127" t="str">
            <v>GF ROUND - 9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</row>
        <row r="128">
          <cell r="A128" t="str">
            <v>MULTILOAD</v>
          </cell>
          <cell r="B128" t="str">
            <v>PACKARD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</row>
        <row r="129">
          <cell r="A129" t="str">
            <v>MULTILOAD</v>
          </cell>
          <cell r="B129" t="str">
            <v>PI- GSM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</row>
        <row r="130">
          <cell r="A130" t="str">
            <v>MULTILOAD</v>
          </cell>
          <cell r="B130" t="str">
            <v>NEW DONOR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</row>
        <row r="131">
          <cell r="A131" t="str">
            <v>MULTILOAD</v>
          </cell>
          <cell r="B131" t="str">
            <v>Donor 10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</row>
        <row r="132">
          <cell r="A132" t="str">
            <v>SAFELOAD</v>
          </cell>
          <cell r="B132" t="str">
            <v>LAD III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</row>
        <row r="133">
          <cell r="A133" t="str">
            <v>SAFELOAD</v>
          </cell>
          <cell r="B133" t="str">
            <v>KFW- 12.0M Euro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</row>
        <row r="134">
          <cell r="A134" t="str">
            <v>SAFELOAD</v>
          </cell>
          <cell r="B134" t="str">
            <v>DFID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</row>
        <row r="135">
          <cell r="A135" t="str">
            <v>SAFELOAD</v>
          </cell>
          <cell r="B135" t="str">
            <v>USAID     SIFPO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</row>
        <row r="136">
          <cell r="A136" t="str">
            <v>SAFELOAD</v>
          </cell>
          <cell r="B136" t="str">
            <v>GF ROUND - 8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</row>
        <row r="137">
          <cell r="A137" t="str">
            <v>SAFELOAD</v>
          </cell>
          <cell r="B137" t="str">
            <v>GF ROUND - 9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</row>
        <row r="138">
          <cell r="A138" t="str">
            <v>SAFELOAD</v>
          </cell>
          <cell r="B138" t="str">
            <v>PACKARD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</row>
        <row r="139">
          <cell r="A139" t="str">
            <v>SAFELOAD</v>
          </cell>
          <cell r="B139" t="str">
            <v>PI- GSM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</row>
        <row r="140">
          <cell r="A140" t="str">
            <v>SAFELOAD</v>
          </cell>
          <cell r="B140" t="str">
            <v>NEW DONOR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</row>
        <row r="141">
          <cell r="A141" t="str">
            <v>SAFELOAD</v>
          </cell>
          <cell r="B141" t="str">
            <v>Donor 10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</row>
        <row r="142">
          <cell r="A142" t="str">
            <v>Famiplant</v>
          </cell>
          <cell r="B142" t="str">
            <v>LAD III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</row>
        <row r="143">
          <cell r="A143" t="str">
            <v>Famiplant</v>
          </cell>
          <cell r="B143" t="str">
            <v>KFW- 12.0M Euro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</row>
        <row r="144">
          <cell r="A144" t="str">
            <v>Famiplant</v>
          </cell>
          <cell r="B144" t="str">
            <v>DFID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</row>
        <row r="145">
          <cell r="A145" t="str">
            <v>Famiplant</v>
          </cell>
          <cell r="B145" t="str">
            <v>USAID     SIFPO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</row>
        <row r="146">
          <cell r="A146" t="str">
            <v>Famiplant</v>
          </cell>
          <cell r="B146" t="str">
            <v>GF ROUND - 8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</row>
        <row r="147">
          <cell r="A147" t="str">
            <v>Famiplant</v>
          </cell>
          <cell r="B147" t="str">
            <v>GF ROUND - 9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</row>
        <row r="148">
          <cell r="A148" t="str">
            <v>Famiplant</v>
          </cell>
          <cell r="B148" t="str">
            <v>PACKARD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</row>
        <row r="149">
          <cell r="A149" t="str">
            <v>Famiplant</v>
          </cell>
          <cell r="B149" t="str">
            <v>PI- GSM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</row>
        <row r="150">
          <cell r="A150" t="str">
            <v>Famiplant</v>
          </cell>
          <cell r="B150" t="str">
            <v>NEW DONOR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</row>
        <row r="151">
          <cell r="A151" t="str">
            <v>Famiplant</v>
          </cell>
          <cell r="B151" t="str">
            <v>Donor 10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</row>
        <row r="152">
          <cell r="A152" t="str">
            <v>Jadelle</v>
          </cell>
          <cell r="B152" t="str">
            <v>LAD III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</row>
        <row r="153">
          <cell r="A153" t="str">
            <v>Jadelle</v>
          </cell>
          <cell r="B153" t="str">
            <v>KFW- 12.0M Euro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</row>
        <row r="154">
          <cell r="A154" t="str">
            <v>Jadelle</v>
          </cell>
          <cell r="B154" t="str">
            <v>DFID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</row>
        <row r="155">
          <cell r="A155" t="str">
            <v>Jadelle</v>
          </cell>
          <cell r="B155" t="str">
            <v>USAID     SIFPO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</row>
        <row r="156">
          <cell r="A156" t="str">
            <v>Jadelle</v>
          </cell>
          <cell r="B156" t="str">
            <v>GF ROUND - 8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</row>
        <row r="157">
          <cell r="A157" t="str">
            <v>Jadelle</v>
          </cell>
          <cell r="B157" t="str">
            <v>GF ROUND - 9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</row>
        <row r="158">
          <cell r="A158" t="str">
            <v>Jadelle</v>
          </cell>
          <cell r="B158" t="str">
            <v>PACKARD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</row>
        <row r="159">
          <cell r="A159" t="str">
            <v>Jadelle</v>
          </cell>
          <cell r="B159" t="str">
            <v>PI- GSM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</row>
        <row r="160">
          <cell r="A160" t="str">
            <v>Jadelle</v>
          </cell>
          <cell r="B160" t="str">
            <v>NEW DONOR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</row>
        <row r="161">
          <cell r="A161" t="str">
            <v>Jadelle</v>
          </cell>
          <cell r="B161" t="str">
            <v>Donor 10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</row>
        <row r="162">
          <cell r="A162" t="str">
            <v>CLEAN START KIT</v>
          </cell>
          <cell r="B162" t="str">
            <v>LAD III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</row>
        <row r="163">
          <cell r="A163" t="str">
            <v>CLEAN START KIT</v>
          </cell>
          <cell r="B163" t="str">
            <v>KFW- 12.0M Euro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</row>
        <row r="164">
          <cell r="A164" t="str">
            <v>CLEAN START KIT</v>
          </cell>
          <cell r="B164" t="str">
            <v>DFID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</row>
        <row r="165">
          <cell r="A165" t="str">
            <v>CLEAN START KIT</v>
          </cell>
          <cell r="B165" t="str">
            <v>USAID     SIFPO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</row>
        <row r="166">
          <cell r="A166" t="str">
            <v>CLEAN START KIT</v>
          </cell>
          <cell r="B166" t="str">
            <v>GF ROUND - 8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</row>
        <row r="167">
          <cell r="A167" t="str">
            <v>CLEAN START KIT</v>
          </cell>
          <cell r="B167" t="str">
            <v>GF ROUND - 9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</row>
        <row r="168">
          <cell r="A168" t="str">
            <v>CLEAN START KIT</v>
          </cell>
          <cell r="B168" t="str">
            <v>PACKARD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</row>
        <row r="169">
          <cell r="A169" t="str">
            <v>CLEAN START KIT</v>
          </cell>
          <cell r="B169" t="str">
            <v>PI- GSM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</row>
        <row r="170">
          <cell r="A170" t="str">
            <v>CLEAN START KIT</v>
          </cell>
          <cell r="B170" t="str">
            <v>NEW DONOR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</row>
        <row r="171">
          <cell r="A171" t="str">
            <v>CLEAN START KIT</v>
          </cell>
          <cell r="B171" t="str">
            <v>Donor 10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</row>
        <row r="172">
          <cell r="A172" t="str">
            <v>CLEAR 7</v>
          </cell>
          <cell r="B172" t="str">
            <v>LAD III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</row>
        <row r="173">
          <cell r="A173" t="str">
            <v>CLEAR 7</v>
          </cell>
          <cell r="B173" t="str">
            <v>KFW- 12.0M Euro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</row>
        <row r="174">
          <cell r="A174" t="str">
            <v>CLEAR 7</v>
          </cell>
          <cell r="B174" t="str">
            <v>DFID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</row>
        <row r="175">
          <cell r="A175" t="str">
            <v>CLEAR 7</v>
          </cell>
          <cell r="B175" t="str">
            <v>USAID     SIFPO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</row>
        <row r="176">
          <cell r="A176" t="str">
            <v>CLEAR 7</v>
          </cell>
          <cell r="B176" t="str">
            <v>GF ROUND - 8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</row>
        <row r="177">
          <cell r="A177" t="str">
            <v>CLEAR 7</v>
          </cell>
          <cell r="B177" t="str">
            <v>GF ROUND - 9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</row>
        <row r="178">
          <cell r="A178" t="str">
            <v>CLEAR 7</v>
          </cell>
          <cell r="B178" t="str">
            <v>PACKARD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</row>
        <row r="179">
          <cell r="A179" t="str">
            <v>CLEAR 7</v>
          </cell>
          <cell r="B179" t="str">
            <v>PI- GSM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</row>
        <row r="180">
          <cell r="A180" t="str">
            <v>CLEAR 7</v>
          </cell>
          <cell r="B180" t="str">
            <v>NEW DONOR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</row>
        <row r="181">
          <cell r="A181" t="str">
            <v>CLEAR 7</v>
          </cell>
          <cell r="B181" t="str">
            <v>Donor 10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</row>
        <row r="182">
          <cell r="A182" t="str">
            <v>AQUA TABS (T-10)</v>
          </cell>
          <cell r="B182" t="str">
            <v>LAD III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</row>
        <row r="183">
          <cell r="A183" t="str">
            <v>AQUA TABS (T-10)</v>
          </cell>
          <cell r="B183" t="str">
            <v>KFW- 12.0M Euro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</row>
        <row r="184">
          <cell r="A184" t="str">
            <v>AQUA TABS (T-10)</v>
          </cell>
          <cell r="B184" t="str">
            <v>DFID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</row>
        <row r="185">
          <cell r="A185" t="str">
            <v>AQUA TABS (T-10)</v>
          </cell>
          <cell r="B185" t="str">
            <v>USAID     SIFPO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</row>
        <row r="186">
          <cell r="A186" t="str">
            <v>AQUA TABS (T-10)</v>
          </cell>
          <cell r="B186" t="str">
            <v>GF ROUND - 8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</row>
        <row r="187">
          <cell r="A187" t="str">
            <v>AQUA TABS (T-10)</v>
          </cell>
          <cell r="B187" t="str">
            <v>GF ROUND - 9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</row>
        <row r="188">
          <cell r="A188" t="str">
            <v>AQUA TABS (T-10)</v>
          </cell>
          <cell r="B188" t="str">
            <v>PACKARD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</row>
        <row r="189">
          <cell r="A189" t="str">
            <v>AQUA TABS (T-10)</v>
          </cell>
          <cell r="B189" t="str">
            <v>PI- GSM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</row>
        <row r="190">
          <cell r="A190" t="str">
            <v>AQUA TABS (T-10)</v>
          </cell>
          <cell r="B190" t="str">
            <v>NEW DONOR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</row>
        <row r="191">
          <cell r="A191" t="str">
            <v>AQUA TABS (T-10)</v>
          </cell>
          <cell r="B191" t="str">
            <v>Donor 10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</row>
        <row r="192">
          <cell r="A192" t="str">
            <v>AQUA TABS (T-20)</v>
          </cell>
          <cell r="B192" t="str">
            <v>LAD III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</row>
        <row r="193">
          <cell r="A193" t="str">
            <v>AQUA TABS (T-20)</v>
          </cell>
          <cell r="B193" t="str">
            <v>KFW- 12.0M Euro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</row>
        <row r="194">
          <cell r="A194" t="str">
            <v>AQUA TABS (T-20)</v>
          </cell>
          <cell r="B194" t="str">
            <v>DFID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</row>
        <row r="195">
          <cell r="A195" t="str">
            <v>AQUA TABS (T-20)</v>
          </cell>
          <cell r="B195" t="str">
            <v>USAID     SIFPO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</row>
        <row r="196">
          <cell r="A196" t="str">
            <v>AQUA TABS (T-20)</v>
          </cell>
          <cell r="B196" t="str">
            <v>GF ROUND - 8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</row>
        <row r="197">
          <cell r="A197" t="str">
            <v>AQUA TABS (T-20)</v>
          </cell>
          <cell r="B197" t="str">
            <v>GF ROUND - 9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</row>
        <row r="198">
          <cell r="A198" t="str">
            <v>AQUA TABS (T-20)</v>
          </cell>
          <cell r="B198" t="str">
            <v>PACKARD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</row>
        <row r="199">
          <cell r="A199" t="str">
            <v>AQUA TABS (T-20)</v>
          </cell>
          <cell r="B199" t="str">
            <v>PI- GSM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</row>
        <row r="200">
          <cell r="A200" t="str">
            <v>AQUA TABS (T-20)</v>
          </cell>
          <cell r="B200" t="str">
            <v>NEW DONOR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</row>
        <row r="201">
          <cell r="A201" t="str">
            <v>AQUA TABS (T-20)</v>
          </cell>
          <cell r="B201" t="str">
            <v>Donor 10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</row>
        <row r="202">
          <cell r="A202" t="str">
            <v>BABY ACTIVE</v>
          </cell>
          <cell r="B202" t="str">
            <v>LAD III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</row>
        <row r="203">
          <cell r="A203" t="str">
            <v>BABY ACTIVE</v>
          </cell>
          <cell r="B203" t="str">
            <v>KFW- 12.0M Euro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</row>
        <row r="204">
          <cell r="A204" t="str">
            <v>BABY ACTIVE</v>
          </cell>
          <cell r="B204" t="str">
            <v>DFID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</row>
        <row r="205">
          <cell r="A205" t="str">
            <v>BABY ACTIVE</v>
          </cell>
          <cell r="B205" t="str">
            <v>USAID     SIFPO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</row>
        <row r="206">
          <cell r="A206" t="str">
            <v>BABY ACTIVE</v>
          </cell>
          <cell r="B206" t="str">
            <v>GF ROUND - 8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</row>
        <row r="207">
          <cell r="A207" t="str">
            <v>BABY ACTIVE</v>
          </cell>
          <cell r="B207" t="str">
            <v>GF ROUND - 9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</row>
        <row r="208">
          <cell r="A208" t="str">
            <v>BABY ACTIVE</v>
          </cell>
          <cell r="B208" t="str">
            <v>PACKARD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</row>
        <row r="209">
          <cell r="A209" t="str">
            <v>BABY ACTIVE</v>
          </cell>
          <cell r="B209" t="str">
            <v>PI- GSM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</row>
        <row r="210">
          <cell r="A210" t="str">
            <v>BABY ACTIVE</v>
          </cell>
          <cell r="B210" t="str">
            <v>NEW DONOR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</row>
        <row r="211">
          <cell r="A211" t="str">
            <v>BABY ACTIVE</v>
          </cell>
          <cell r="B211" t="str">
            <v>Donor 10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</row>
        <row r="212">
          <cell r="A212" t="str">
            <v>Pure</v>
          </cell>
          <cell r="B212" t="str">
            <v>LAD III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</row>
        <row r="213">
          <cell r="A213" t="str">
            <v>Pure</v>
          </cell>
          <cell r="B213" t="str">
            <v>KFW- 12.0M Euro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</row>
        <row r="214">
          <cell r="A214" t="str">
            <v>Pure</v>
          </cell>
          <cell r="B214" t="str">
            <v>DFID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</row>
        <row r="215">
          <cell r="A215" t="str">
            <v>Pure</v>
          </cell>
          <cell r="B215" t="str">
            <v>USAID     SIFPO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</row>
        <row r="216">
          <cell r="A216" t="str">
            <v>Pure</v>
          </cell>
          <cell r="B216" t="str">
            <v>GF ROUND - 8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</row>
        <row r="217">
          <cell r="A217" t="str">
            <v>Pure</v>
          </cell>
          <cell r="B217" t="str">
            <v>GF ROUND - 9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</row>
        <row r="218">
          <cell r="A218" t="str">
            <v>Pure</v>
          </cell>
          <cell r="B218" t="str">
            <v>PACKARD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</row>
        <row r="219">
          <cell r="A219" t="str">
            <v>Pure</v>
          </cell>
          <cell r="B219" t="str">
            <v>PI- GSM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</row>
        <row r="220">
          <cell r="A220" t="str">
            <v>Pure</v>
          </cell>
          <cell r="B220" t="str">
            <v>NEW DONOR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</row>
        <row r="221">
          <cell r="A221" t="str">
            <v>Pure</v>
          </cell>
          <cell r="B221" t="str">
            <v>Donor 10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</row>
        <row r="222">
          <cell r="A222" t="str">
            <v xml:space="preserve">CHLOR TABS  10s </v>
          </cell>
          <cell r="B222" t="str">
            <v>LAD III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</row>
        <row r="223">
          <cell r="A223" t="str">
            <v xml:space="preserve">CHLOR TABS  10s </v>
          </cell>
          <cell r="B223" t="str">
            <v>KFW- 12.0M Euro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</row>
        <row r="224">
          <cell r="A224" t="str">
            <v xml:space="preserve">CHLOR TABS  10s </v>
          </cell>
          <cell r="B224" t="str">
            <v>DFID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</row>
        <row r="225">
          <cell r="A225" t="str">
            <v xml:space="preserve">CHLOR TABS  10s </v>
          </cell>
          <cell r="B225" t="str">
            <v>USAID     SIFPO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</row>
        <row r="226">
          <cell r="A226" t="str">
            <v xml:space="preserve">CHLOR TABS  10s </v>
          </cell>
          <cell r="B226" t="str">
            <v>GF ROUND - 8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</row>
        <row r="227">
          <cell r="A227" t="str">
            <v xml:space="preserve">CHLOR TABS  10s </v>
          </cell>
          <cell r="B227" t="str">
            <v>GF ROUND - 9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</row>
        <row r="228">
          <cell r="A228" t="str">
            <v xml:space="preserve">CHLOR TABS  10s </v>
          </cell>
          <cell r="B228" t="str">
            <v>PACKARD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</row>
        <row r="229">
          <cell r="A229" t="str">
            <v xml:space="preserve">CHLOR TABS  10s </v>
          </cell>
          <cell r="B229" t="str">
            <v>PI- GSM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</row>
        <row r="230">
          <cell r="A230" t="str">
            <v xml:space="preserve">CHLOR TABS  10s </v>
          </cell>
          <cell r="B230" t="str">
            <v>NEW DONOR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</row>
        <row r="231">
          <cell r="A231" t="str">
            <v xml:space="preserve">CHLOR TABS  10s </v>
          </cell>
          <cell r="B231" t="str">
            <v>Donor 10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</row>
        <row r="232">
          <cell r="A232" t="str">
            <v xml:space="preserve">CHLOR TABS  25s </v>
          </cell>
          <cell r="B232" t="str">
            <v>LAD III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</row>
        <row r="233">
          <cell r="A233" t="str">
            <v xml:space="preserve">CHLOR TABS  25s </v>
          </cell>
          <cell r="B233" t="str">
            <v>KFW- 12.0M Euro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</row>
        <row r="234">
          <cell r="A234" t="str">
            <v xml:space="preserve">CHLOR TABS  25s </v>
          </cell>
          <cell r="B234" t="str">
            <v>DFID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</row>
        <row r="235">
          <cell r="A235" t="str">
            <v xml:space="preserve">CHLOR TABS  25s </v>
          </cell>
          <cell r="B235" t="str">
            <v>USAID     SIFPO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</row>
        <row r="236">
          <cell r="A236" t="str">
            <v xml:space="preserve">CHLOR TABS  25s </v>
          </cell>
          <cell r="B236" t="str">
            <v>GF ROUND - 8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</row>
        <row r="237">
          <cell r="A237" t="str">
            <v xml:space="preserve">CHLOR TABS  25s </v>
          </cell>
          <cell r="B237" t="str">
            <v>GF ROUND - 9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</row>
        <row r="238">
          <cell r="A238" t="str">
            <v xml:space="preserve">CHLOR TABS  25s </v>
          </cell>
          <cell r="B238" t="str">
            <v>PACKARD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</row>
        <row r="239">
          <cell r="A239" t="str">
            <v xml:space="preserve">CHLOR TABS  25s </v>
          </cell>
          <cell r="B239" t="str">
            <v>PI- GSM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</row>
        <row r="240">
          <cell r="A240" t="str">
            <v xml:space="preserve">CHLOR TABS  25s </v>
          </cell>
          <cell r="B240" t="str">
            <v>NEW DONOR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</row>
        <row r="241">
          <cell r="A241" t="str">
            <v xml:space="preserve">CHLOR TABS  25s </v>
          </cell>
          <cell r="B241" t="str">
            <v>Donor 10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</row>
        <row r="242">
          <cell r="A242" t="str">
            <v>VSC</v>
          </cell>
          <cell r="B242" t="str">
            <v>LAD III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</row>
        <row r="243">
          <cell r="A243" t="str">
            <v>VSC</v>
          </cell>
          <cell r="B243" t="str">
            <v>KFW- 12.0M Euro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</row>
        <row r="244">
          <cell r="A244" t="str">
            <v>VSC</v>
          </cell>
          <cell r="B244" t="str">
            <v>DFID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</row>
        <row r="245">
          <cell r="A245" t="str">
            <v>VSC</v>
          </cell>
          <cell r="B245" t="str">
            <v>USAID     SIFPO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</row>
        <row r="246">
          <cell r="A246" t="str">
            <v>VSC</v>
          </cell>
          <cell r="B246" t="str">
            <v>GF ROUND - 8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</row>
        <row r="247">
          <cell r="A247" t="str">
            <v>VSC</v>
          </cell>
          <cell r="B247" t="str">
            <v>GF ROUND - 9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</row>
        <row r="248">
          <cell r="A248" t="str">
            <v>VSC</v>
          </cell>
          <cell r="B248" t="str">
            <v>PACKARD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</row>
        <row r="249">
          <cell r="A249" t="str">
            <v>VSC</v>
          </cell>
          <cell r="B249" t="str">
            <v>PI- GSM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</row>
        <row r="250">
          <cell r="A250" t="str">
            <v>VSC</v>
          </cell>
          <cell r="B250" t="str">
            <v>NEW DONOR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</row>
        <row r="251">
          <cell r="A251" t="str">
            <v>VSC</v>
          </cell>
          <cell r="B251" t="str">
            <v>Donor 10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</row>
        <row r="252">
          <cell r="A252" t="str">
            <v>Product 26</v>
          </cell>
          <cell r="B252" t="str">
            <v>LAD III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</row>
        <row r="253">
          <cell r="A253" t="str">
            <v>Product 26</v>
          </cell>
          <cell r="B253" t="str">
            <v>KFW- 12.0M Euro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</row>
        <row r="254">
          <cell r="A254" t="str">
            <v>Product 26</v>
          </cell>
          <cell r="B254" t="str">
            <v>DFID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</row>
        <row r="255">
          <cell r="A255" t="str">
            <v>Product 26</v>
          </cell>
          <cell r="B255" t="str">
            <v>USAID     SIFPO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</row>
        <row r="256">
          <cell r="A256" t="str">
            <v>Product 26</v>
          </cell>
          <cell r="B256" t="str">
            <v>GF ROUND - 8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</row>
        <row r="257">
          <cell r="A257" t="str">
            <v>Product 26</v>
          </cell>
          <cell r="B257" t="str">
            <v>GF ROUND - 9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</row>
        <row r="258">
          <cell r="A258" t="str">
            <v>Product 26</v>
          </cell>
          <cell r="B258" t="str">
            <v>PACKARD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</row>
        <row r="259">
          <cell r="A259" t="str">
            <v>Product 26</v>
          </cell>
          <cell r="B259" t="str">
            <v>PI- GSM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</row>
        <row r="260">
          <cell r="A260" t="str">
            <v>Product 26</v>
          </cell>
          <cell r="B260" t="str">
            <v>NEW DONOR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</row>
        <row r="261">
          <cell r="A261" t="str">
            <v>Product 26</v>
          </cell>
          <cell r="B261" t="str">
            <v>Donor 10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</row>
        <row r="262">
          <cell r="A262" t="str">
            <v>Product 27</v>
          </cell>
          <cell r="B262" t="str">
            <v>LAD III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</row>
        <row r="263">
          <cell r="A263" t="str">
            <v>Product 27</v>
          </cell>
          <cell r="B263" t="str">
            <v>KFW- 12.0M Euro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</row>
        <row r="264">
          <cell r="A264" t="str">
            <v>Product 27</v>
          </cell>
          <cell r="B264" t="str">
            <v>DFID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</row>
        <row r="265">
          <cell r="A265" t="str">
            <v>Product 27</v>
          </cell>
          <cell r="B265" t="str">
            <v>USAID     SIFPO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</row>
        <row r="266">
          <cell r="A266" t="str">
            <v>Product 27</v>
          </cell>
          <cell r="B266" t="str">
            <v>GF ROUND - 8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</row>
        <row r="267">
          <cell r="A267" t="str">
            <v>Product 27</v>
          </cell>
          <cell r="B267" t="str">
            <v>GF ROUND - 9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</row>
        <row r="268">
          <cell r="A268" t="str">
            <v>Product 27</v>
          </cell>
          <cell r="B268" t="str">
            <v>PACKARD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</row>
        <row r="269">
          <cell r="A269" t="str">
            <v>Product 27</v>
          </cell>
          <cell r="B269" t="str">
            <v>PI- GSM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</row>
        <row r="270">
          <cell r="A270" t="str">
            <v>Product 27</v>
          </cell>
          <cell r="B270" t="str">
            <v>NEW DONOR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</row>
        <row r="271">
          <cell r="A271" t="str">
            <v>Product 27</v>
          </cell>
          <cell r="B271" t="str">
            <v>Donor 10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</row>
        <row r="272">
          <cell r="A272" t="str">
            <v>Product 28</v>
          </cell>
          <cell r="B272" t="str">
            <v>LAD III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</row>
        <row r="273">
          <cell r="A273" t="str">
            <v>Product 28</v>
          </cell>
          <cell r="B273" t="str">
            <v>KFW- 12.0M Euro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</row>
        <row r="274">
          <cell r="A274" t="str">
            <v>Product 28</v>
          </cell>
          <cell r="B274" t="str">
            <v>DFID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</row>
        <row r="275">
          <cell r="A275" t="str">
            <v>Product 28</v>
          </cell>
          <cell r="B275" t="str">
            <v>USAID     SIFPO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</row>
        <row r="276">
          <cell r="A276" t="str">
            <v>Product 28</v>
          </cell>
          <cell r="B276" t="str">
            <v>GF ROUND - 8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</row>
        <row r="277">
          <cell r="A277" t="str">
            <v>Product 28</v>
          </cell>
          <cell r="B277" t="str">
            <v>GF ROUND - 9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</row>
        <row r="278">
          <cell r="A278" t="str">
            <v>Product 28</v>
          </cell>
          <cell r="B278" t="str">
            <v>PACKARD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</row>
        <row r="279">
          <cell r="A279" t="str">
            <v>Product 28</v>
          </cell>
          <cell r="B279" t="str">
            <v>PI- GSM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</row>
        <row r="280">
          <cell r="A280" t="str">
            <v>Product 28</v>
          </cell>
          <cell r="B280" t="str">
            <v>NEW DONOR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</row>
        <row r="281">
          <cell r="A281" t="str">
            <v>Product 28</v>
          </cell>
          <cell r="B281" t="str">
            <v>Donor 10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</row>
        <row r="282">
          <cell r="A282" t="str">
            <v>Product 29</v>
          </cell>
          <cell r="B282" t="str">
            <v>LAD III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</row>
        <row r="283">
          <cell r="A283" t="str">
            <v>Product 29</v>
          </cell>
          <cell r="B283" t="str">
            <v>KFW- 12.0M Euro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</row>
        <row r="284">
          <cell r="A284" t="str">
            <v>Product 29</v>
          </cell>
          <cell r="B284" t="str">
            <v>DFID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</row>
        <row r="285">
          <cell r="A285" t="str">
            <v>Product 29</v>
          </cell>
          <cell r="B285" t="str">
            <v>USAID     SIFPO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</row>
        <row r="286">
          <cell r="A286" t="str">
            <v>Product 29</v>
          </cell>
          <cell r="B286" t="str">
            <v>GF ROUND - 8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</row>
        <row r="287">
          <cell r="A287" t="str">
            <v>Product 29</v>
          </cell>
          <cell r="B287" t="str">
            <v>GF ROUND - 9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</row>
        <row r="288">
          <cell r="A288" t="str">
            <v>Product 29</v>
          </cell>
          <cell r="B288" t="str">
            <v>PACKARD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</row>
        <row r="289">
          <cell r="A289" t="str">
            <v>Product 29</v>
          </cell>
          <cell r="B289" t="str">
            <v>PI- GSM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</row>
        <row r="290">
          <cell r="A290" t="str">
            <v>Product 29</v>
          </cell>
          <cell r="B290" t="str">
            <v>NEW DONOR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</row>
        <row r="291">
          <cell r="A291" t="str">
            <v>Product 29</v>
          </cell>
          <cell r="B291" t="str">
            <v>Donor 10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</row>
        <row r="292">
          <cell r="A292" t="str">
            <v>Product 30</v>
          </cell>
          <cell r="B292" t="str">
            <v>LAD III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</row>
        <row r="293">
          <cell r="A293" t="str">
            <v>Product 30</v>
          </cell>
          <cell r="B293" t="str">
            <v>KFW- 12.0M Euro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</row>
        <row r="294">
          <cell r="A294" t="str">
            <v>Product 30</v>
          </cell>
          <cell r="B294" t="str">
            <v>DFID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</row>
        <row r="295">
          <cell r="A295" t="str">
            <v>Product 30</v>
          </cell>
          <cell r="B295" t="str">
            <v>USAID     SIFPO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</row>
        <row r="296">
          <cell r="A296" t="str">
            <v>Product 30</v>
          </cell>
          <cell r="B296" t="str">
            <v>GF ROUND - 8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</row>
        <row r="297">
          <cell r="A297" t="str">
            <v>Product 30</v>
          </cell>
          <cell r="B297" t="str">
            <v>GF ROUND - 9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</row>
        <row r="298">
          <cell r="A298" t="str">
            <v>Product 30</v>
          </cell>
          <cell r="B298" t="str">
            <v>PACKARD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</row>
        <row r="299">
          <cell r="A299" t="str">
            <v>Product 30</v>
          </cell>
          <cell r="B299" t="str">
            <v>PI- GSM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</row>
        <row r="300">
          <cell r="A300" t="str">
            <v>Product 30</v>
          </cell>
          <cell r="B300" t="str">
            <v>NEW DONOR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</row>
        <row r="301">
          <cell r="A301" t="str">
            <v>Product 30</v>
          </cell>
          <cell r="B301" t="str">
            <v>Donor 10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</row>
        <row r="302">
          <cell r="AM302">
            <v>0</v>
          </cell>
        </row>
      </sheetData>
      <sheetData sheetId="10" refreshError="1"/>
      <sheetData sheetId="11">
        <row r="1">
          <cell r="A1" t="str">
            <v>SUB ACCOUNT</v>
          </cell>
          <cell r="B1" t="str">
            <v>PROJECT</v>
          </cell>
          <cell r="C1">
            <v>41821</v>
          </cell>
          <cell r="D1">
            <v>41852</v>
          </cell>
          <cell r="E1">
            <v>41883</v>
          </cell>
          <cell r="F1">
            <v>41914</v>
          </cell>
          <cell r="G1">
            <v>41945</v>
          </cell>
          <cell r="H1">
            <v>41976</v>
          </cell>
          <cell r="I1">
            <v>42007</v>
          </cell>
          <cell r="J1">
            <v>42038</v>
          </cell>
          <cell r="K1">
            <v>42069</v>
          </cell>
          <cell r="L1">
            <v>42100</v>
          </cell>
          <cell r="M1">
            <v>42131</v>
          </cell>
          <cell r="N1">
            <v>42162</v>
          </cell>
          <cell r="O1">
            <v>42193</v>
          </cell>
          <cell r="P1">
            <v>42224</v>
          </cell>
          <cell r="Q1">
            <v>42255</v>
          </cell>
          <cell r="R1">
            <v>42286</v>
          </cell>
          <cell r="S1">
            <v>42317</v>
          </cell>
          <cell r="T1">
            <v>42348</v>
          </cell>
          <cell r="U1">
            <v>42379</v>
          </cell>
          <cell r="V1">
            <v>42410</v>
          </cell>
          <cell r="W1">
            <v>42441</v>
          </cell>
          <cell r="X1">
            <v>42472</v>
          </cell>
          <cell r="Y1">
            <v>42503</v>
          </cell>
          <cell r="Z1">
            <v>42534</v>
          </cell>
          <cell r="AA1">
            <v>42565</v>
          </cell>
          <cell r="AB1">
            <v>42596</v>
          </cell>
          <cell r="AC1">
            <v>42627</v>
          </cell>
          <cell r="AD1">
            <v>42658</v>
          </cell>
          <cell r="AE1">
            <v>42689</v>
          </cell>
          <cell r="AF1">
            <v>42720</v>
          </cell>
          <cell r="AG1">
            <v>42751</v>
          </cell>
          <cell r="AH1">
            <v>42782</v>
          </cell>
          <cell r="AI1">
            <v>42813</v>
          </cell>
          <cell r="AJ1">
            <v>42844</v>
          </cell>
          <cell r="AK1">
            <v>42875</v>
          </cell>
          <cell r="AL1">
            <v>42906</v>
          </cell>
          <cell r="AM1" t="str">
            <v>BUDGET YEAR 1</v>
          </cell>
        </row>
        <row r="2">
          <cell r="A2" t="str">
            <v>SATHI 3S</v>
          </cell>
          <cell r="B2" t="str">
            <v>LAD III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</row>
        <row r="3">
          <cell r="A3" t="str">
            <v>SATHI 3S</v>
          </cell>
          <cell r="B3" t="str">
            <v>KFW- 12.0M Euro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</row>
        <row r="4">
          <cell r="A4" t="str">
            <v>SATHI 3S</v>
          </cell>
          <cell r="B4" t="str">
            <v>DFID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</row>
        <row r="5">
          <cell r="A5" t="str">
            <v>SATHI 3S</v>
          </cell>
          <cell r="B5" t="str">
            <v>USAID     SIFPO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</row>
        <row r="6">
          <cell r="A6" t="str">
            <v>SATHI 3S</v>
          </cell>
          <cell r="B6" t="str">
            <v>GF ROUND - 8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</row>
        <row r="7">
          <cell r="A7" t="str">
            <v>SATHI 3S</v>
          </cell>
          <cell r="B7" t="str">
            <v>GF ROUND - 9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</row>
        <row r="8">
          <cell r="A8" t="str">
            <v>SATHI 3S</v>
          </cell>
          <cell r="B8" t="str">
            <v>PACKARD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</row>
        <row r="9">
          <cell r="A9" t="str">
            <v>SATHI 3S</v>
          </cell>
          <cell r="B9" t="str">
            <v>PI- GSM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</row>
        <row r="10">
          <cell r="A10" t="str">
            <v>SATHI 3S</v>
          </cell>
          <cell r="B10" t="str">
            <v>NEW DONOR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</row>
        <row r="11">
          <cell r="A11" t="str">
            <v>SATHI 3S</v>
          </cell>
          <cell r="B11" t="str">
            <v>Donor 10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</row>
        <row r="12">
          <cell r="A12" t="str">
            <v>Sathi 6s</v>
          </cell>
          <cell r="B12" t="str">
            <v>LAD III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</row>
        <row r="13">
          <cell r="A13" t="str">
            <v>Sathi 6s</v>
          </cell>
          <cell r="B13" t="str">
            <v>KFW- 12.0M Euro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</row>
        <row r="14">
          <cell r="A14" t="str">
            <v>Sathi 6s</v>
          </cell>
          <cell r="B14" t="str">
            <v>DFID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</row>
        <row r="15">
          <cell r="A15" t="str">
            <v>Sathi 6s</v>
          </cell>
          <cell r="B15" t="str">
            <v>USAID     SIFPO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</row>
        <row r="16">
          <cell r="A16" t="str">
            <v>Sathi 6s</v>
          </cell>
          <cell r="B16" t="str">
            <v>GF ROUND - 8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</row>
        <row r="17">
          <cell r="A17" t="str">
            <v>Sathi 6s</v>
          </cell>
          <cell r="B17" t="str">
            <v>GF ROUND - 9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</row>
        <row r="18">
          <cell r="A18" t="str">
            <v>Sathi 6s</v>
          </cell>
          <cell r="B18" t="str">
            <v>PACKARD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</row>
        <row r="19">
          <cell r="A19" t="str">
            <v>Sathi 6s</v>
          </cell>
          <cell r="B19" t="str">
            <v>PI- GSM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</row>
        <row r="20">
          <cell r="A20" t="str">
            <v>Sathi 6s</v>
          </cell>
          <cell r="B20" t="str">
            <v>NEW DONOR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</row>
        <row r="21">
          <cell r="A21" t="str">
            <v>Sathi 6s</v>
          </cell>
          <cell r="B21" t="str">
            <v>Donor 10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</row>
        <row r="22">
          <cell r="A22" t="str">
            <v>TOUCH 3S (Classic and Ribbed)</v>
          </cell>
          <cell r="B22" t="str">
            <v>LAD III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</row>
        <row r="23">
          <cell r="A23" t="str">
            <v>TOUCH 3S (Classic and Ribbed)</v>
          </cell>
          <cell r="B23" t="str">
            <v>KFW- 12.0M Euro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</row>
        <row r="24">
          <cell r="A24" t="str">
            <v>TOUCH 3S (Classic and Ribbed)</v>
          </cell>
          <cell r="B24" t="str">
            <v>DFID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</row>
        <row r="25">
          <cell r="A25" t="str">
            <v>TOUCH 3S (Classic and Ribbed)</v>
          </cell>
          <cell r="B25" t="str">
            <v>USAID     SIFPO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</row>
        <row r="26">
          <cell r="A26" t="str">
            <v>TOUCH 3S (Classic and Ribbed)</v>
          </cell>
          <cell r="B26" t="str">
            <v>GF ROUND - 8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</row>
        <row r="27">
          <cell r="A27" t="str">
            <v>TOUCH 3S (Classic and Ribbed)</v>
          </cell>
          <cell r="B27" t="str">
            <v>GF ROUND - 9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</row>
        <row r="28">
          <cell r="A28" t="str">
            <v>TOUCH 3S (Classic and Ribbed)</v>
          </cell>
          <cell r="B28" t="str">
            <v>PACKARD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</row>
        <row r="29">
          <cell r="A29" t="str">
            <v>TOUCH 3S (Classic and Ribbed)</v>
          </cell>
          <cell r="B29" t="str">
            <v>PI- GSM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</row>
        <row r="30">
          <cell r="A30" t="str">
            <v>TOUCH 3S (Classic and Ribbed)</v>
          </cell>
          <cell r="B30" t="str">
            <v>NEW DONOR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</row>
        <row r="31">
          <cell r="A31" t="str">
            <v>TOUCH 3S (Classic and Ribbed)</v>
          </cell>
          <cell r="B31" t="str">
            <v>Donor 10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</row>
        <row r="32">
          <cell r="A32" t="str">
            <v>TOUCH 6S (Classic and Ribbed)</v>
          </cell>
          <cell r="B32" t="str">
            <v>LAD III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</row>
        <row r="33">
          <cell r="A33" t="str">
            <v>TOUCH 6S (Classic and Ribbed)</v>
          </cell>
          <cell r="B33" t="str">
            <v>KFW- 12.0M Euro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</row>
        <row r="34">
          <cell r="A34" t="str">
            <v>TOUCH 6S (Classic and Ribbed)</v>
          </cell>
          <cell r="B34" t="str">
            <v>DFID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</row>
        <row r="35">
          <cell r="A35" t="str">
            <v>TOUCH 6S (Classic and Ribbed)</v>
          </cell>
          <cell r="B35" t="str">
            <v>USAID     SIFPO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</row>
        <row r="36">
          <cell r="A36" t="str">
            <v>TOUCH 6S (Classic and Ribbed)</v>
          </cell>
          <cell r="B36" t="str">
            <v>GF ROUND - 8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</row>
        <row r="37">
          <cell r="A37" t="str">
            <v>TOUCH 6S (Classic and Ribbed)</v>
          </cell>
          <cell r="B37" t="str">
            <v>GF ROUND - 9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</row>
        <row r="38">
          <cell r="A38" t="str">
            <v>TOUCH 6S (Classic and Ribbed)</v>
          </cell>
          <cell r="B38" t="str">
            <v>PACKARD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</row>
        <row r="39">
          <cell r="A39" t="str">
            <v>TOUCH 6S (Classic and Ribbed)</v>
          </cell>
          <cell r="B39" t="str">
            <v>PI- GSM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</row>
        <row r="40">
          <cell r="A40" t="str">
            <v>TOUCH 6S (Classic and Ribbed)</v>
          </cell>
          <cell r="B40" t="str">
            <v>NEW DONOR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</row>
        <row r="41">
          <cell r="A41" t="str">
            <v>TOUCH 6S (Classic and Ribbed)</v>
          </cell>
          <cell r="B41" t="str">
            <v>Donor 10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</row>
        <row r="42">
          <cell r="A42" t="str">
            <v>TOUCH 3s (Dotted)</v>
          </cell>
          <cell r="B42" t="str">
            <v>LAD III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</row>
        <row r="43">
          <cell r="A43" t="str">
            <v>TOUCH 3s (Dotted)</v>
          </cell>
          <cell r="B43" t="str">
            <v>KFW- 12.0M Euro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</row>
        <row r="44">
          <cell r="A44" t="str">
            <v>TOUCH 3s (Dotted)</v>
          </cell>
          <cell r="B44" t="str">
            <v>DFID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</row>
        <row r="45">
          <cell r="A45" t="str">
            <v>TOUCH 3s (Dotted)</v>
          </cell>
          <cell r="B45" t="str">
            <v>USAID     SIFPO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</row>
        <row r="46">
          <cell r="A46" t="str">
            <v>TOUCH 3s (Dotted)</v>
          </cell>
          <cell r="B46" t="str">
            <v>GF ROUND - 8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</row>
        <row r="47">
          <cell r="A47" t="str">
            <v>TOUCH 3s (Dotted)</v>
          </cell>
          <cell r="B47" t="str">
            <v>GF ROUND - 9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</row>
        <row r="48">
          <cell r="A48" t="str">
            <v>TOUCH 3s (Dotted)</v>
          </cell>
          <cell r="B48" t="str">
            <v>PACKARD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</row>
        <row r="49">
          <cell r="A49" t="str">
            <v>TOUCH 3s (Dotted)</v>
          </cell>
          <cell r="B49" t="str">
            <v>PI- GSM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</row>
        <row r="50">
          <cell r="A50" t="str">
            <v>TOUCH 3s (Dotted)</v>
          </cell>
          <cell r="B50" t="str">
            <v>NEW DONOR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</row>
        <row r="51">
          <cell r="A51" t="str">
            <v>TOUCH 3s (Dotted)</v>
          </cell>
          <cell r="B51" t="str">
            <v>Donor 10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</row>
        <row r="52">
          <cell r="A52" t="str">
            <v>TOUCH 6s (Dotted)</v>
          </cell>
          <cell r="B52" t="str">
            <v>LAD III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</row>
        <row r="53">
          <cell r="A53" t="str">
            <v>TOUCH 6s (Dotted)</v>
          </cell>
          <cell r="B53" t="str">
            <v>KFW- 12.0M Euro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</row>
        <row r="54">
          <cell r="A54" t="str">
            <v>TOUCH 6s (Dotted)</v>
          </cell>
          <cell r="B54" t="str">
            <v>DFID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</row>
        <row r="55">
          <cell r="A55" t="str">
            <v>TOUCH 6s (Dotted)</v>
          </cell>
          <cell r="B55" t="str">
            <v>USAID     SIFPO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</row>
        <row r="56">
          <cell r="A56" t="str">
            <v>TOUCH 6s (Dotted)</v>
          </cell>
          <cell r="B56" t="str">
            <v>GF ROUND - 8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</row>
        <row r="57">
          <cell r="A57" t="str">
            <v>TOUCH 6s (Dotted)</v>
          </cell>
          <cell r="B57" t="str">
            <v>GF ROUND - 9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</row>
        <row r="58">
          <cell r="A58" t="str">
            <v>TOUCH 6s (Dotted)</v>
          </cell>
          <cell r="B58" t="str">
            <v>PACKARD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</row>
        <row r="59">
          <cell r="A59" t="str">
            <v>TOUCH 6s (Dotted)</v>
          </cell>
          <cell r="B59" t="str">
            <v>PI- GSM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</row>
        <row r="60">
          <cell r="A60" t="str">
            <v>TOUCH 6s (Dotted)</v>
          </cell>
          <cell r="B60" t="str">
            <v>NEW DONOR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</row>
        <row r="61">
          <cell r="A61" t="str">
            <v>TOUCH 6s (Dotted)</v>
          </cell>
          <cell r="B61" t="str">
            <v>Donor 10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</row>
        <row r="62">
          <cell r="A62" t="str">
            <v>Nova</v>
          </cell>
          <cell r="B62" t="str">
            <v>LAD III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</row>
        <row r="63">
          <cell r="A63" t="str">
            <v>Nova</v>
          </cell>
          <cell r="B63" t="str">
            <v>KFW- 12.0M Euro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</row>
        <row r="64">
          <cell r="A64" t="str">
            <v>Nova</v>
          </cell>
          <cell r="B64" t="str">
            <v>DFID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</row>
        <row r="65">
          <cell r="A65" t="str">
            <v>Nova</v>
          </cell>
          <cell r="B65" t="str">
            <v>USAID     SIFPO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</row>
        <row r="66">
          <cell r="A66" t="str">
            <v>Nova</v>
          </cell>
          <cell r="B66" t="str">
            <v>GF ROUND - 8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</row>
        <row r="67">
          <cell r="A67" t="str">
            <v>Nova</v>
          </cell>
          <cell r="B67" t="str">
            <v>GF ROUND - 9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</row>
        <row r="68">
          <cell r="A68" t="str">
            <v>Nova</v>
          </cell>
          <cell r="B68" t="str">
            <v>PACKARD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</row>
        <row r="69">
          <cell r="A69" t="str">
            <v>Nova</v>
          </cell>
          <cell r="B69" t="str">
            <v>PI- GSM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</row>
        <row r="70">
          <cell r="A70" t="str">
            <v>Nova</v>
          </cell>
          <cell r="B70" t="str">
            <v>NEW DONOR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</row>
        <row r="71">
          <cell r="A71" t="str">
            <v>Nova</v>
          </cell>
          <cell r="B71" t="str">
            <v>Donor 10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</row>
        <row r="72">
          <cell r="A72" t="str">
            <v>NOVODOL</v>
          </cell>
          <cell r="B72" t="str">
            <v>LAD III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</row>
        <row r="73">
          <cell r="A73" t="str">
            <v>NOVODOL</v>
          </cell>
          <cell r="B73" t="str">
            <v>KFW- 12.0M Euro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</row>
        <row r="74">
          <cell r="A74" t="str">
            <v>NOVODOL</v>
          </cell>
          <cell r="B74" t="str">
            <v>DFID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</row>
        <row r="75">
          <cell r="A75" t="str">
            <v>NOVODOL</v>
          </cell>
          <cell r="B75" t="str">
            <v>USAID     SIFPO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</row>
        <row r="76">
          <cell r="A76" t="str">
            <v>NOVODOL</v>
          </cell>
          <cell r="B76" t="str">
            <v>GF ROUND - 8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</row>
        <row r="77">
          <cell r="A77" t="str">
            <v>NOVODOL</v>
          </cell>
          <cell r="B77" t="str">
            <v>GF ROUND - 9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</row>
        <row r="78">
          <cell r="A78" t="str">
            <v>NOVODOL</v>
          </cell>
          <cell r="B78" t="str">
            <v>PACKARD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</row>
        <row r="79">
          <cell r="A79" t="str">
            <v>NOVODOL</v>
          </cell>
          <cell r="B79" t="str">
            <v>PI- GSM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</row>
        <row r="80">
          <cell r="A80" t="str">
            <v>NOVODOL</v>
          </cell>
          <cell r="B80" t="str">
            <v>NEW DONOR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</row>
        <row r="81">
          <cell r="A81" t="str">
            <v>NOVODOL</v>
          </cell>
          <cell r="B81" t="str">
            <v>Donor 10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</row>
        <row r="82">
          <cell r="A82" t="str">
            <v>ECP</v>
          </cell>
          <cell r="B82" t="str">
            <v>LAD III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</row>
        <row r="83">
          <cell r="A83" t="str">
            <v>ECP</v>
          </cell>
          <cell r="B83" t="str">
            <v>KFW- 12.0M Euro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</row>
        <row r="84">
          <cell r="A84" t="str">
            <v>ECP</v>
          </cell>
          <cell r="B84" t="str">
            <v>DFID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</row>
        <row r="85">
          <cell r="A85" t="str">
            <v>ECP</v>
          </cell>
          <cell r="B85" t="str">
            <v>USAID     SIFPO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</row>
        <row r="86">
          <cell r="A86" t="str">
            <v>ECP</v>
          </cell>
          <cell r="B86" t="str">
            <v>GF ROUND - 8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</row>
        <row r="87">
          <cell r="A87" t="str">
            <v>ECP</v>
          </cell>
          <cell r="B87" t="str">
            <v>GF ROUND - 9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</row>
        <row r="88">
          <cell r="A88" t="str">
            <v>ECP</v>
          </cell>
          <cell r="B88" t="str">
            <v>PACKARD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</row>
        <row r="89">
          <cell r="A89" t="str">
            <v>ECP</v>
          </cell>
          <cell r="B89" t="str">
            <v>PI- GSM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</row>
        <row r="90">
          <cell r="A90" t="str">
            <v>ECP</v>
          </cell>
          <cell r="B90" t="str">
            <v>NEW DONOR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</row>
        <row r="91">
          <cell r="A91" t="str">
            <v>ECP</v>
          </cell>
          <cell r="B91" t="str">
            <v>Donor 10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</row>
        <row r="92">
          <cell r="A92" t="str">
            <v>NOVAJECT</v>
          </cell>
          <cell r="B92" t="str">
            <v>LAD III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</row>
        <row r="93">
          <cell r="A93" t="str">
            <v>NOVAJECT</v>
          </cell>
          <cell r="B93" t="str">
            <v>KFW- 12.0M Euro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</row>
        <row r="94">
          <cell r="A94" t="str">
            <v>NOVAJECT</v>
          </cell>
          <cell r="B94" t="str">
            <v>DFID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</row>
        <row r="95">
          <cell r="A95" t="str">
            <v>NOVAJECT</v>
          </cell>
          <cell r="B95" t="str">
            <v>USAID     SIFPO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</row>
        <row r="96">
          <cell r="A96" t="str">
            <v>NOVAJECT</v>
          </cell>
          <cell r="B96" t="str">
            <v>GF ROUND - 8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</row>
        <row r="97">
          <cell r="A97" t="str">
            <v>NOVAJECT</v>
          </cell>
          <cell r="B97" t="str">
            <v>GF ROUND - 9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</row>
        <row r="98">
          <cell r="A98" t="str">
            <v>NOVAJECT</v>
          </cell>
          <cell r="B98" t="str">
            <v>PACKARD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</row>
        <row r="99">
          <cell r="A99" t="str">
            <v>NOVAJECT</v>
          </cell>
          <cell r="B99" t="str">
            <v>PI- GSM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</row>
        <row r="100">
          <cell r="A100" t="str">
            <v>NOVAJECT</v>
          </cell>
          <cell r="B100" t="str">
            <v>NEW DONOR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</row>
        <row r="101">
          <cell r="A101" t="str">
            <v>NOVAJECT</v>
          </cell>
          <cell r="B101" t="str">
            <v>Donor 10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</row>
        <row r="102">
          <cell r="A102" t="str">
            <v>FEMIJECT</v>
          </cell>
          <cell r="B102" t="str">
            <v>LAD III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</row>
        <row r="103">
          <cell r="A103" t="str">
            <v>FEMIJECT</v>
          </cell>
          <cell r="B103" t="str">
            <v>KFW- 12.0M Euro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</row>
        <row r="104">
          <cell r="A104" t="str">
            <v>FEMIJECT</v>
          </cell>
          <cell r="B104" t="str">
            <v>DFID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</row>
        <row r="105">
          <cell r="A105" t="str">
            <v>FEMIJECT</v>
          </cell>
          <cell r="B105" t="str">
            <v>USAID     SIFPO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</row>
        <row r="106">
          <cell r="A106" t="str">
            <v>FEMIJECT</v>
          </cell>
          <cell r="B106" t="str">
            <v>GF ROUND - 8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</row>
        <row r="107">
          <cell r="A107" t="str">
            <v>FEMIJECT</v>
          </cell>
          <cell r="B107" t="str">
            <v>GF ROUND - 9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</row>
        <row r="108">
          <cell r="A108" t="str">
            <v>FEMIJECT</v>
          </cell>
          <cell r="B108" t="str">
            <v>PACKARD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</row>
        <row r="109">
          <cell r="A109" t="str">
            <v>FEMIJECT</v>
          </cell>
          <cell r="B109" t="str">
            <v>PI- GSM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</row>
        <row r="110">
          <cell r="A110" t="str">
            <v>FEMIJECT</v>
          </cell>
          <cell r="B110" t="str">
            <v>NEW DONOR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</row>
        <row r="111">
          <cell r="A111" t="str">
            <v>FEMIJECT</v>
          </cell>
          <cell r="B111" t="str">
            <v>Donor 10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</row>
        <row r="112">
          <cell r="A112" t="str">
            <v>DEPO PROVERA</v>
          </cell>
          <cell r="B112" t="str">
            <v>LAD III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</row>
        <row r="113">
          <cell r="A113" t="str">
            <v>DEPO PROVERA</v>
          </cell>
          <cell r="B113" t="str">
            <v>KFW- 12.0M Euro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</row>
        <row r="114">
          <cell r="A114" t="str">
            <v>DEPO PROVERA</v>
          </cell>
          <cell r="B114" t="str">
            <v>DFID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</row>
        <row r="115">
          <cell r="A115" t="str">
            <v>DEPO PROVERA</v>
          </cell>
          <cell r="B115" t="str">
            <v>USAID     SIFPO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</row>
        <row r="116">
          <cell r="A116" t="str">
            <v>DEPO PROVERA</v>
          </cell>
          <cell r="B116" t="str">
            <v>GF ROUND - 8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</row>
        <row r="117">
          <cell r="A117" t="str">
            <v>DEPO PROVERA</v>
          </cell>
          <cell r="B117" t="str">
            <v>GF ROUND - 9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</row>
        <row r="118">
          <cell r="A118" t="str">
            <v>DEPO PROVERA</v>
          </cell>
          <cell r="B118" t="str">
            <v>PACKARD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</row>
        <row r="119">
          <cell r="A119" t="str">
            <v>DEPO PROVERA</v>
          </cell>
          <cell r="B119" t="str">
            <v>PI- GSM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</row>
        <row r="120">
          <cell r="A120" t="str">
            <v>DEPO PROVERA</v>
          </cell>
          <cell r="B120" t="str">
            <v>NEW DONOR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</row>
        <row r="121">
          <cell r="A121" t="str">
            <v>DEPO PROVERA</v>
          </cell>
          <cell r="B121" t="str">
            <v>Donor 10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</row>
        <row r="122">
          <cell r="A122" t="str">
            <v>MULTILOAD</v>
          </cell>
          <cell r="B122" t="str">
            <v>LAD III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</row>
        <row r="123">
          <cell r="A123" t="str">
            <v>MULTILOAD</v>
          </cell>
          <cell r="B123" t="str">
            <v>KFW- 12.0M Euro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</row>
        <row r="124">
          <cell r="A124" t="str">
            <v>MULTILOAD</v>
          </cell>
          <cell r="B124" t="str">
            <v>DFID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</row>
        <row r="125">
          <cell r="A125" t="str">
            <v>MULTILOAD</v>
          </cell>
          <cell r="B125" t="str">
            <v>USAID     SIFPO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</row>
        <row r="126">
          <cell r="A126" t="str">
            <v>MULTILOAD</v>
          </cell>
          <cell r="B126" t="str">
            <v>GF ROUND - 8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</row>
        <row r="127">
          <cell r="A127" t="str">
            <v>MULTILOAD</v>
          </cell>
          <cell r="B127" t="str">
            <v>GF ROUND - 9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</row>
        <row r="128">
          <cell r="A128" t="str">
            <v>MULTILOAD</v>
          </cell>
          <cell r="B128" t="str">
            <v>PACKARD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</row>
        <row r="129">
          <cell r="A129" t="str">
            <v>MULTILOAD</v>
          </cell>
          <cell r="B129" t="str">
            <v>PI- GSM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</row>
        <row r="130">
          <cell r="A130" t="str">
            <v>MULTILOAD</v>
          </cell>
          <cell r="B130" t="str">
            <v>NEW DONOR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</row>
        <row r="131">
          <cell r="A131" t="str">
            <v>MULTILOAD</v>
          </cell>
          <cell r="B131" t="str">
            <v>Donor 10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</row>
        <row r="132">
          <cell r="A132" t="str">
            <v>SAFELOAD</v>
          </cell>
          <cell r="B132" t="str">
            <v>LAD III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</row>
        <row r="133">
          <cell r="A133" t="str">
            <v>SAFELOAD</v>
          </cell>
          <cell r="B133" t="str">
            <v>KFW- 12.0M Euro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</row>
        <row r="134">
          <cell r="A134" t="str">
            <v>SAFELOAD</v>
          </cell>
          <cell r="B134" t="str">
            <v>DFID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</row>
        <row r="135">
          <cell r="A135" t="str">
            <v>SAFELOAD</v>
          </cell>
          <cell r="B135" t="str">
            <v>USAID     SIFPO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</row>
        <row r="136">
          <cell r="A136" t="str">
            <v>SAFELOAD</v>
          </cell>
          <cell r="B136" t="str">
            <v>GF ROUND - 8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</row>
        <row r="137">
          <cell r="A137" t="str">
            <v>SAFELOAD</v>
          </cell>
          <cell r="B137" t="str">
            <v>GF ROUND - 9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</row>
        <row r="138">
          <cell r="A138" t="str">
            <v>SAFELOAD</v>
          </cell>
          <cell r="B138" t="str">
            <v>PACKARD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</row>
        <row r="139">
          <cell r="A139" t="str">
            <v>SAFELOAD</v>
          </cell>
          <cell r="B139" t="str">
            <v>PI- GSM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</row>
        <row r="140">
          <cell r="A140" t="str">
            <v>SAFELOAD</v>
          </cell>
          <cell r="B140" t="str">
            <v>NEW DONOR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</row>
        <row r="141">
          <cell r="A141" t="str">
            <v>SAFELOAD</v>
          </cell>
          <cell r="B141" t="str">
            <v>Donor 10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</row>
        <row r="142">
          <cell r="A142" t="str">
            <v>Famiplant</v>
          </cell>
          <cell r="B142" t="str">
            <v>LAD III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</row>
        <row r="143">
          <cell r="A143" t="str">
            <v>Famiplant</v>
          </cell>
          <cell r="B143" t="str">
            <v>KFW- 12.0M Euro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</row>
        <row r="144">
          <cell r="A144" t="str">
            <v>Famiplant</v>
          </cell>
          <cell r="B144" t="str">
            <v>DFID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</row>
        <row r="145">
          <cell r="A145" t="str">
            <v>Famiplant</v>
          </cell>
          <cell r="B145" t="str">
            <v>USAID     SIFPO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</row>
        <row r="146">
          <cell r="A146" t="str">
            <v>Famiplant</v>
          </cell>
          <cell r="B146" t="str">
            <v>GF ROUND - 8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</row>
        <row r="147">
          <cell r="A147" t="str">
            <v>Famiplant</v>
          </cell>
          <cell r="B147" t="str">
            <v>GF ROUND - 9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</row>
        <row r="148">
          <cell r="A148" t="str">
            <v>Famiplant</v>
          </cell>
          <cell r="B148" t="str">
            <v>PACKARD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</row>
        <row r="149">
          <cell r="A149" t="str">
            <v>Famiplant</v>
          </cell>
          <cell r="B149" t="str">
            <v>PI- GSM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</row>
        <row r="150">
          <cell r="A150" t="str">
            <v>Famiplant</v>
          </cell>
          <cell r="B150" t="str">
            <v>NEW DONOR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</row>
        <row r="151">
          <cell r="A151" t="str">
            <v>Famiplant</v>
          </cell>
          <cell r="B151" t="str">
            <v>Donor 10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</row>
        <row r="152">
          <cell r="A152" t="str">
            <v>Jadelle</v>
          </cell>
          <cell r="B152" t="str">
            <v>LAD III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</row>
        <row r="153">
          <cell r="A153" t="str">
            <v>Jadelle</v>
          </cell>
          <cell r="B153" t="str">
            <v>KFW- 12.0M Euro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</row>
        <row r="154">
          <cell r="A154" t="str">
            <v>Jadelle</v>
          </cell>
          <cell r="B154" t="str">
            <v>DFID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</row>
        <row r="155">
          <cell r="A155" t="str">
            <v>Jadelle</v>
          </cell>
          <cell r="B155" t="str">
            <v>USAID     SIFPO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</row>
        <row r="156">
          <cell r="A156" t="str">
            <v>Jadelle</v>
          </cell>
          <cell r="B156" t="str">
            <v>GF ROUND - 8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</row>
        <row r="157">
          <cell r="A157" t="str">
            <v>Jadelle</v>
          </cell>
          <cell r="B157" t="str">
            <v>GF ROUND - 9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</row>
        <row r="158">
          <cell r="A158" t="str">
            <v>Jadelle</v>
          </cell>
          <cell r="B158" t="str">
            <v>PACKARD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</row>
        <row r="159">
          <cell r="A159" t="str">
            <v>Jadelle</v>
          </cell>
          <cell r="B159" t="str">
            <v>PI- GSM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</row>
        <row r="160">
          <cell r="A160" t="str">
            <v>Jadelle</v>
          </cell>
          <cell r="B160" t="str">
            <v>NEW DONOR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</row>
        <row r="161">
          <cell r="A161" t="str">
            <v>Jadelle</v>
          </cell>
          <cell r="B161" t="str">
            <v>Donor 10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</row>
        <row r="162">
          <cell r="A162" t="str">
            <v>CLEAN START KIT</v>
          </cell>
          <cell r="B162" t="str">
            <v>LAD III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</row>
        <row r="163">
          <cell r="A163" t="str">
            <v>CLEAN START KIT</v>
          </cell>
          <cell r="B163" t="str">
            <v>KFW- 12.0M Euro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</row>
        <row r="164">
          <cell r="A164" t="str">
            <v>CLEAN START KIT</v>
          </cell>
          <cell r="B164" t="str">
            <v>DFID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</row>
        <row r="165">
          <cell r="A165" t="str">
            <v>CLEAN START KIT</v>
          </cell>
          <cell r="B165" t="str">
            <v>USAID     SIFPO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</row>
        <row r="166">
          <cell r="A166" t="str">
            <v>CLEAN START KIT</v>
          </cell>
          <cell r="B166" t="str">
            <v>GF ROUND - 8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</row>
        <row r="167">
          <cell r="A167" t="str">
            <v>CLEAN START KIT</v>
          </cell>
          <cell r="B167" t="str">
            <v>GF ROUND - 9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</row>
        <row r="168">
          <cell r="A168" t="str">
            <v>CLEAN START KIT</v>
          </cell>
          <cell r="B168" t="str">
            <v>PACKARD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</row>
        <row r="169">
          <cell r="A169" t="str">
            <v>CLEAN START KIT</v>
          </cell>
          <cell r="B169" t="str">
            <v>PI- GSM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</row>
        <row r="170">
          <cell r="A170" t="str">
            <v>CLEAN START KIT</v>
          </cell>
          <cell r="B170" t="str">
            <v>NEW DONOR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</row>
        <row r="171">
          <cell r="A171" t="str">
            <v>CLEAN START KIT</v>
          </cell>
          <cell r="B171" t="str">
            <v>Donor 10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</row>
        <row r="172">
          <cell r="A172" t="str">
            <v>CLEAR 7</v>
          </cell>
          <cell r="B172" t="str">
            <v>LAD III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</row>
        <row r="173">
          <cell r="A173" t="str">
            <v>CLEAR 7</v>
          </cell>
          <cell r="B173" t="str">
            <v>KFW- 12.0M Euro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</row>
        <row r="174">
          <cell r="A174" t="str">
            <v>CLEAR 7</v>
          </cell>
          <cell r="B174" t="str">
            <v>DFID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</row>
        <row r="175">
          <cell r="A175" t="str">
            <v>CLEAR 7</v>
          </cell>
          <cell r="B175" t="str">
            <v>USAID     SIFPO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</row>
        <row r="176">
          <cell r="A176" t="str">
            <v>CLEAR 7</v>
          </cell>
          <cell r="B176" t="str">
            <v>GF ROUND - 8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</row>
        <row r="177">
          <cell r="A177" t="str">
            <v>CLEAR 7</v>
          </cell>
          <cell r="B177" t="str">
            <v>GF ROUND - 9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</row>
        <row r="178">
          <cell r="A178" t="str">
            <v>CLEAR 7</v>
          </cell>
          <cell r="B178" t="str">
            <v>PACKARD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</row>
        <row r="179">
          <cell r="A179" t="str">
            <v>CLEAR 7</v>
          </cell>
          <cell r="B179" t="str">
            <v>PI- GSM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</row>
        <row r="180">
          <cell r="A180" t="str">
            <v>CLEAR 7</v>
          </cell>
          <cell r="B180" t="str">
            <v>NEW DONOR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</row>
        <row r="181">
          <cell r="A181" t="str">
            <v>CLEAR 7</v>
          </cell>
          <cell r="B181" t="str">
            <v>Donor 10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</row>
        <row r="182">
          <cell r="A182" t="str">
            <v>AQUA TABS (T-10)</v>
          </cell>
          <cell r="B182" t="str">
            <v>LAD III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</row>
        <row r="183">
          <cell r="A183" t="str">
            <v>AQUA TABS (T-10)</v>
          </cell>
          <cell r="B183" t="str">
            <v>KFW- 12.0M Euro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</row>
        <row r="184">
          <cell r="A184" t="str">
            <v>AQUA TABS (T-10)</v>
          </cell>
          <cell r="B184" t="str">
            <v>DFID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</row>
        <row r="185">
          <cell r="A185" t="str">
            <v>AQUA TABS (T-10)</v>
          </cell>
          <cell r="B185" t="str">
            <v>USAID     SIFPO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</row>
        <row r="186">
          <cell r="A186" t="str">
            <v>AQUA TABS (T-10)</v>
          </cell>
          <cell r="B186" t="str">
            <v>GF ROUND - 8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</row>
        <row r="187">
          <cell r="A187" t="str">
            <v>AQUA TABS (T-10)</v>
          </cell>
          <cell r="B187" t="str">
            <v>GF ROUND - 9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</row>
        <row r="188">
          <cell r="A188" t="str">
            <v>AQUA TABS (T-10)</v>
          </cell>
          <cell r="B188" t="str">
            <v>PACKARD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</row>
        <row r="189">
          <cell r="A189" t="str">
            <v>AQUA TABS (T-10)</v>
          </cell>
          <cell r="B189" t="str">
            <v>PI- GSM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</row>
        <row r="190">
          <cell r="A190" t="str">
            <v>AQUA TABS (T-10)</v>
          </cell>
          <cell r="B190" t="str">
            <v>NEW DONOR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</row>
        <row r="191">
          <cell r="A191" t="str">
            <v>AQUA TABS (T-10)</v>
          </cell>
          <cell r="B191" t="str">
            <v>Donor 10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</row>
        <row r="192">
          <cell r="A192" t="str">
            <v>AQUA TABS (T-20)</v>
          </cell>
          <cell r="B192" t="str">
            <v>LAD III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</row>
        <row r="193">
          <cell r="A193" t="str">
            <v>AQUA TABS (T-20)</v>
          </cell>
          <cell r="B193" t="str">
            <v>KFW- 12.0M Euro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</row>
        <row r="194">
          <cell r="A194" t="str">
            <v>AQUA TABS (T-20)</v>
          </cell>
          <cell r="B194" t="str">
            <v>DFID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</row>
        <row r="195">
          <cell r="A195" t="str">
            <v>AQUA TABS (T-20)</v>
          </cell>
          <cell r="B195" t="str">
            <v>USAID     SIFPO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</row>
        <row r="196">
          <cell r="A196" t="str">
            <v>AQUA TABS (T-20)</v>
          </cell>
          <cell r="B196" t="str">
            <v>GF ROUND - 8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</row>
        <row r="197">
          <cell r="A197" t="str">
            <v>AQUA TABS (T-20)</v>
          </cell>
          <cell r="B197" t="str">
            <v>GF ROUND - 9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</row>
        <row r="198">
          <cell r="A198" t="str">
            <v>AQUA TABS (T-20)</v>
          </cell>
          <cell r="B198" t="str">
            <v>PACKARD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</row>
        <row r="199">
          <cell r="A199" t="str">
            <v>AQUA TABS (T-20)</v>
          </cell>
          <cell r="B199" t="str">
            <v>PI- GSM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</row>
        <row r="200">
          <cell r="A200" t="str">
            <v>AQUA TABS (T-20)</v>
          </cell>
          <cell r="B200" t="str">
            <v>NEW DONOR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</row>
        <row r="201">
          <cell r="A201" t="str">
            <v>AQUA TABS (T-20)</v>
          </cell>
          <cell r="B201" t="str">
            <v>Donor 10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</row>
        <row r="202">
          <cell r="A202" t="str">
            <v>BABY ACTIVE</v>
          </cell>
          <cell r="B202" t="str">
            <v>LAD III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</row>
        <row r="203">
          <cell r="A203" t="str">
            <v>BABY ACTIVE</v>
          </cell>
          <cell r="B203" t="str">
            <v>KFW- 12.0M Euro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</row>
        <row r="204">
          <cell r="A204" t="str">
            <v>BABY ACTIVE</v>
          </cell>
          <cell r="B204" t="str">
            <v>DFID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</row>
        <row r="205">
          <cell r="A205" t="str">
            <v>BABY ACTIVE</v>
          </cell>
          <cell r="B205" t="str">
            <v>USAID     SIFPO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</row>
        <row r="206">
          <cell r="A206" t="str">
            <v>BABY ACTIVE</v>
          </cell>
          <cell r="B206" t="str">
            <v>GF ROUND - 8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</row>
        <row r="207">
          <cell r="A207" t="str">
            <v>BABY ACTIVE</v>
          </cell>
          <cell r="B207" t="str">
            <v>GF ROUND - 9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</row>
        <row r="208">
          <cell r="A208" t="str">
            <v>BABY ACTIVE</v>
          </cell>
          <cell r="B208" t="str">
            <v>PACKARD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</row>
        <row r="209">
          <cell r="A209" t="str">
            <v>BABY ACTIVE</v>
          </cell>
          <cell r="B209" t="str">
            <v>PI- GSM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</row>
        <row r="210">
          <cell r="A210" t="str">
            <v>BABY ACTIVE</v>
          </cell>
          <cell r="B210" t="str">
            <v>NEW DONOR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</row>
        <row r="211">
          <cell r="A211" t="str">
            <v>BABY ACTIVE</v>
          </cell>
          <cell r="B211" t="str">
            <v>Donor 10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</row>
        <row r="212">
          <cell r="A212" t="str">
            <v>Pure</v>
          </cell>
          <cell r="B212" t="str">
            <v>LAD III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</row>
        <row r="213">
          <cell r="A213" t="str">
            <v>Pure</v>
          </cell>
          <cell r="B213" t="str">
            <v>KFW- 12.0M Euro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</row>
        <row r="214">
          <cell r="A214" t="str">
            <v>Pure</v>
          </cell>
          <cell r="B214" t="str">
            <v>DFID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</row>
        <row r="215">
          <cell r="A215" t="str">
            <v>Pure</v>
          </cell>
          <cell r="B215" t="str">
            <v>USAID     SIFPO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</row>
        <row r="216">
          <cell r="A216" t="str">
            <v>Pure</v>
          </cell>
          <cell r="B216" t="str">
            <v>GF ROUND - 8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</row>
        <row r="217">
          <cell r="A217" t="str">
            <v>Pure</v>
          </cell>
          <cell r="B217" t="str">
            <v>GF ROUND - 9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</row>
        <row r="218">
          <cell r="A218" t="str">
            <v>Pure</v>
          </cell>
          <cell r="B218" t="str">
            <v>PACKARD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</row>
        <row r="219">
          <cell r="A219" t="str">
            <v>Pure</v>
          </cell>
          <cell r="B219" t="str">
            <v>PI- GSM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</row>
        <row r="220">
          <cell r="A220" t="str">
            <v>Pure</v>
          </cell>
          <cell r="B220" t="str">
            <v>NEW DONOR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</row>
        <row r="221">
          <cell r="A221" t="str">
            <v>Pure</v>
          </cell>
          <cell r="B221" t="str">
            <v>Donor 10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</row>
        <row r="222">
          <cell r="A222" t="str">
            <v xml:space="preserve">CHLOR TABS  10s </v>
          </cell>
          <cell r="B222" t="str">
            <v>LAD III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</row>
        <row r="223">
          <cell r="A223" t="str">
            <v xml:space="preserve">CHLOR TABS  10s </v>
          </cell>
          <cell r="B223" t="str">
            <v>KFW- 12.0M Euro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</row>
        <row r="224">
          <cell r="A224" t="str">
            <v xml:space="preserve">CHLOR TABS  10s </v>
          </cell>
          <cell r="B224" t="str">
            <v>DFID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</row>
        <row r="225">
          <cell r="A225" t="str">
            <v xml:space="preserve">CHLOR TABS  10s </v>
          </cell>
          <cell r="B225" t="str">
            <v>USAID     SIFPO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</row>
        <row r="226">
          <cell r="A226" t="str">
            <v xml:space="preserve">CHLOR TABS  10s </v>
          </cell>
          <cell r="B226" t="str">
            <v>GF ROUND - 8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</row>
        <row r="227">
          <cell r="A227" t="str">
            <v xml:space="preserve">CHLOR TABS  10s </v>
          </cell>
          <cell r="B227" t="str">
            <v>GF ROUND - 9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</row>
        <row r="228">
          <cell r="A228" t="str">
            <v xml:space="preserve">CHLOR TABS  10s </v>
          </cell>
          <cell r="B228" t="str">
            <v>PACKARD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</row>
        <row r="229">
          <cell r="A229" t="str">
            <v xml:space="preserve">CHLOR TABS  10s </v>
          </cell>
          <cell r="B229" t="str">
            <v>PI- GSM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</row>
        <row r="230">
          <cell r="A230" t="str">
            <v xml:space="preserve">CHLOR TABS  10s </v>
          </cell>
          <cell r="B230" t="str">
            <v>NEW DONOR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</row>
        <row r="231">
          <cell r="A231" t="str">
            <v xml:space="preserve">CHLOR TABS  10s </v>
          </cell>
          <cell r="B231" t="str">
            <v>Donor 10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</row>
        <row r="232">
          <cell r="A232" t="str">
            <v xml:space="preserve">CHLOR TABS  25s </v>
          </cell>
          <cell r="B232" t="str">
            <v>LAD III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</row>
        <row r="233">
          <cell r="A233" t="str">
            <v xml:space="preserve">CHLOR TABS  25s </v>
          </cell>
          <cell r="B233" t="str">
            <v>KFW- 12.0M Euro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</row>
        <row r="234">
          <cell r="A234" t="str">
            <v xml:space="preserve">CHLOR TABS  25s </v>
          </cell>
          <cell r="B234" t="str">
            <v>DFID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</row>
        <row r="235">
          <cell r="A235" t="str">
            <v xml:space="preserve">CHLOR TABS  25s </v>
          </cell>
          <cell r="B235" t="str">
            <v>USAID     SIFPO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</row>
        <row r="236">
          <cell r="A236" t="str">
            <v xml:space="preserve">CHLOR TABS  25s </v>
          </cell>
          <cell r="B236" t="str">
            <v>GF ROUND - 8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</row>
        <row r="237">
          <cell r="A237" t="str">
            <v xml:space="preserve">CHLOR TABS  25s </v>
          </cell>
          <cell r="B237" t="str">
            <v>GF ROUND - 9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</row>
        <row r="238">
          <cell r="A238" t="str">
            <v xml:space="preserve">CHLOR TABS  25s </v>
          </cell>
          <cell r="B238" t="str">
            <v>PACKARD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</row>
        <row r="239">
          <cell r="A239" t="str">
            <v xml:space="preserve">CHLOR TABS  25s </v>
          </cell>
          <cell r="B239" t="str">
            <v>PI- GSM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</row>
        <row r="240">
          <cell r="A240" t="str">
            <v xml:space="preserve">CHLOR TABS  25s </v>
          </cell>
          <cell r="B240" t="str">
            <v>NEW DONOR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</row>
        <row r="241">
          <cell r="A241" t="str">
            <v xml:space="preserve">CHLOR TABS  25s </v>
          </cell>
          <cell r="B241" t="str">
            <v>Donor 10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</row>
        <row r="242">
          <cell r="A242" t="str">
            <v>VSC</v>
          </cell>
          <cell r="B242" t="str">
            <v>LAD III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</row>
        <row r="243">
          <cell r="A243" t="str">
            <v>VSC</v>
          </cell>
          <cell r="B243" t="str">
            <v>KFW- 12.0M Euro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</row>
        <row r="244">
          <cell r="A244" t="str">
            <v>VSC</v>
          </cell>
          <cell r="B244" t="str">
            <v>DFID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</row>
        <row r="245">
          <cell r="A245" t="str">
            <v>VSC</v>
          </cell>
          <cell r="B245" t="str">
            <v>USAID     SIFPO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</row>
        <row r="246">
          <cell r="A246" t="str">
            <v>VSC</v>
          </cell>
          <cell r="B246" t="str">
            <v>GF ROUND - 8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</row>
        <row r="247">
          <cell r="A247" t="str">
            <v>VSC</v>
          </cell>
          <cell r="B247" t="str">
            <v>GF ROUND - 9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</row>
        <row r="248">
          <cell r="A248" t="str">
            <v>VSC</v>
          </cell>
          <cell r="B248" t="str">
            <v>PACKARD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</row>
        <row r="249">
          <cell r="A249" t="str">
            <v>VSC</v>
          </cell>
          <cell r="B249" t="str">
            <v>PI- GSM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</row>
        <row r="250">
          <cell r="A250" t="str">
            <v>VSC</v>
          </cell>
          <cell r="B250" t="str">
            <v>NEW DONOR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</row>
        <row r="251">
          <cell r="A251" t="str">
            <v>VSC</v>
          </cell>
          <cell r="B251" t="str">
            <v>Donor 10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</row>
        <row r="252">
          <cell r="A252" t="str">
            <v>Product 26</v>
          </cell>
          <cell r="B252" t="str">
            <v>LAD III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</row>
        <row r="253">
          <cell r="A253" t="str">
            <v>Product 26</v>
          </cell>
          <cell r="B253" t="str">
            <v>KFW- 12.0M Euro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</row>
        <row r="254">
          <cell r="A254" t="str">
            <v>Product 26</v>
          </cell>
          <cell r="B254" t="str">
            <v>DFID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</row>
        <row r="255">
          <cell r="A255" t="str">
            <v>Product 26</v>
          </cell>
          <cell r="B255" t="str">
            <v>USAID     SIFPO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</row>
        <row r="256">
          <cell r="A256" t="str">
            <v>Product 26</v>
          </cell>
          <cell r="B256" t="str">
            <v>GF ROUND - 8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</row>
        <row r="257">
          <cell r="A257" t="str">
            <v>Product 26</v>
          </cell>
          <cell r="B257" t="str">
            <v>GF ROUND - 9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</row>
        <row r="258">
          <cell r="A258" t="str">
            <v>Product 26</v>
          </cell>
          <cell r="B258" t="str">
            <v>PACKARD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</row>
        <row r="259">
          <cell r="A259" t="str">
            <v>Product 26</v>
          </cell>
          <cell r="B259" t="str">
            <v>PI- GSM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</row>
        <row r="260">
          <cell r="A260" t="str">
            <v>Product 26</v>
          </cell>
          <cell r="B260" t="str">
            <v>NEW DONOR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</row>
        <row r="261">
          <cell r="A261" t="str">
            <v>Product 26</v>
          </cell>
          <cell r="B261" t="str">
            <v>Donor 10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</row>
        <row r="262">
          <cell r="A262" t="str">
            <v>Product 27</v>
          </cell>
          <cell r="B262" t="str">
            <v>LAD III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</row>
        <row r="263">
          <cell r="A263" t="str">
            <v>Product 27</v>
          </cell>
          <cell r="B263" t="str">
            <v>KFW- 12.0M Euro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</row>
        <row r="264">
          <cell r="A264" t="str">
            <v>Product 27</v>
          </cell>
          <cell r="B264" t="str">
            <v>DFID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</row>
        <row r="265">
          <cell r="A265" t="str">
            <v>Product 27</v>
          </cell>
          <cell r="B265" t="str">
            <v>USAID     SIFPO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</row>
        <row r="266">
          <cell r="A266" t="str">
            <v>Product 27</v>
          </cell>
          <cell r="B266" t="str">
            <v>GF ROUND - 8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</row>
        <row r="267">
          <cell r="A267" t="str">
            <v>Product 27</v>
          </cell>
          <cell r="B267" t="str">
            <v>GF ROUND - 9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</row>
        <row r="268">
          <cell r="A268" t="str">
            <v>Product 27</v>
          </cell>
          <cell r="B268" t="str">
            <v>PACKARD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</row>
        <row r="269">
          <cell r="A269" t="str">
            <v>Product 27</v>
          </cell>
          <cell r="B269" t="str">
            <v>PI- GSM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</row>
        <row r="270">
          <cell r="A270" t="str">
            <v>Product 27</v>
          </cell>
          <cell r="B270" t="str">
            <v>NEW DONOR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</row>
        <row r="271">
          <cell r="A271" t="str">
            <v>Product 27</v>
          </cell>
          <cell r="B271" t="str">
            <v>Donor 10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</row>
        <row r="272">
          <cell r="A272" t="str">
            <v>Product 28</v>
          </cell>
          <cell r="B272" t="str">
            <v>LAD III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</row>
        <row r="273">
          <cell r="A273" t="str">
            <v>Product 28</v>
          </cell>
          <cell r="B273" t="str">
            <v>KFW- 12.0M Euro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</row>
        <row r="274">
          <cell r="A274" t="str">
            <v>Product 28</v>
          </cell>
          <cell r="B274" t="str">
            <v>DFID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</row>
        <row r="275">
          <cell r="A275" t="str">
            <v>Product 28</v>
          </cell>
          <cell r="B275" t="str">
            <v>USAID     SIFPO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</row>
        <row r="276">
          <cell r="A276" t="str">
            <v>Product 28</v>
          </cell>
          <cell r="B276" t="str">
            <v>GF ROUND - 8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</row>
        <row r="277">
          <cell r="A277" t="str">
            <v>Product 28</v>
          </cell>
          <cell r="B277" t="str">
            <v>GF ROUND - 9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</row>
        <row r="278">
          <cell r="A278" t="str">
            <v>Product 28</v>
          </cell>
          <cell r="B278" t="str">
            <v>PACKARD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</row>
        <row r="279">
          <cell r="A279" t="str">
            <v>Product 28</v>
          </cell>
          <cell r="B279" t="str">
            <v>PI- GSM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</row>
        <row r="280">
          <cell r="A280" t="str">
            <v>Product 28</v>
          </cell>
          <cell r="B280" t="str">
            <v>NEW DONOR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</row>
        <row r="281">
          <cell r="A281" t="str">
            <v>Product 28</v>
          </cell>
          <cell r="B281" t="str">
            <v>Donor 10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</row>
        <row r="282">
          <cell r="A282" t="str">
            <v>Product 29</v>
          </cell>
          <cell r="B282" t="str">
            <v>LAD III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</row>
        <row r="283">
          <cell r="A283" t="str">
            <v>Product 29</v>
          </cell>
          <cell r="B283" t="str">
            <v>KFW- 12.0M Euro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</row>
        <row r="284">
          <cell r="A284" t="str">
            <v>Product 29</v>
          </cell>
          <cell r="B284" t="str">
            <v>DFID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</row>
        <row r="285">
          <cell r="A285" t="str">
            <v>Product 29</v>
          </cell>
          <cell r="B285" t="str">
            <v>USAID     SIFPO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</row>
        <row r="286">
          <cell r="A286" t="str">
            <v>Product 29</v>
          </cell>
          <cell r="B286" t="str">
            <v>GF ROUND - 8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</row>
        <row r="287">
          <cell r="A287" t="str">
            <v>Product 29</v>
          </cell>
          <cell r="B287" t="str">
            <v>GF ROUND - 9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</row>
        <row r="288">
          <cell r="A288" t="str">
            <v>Product 29</v>
          </cell>
          <cell r="B288" t="str">
            <v>PACKARD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</row>
        <row r="289">
          <cell r="A289" t="str">
            <v>Product 29</v>
          </cell>
          <cell r="B289" t="str">
            <v>PI- GSM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</row>
        <row r="290">
          <cell r="A290" t="str">
            <v>Product 29</v>
          </cell>
          <cell r="B290" t="str">
            <v>NEW DONOR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</row>
        <row r="291">
          <cell r="A291" t="str">
            <v>Product 29</v>
          </cell>
          <cell r="B291" t="str">
            <v>Donor 10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</row>
        <row r="292">
          <cell r="A292" t="str">
            <v>Product 30</v>
          </cell>
          <cell r="B292" t="str">
            <v>LAD III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</row>
        <row r="293">
          <cell r="A293" t="str">
            <v>Product 30</v>
          </cell>
          <cell r="B293" t="str">
            <v>KFW- 12.0M Euro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</row>
        <row r="294">
          <cell r="A294" t="str">
            <v>Product 30</v>
          </cell>
          <cell r="B294" t="str">
            <v>DFID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</row>
        <row r="295">
          <cell r="A295" t="str">
            <v>Product 30</v>
          </cell>
          <cell r="B295" t="str">
            <v>USAID     SIFPO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</row>
        <row r="296">
          <cell r="A296" t="str">
            <v>Product 30</v>
          </cell>
          <cell r="B296" t="str">
            <v>GF ROUND - 8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</row>
        <row r="297">
          <cell r="A297" t="str">
            <v>Product 30</v>
          </cell>
          <cell r="B297" t="str">
            <v>GF ROUND - 9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</row>
        <row r="298">
          <cell r="A298" t="str">
            <v>Product 30</v>
          </cell>
          <cell r="B298" t="str">
            <v>PACKARD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</row>
        <row r="299">
          <cell r="A299" t="str">
            <v>Product 30</v>
          </cell>
          <cell r="B299" t="str">
            <v>PI- GSM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</row>
        <row r="300">
          <cell r="A300" t="str">
            <v>Product 30</v>
          </cell>
          <cell r="B300" t="str">
            <v>NEW DONOR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</row>
        <row r="301">
          <cell r="A301" t="str">
            <v>Product 30</v>
          </cell>
          <cell r="B301" t="str">
            <v>Donor 10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</row>
        <row r="302">
          <cell r="AM302">
            <v>0</v>
          </cell>
        </row>
      </sheetData>
      <sheetData sheetId="12" refreshError="1"/>
      <sheetData sheetId="13">
        <row r="1">
          <cell r="A1" t="str">
            <v>SUB ACCOUNT</v>
          </cell>
          <cell r="B1" t="str">
            <v>PROJECT</v>
          </cell>
          <cell r="C1">
            <v>41821</v>
          </cell>
          <cell r="D1">
            <v>41852</v>
          </cell>
          <cell r="E1">
            <v>41883</v>
          </cell>
          <cell r="F1">
            <v>41914</v>
          </cell>
          <cell r="G1">
            <v>41945</v>
          </cell>
          <cell r="H1">
            <v>41976</v>
          </cell>
          <cell r="I1">
            <v>42007</v>
          </cell>
          <cell r="J1">
            <v>42038</v>
          </cell>
          <cell r="K1">
            <v>42069</v>
          </cell>
          <cell r="L1">
            <v>42100</v>
          </cell>
          <cell r="M1">
            <v>42131</v>
          </cell>
          <cell r="N1">
            <v>42162</v>
          </cell>
          <cell r="O1">
            <v>42193</v>
          </cell>
          <cell r="P1">
            <v>42224</v>
          </cell>
          <cell r="Q1">
            <v>42255</v>
          </cell>
          <cell r="R1">
            <v>42286</v>
          </cell>
          <cell r="S1">
            <v>42317</v>
          </cell>
          <cell r="T1">
            <v>42348</v>
          </cell>
          <cell r="U1">
            <v>42379</v>
          </cell>
          <cell r="V1">
            <v>42410</v>
          </cell>
          <cell r="W1">
            <v>42441</v>
          </cell>
          <cell r="X1">
            <v>42472</v>
          </cell>
          <cell r="Y1">
            <v>42503</v>
          </cell>
          <cell r="Z1">
            <v>42534</v>
          </cell>
          <cell r="AA1">
            <v>42565</v>
          </cell>
          <cell r="AB1">
            <v>42596</v>
          </cell>
          <cell r="AC1">
            <v>42627</v>
          </cell>
          <cell r="AD1">
            <v>42658</v>
          </cell>
          <cell r="AE1">
            <v>42689</v>
          </cell>
          <cell r="AF1">
            <v>42720</v>
          </cell>
          <cell r="AG1">
            <v>42751</v>
          </cell>
          <cell r="AH1">
            <v>42782</v>
          </cell>
          <cell r="AI1">
            <v>42813</v>
          </cell>
          <cell r="AJ1">
            <v>42844</v>
          </cell>
          <cell r="AK1">
            <v>42875</v>
          </cell>
          <cell r="AL1">
            <v>42906</v>
          </cell>
          <cell r="AM1" t="str">
            <v>BUDGET YEAR 1</v>
          </cell>
        </row>
        <row r="2">
          <cell r="A2" t="str">
            <v>SATHI 3S</v>
          </cell>
          <cell r="B2" t="str">
            <v>LAD III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</row>
        <row r="3">
          <cell r="A3" t="str">
            <v>SATHI 3S</v>
          </cell>
          <cell r="B3" t="str">
            <v>KFW- 12.0M Euro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</row>
        <row r="4">
          <cell r="A4" t="str">
            <v>SATHI 3S</v>
          </cell>
          <cell r="B4" t="str">
            <v>DFID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</row>
        <row r="5">
          <cell r="A5" t="str">
            <v>SATHI 3S</v>
          </cell>
          <cell r="B5" t="str">
            <v>USAID     SIFPO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</row>
        <row r="6">
          <cell r="A6" t="str">
            <v>SATHI 3S</v>
          </cell>
          <cell r="B6" t="str">
            <v>GF ROUND - 8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</row>
        <row r="7">
          <cell r="A7" t="str">
            <v>SATHI 3S</v>
          </cell>
          <cell r="B7" t="str">
            <v>GF ROUND - 9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</row>
        <row r="8">
          <cell r="A8" t="str">
            <v>SATHI 3S</v>
          </cell>
          <cell r="B8" t="str">
            <v>PACKARD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</row>
        <row r="9">
          <cell r="A9" t="str">
            <v>SATHI 3S</v>
          </cell>
          <cell r="B9" t="str">
            <v>PI- GSM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</row>
        <row r="10">
          <cell r="A10" t="str">
            <v>SATHI 3S</v>
          </cell>
          <cell r="B10" t="str">
            <v>NEW DONOR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</row>
        <row r="11">
          <cell r="A11" t="str">
            <v>SATHI 3S</v>
          </cell>
          <cell r="B11" t="str">
            <v>Donor 10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</row>
        <row r="12">
          <cell r="A12" t="str">
            <v>Sathi 6s</v>
          </cell>
          <cell r="B12" t="str">
            <v>LAD III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</row>
        <row r="13">
          <cell r="A13" t="str">
            <v>Sathi 6s</v>
          </cell>
          <cell r="B13" t="str">
            <v>KFW- 12.0M Euro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</row>
        <row r="14">
          <cell r="A14" t="str">
            <v>Sathi 6s</v>
          </cell>
          <cell r="B14" t="str">
            <v>DFID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</row>
        <row r="15">
          <cell r="A15" t="str">
            <v>Sathi 6s</v>
          </cell>
          <cell r="B15" t="str">
            <v>USAID     SIFPO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</row>
        <row r="16">
          <cell r="A16" t="str">
            <v>Sathi 6s</v>
          </cell>
          <cell r="B16" t="str">
            <v>GF ROUND - 8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</row>
        <row r="17">
          <cell r="A17" t="str">
            <v>Sathi 6s</v>
          </cell>
          <cell r="B17" t="str">
            <v>GF ROUND - 9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</row>
        <row r="18">
          <cell r="A18" t="str">
            <v>Sathi 6s</v>
          </cell>
          <cell r="B18" t="str">
            <v>PACKARD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</row>
        <row r="19">
          <cell r="A19" t="str">
            <v>Sathi 6s</v>
          </cell>
          <cell r="B19" t="str">
            <v>PI- GSM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</row>
        <row r="20">
          <cell r="A20" t="str">
            <v>Sathi 6s</v>
          </cell>
          <cell r="B20" t="str">
            <v>NEW DONOR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</row>
        <row r="21">
          <cell r="A21" t="str">
            <v>Sathi 6s</v>
          </cell>
          <cell r="B21" t="str">
            <v>Donor 10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</row>
        <row r="22">
          <cell r="A22" t="str">
            <v>TOUCH 3S (Classic and Ribbed)</v>
          </cell>
          <cell r="B22" t="str">
            <v>LAD III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</row>
        <row r="23">
          <cell r="A23" t="str">
            <v>TOUCH 3S (Classic and Ribbed)</v>
          </cell>
          <cell r="B23" t="str">
            <v>KFW- 12.0M Euro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</row>
        <row r="24">
          <cell r="A24" t="str">
            <v>TOUCH 3S (Classic and Ribbed)</v>
          </cell>
          <cell r="B24" t="str">
            <v>DFID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</row>
        <row r="25">
          <cell r="A25" t="str">
            <v>TOUCH 3S (Classic and Ribbed)</v>
          </cell>
          <cell r="B25" t="str">
            <v>USAID     SIFPO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</row>
        <row r="26">
          <cell r="A26" t="str">
            <v>TOUCH 3S (Classic and Ribbed)</v>
          </cell>
          <cell r="B26" t="str">
            <v>GF ROUND - 8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</row>
        <row r="27">
          <cell r="A27" t="str">
            <v>TOUCH 3S (Classic and Ribbed)</v>
          </cell>
          <cell r="B27" t="str">
            <v>GF ROUND - 9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</row>
        <row r="28">
          <cell r="A28" t="str">
            <v>TOUCH 3S (Classic and Ribbed)</v>
          </cell>
          <cell r="B28" t="str">
            <v>PACKARD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</row>
        <row r="29">
          <cell r="A29" t="str">
            <v>TOUCH 3S (Classic and Ribbed)</v>
          </cell>
          <cell r="B29" t="str">
            <v>PI- GSM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</row>
        <row r="30">
          <cell r="A30" t="str">
            <v>TOUCH 3S (Classic and Ribbed)</v>
          </cell>
          <cell r="B30" t="str">
            <v>NEW DONOR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</row>
        <row r="31">
          <cell r="A31" t="str">
            <v>TOUCH 3S (Classic and Ribbed)</v>
          </cell>
          <cell r="B31" t="str">
            <v>Donor 10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</row>
        <row r="32">
          <cell r="A32" t="str">
            <v>TOUCH 6S (Classic and Ribbed)</v>
          </cell>
          <cell r="B32" t="str">
            <v>LAD III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</row>
        <row r="33">
          <cell r="A33" t="str">
            <v>TOUCH 6S (Classic and Ribbed)</v>
          </cell>
          <cell r="B33" t="str">
            <v>KFW- 12.0M Euro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</row>
        <row r="34">
          <cell r="A34" t="str">
            <v>TOUCH 6S (Classic and Ribbed)</v>
          </cell>
          <cell r="B34" t="str">
            <v>DFID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</row>
        <row r="35">
          <cell r="A35" t="str">
            <v>TOUCH 6S (Classic and Ribbed)</v>
          </cell>
          <cell r="B35" t="str">
            <v>USAID     SIFPO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</row>
        <row r="36">
          <cell r="A36" t="str">
            <v>TOUCH 6S (Classic and Ribbed)</v>
          </cell>
          <cell r="B36" t="str">
            <v>GF ROUND - 8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</row>
        <row r="37">
          <cell r="A37" t="str">
            <v>TOUCH 6S (Classic and Ribbed)</v>
          </cell>
          <cell r="B37" t="str">
            <v>GF ROUND - 9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</row>
        <row r="38">
          <cell r="A38" t="str">
            <v>TOUCH 6S (Classic and Ribbed)</v>
          </cell>
          <cell r="B38" t="str">
            <v>PACKARD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</row>
        <row r="39">
          <cell r="A39" t="str">
            <v>TOUCH 6S (Classic and Ribbed)</v>
          </cell>
          <cell r="B39" t="str">
            <v>PI- GSM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</row>
        <row r="40">
          <cell r="A40" t="str">
            <v>TOUCH 6S (Classic and Ribbed)</v>
          </cell>
          <cell r="B40" t="str">
            <v>NEW DONOR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</row>
        <row r="41">
          <cell r="A41" t="str">
            <v>TOUCH 6S (Classic and Ribbed)</v>
          </cell>
          <cell r="B41" t="str">
            <v>Donor 10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</row>
        <row r="42">
          <cell r="A42" t="str">
            <v>TOUCH 3s (Dotted)</v>
          </cell>
          <cell r="B42" t="str">
            <v>LAD III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</row>
        <row r="43">
          <cell r="A43" t="str">
            <v>TOUCH 3s (Dotted)</v>
          </cell>
          <cell r="B43" t="str">
            <v>KFW- 12.0M Euro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</row>
        <row r="44">
          <cell r="A44" t="str">
            <v>TOUCH 3s (Dotted)</v>
          </cell>
          <cell r="B44" t="str">
            <v>DFID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</row>
        <row r="45">
          <cell r="A45" t="str">
            <v>TOUCH 3s (Dotted)</v>
          </cell>
          <cell r="B45" t="str">
            <v>USAID     SIFPO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</row>
        <row r="46">
          <cell r="A46" t="str">
            <v>TOUCH 3s (Dotted)</v>
          </cell>
          <cell r="B46" t="str">
            <v>GF ROUND - 8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</row>
        <row r="47">
          <cell r="A47" t="str">
            <v>TOUCH 3s (Dotted)</v>
          </cell>
          <cell r="B47" t="str">
            <v>GF ROUND - 9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</row>
        <row r="48">
          <cell r="A48" t="str">
            <v>TOUCH 3s (Dotted)</v>
          </cell>
          <cell r="B48" t="str">
            <v>PACKARD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</row>
        <row r="49">
          <cell r="A49" t="str">
            <v>TOUCH 3s (Dotted)</v>
          </cell>
          <cell r="B49" t="str">
            <v>PI- GSM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</row>
        <row r="50">
          <cell r="A50" t="str">
            <v>TOUCH 3s (Dotted)</v>
          </cell>
          <cell r="B50" t="str">
            <v>NEW DONOR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</row>
        <row r="51">
          <cell r="A51" t="str">
            <v>TOUCH 3s (Dotted)</v>
          </cell>
          <cell r="B51" t="str">
            <v>Donor 10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</row>
        <row r="52">
          <cell r="A52" t="str">
            <v>TOUCH 6s (Dotted)</v>
          </cell>
          <cell r="B52" t="str">
            <v>LAD III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</row>
        <row r="53">
          <cell r="A53" t="str">
            <v>TOUCH 6s (Dotted)</v>
          </cell>
          <cell r="B53" t="str">
            <v>KFW- 12.0M Euro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</row>
        <row r="54">
          <cell r="A54" t="str">
            <v>TOUCH 6s (Dotted)</v>
          </cell>
          <cell r="B54" t="str">
            <v>DFID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</row>
        <row r="55">
          <cell r="A55" t="str">
            <v>TOUCH 6s (Dotted)</v>
          </cell>
          <cell r="B55" t="str">
            <v>USAID     SIFPO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</row>
        <row r="56">
          <cell r="A56" t="str">
            <v>TOUCH 6s (Dotted)</v>
          </cell>
          <cell r="B56" t="str">
            <v>GF ROUND - 8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</row>
        <row r="57">
          <cell r="A57" t="str">
            <v>TOUCH 6s (Dotted)</v>
          </cell>
          <cell r="B57" t="str">
            <v>GF ROUND - 9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</row>
        <row r="58">
          <cell r="A58" t="str">
            <v>TOUCH 6s (Dotted)</v>
          </cell>
          <cell r="B58" t="str">
            <v>PACKARD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</row>
        <row r="59">
          <cell r="A59" t="str">
            <v>TOUCH 6s (Dotted)</v>
          </cell>
          <cell r="B59" t="str">
            <v>PI- GSM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</row>
        <row r="60">
          <cell r="A60" t="str">
            <v>TOUCH 6s (Dotted)</v>
          </cell>
          <cell r="B60" t="str">
            <v>NEW DONOR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</row>
        <row r="61">
          <cell r="A61" t="str">
            <v>TOUCH 6s (Dotted)</v>
          </cell>
          <cell r="B61" t="str">
            <v>Donor 10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</row>
        <row r="62">
          <cell r="A62" t="str">
            <v>Nova</v>
          </cell>
          <cell r="B62" t="str">
            <v>LAD III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</row>
        <row r="63">
          <cell r="A63" t="str">
            <v>Nova</v>
          </cell>
          <cell r="B63" t="str">
            <v>KFW- 12.0M Euro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</row>
        <row r="64">
          <cell r="A64" t="str">
            <v>Nova</v>
          </cell>
          <cell r="B64" t="str">
            <v>DFID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</row>
        <row r="65">
          <cell r="A65" t="str">
            <v>Nova</v>
          </cell>
          <cell r="B65" t="str">
            <v>USAID     SIFPO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</row>
        <row r="66">
          <cell r="A66" t="str">
            <v>Nova</v>
          </cell>
          <cell r="B66" t="str">
            <v>GF ROUND - 8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</row>
        <row r="67">
          <cell r="A67" t="str">
            <v>Nova</v>
          </cell>
          <cell r="B67" t="str">
            <v>GF ROUND - 9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</row>
        <row r="68">
          <cell r="A68" t="str">
            <v>Nova</v>
          </cell>
          <cell r="B68" t="str">
            <v>PACKARD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</row>
        <row r="69">
          <cell r="A69" t="str">
            <v>Nova</v>
          </cell>
          <cell r="B69" t="str">
            <v>PI- GSM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</row>
        <row r="70">
          <cell r="A70" t="str">
            <v>Nova</v>
          </cell>
          <cell r="B70" t="str">
            <v>NEW DONOR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</row>
        <row r="71">
          <cell r="A71" t="str">
            <v>Nova</v>
          </cell>
          <cell r="B71" t="str">
            <v>Donor 10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</row>
        <row r="72">
          <cell r="A72" t="str">
            <v>NOVODOL</v>
          </cell>
          <cell r="B72" t="str">
            <v>LAD III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</row>
        <row r="73">
          <cell r="A73" t="str">
            <v>NOVODOL</v>
          </cell>
          <cell r="B73" t="str">
            <v>KFW- 12.0M Euro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</row>
        <row r="74">
          <cell r="A74" t="str">
            <v>NOVODOL</v>
          </cell>
          <cell r="B74" t="str">
            <v>DFID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</row>
        <row r="75">
          <cell r="A75" t="str">
            <v>NOVODOL</v>
          </cell>
          <cell r="B75" t="str">
            <v>USAID     SIFPO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</row>
        <row r="76">
          <cell r="A76" t="str">
            <v>NOVODOL</v>
          </cell>
          <cell r="B76" t="str">
            <v>GF ROUND - 8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</row>
        <row r="77">
          <cell r="A77" t="str">
            <v>NOVODOL</v>
          </cell>
          <cell r="B77" t="str">
            <v>GF ROUND - 9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</row>
        <row r="78">
          <cell r="A78" t="str">
            <v>NOVODOL</v>
          </cell>
          <cell r="B78" t="str">
            <v>PACKARD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</row>
        <row r="79">
          <cell r="A79" t="str">
            <v>NOVODOL</v>
          </cell>
          <cell r="B79" t="str">
            <v>PI- GSM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</row>
        <row r="80">
          <cell r="A80" t="str">
            <v>NOVODOL</v>
          </cell>
          <cell r="B80" t="str">
            <v>NEW DONOR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</row>
        <row r="81">
          <cell r="A81" t="str">
            <v>NOVODOL</v>
          </cell>
          <cell r="B81" t="str">
            <v>Donor 10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</row>
        <row r="82">
          <cell r="A82" t="str">
            <v>ECP</v>
          </cell>
          <cell r="B82" t="str">
            <v>LAD III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</row>
        <row r="83">
          <cell r="A83" t="str">
            <v>ECP</v>
          </cell>
          <cell r="B83" t="str">
            <v>KFW- 12.0M Euro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</row>
        <row r="84">
          <cell r="A84" t="str">
            <v>ECP</v>
          </cell>
          <cell r="B84" t="str">
            <v>DFID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</row>
        <row r="85">
          <cell r="A85" t="str">
            <v>ECP</v>
          </cell>
          <cell r="B85" t="str">
            <v>USAID     SIFPO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</row>
        <row r="86">
          <cell r="A86" t="str">
            <v>ECP</v>
          </cell>
          <cell r="B86" t="str">
            <v>GF ROUND - 8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</row>
        <row r="87">
          <cell r="A87" t="str">
            <v>ECP</v>
          </cell>
          <cell r="B87" t="str">
            <v>GF ROUND - 9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</row>
        <row r="88">
          <cell r="A88" t="str">
            <v>ECP</v>
          </cell>
          <cell r="B88" t="str">
            <v>PACKARD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</row>
        <row r="89">
          <cell r="A89" t="str">
            <v>ECP</v>
          </cell>
          <cell r="B89" t="str">
            <v>PI- GSM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</row>
        <row r="90">
          <cell r="A90" t="str">
            <v>ECP</v>
          </cell>
          <cell r="B90" t="str">
            <v>NEW DONOR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</row>
        <row r="91">
          <cell r="A91" t="str">
            <v>ECP</v>
          </cell>
          <cell r="B91" t="str">
            <v>Donor 10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</row>
        <row r="92">
          <cell r="A92" t="str">
            <v>NOVAJECT</v>
          </cell>
          <cell r="B92" t="str">
            <v>LAD III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</row>
        <row r="93">
          <cell r="A93" t="str">
            <v>NOVAJECT</v>
          </cell>
          <cell r="B93" t="str">
            <v>KFW- 12.0M Euro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</row>
        <row r="94">
          <cell r="A94" t="str">
            <v>NOVAJECT</v>
          </cell>
          <cell r="B94" t="str">
            <v>DFID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</row>
        <row r="95">
          <cell r="A95" t="str">
            <v>NOVAJECT</v>
          </cell>
          <cell r="B95" t="str">
            <v>USAID     SIFPO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</row>
        <row r="96">
          <cell r="A96" t="str">
            <v>NOVAJECT</v>
          </cell>
          <cell r="B96" t="str">
            <v>GF ROUND - 8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</row>
        <row r="97">
          <cell r="A97" t="str">
            <v>NOVAJECT</v>
          </cell>
          <cell r="B97" t="str">
            <v>GF ROUND - 9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</row>
        <row r="98">
          <cell r="A98" t="str">
            <v>NOVAJECT</v>
          </cell>
          <cell r="B98" t="str">
            <v>PACKARD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</row>
        <row r="99">
          <cell r="A99" t="str">
            <v>NOVAJECT</v>
          </cell>
          <cell r="B99" t="str">
            <v>PI- GSM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</row>
        <row r="100">
          <cell r="A100" t="str">
            <v>NOVAJECT</v>
          </cell>
          <cell r="B100" t="str">
            <v>NEW DONOR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</row>
        <row r="101">
          <cell r="A101" t="str">
            <v>NOVAJECT</v>
          </cell>
          <cell r="B101" t="str">
            <v>Donor 10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</row>
        <row r="102">
          <cell r="A102" t="str">
            <v>FEMIJECT</v>
          </cell>
          <cell r="B102" t="str">
            <v>LAD III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</row>
        <row r="103">
          <cell r="A103" t="str">
            <v>FEMIJECT</v>
          </cell>
          <cell r="B103" t="str">
            <v>KFW- 12.0M Euro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</row>
        <row r="104">
          <cell r="A104" t="str">
            <v>FEMIJECT</v>
          </cell>
          <cell r="B104" t="str">
            <v>DFID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</row>
        <row r="105">
          <cell r="A105" t="str">
            <v>FEMIJECT</v>
          </cell>
          <cell r="B105" t="str">
            <v>USAID     SIFPO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</row>
        <row r="106">
          <cell r="A106" t="str">
            <v>FEMIJECT</v>
          </cell>
          <cell r="B106" t="str">
            <v>GF ROUND - 8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</row>
        <row r="107">
          <cell r="A107" t="str">
            <v>FEMIJECT</v>
          </cell>
          <cell r="B107" t="str">
            <v>GF ROUND - 9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</row>
        <row r="108">
          <cell r="A108" t="str">
            <v>FEMIJECT</v>
          </cell>
          <cell r="B108" t="str">
            <v>PACKARD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</row>
        <row r="109">
          <cell r="A109" t="str">
            <v>FEMIJECT</v>
          </cell>
          <cell r="B109" t="str">
            <v>PI- GSM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</row>
        <row r="110">
          <cell r="A110" t="str">
            <v>FEMIJECT</v>
          </cell>
          <cell r="B110" t="str">
            <v>NEW DONOR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</row>
        <row r="111">
          <cell r="A111" t="str">
            <v>FEMIJECT</v>
          </cell>
          <cell r="B111" t="str">
            <v>Donor 10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</row>
        <row r="112">
          <cell r="A112" t="str">
            <v>DEPO PROVERA</v>
          </cell>
          <cell r="B112" t="str">
            <v>LAD III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</row>
        <row r="113">
          <cell r="A113" t="str">
            <v>DEPO PROVERA</v>
          </cell>
          <cell r="B113" t="str">
            <v>KFW- 12.0M Euro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</row>
        <row r="114">
          <cell r="A114" t="str">
            <v>DEPO PROVERA</v>
          </cell>
          <cell r="B114" t="str">
            <v>DFID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</row>
        <row r="115">
          <cell r="A115" t="str">
            <v>DEPO PROVERA</v>
          </cell>
          <cell r="B115" t="str">
            <v>USAID     SIFPO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</row>
        <row r="116">
          <cell r="A116" t="str">
            <v>DEPO PROVERA</v>
          </cell>
          <cell r="B116" t="str">
            <v>GF ROUND - 8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</row>
        <row r="117">
          <cell r="A117" t="str">
            <v>DEPO PROVERA</v>
          </cell>
          <cell r="B117" t="str">
            <v>GF ROUND - 9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</row>
        <row r="118">
          <cell r="A118" t="str">
            <v>DEPO PROVERA</v>
          </cell>
          <cell r="B118" t="str">
            <v>PACKARD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</row>
        <row r="119">
          <cell r="A119" t="str">
            <v>DEPO PROVERA</v>
          </cell>
          <cell r="B119" t="str">
            <v>PI- GSM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</row>
        <row r="120">
          <cell r="A120" t="str">
            <v>DEPO PROVERA</v>
          </cell>
          <cell r="B120" t="str">
            <v>NEW DONOR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</row>
        <row r="121">
          <cell r="A121" t="str">
            <v>DEPO PROVERA</v>
          </cell>
          <cell r="B121" t="str">
            <v>Donor 10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</row>
        <row r="122">
          <cell r="A122" t="str">
            <v>MULTILOAD</v>
          </cell>
          <cell r="B122" t="str">
            <v>LAD III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</row>
        <row r="123">
          <cell r="A123" t="str">
            <v>MULTILOAD</v>
          </cell>
          <cell r="B123" t="str">
            <v>KFW- 12.0M Euro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</row>
        <row r="124">
          <cell r="A124" t="str">
            <v>MULTILOAD</v>
          </cell>
          <cell r="B124" t="str">
            <v>DFID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</row>
        <row r="125">
          <cell r="A125" t="str">
            <v>MULTILOAD</v>
          </cell>
          <cell r="B125" t="str">
            <v>USAID     SIFPO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</row>
        <row r="126">
          <cell r="A126" t="str">
            <v>MULTILOAD</v>
          </cell>
          <cell r="B126" t="str">
            <v>GF ROUND - 8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</row>
        <row r="127">
          <cell r="A127" t="str">
            <v>MULTILOAD</v>
          </cell>
          <cell r="B127" t="str">
            <v>GF ROUND - 9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</row>
        <row r="128">
          <cell r="A128" t="str">
            <v>MULTILOAD</v>
          </cell>
          <cell r="B128" t="str">
            <v>PACKARD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</row>
        <row r="129">
          <cell r="A129" t="str">
            <v>MULTILOAD</v>
          </cell>
          <cell r="B129" t="str">
            <v>PI- GSM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</row>
        <row r="130">
          <cell r="A130" t="str">
            <v>MULTILOAD</v>
          </cell>
          <cell r="B130" t="str">
            <v>NEW DONOR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</row>
        <row r="131">
          <cell r="A131" t="str">
            <v>MULTILOAD</v>
          </cell>
          <cell r="B131" t="str">
            <v>Donor 10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</row>
        <row r="132">
          <cell r="A132" t="str">
            <v>SAFELOAD</v>
          </cell>
          <cell r="B132" t="str">
            <v>LAD III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</row>
        <row r="133">
          <cell r="A133" t="str">
            <v>SAFELOAD</v>
          </cell>
          <cell r="B133" t="str">
            <v>KFW- 12.0M Euro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</row>
        <row r="134">
          <cell r="A134" t="str">
            <v>SAFELOAD</v>
          </cell>
          <cell r="B134" t="str">
            <v>DFID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</row>
        <row r="135">
          <cell r="A135" t="str">
            <v>SAFELOAD</v>
          </cell>
          <cell r="B135" t="str">
            <v>USAID     SIFPO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</row>
        <row r="136">
          <cell r="A136" t="str">
            <v>SAFELOAD</v>
          </cell>
          <cell r="B136" t="str">
            <v>GF ROUND - 8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</row>
        <row r="137">
          <cell r="A137" t="str">
            <v>SAFELOAD</v>
          </cell>
          <cell r="B137" t="str">
            <v>GF ROUND - 9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</row>
        <row r="138">
          <cell r="A138" t="str">
            <v>SAFELOAD</v>
          </cell>
          <cell r="B138" t="str">
            <v>PACKARD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</row>
        <row r="139">
          <cell r="A139" t="str">
            <v>SAFELOAD</v>
          </cell>
          <cell r="B139" t="str">
            <v>PI- GSM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</row>
        <row r="140">
          <cell r="A140" t="str">
            <v>SAFELOAD</v>
          </cell>
          <cell r="B140" t="str">
            <v>NEW DONOR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</row>
        <row r="141">
          <cell r="A141" t="str">
            <v>SAFELOAD</v>
          </cell>
          <cell r="B141" t="str">
            <v>Donor 10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</row>
        <row r="142">
          <cell r="A142" t="str">
            <v>Famiplant</v>
          </cell>
          <cell r="B142" t="str">
            <v>LAD III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</row>
        <row r="143">
          <cell r="A143" t="str">
            <v>Famiplant</v>
          </cell>
          <cell r="B143" t="str">
            <v>KFW- 12.0M Euro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</row>
        <row r="144">
          <cell r="A144" t="str">
            <v>Famiplant</v>
          </cell>
          <cell r="B144" t="str">
            <v>DFID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</row>
        <row r="145">
          <cell r="A145" t="str">
            <v>Famiplant</v>
          </cell>
          <cell r="B145" t="str">
            <v>USAID     SIFPO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</row>
        <row r="146">
          <cell r="A146" t="str">
            <v>Famiplant</v>
          </cell>
          <cell r="B146" t="str">
            <v>GF ROUND - 8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</row>
        <row r="147">
          <cell r="A147" t="str">
            <v>Famiplant</v>
          </cell>
          <cell r="B147" t="str">
            <v>GF ROUND - 9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</row>
        <row r="148">
          <cell r="A148" t="str">
            <v>Famiplant</v>
          </cell>
          <cell r="B148" t="str">
            <v>PACKARD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</row>
        <row r="149">
          <cell r="A149" t="str">
            <v>Famiplant</v>
          </cell>
          <cell r="B149" t="str">
            <v>PI- GSM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</row>
        <row r="150">
          <cell r="A150" t="str">
            <v>Famiplant</v>
          </cell>
          <cell r="B150" t="str">
            <v>NEW DONOR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</row>
        <row r="151">
          <cell r="A151" t="str">
            <v>Famiplant</v>
          </cell>
          <cell r="B151" t="str">
            <v>Donor 10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</row>
        <row r="152">
          <cell r="A152" t="str">
            <v>Jadelle</v>
          </cell>
          <cell r="B152" t="str">
            <v>LAD III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</row>
        <row r="153">
          <cell r="A153" t="str">
            <v>Jadelle</v>
          </cell>
          <cell r="B153" t="str">
            <v>KFW- 12.0M Euro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</row>
        <row r="154">
          <cell r="A154" t="str">
            <v>Jadelle</v>
          </cell>
          <cell r="B154" t="str">
            <v>DFID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</row>
        <row r="155">
          <cell r="A155" t="str">
            <v>Jadelle</v>
          </cell>
          <cell r="B155" t="str">
            <v>USAID     SIFPO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</row>
        <row r="156">
          <cell r="A156" t="str">
            <v>Jadelle</v>
          </cell>
          <cell r="B156" t="str">
            <v>GF ROUND - 8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</row>
        <row r="157">
          <cell r="A157" t="str">
            <v>Jadelle</v>
          </cell>
          <cell r="B157" t="str">
            <v>GF ROUND - 9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</row>
        <row r="158">
          <cell r="A158" t="str">
            <v>Jadelle</v>
          </cell>
          <cell r="B158" t="str">
            <v>PACKARD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</row>
        <row r="159">
          <cell r="A159" t="str">
            <v>Jadelle</v>
          </cell>
          <cell r="B159" t="str">
            <v>PI- GSM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</row>
        <row r="160">
          <cell r="A160" t="str">
            <v>Jadelle</v>
          </cell>
          <cell r="B160" t="str">
            <v>NEW DONOR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</row>
        <row r="161">
          <cell r="A161" t="str">
            <v>Jadelle</v>
          </cell>
          <cell r="B161" t="str">
            <v>Donor 10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</row>
        <row r="162">
          <cell r="A162" t="str">
            <v>CLEAN START KIT</v>
          </cell>
          <cell r="B162" t="str">
            <v>LAD III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</row>
        <row r="163">
          <cell r="A163" t="str">
            <v>CLEAN START KIT</v>
          </cell>
          <cell r="B163" t="str">
            <v>KFW- 12.0M Euro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</row>
        <row r="164">
          <cell r="A164" t="str">
            <v>CLEAN START KIT</v>
          </cell>
          <cell r="B164" t="str">
            <v>DFID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</row>
        <row r="165">
          <cell r="A165" t="str">
            <v>CLEAN START KIT</v>
          </cell>
          <cell r="B165" t="str">
            <v>USAID     SIFPO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</row>
        <row r="166">
          <cell r="A166" t="str">
            <v>CLEAN START KIT</v>
          </cell>
          <cell r="B166" t="str">
            <v>GF ROUND - 8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</row>
        <row r="167">
          <cell r="A167" t="str">
            <v>CLEAN START KIT</v>
          </cell>
          <cell r="B167" t="str">
            <v>GF ROUND - 9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</row>
        <row r="168">
          <cell r="A168" t="str">
            <v>CLEAN START KIT</v>
          </cell>
          <cell r="B168" t="str">
            <v>PACKARD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</row>
        <row r="169">
          <cell r="A169" t="str">
            <v>CLEAN START KIT</v>
          </cell>
          <cell r="B169" t="str">
            <v>PI- GSM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</row>
        <row r="170">
          <cell r="A170" t="str">
            <v>CLEAN START KIT</v>
          </cell>
          <cell r="B170" t="str">
            <v>NEW DONOR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</row>
        <row r="171">
          <cell r="A171" t="str">
            <v>CLEAN START KIT</v>
          </cell>
          <cell r="B171" t="str">
            <v>Donor 10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</row>
        <row r="172">
          <cell r="A172" t="str">
            <v>CLEAR 7</v>
          </cell>
          <cell r="B172" t="str">
            <v>LAD III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</row>
        <row r="173">
          <cell r="A173" t="str">
            <v>CLEAR 7</v>
          </cell>
          <cell r="B173" t="str">
            <v>KFW- 12.0M Euro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</row>
        <row r="174">
          <cell r="A174" t="str">
            <v>CLEAR 7</v>
          </cell>
          <cell r="B174" t="str">
            <v>DFID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</row>
        <row r="175">
          <cell r="A175" t="str">
            <v>CLEAR 7</v>
          </cell>
          <cell r="B175" t="str">
            <v>USAID     SIFPO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</row>
        <row r="176">
          <cell r="A176" t="str">
            <v>CLEAR 7</v>
          </cell>
          <cell r="B176" t="str">
            <v>GF ROUND - 8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</row>
        <row r="177">
          <cell r="A177" t="str">
            <v>CLEAR 7</v>
          </cell>
          <cell r="B177" t="str">
            <v>GF ROUND - 9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</row>
        <row r="178">
          <cell r="A178" t="str">
            <v>CLEAR 7</v>
          </cell>
          <cell r="B178" t="str">
            <v>PACKARD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</row>
        <row r="179">
          <cell r="A179" t="str">
            <v>CLEAR 7</v>
          </cell>
          <cell r="B179" t="str">
            <v>PI- GSM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</row>
        <row r="180">
          <cell r="A180" t="str">
            <v>CLEAR 7</v>
          </cell>
          <cell r="B180" t="str">
            <v>NEW DONOR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</row>
        <row r="181">
          <cell r="A181" t="str">
            <v>CLEAR 7</v>
          </cell>
          <cell r="B181" t="str">
            <v>Donor 10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</row>
        <row r="182">
          <cell r="A182" t="str">
            <v>AQUA TABS (T-10)</v>
          </cell>
          <cell r="B182" t="str">
            <v>LAD III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</row>
        <row r="183">
          <cell r="A183" t="str">
            <v>AQUA TABS (T-10)</v>
          </cell>
          <cell r="B183" t="str">
            <v>KFW- 12.0M Euro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</row>
        <row r="184">
          <cell r="A184" t="str">
            <v>AQUA TABS (T-10)</v>
          </cell>
          <cell r="B184" t="str">
            <v>DFID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</row>
        <row r="185">
          <cell r="A185" t="str">
            <v>AQUA TABS (T-10)</v>
          </cell>
          <cell r="B185" t="str">
            <v>USAID     SIFPO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</row>
        <row r="186">
          <cell r="A186" t="str">
            <v>AQUA TABS (T-10)</v>
          </cell>
          <cell r="B186" t="str">
            <v>GF ROUND - 8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</row>
        <row r="187">
          <cell r="A187" t="str">
            <v>AQUA TABS (T-10)</v>
          </cell>
          <cell r="B187" t="str">
            <v>GF ROUND - 9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</row>
        <row r="188">
          <cell r="A188" t="str">
            <v>AQUA TABS (T-10)</v>
          </cell>
          <cell r="B188" t="str">
            <v>PACKARD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</row>
        <row r="189">
          <cell r="A189" t="str">
            <v>AQUA TABS (T-10)</v>
          </cell>
          <cell r="B189" t="str">
            <v>PI- GSM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</row>
        <row r="190">
          <cell r="A190" t="str">
            <v>AQUA TABS (T-10)</v>
          </cell>
          <cell r="B190" t="str">
            <v>NEW DONOR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</row>
        <row r="191">
          <cell r="A191" t="str">
            <v>AQUA TABS (T-10)</v>
          </cell>
          <cell r="B191" t="str">
            <v>Donor 10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</row>
        <row r="192">
          <cell r="A192" t="str">
            <v>AQUA TABS (T-20)</v>
          </cell>
          <cell r="B192" t="str">
            <v>LAD III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</row>
        <row r="193">
          <cell r="A193" t="str">
            <v>AQUA TABS (T-20)</v>
          </cell>
          <cell r="B193" t="str">
            <v>KFW- 12.0M Euro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</row>
        <row r="194">
          <cell r="A194" t="str">
            <v>AQUA TABS (T-20)</v>
          </cell>
          <cell r="B194" t="str">
            <v>DFID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</row>
        <row r="195">
          <cell r="A195" t="str">
            <v>AQUA TABS (T-20)</v>
          </cell>
          <cell r="B195" t="str">
            <v>USAID     SIFPO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</row>
        <row r="196">
          <cell r="A196" t="str">
            <v>AQUA TABS (T-20)</v>
          </cell>
          <cell r="B196" t="str">
            <v>GF ROUND - 8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</row>
        <row r="197">
          <cell r="A197" t="str">
            <v>AQUA TABS (T-20)</v>
          </cell>
          <cell r="B197" t="str">
            <v>GF ROUND - 9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</row>
        <row r="198">
          <cell r="A198" t="str">
            <v>AQUA TABS (T-20)</v>
          </cell>
          <cell r="B198" t="str">
            <v>PACKARD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</row>
        <row r="199">
          <cell r="A199" t="str">
            <v>AQUA TABS (T-20)</v>
          </cell>
          <cell r="B199" t="str">
            <v>PI- GSM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</row>
        <row r="200">
          <cell r="A200" t="str">
            <v>AQUA TABS (T-20)</v>
          </cell>
          <cell r="B200" t="str">
            <v>NEW DONOR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</row>
        <row r="201">
          <cell r="A201" t="str">
            <v>AQUA TABS (T-20)</v>
          </cell>
          <cell r="B201" t="str">
            <v>Donor 10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</row>
        <row r="202">
          <cell r="A202" t="str">
            <v>BABY ACTIVE</v>
          </cell>
          <cell r="B202" t="str">
            <v>LAD III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</row>
        <row r="203">
          <cell r="A203" t="str">
            <v>BABY ACTIVE</v>
          </cell>
          <cell r="B203" t="str">
            <v>KFW- 12.0M Euro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</row>
        <row r="204">
          <cell r="A204" t="str">
            <v>BABY ACTIVE</v>
          </cell>
          <cell r="B204" t="str">
            <v>DFID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</row>
        <row r="205">
          <cell r="A205" t="str">
            <v>BABY ACTIVE</v>
          </cell>
          <cell r="B205" t="str">
            <v>USAID     SIFPO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</row>
        <row r="206">
          <cell r="A206" t="str">
            <v>BABY ACTIVE</v>
          </cell>
          <cell r="B206" t="str">
            <v>GF ROUND - 8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</row>
        <row r="207">
          <cell r="A207" t="str">
            <v>BABY ACTIVE</v>
          </cell>
          <cell r="B207" t="str">
            <v>GF ROUND - 9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</row>
        <row r="208">
          <cell r="A208" t="str">
            <v>BABY ACTIVE</v>
          </cell>
          <cell r="B208" t="str">
            <v>PACKARD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</row>
        <row r="209">
          <cell r="A209" t="str">
            <v>BABY ACTIVE</v>
          </cell>
          <cell r="B209" t="str">
            <v>PI- GSM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</row>
        <row r="210">
          <cell r="A210" t="str">
            <v>BABY ACTIVE</v>
          </cell>
          <cell r="B210" t="str">
            <v>NEW DONOR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</row>
        <row r="211">
          <cell r="A211" t="str">
            <v>BABY ACTIVE</v>
          </cell>
          <cell r="B211" t="str">
            <v>Donor 10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</row>
        <row r="212">
          <cell r="A212" t="str">
            <v>Pure</v>
          </cell>
          <cell r="B212" t="str">
            <v>LAD III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</row>
        <row r="213">
          <cell r="A213" t="str">
            <v>Pure</v>
          </cell>
          <cell r="B213" t="str">
            <v>KFW- 12.0M Euro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</row>
        <row r="214">
          <cell r="A214" t="str">
            <v>Pure</v>
          </cell>
          <cell r="B214" t="str">
            <v>DFID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</row>
        <row r="215">
          <cell r="A215" t="str">
            <v>Pure</v>
          </cell>
          <cell r="B215" t="str">
            <v>USAID     SIFPO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</row>
        <row r="216">
          <cell r="A216" t="str">
            <v>Pure</v>
          </cell>
          <cell r="B216" t="str">
            <v>GF ROUND - 8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</row>
        <row r="217">
          <cell r="A217" t="str">
            <v>Pure</v>
          </cell>
          <cell r="B217" t="str">
            <v>GF ROUND - 9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</row>
        <row r="218">
          <cell r="A218" t="str">
            <v>Pure</v>
          </cell>
          <cell r="B218" t="str">
            <v>PACKARD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</row>
        <row r="219">
          <cell r="A219" t="str">
            <v>Pure</v>
          </cell>
          <cell r="B219" t="str">
            <v>PI- GSM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</row>
        <row r="220">
          <cell r="A220" t="str">
            <v>Pure</v>
          </cell>
          <cell r="B220" t="str">
            <v>NEW DONOR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</row>
        <row r="221">
          <cell r="A221" t="str">
            <v>Pure</v>
          </cell>
          <cell r="B221" t="str">
            <v>Donor 10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</row>
        <row r="222">
          <cell r="A222" t="str">
            <v xml:space="preserve">CHLOR TABS  10s </v>
          </cell>
          <cell r="B222" t="str">
            <v>LAD III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</row>
        <row r="223">
          <cell r="A223" t="str">
            <v xml:space="preserve">CHLOR TABS  10s </v>
          </cell>
          <cell r="B223" t="str">
            <v>KFW- 12.0M Euro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</row>
        <row r="224">
          <cell r="A224" t="str">
            <v xml:space="preserve">CHLOR TABS  10s </v>
          </cell>
          <cell r="B224" t="str">
            <v>DFID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</row>
        <row r="225">
          <cell r="A225" t="str">
            <v xml:space="preserve">CHLOR TABS  10s </v>
          </cell>
          <cell r="B225" t="str">
            <v>USAID     SIFPO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</row>
        <row r="226">
          <cell r="A226" t="str">
            <v xml:space="preserve">CHLOR TABS  10s </v>
          </cell>
          <cell r="B226" t="str">
            <v>GF ROUND - 8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</row>
        <row r="227">
          <cell r="A227" t="str">
            <v xml:space="preserve">CHLOR TABS  10s </v>
          </cell>
          <cell r="B227" t="str">
            <v>GF ROUND - 9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</row>
        <row r="228">
          <cell r="A228" t="str">
            <v xml:space="preserve">CHLOR TABS  10s </v>
          </cell>
          <cell r="B228" t="str">
            <v>PACKARD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</row>
        <row r="229">
          <cell r="A229" t="str">
            <v xml:space="preserve">CHLOR TABS  10s </v>
          </cell>
          <cell r="B229" t="str">
            <v>PI- GSM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</row>
        <row r="230">
          <cell r="A230" t="str">
            <v xml:space="preserve">CHLOR TABS  10s </v>
          </cell>
          <cell r="B230" t="str">
            <v>NEW DONOR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</row>
        <row r="231">
          <cell r="A231" t="str">
            <v xml:space="preserve">CHLOR TABS  10s </v>
          </cell>
          <cell r="B231" t="str">
            <v>Donor 10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</row>
        <row r="232">
          <cell r="A232" t="str">
            <v xml:space="preserve">CHLOR TABS  25s </v>
          </cell>
          <cell r="B232" t="str">
            <v>LAD III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</row>
        <row r="233">
          <cell r="A233" t="str">
            <v xml:space="preserve">CHLOR TABS  25s </v>
          </cell>
          <cell r="B233" t="str">
            <v>KFW- 12.0M Euro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</row>
        <row r="234">
          <cell r="A234" t="str">
            <v xml:space="preserve">CHLOR TABS  25s </v>
          </cell>
          <cell r="B234" t="str">
            <v>DFID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</row>
        <row r="235">
          <cell r="A235" t="str">
            <v xml:space="preserve">CHLOR TABS  25s </v>
          </cell>
          <cell r="B235" t="str">
            <v>USAID     SIFPO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</row>
        <row r="236">
          <cell r="A236" t="str">
            <v xml:space="preserve">CHLOR TABS  25s </v>
          </cell>
          <cell r="B236" t="str">
            <v>GF ROUND - 8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</row>
        <row r="237">
          <cell r="A237" t="str">
            <v xml:space="preserve">CHLOR TABS  25s </v>
          </cell>
          <cell r="B237" t="str">
            <v>GF ROUND - 9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</row>
        <row r="238">
          <cell r="A238" t="str">
            <v xml:space="preserve">CHLOR TABS  25s </v>
          </cell>
          <cell r="B238" t="str">
            <v>PACKARD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</row>
        <row r="239">
          <cell r="A239" t="str">
            <v xml:space="preserve">CHLOR TABS  25s </v>
          </cell>
          <cell r="B239" t="str">
            <v>PI- GSM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</row>
        <row r="240">
          <cell r="A240" t="str">
            <v xml:space="preserve">CHLOR TABS  25s </v>
          </cell>
          <cell r="B240" t="str">
            <v>NEW DONOR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</row>
        <row r="241">
          <cell r="A241" t="str">
            <v xml:space="preserve">CHLOR TABS  25s </v>
          </cell>
          <cell r="B241" t="str">
            <v>Donor 10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</row>
        <row r="242">
          <cell r="A242" t="str">
            <v>VSC</v>
          </cell>
          <cell r="B242" t="str">
            <v>LAD III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</row>
        <row r="243">
          <cell r="A243" t="str">
            <v>VSC</v>
          </cell>
          <cell r="B243" t="str">
            <v>KFW- 12.0M Euro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</row>
        <row r="244">
          <cell r="A244" t="str">
            <v>VSC</v>
          </cell>
          <cell r="B244" t="str">
            <v>DFID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</row>
        <row r="245">
          <cell r="A245" t="str">
            <v>VSC</v>
          </cell>
          <cell r="B245" t="str">
            <v>USAID     SIFPO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</row>
        <row r="246">
          <cell r="A246" t="str">
            <v>VSC</v>
          </cell>
          <cell r="B246" t="str">
            <v>GF ROUND - 8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</row>
        <row r="247">
          <cell r="A247" t="str">
            <v>VSC</v>
          </cell>
          <cell r="B247" t="str">
            <v>GF ROUND - 9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</row>
        <row r="248">
          <cell r="A248" t="str">
            <v>VSC</v>
          </cell>
          <cell r="B248" t="str">
            <v>PACKARD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</row>
        <row r="249">
          <cell r="A249" t="str">
            <v>VSC</v>
          </cell>
          <cell r="B249" t="str">
            <v>PI- GSM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</row>
        <row r="250">
          <cell r="A250" t="str">
            <v>VSC</v>
          </cell>
          <cell r="B250" t="str">
            <v>NEW DONOR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</row>
        <row r="251">
          <cell r="A251" t="str">
            <v>VSC</v>
          </cell>
          <cell r="B251" t="str">
            <v>Donor 10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</row>
        <row r="252">
          <cell r="A252" t="str">
            <v>Product 26</v>
          </cell>
          <cell r="B252" t="str">
            <v>LAD III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</row>
        <row r="253">
          <cell r="A253" t="str">
            <v>Product 26</v>
          </cell>
          <cell r="B253" t="str">
            <v>KFW- 12.0M Euro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</row>
        <row r="254">
          <cell r="A254" t="str">
            <v>Product 26</v>
          </cell>
          <cell r="B254" t="str">
            <v>DFID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</row>
        <row r="255">
          <cell r="A255" t="str">
            <v>Product 26</v>
          </cell>
          <cell r="B255" t="str">
            <v>USAID     SIFPO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</row>
        <row r="256">
          <cell r="A256" t="str">
            <v>Product 26</v>
          </cell>
          <cell r="B256" t="str">
            <v>GF ROUND - 8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</row>
        <row r="257">
          <cell r="A257" t="str">
            <v>Product 26</v>
          </cell>
          <cell r="B257" t="str">
            <v>GF ROUND - 9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</row>
        <row r="258">
          <cell r="A258" t="str">
            <v>Product 26</v>
          </cell>
          <cell r="B258" t="str">
            <v>PACKARD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</row>
        <row r="259">
          <cell r="A259" t="str">
            <v>Product 26</v>
          </cell>
          <cell r="B259" t="str">
            <v>PI- GSM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</row>
        <row r="260">
          <cell r="A260" t="str">
            <v>Product 26</v>
          </cell>
          <cell r="B260" t="str">
            <v>NEW DONOR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</row>
        <row r="261">
          <cell r="A261" t="str">
            <v>Product 26</v>
          </cell>
          <cell r="B261" t="str">
            <v>Donor 10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</row>
        <row r="262">
          <cell r="A262" t="str">
            <v>Product 27</v>
          </cell>
          <cell r="B262" t="str">
            <v>LAD III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</row>
        <row r="263">
          <cell r="A263" t="str">
            <v>Product 27</v>
          </cell>
          <cell r="B263" t="str">
            <v>KFW- 12.0M Euro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</row>
        <row r="264">
          <cell r="A264" t="str">
            <v>Product 27</v>
          </cell>
          <cell r="B264" t="str">
            <v>DFID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</row>
        <row r="265">
          <cell r="A265" t="str">
            <v>Product 27</v>
          </cell>
          <cell r="B265" t="str">
            <v>USAID     SIFPO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</row>
        <row r="266">
          <cell r="A266" t="str">
            <v>Product 27</v>
          </cell>
          <cell r="B266" t="str">
            <v>GF ROUND - 8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</row>
        <row r="267">
          <cell r="A267" t="str">
            <v>Product 27</v>
          </cell>
          <cell r="B267" t="str">
            <v>GF ROUND - 9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</row>
        <row r="268">
          <cell r="A268" t="str">
            <v>Product 27</v>
          </cell>
          <cell r="B268" t="str">
            <v>PACKARD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</row>
        <row r="269">
          <cell r="A269" t="str">
            <v>Product 27</v>
          </cell>
          <cell r="B269" t="str">
            <v>PI- GSM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</row>
        <row r="270">
          <cell r="A270" t="str">
            <v>Product 27</v>
          </cell>
          <cell r="B270" t="str">
            <v>NEW DONOR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</row>
        <row r="271">
          <cell r="A271" t="str">
            <v>Product 27</v>
          </cell>
          <cell r="B271" t="str">
            <v>Donor 10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</row>
        <row r="272">
          <cell r="A272" t="str">
            <v>Product 28</v>
          </cell>
          <cell r="B272" t="str">
            <v>LAD III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</row>
        <row r="273">
          <cell r="A273" t="str">
            <v>Product 28</v>
          </cell>
          <cell r="B273" t="str">
            <v>KFW- 12.0M Euro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</row>
        <row r="274">
          <cell r="A274" t="str">
            <v>Product 28</v>
          </cell>
          <cell r="B274" t="str">
            <v>DFID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</row>
        <row r="275">
          <cell r="A275" t="str">
            <v>Product 28</v>
          </cell>
          <cell r="B275" t="str">
            <v>USAID     SIFPO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</row>
        <row r="276">
          <cell r="A276" t="str">
            <v>Product 28</v>
          </cell>
          <cell r="B276" t="str">
            <v>GF ROUND - 8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</row>
        <row r="277">
          <cell r="A277" t="str">
            <v>Product 28</v>
          </cell>
          <cell r="B277" t="str">
            <v>GF ROUND - 9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</row>
        <row r="278">
          <cell r="A278" t="str">
            <v>Product 28</v>
          </cell>
          <cell r="B278" t="str">
            <v>PACKARD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</row>
        <row r="279">
          <cell r="A279" t="str">
            <v>Product 28</v>
          </cell>
          <cell r="B279" t="str">
            <v>PI- GSM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</row>
        <row r="280">
          <cell r="A280" t="str">
            <v>Product 28</v>
          </cell>
          <cell r="B280" t="str">
            <v>NEW DONOR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</row>
        <row r="281">
          <cell r="A281" t="str">
            <v>Product 28</v>
          </cell>
          <cell r="B281" t="str">
            <v>Donor 10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</row>
        <row r="282">
          <cell r="A282" t="str">
            <v>Product 29</v>
          </cell>
          <cell r="B282" t="str">
            <v>LAD III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</row>
        <row r="283">
          <cell r="A283" t="str">
            <v>Product 29</v>
          </cell>
          <cell r="B283" t="str">
            <v>KFW- 12.0M Euro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</row>
        <row r="284">
          <cell r="A284" t="str">
            <v>Product 29</v>
          </cell>
          <cell r="B284" t="str">
            <v>DFID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</row>
        <row r="285">
          <cell r="A285" t="str">
            <v>Product 29</v>
          </cell>
          <cell r="B285" t="str">
            <v>USAID     SIFPO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</row>
        <row r="286">
          <cell r="A286" t="str">
            <v>Product 29</v>
          </cell>
          <cell r="B286" t="str">
            <v>GF ROUND - 8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</row>
        <row r="287">
          <cell r="A287" t="str">
            <v>Product 29</v>
          </cell>
          <cell r="B287" t="str">
            <v>GF ROUND - 9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</row>
        <row r="288">
          <cell r="A288" t="str">
            <v>Product 29</v>
          </cell>
          <cell r="B288" t="str">
            <v>PACKARD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</row>
        <row r="289">
          <cell r="A289" t="str">
            <v>Product 29</v>
          </cell>
          <cell r="B289" t="str">
            <v>PI- GSM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</row>
        <row r="290">
          <cell r="A290" t="str">
            <v>Product 29</v>
          </cell>
          <cell r="B290" t="str">
            <v>NEW DONOR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</row>
        <row r="291">
          <cell r="A291" t="str">
            <v>Product 29</v>
          </cell>
          <cell r="B291" t="str">
            <v>Donor 10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</row>
        <row r="292">
          <cell r="A292" t="str">
            <v>Product 30</v>
          </cell>
          <cell r="B292" t="str">
            <v>LAD III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</row>
        <row r="293">
          <cell r="A293" t="str">
            <v>Product 30</v>
          </cell>
          <cell r="B293" t="str">
            <v>KFW- 12.0M Euro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</row>
        <row r="294">
          <cell r="A294" t="str">
            <v>Product 30</v>
          </cell>
          <cell r="B294" t="str">
            <v>DFID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</row>
        <row r="295">
          <cell r="A295" t="str">
            <v>Product 30</v>
          </cell>
          <cell r="B295" t="str">
            <v>USAID     SIFPO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</row>
        <row r="296">
          <cell r="A296" t="str">
            <v>Product 30</v>
          </cell>
          <cell r="B296" t="str">
            <v>GF ROUND - 8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</row>
        <row r="297">
          <cell r="A297" t="str">
            <v>Product 30</v>
          </cell>
          <cell r="B297" t="str">
            <v>GF ROUND - 9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</row>
        <row r="298">
          <cell r="A298" t="str">
            <v>Product 30</v>
          </cell>
          <cell r="B298" t="str">
            <v>PACKARD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</row>
        <row r="299">
          <cell r="A299" t="str">
            <v>Product 30</v>
          </cell>
          <cell r="B299" t="str">
            <v>PI- GSM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</row>
        <row r="300">
          <cell r="A300" t="str">
            <v>Product 30</v>
          </cell>
          <cell r="B300" t="str">
            <v>NEW DONOR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</row>
        <row r="301">
          <cell r="A301" t="str">
            <v>Product 30</v>
          </cell>
          <cell r="B301" t="str">
            <v>Donor 10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</row>
        <row r="302">
          <cell r="AM302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_pharma"/>
      <sheetName val="recon_cons"/>
      <sheetName val="sale_dec"/>
      <sheetName val="recon-pharma"/>
      <sheetName val="recon-cons"/>
      <sheetName val="Beecham"/>
      <sheetName val="Beecham (3)"/>
      <sheetName val="Beecham (5)"/>
      <sheetName val="Beecham Det"/>
      <sheetName val="Sheet1"/>
      <sheetName val="Sheet4"/>
      <sheetName val="Sheet5"/>
      <sheetName val="Ledger Data"/>
      <sheetName val=""/>
      <sheetName val="Data"/>
      <sheetName val="cross charge 99"/>
      <sheetName val="Beecham_(3)"/>
      <sheetName val="Beecham_(5)"/>
      <sheetName val="Beecham_Det"/>
      <sheetName val="BS FOR PRINT"/>
      <sheetName val="Page 1 BS"/>
      <sheetName val="Disposal schedule (Tax)"/>
      <sheetName val="Keys"/>
      <sheetName val="List_Location"/>
    </sheetNames>
    <sheetDataSet>
      <sheetData sheetId="0">
        <row r="1">
          <cell r="A1" t="str">
            <v>AFF &amp; CO.</v>
          </cell>
        </row>
        <row r="3">
          <cell r="A3" t="str">
            <v>CLIENT :</v>
          </cell>
          <cell r="B3" t="str">
            <v>BEECHAM PAKISTAN (PRIVATE) LIMITED</v>
          </cell>
        </row>
        <row r="4">
          <cell r="A4" t="str">
            <v>PERIOD :</v>
          </cell>
          <cell r="B4" t="str">
            <v>Y.E DECEMBER 31, 1998</v>
          </cell>
          <cell r="H4" t="str">
            <v>PREPARED BY:</v>
          </cell>
        </row>
        <row r="5">
          <cell r="A5" t="str">
            <v>SUBJECT:</v>
          </cell>
          <cell r="B5" t="str">
            <v>TRADE DEBTS</v>
          </cell>
          <cell r="H5" t="str">
            <v>REVIEWED BY:</v>
          </cell>
        </row>
        <row r="7">
          <cell r="A7" t="str">
            <v>GLOBAL RECONCILIATION OF SALES - PHARMA</v>
          </cell>
        </row>
        <row r="9">
          <cell r="A9" t="str">
            <v>S.No</v>
          </cell>
          <cell r="B9" t="str">
            <v>Products</v>
          </cell>
          <cell r="C9" t="str">
            <v>Trade</v>
          </cell>
          <cell r="D9" t="str">
            <v>Trade</v>
          </cell>
          <cell r="E9" t="str">
            <v>Net</v>
          </cell>
          <cell r="F9" t="str">
            <v>Quantities</v>
          </cell>
          <cell r="G9" t="str">
            <v>Sales as per</v>
          </cell>
          <cell r="I9" t="str">
            <v>Difference</v>
          </cell>
        </row>
        <row r="10">
          <cell r="C10" t="str">
            <v>Price</v>
          </cell>
          <cell r="D10" t="str">
            <v>discount</v>
          </cell>
          <cell r="E10" t="str">
            <v>Price</v>
          </cell>
          <cell r="G10" t="str">
            <v>our working</v>
          </cell>
          <cell r="H10" t="str">
            <v>client's records</v>
          </cell>
          <cell r="I10" t="str">
            <v>excess/(short)</v>
          </cell>
          <cell r="J10" t="str">
            <v>%</v>
          </cell>
        </row>
        <row r="12">
          <cell r="C12" t="str">
            <v>[a]</v>
          </cell>
          <cell r="D12" t="str">
            <v>[b] = [a] x</v>
          </cell>
          <cell r="E12" t="str">
            <v>[c]=[a]-[b]</v>
          </cell>
          <cell r="F12" t="str">
            <v>[d]</v>
          </cell>
          <cell r="G12" t="str">
            <v>[e]=[d] x [c]</v>
          </cell>
          <cell r="H12" t="str">
            <v>[f]</v>
          </cell>
          <cell r="I12" t="str">
            <v>[g] = [f] - [e]</v>
          </cell>
          <cell r="J12" t="str">
            <v>[g]/[f] x 100</v>
          </cell>
        </row>
        <row r="13">
          <cell r="D13">
            <v>7.7499999999999999E-2</v>
          </cell>
          <cell r="G13" t="str">
            <v>Rs.</v>
          </cell>
          <cell r="H13" t="str">
            <v>Rs.</v>
          </cell>
          <cell r="I13" t="str">
            <v>Rs.</v>
          </cell>
        </row>
        <row r="15">
          <cell r="A15">
            <v>1</v>
          </cell>
          <cell r="B15" t="str">
            <v>Augmentin 375 mg tablets 6's</v>
          </cell>
          <cell r="C15">
            <v>48.42</v>
          </cell>
          <cell r="D15">
            <v>3.7525500000000003</v>
          </cell>
          <cell r="E15">
            <v>44.667450000000002</v>
          </cell>
          <cell r="F15">
            <v>4100391</v>
          </cell>
          <cell r="G15">
            <v>183154009.97295001</v>
          </cell>
          <cell r="H15">
            <v>182962428</v>
          </cell>
          <cell r="I15">
            <v>-191581.97295001149</v>
          </cell>
          <cell r="J15">
            <v>-0.10471110109558203</v>
          </cell>
        </row>
        <row r="16">
          <cell r="A16">
            <v>2</v>
          </cell>
          <cell r="B16" t="str">
            <v>Augmentin 156 mg syrup 60 ml</v>
          </cell>
          <cell r="C16">
            <v>39.549999999999997</v>
          </cell>
          <cell r="D16">
            <v>3.0651249999999997</v>
          </cell>
          <cell r="E16">
            <v>36.484874999999995</v>
          </cell>
          <cell r="F16">
            <v>2922030</v>
          </cell>
          <cell r="G16">
            <v>106609899.29624999</v>
          </cell>
          <cell r="H16">
            <v>106598913</v>
          </cell>
          <cell r="I16">
            <v>-10986.296249985695</v>
          </cell>
          <cell r="J16">
            <v>-1.0306199135431798E-2</v>
          </cell>
        </row>
        <row r="17">
          <cell r="A17">
            <v>3</v>
          </cell>
          <cell r="B17" t="str">
            <v>Augmentin 312.5 mg syrup 60 ml</v>
          </cell>
          <cell r="C17">
            <v>64.290000000000006</v>
          </cell>
          <cell r="D17">
            <v>4.9824750000000009</v>
          </cell>
          <cell r="E17">
            <v>59.307525000000005</v>
          </cell>
          <cell r="F17">
            <v>814905</v>
          </cell>
          <cell r="G17">
            <v>48329998.660125002</v>
          </cell>
          <cell r="H17">
            <v>48288738</v>
          </cell>
          <cell r="I17">
            <v>-41260.660125002265</v>
          </cell>
          <cell r="J17">
            <v>-8.5445720542546108E-2</v>
          </cell>
        </row>
        <row r="18">
          <cell r="A18">
            <v>4</v>
          </cell>
          <cell r="B18" t="str">
            <v>Augmentin 625 mg tablets 6's</v>
          </cell>
          <cell r="C18">
            <v>75.81</v>
          </cell>
          <cell r="D18">
            <v>5.8752750000000002</v>
          </cell>
          <cell r="E18">
            <v>69.934725</v>
          </cell>
          <cell r="F18">
            <v>1268444</v>
          </cell>
          <cell r="G18">
            <v>88708282.317900002</v>
          </cell>
          <cell r="H18">
            <v>88603131</v>
          </cell>
          <cell r="I18">
            <v>-105151.317900002</v>
          </cell>
          <cell r="J18">
            <v>-0.11867675184074704</v>
          </cell>
        </row>
        <row r="19">
          <cell r="F19">
            <v>9105770</v>
          </cell>
          <cell r="G19">
            <v>426802190.24722499</v>
          </cell>
          <cell r="H19">
            <v>426453210</v>
          </cell>
          <cell r="I19">
            <v>-348980.24722498655</v>
          </cell>
          <cell r="J19">
            <v>-8.1833185691107008E-2</v>
          </cell>
        </row>
        <row r="21">
          <cell r="A21">
            <v>5</v>
          </cell>
          <cell r="B21" t="str">
            <v>Ampiclox capsule 250 mg 20's</v>
          </cell>
          <cell r="C21">
            <v>37.06</v>
          </cell>
          <cell r="D21">
            <v>2.87215</v>
          </cell>
          <cell r="E21">
            <v>34.187850000000005</v>
          </cell>
          <cell r="F21">
            <v>190999</v>
          </cell>
          <cell r="G21">
            <v>6529845.1621500012</v>
          </cell>
          <cell r="H21">
            <v>6529441</v>
          </cell>
          <cell r="I21">
            <v>-404.16215000115335</v>
          </cell>
          <cell r="J21">
            <v>-6.1898430509005802E-3</v>
          </cell>
        </row>
        <row r="22">
          <cell r="A22">
            <v>6</v>
          </cell>
          <cell r="B22" t="str">
            <v>Ampiclox capsule 250 mg 100's</v>
          </cell>
          <cell r="C22">
            <v>185.33</v>
          </cell>
          <cell r="D22">
            <v>14.363075</v>
          </cell>
          <cell r="E22">
            <v>170.966925</v>
          </cell>
          <cell r="F22">
            <v>194434</v>
          </cell>
          <cell r="G22">
            <v>33241783.095449999</v>
          </cell>
          <cell r="H22">
            <v>33343464</v>
          </cell>
          <cell r="I22">
            <v>101680.90455000103</v>
          </cell>
          <cell r="J22">
            <v>0.30495003323590203</v>
          </cell>
        </row>
        <row r="23">
          <cell r="A23">
            <v>7</v>
          </cell>
          <cell r="B23" t="str">
            <v>Ampiclox capsule 500 mg 20's</v>
          </cell>
          <cell r="C23">
            <v>64.03</v>
          </cell>
          <cell r="D23">
            <v>4.9623249999999999</v>
          </cell>
          <cell r="E23">
            <v>59.067675000000001</v>
          </cell>
          <cell r="F23">
            <v>446491</v>
          </cell>
          <cell r="G23">
            <v>26373185.278425001</v>
          </cell>
          <cell r="H23">
            <v>26369663</v>
          </cell>
          <cell r="I23">
            <v>-3522.278425000608</v>
          </cell>
          <cell r="J23">
            <v>-1.3357313003964472E-2</v>
          </cell>
        </row>
        <row r="24">
          <cell r="A24">
            <v>8</v>
          </cell>
          <cell r="B24" t="str">
            <v>Ampiclox capsule 500 mg 100's</v>
          </cell>
          <cell r="C24">
            <v>320.11</v>
          </cell>
          <cell r="D24">
            <v>24.808524999999999</v>
          </cell>
          <cell r="E24">
            <v>295.30147500000004</v>
          </cell>
          <cell r="F24">
            <v>425063</v>
          </cell>
          <cell r="G24">
            <v>125521730.86792502</v>
          </cell>
          <cell r="H24">
            <v>125963368</v>
          </cell>
          <cell r="I24">
            <v>441637.13207498193</v>
          </cell>
          <cell r="J24">
            <v>0.350607592578012</v>
          </cell>
        </row>
        <row r="25">
          <cell r="A25">
            <v>9</v>
          </cell>
          <cell r="B25" t="str">
            <v>Ampiclox syrup 250 mg 60 ml</v>
          </cell>
          <cell r="C25">
            <v>28.29</v>
          </cell>
          <cell r="D25">
            <v>2.192475</v>
          </cell>
          <cell r="E25">
            <v>26.097524999999997</v>
          </cell>
          <cell r="F25">
            <v>2088350</v>
          </cell>
          <cell r="G25">
            <v>54500766.333749995</v>
          </cell>
          <cell r="H25">
            <v>54460854</v>
          </cell>
          <cell r="I25">
            <v>-39912.333749994636</v>
          </cell>
          <cell r="J25">
            <v>-7.3286279627555295E-2</v>
          </cell>
        </row>
        <row r="26">
          <cell r="A26">
            <v>10</v>
          </cell>
          <cell r="B26" t="str">
            <v>Ampiclox drops 90 mg 8 ml</v>
          </cell>
          <cell r="C26">
            <v>17.48</v>
          </cell>
          <cell r="D26">
            <v>1.3547</v>
          </cell>
          <cell r="E26">
            <v>16.125299999999999</v>
          </cell>
          <cell r="F26">
            <v>1241085</v>
          </cell>
          <cell r="G26">
            <v>20012867.9505</v>
          </cell>
          <cell r="H26">
            <v>19957016</v>
          </cell>
          <cell r="I26">
            <v>-55851.950500000268</v>
          </cell>
          <cell r="J26">
            <v>-0.27986123025606768</v>
          </cell>
        </row>
        <row r="27">
          <cell r="F27">
            <v>4586422</v>
          </cell>
          <cell r="G27">
            <v>266180178.68820006</v>
          </cell>
          <cell r="H27">
            <v>266623807</v>
          </cell>
          <cell r="I27">
            <v>443628.31179994345</v>
          </cell>
          <cell r="J27">
            <v>0.16638735932532214</v>
          </cell>
        </row>
        <row r="29">
          <cell r="A29">
            <v>11</v>
          </cell>
          <cell r="B29" t="str">
            <v>Amoxil capsule 250 mg 20's</v>
          </cell>
          <cell r="C29">
            <v>47.43</v>
          </cell>
          <cell r="D29">
            <v>3.6758250000000001</v>
          </cell>
          <cell r="E29">
            <v>43.754174999999996</v>
          </cell>
          <cell r="F29">
            <v>219596</v>
          </cell>
          <cell r="G29">
            <v>9608241.8132999986</v>
          </cell>
          <cell r="H29">
            <v>9607701</v>
          </cell>
          <cell r="I29">
            <v>-540.81329999864101</v>
          </cell>
          <cell r="J29">
            <v>-5.6289563965265053E-3</v>
          </cell>
        </row>
        <row r="30">
          <cell r="A30">
            <v>12</v>
          </cell>
          <cell r="B30" t="str">
            <v>Amoxil capsule 250 mg 100's</v>
          </cell>
          <cell r="C30">
            <v>237.21</v>
          </cell>
          <cell r="D30">
            <v>18.383775</v>
          </cell>
          <cell r="E30">
            <v>218.82622500000002</v>
          </cell>
          <cell r="F30">
            <v>230862</v>
          </cell>
          <cell r="G30">
            <v>50518659.955950007</v>
          </cell>
          <cell r="H30">
            <v>50391200</v>
          </cell>
          <cell r="I30">
            <v>-127459.95595000684</v>
          </cell>
          <cell r="J30">
            <v>-0.25294090228057053</v>
          </cell>
        </row>
        <row r="31">
          <cell r="A31">
            <v>13</v>
          </cell>
          <cell r="B31" t="str">
            <v>Amoxil capsule 500 mg 20's</v>
          </cell>
          <cell r="C31">
            <v>114.51</v>
          </cell>
          <cell r="D31">
            <v>8.8745250000000002</v>
          </cell>
          <cell r="E31">
            <v>105.635475</v>
          </cell>
          <cell r="F31">
            <v>319099</v>
          </cell>
          <cell r="G31">
            <v>33708174.437025003</v>
          </cell>
          <cell r="H31">
            <v>33699084</v>
          </cell>
          <cell r="I31">
            <v>-9090.4370250031352</v>
          </cell>
          <cell r="J31">
            <v>-2.6975323795160534E-2</v>
          </cell>
        </row>
        <row r="32">
          <cell r="A32">
            <v>14</v>
          </cell>
          <cell r="B32" t="str">
            <v>Amoxil capsule 500 mg 100's</v>
          </cell>
          <cell r="C32">
            <v>572.48</v>
          </cell>
          <cell r="D32">
            <v>44.367200000000004</v>
          </cell>
          <cell r="E32">
            <v>528.11279999999999</v>
          </cell>
          <cell r="F32">
            <v>230173</v>
          </cell>
          <cell r="G32">
            <v>121557307.51440001</v>
          </cell>
          <cell r="H32">
            <v>119777901</v>
          </cell>
          <cell r="I32">
            <v>-1779406.5144000053</v>
          </cell>
          <cell r="J32">
            <v>-1.4855883260134983</v>
          </cell>
        </row>
        <row r="33">
          <cell r="A33">
            <v>15</v>
          </cell>
          <cell r="B33" t="str">
            <v>Amoxil syrup 125 mg 60 ml</v>
          </cell>
          <cell r="C33">
            <v>29.84</v>
          </cell>
          <cell r="D33">
            <v>2.3125999999999998</v>
          </cell>
          <cell r="E33">
            <v>27.5274</v>
          </cell>
          <cell r="F33">
            <v>3602359</v>
          </cell>
          <cell r="G33">
            <v>99163577.136600003</v>
          </cell>
          <cell r="H33">
            <v>98487992</v>
          </cell>
          <cell r="I33">
            <v>-675585.13660000265</v>
          </cell>
          <cell r="J33">
            <v>-0.68595685918746585</v>
          </cell>
        </row>
        <row r="34">
          <cell r="A34">
            <v>16</v>
          </cell>
          <cell r="B34" t="str">
            <v>Amoxil syrup 250 mg 60 ml</v>
          </cell>
          <cell r="C34">
            <v>39.14</v>
          </cell>
          <cell r="D34">
            <v>3.03335</v>
          </cell>
          <cell r="E34">
            <v>36.106650000000002</v>
          </cell>
          <cell r="F34">
            <v>2007498</v>
          </cell>
          <cell r="G34">
            <v>72484027.66170001</v>
          </cell>
          <cell r="H34">
            <v>72367215</v>
          </cell>
          <cell r="I34">
            <v>-116812.6617000103</v>
          </cell>
          <cell r="J34">
            <v>-0.16141654988382556</v>
          </cell>
        </row>
        <row r="35">
          <cell r="A35">
            <v>17</v>
          </cell>
          <cell r="B35" t="str">
            <v>Amoxil drops 125 mg 10 ml</v>
          </cell>
          <cell r="C35">
            <v>17.77</v>
          </cell>
          <cell r="D35">
            <v>1.377175</v>
          </cell>
          <cell r="E35">
            <v>16.392824999999998</v>
          </cell>
          <cell r="F35">
            <v>1529111</v>
          </cell>
          <cell r="G35">
            <v>25066449.028574999</v>
          </cell>
          <cell r="H35">
            <v>25060805</v>
          </cell>
          <cell r="I35">
            <v>-5644.0285749994218</v>
          </cell>
          <cell r="J35">
            <v>-2.2521337901952557E-2</v>
          </cell>
        </row>
        <row r="36">
          <cell r="F36">
            <v>8138698</v>
          </cell>
          <cell r="G36">
            <v>412106437.54755002</v>
          </cell>
          <cell r="H36">
            <v>409391898</v>
          </cell>
          <cell r="I36">
            <v>-2714539.5475500226</v>
          </cell>
          <cell r="J36">
            <v>-0.66306626018036696</v>
          </cell>
        </row>
        <row r="38">
          <cell r="A38">
            <v>18</v>
          </cell>
          <cell r="B38" t="str">
            <v>Maxolon tablet 10 mg 20'sx5</v>
          </cell>
          <cell r="C38">
            <v>29.82</v>
          </cell>
          <cell r="D38">
            <v>2.3110499999999998</v>
          </cell>
          <cell r="E38">
            <v>27.508949999999999</v>
          </cell>
          <cell r="F38">
            <v>220106</v>
          </cell>
          <cell r="G38">
            <v>6054884.9486999996</v>
          </cell>
          <cell r="H38">
            <v>6047290</v>
          </cell>
          <cell r="I38">
            <v>-7594.9486999996006</v>
          </cell>
          <cell r="J38">
            <v>-0.12559259932961045</v>
          </cell>
        </row>
        <row r="39">
          <cell r="A39">
            <v>19</v>
          </cell>
          <cell r="B39" t="str">
            <v>Maxolon syrup 5 mg 50 ml</v>
          </cell>
          <cell r="C39">
            <v>13.35</v>
          </cell>
          <cell r="D39">
            <v>1.0346249999999999</v>
          </cell>
          <cell r="E39">
            <v>12.315375</v>
          </cell>
          <cell r="F39">
            <v>866169</v>
          </cell>
          <cell r="G39">
            <v>10667196.048374999</v>
          </cell>
          <cell r="H39">
            <v>10655599</v>
          </cell>
          <cell r="I39">
            <v>-11597.048374999315</v>
          </cell>
          <cell r="J39">
            <v>-0.10883525529629366</v>
          </cell>
        </row>
        <row r="40">
          <cell r="F40">
            <v>1086275</v>
          </cell>
          <cell r="G40">
            <v>16722080.997074999</v>
          </cell>
          <cell r="H40">
            <v>16702889</v>
          </cell>
          <cell r="I40">
            <v>-19191.997074998915</v>
          </cell>
          <cell r="J40">
            <v>-0.11490226077057039</v>
          </cell>
        </row>
        <row r="42">
          <cell r="A42">
            <v>20</v>
          </cell>
          <cell r="B42" t="str">
            <v>Orbenin capsule 250 mg 100's</v>
          </cell>
          <cell r="C42">
            <v>187.74</v>
          </cell>
          <cell r="D42">
            <v>14.549850000000001</v>
          </cell>
          <cell r="E42">
            <v>173.19015000000002</v>
          </cell>
          <cell r="F42">
            <v>38323</v>
          </cell>
          <cell r="G42">
            <v>6637166.1184500009</v>
          </cell>
          <cell r="H42">
            <v>6416093</v>
          </cell>
          <cell r="I42">
            <v>-221073.11845000088</v>
          </cell>
          <cell r="J42">
            <v>-3.4456033983609786</v>
          </cell>
        </row>
        <row r="43">
          <cell r="A43">
            <v>21</v>
          </cell>
          <cell r="B43" t="str">
            <v>Orbenin syrup 125 mg 60 ml</v>
          </cell>
          <cell r="C43">
            <v>18.98</v>
          </cell>
          <cell r="D43">
            <v>1.47095</v>
          </cell>
          <cell r="E43">
            <v>17.509050000000002</v>
          </cell>
          <cell r="F43">
            <v>9784</v>
          </cell>
          <cell r="G43">
            <v>171308.54520000002</v>
          </cell>
          <cell r="H43">
            <v>169491</v>
          </cell>
          <cell r="I43">
            <v>-1817.5452000000223</v>
          </cell>
          <cell r="J43">
            <v>-1.0723549923004894</v>
          </cell>
        </row>
        <row r="44">
          <cell r="F44">
            <v>48107</v>
          </cell>
          <cell r="G44">
            <v>6808474.6636500005</v>
          </cell>
          <cell r="H44">
            <v>6585584</v>
          </cell>
          <cell r="I44">
            <v>-222890.66365000047</v>
          </cell>
          <cell r="J44">
            <v>-3.3845238880864699</v>
          </cell>
        </row>
        <row r="46">
          <cell r="A46">
            <v>22</v>
          </cell>
          <cell r="B46" t="str">
            <v>Penbritin capsuel 250 mg 20's</v>
          </cell>
          <cell r="C46">
            <v>32.729999999999997</v>
          </cell>
          <cell r="D46">
            <v>2.5365749999999996</v>
          </cell>
          <cell r="E46">
            <v>30.193424999999998</v>
          </cell>
          <cell r="F46">
            <v>51514</v>
          </cell>
          <cell r="G46">
            <v>1555384.0954499999</v>
          </cell>
          <cell r="H46">
            <v>1553675</v>
          </cell>
          <cell r="I46">
            <v>-1709.0954499999061</v>
          </cell>
          <cell r="J46">
            <v>-0.11000340804865277</v>
          </cell>
        </row>
        <row r="47">
          <cell r="A47">
            <v>23</v>
          </cell>
          <cell r="B47" t="str">
            <v>Penbritin capsuel 250 mg 100's</v>
          </cell>
          <cell r="C47">
            <v>163.66</v>
          </cell>
          <cell r="D47">
            <v>12.68365</v>
          </cell>
          <cell r="E47">
            <v>150.97635</v>
          </cell>
          <cell r="F47">
            <v>94125</v>
          </cell>
          <cell r="G47">
            <v>14210648.94375</v>
          </cell>
          <cell r="H47">
            <v>14072476</v>
          </cell>
          <cell r="I47">
            <v>-138172.94374999963</v>
          </cell>
          <cell r="J47">
            <v>-0.9818666150150096</v>
          </cell>
        </row>
      </sheetData>
      <sheetData sheetId="1">
        <row r="1">
          <cell r="A1" t="str">
            <v>AFF &amp; CO.</v>
          </cell>
        </row>
        <row r="3">
          <cell r="A3" t="str">
            <v>CLIENT :</v>
          </cell>
          <cell r="B3" t="str">
            <v>BEECHAM PAKISTAN (PRIVATE) LIMITED</v>
          </cell>
        </row>
        <row r="4">
          <cell r="A4" t="str">
            <v>PERIOD :</v>
          </cell>
          <cell r="B4" t="str">
            <v>Y.E DECEMBER 31, 1998</v>
          </cell>
          <cell r="H4" t="str">
            <v>PREPARED BY:</v>
          </cell>
        </row>
        <row r="5">
          <cell r="A5" t="str">
            <v>SUBJECT:</v>
          </cell>
          <cell r="B5" t="str">
            <v>TRADE DEBTS</v>
          </cell>
          <cell r="H5" t="str">
            <v>REVIEWED BY:</v>
          </cell>
        </row>
        <row r="7">
          <cell r="A7" t="str">
            <v>GLOBAL RECONCILIATION OF SALES - PHARMA</v>
          </cell>
        </row>
        <row r="9">
          <cell r="A9" t="str">
            <v>S.No</v>
          </cell>
          <cell r="B9" t="str">
            <v>Products</v>
          </cell>
          <cell r="C9" t="str">
            <v>Trade</v>
          </cell>
          <cell r="D9" t="str">
            <v>Trade</v>
          </cell>
          <cell r="E9" t="str">
            <v>Net</v>
          </cell>
          <cell r="F9" t="str">
            <v>Quantities</v>
          </cell>
          <cell r="G9" t="str">
            <v>Sales as per</v>
          </cell>
          <cell r="I9" t="str">
            <v>Difference</v>
          </cell>
        </row>
        <row r="10">
          <cell r="C10" t="str">
            <v>Price</v>
          </cell>
          <cell r="D10" t="str">
            <v>discount</v>
          </cell>
          <cell r="E10" t="str">
            <v>Price</v>
          </cell>
          <cell r="G10" t="str">
            <v>our working</v>
          </cell>
          <cell r="H10" t="str">
            <v>client's records</v>
          </cell>
          <cell r="I10" t="str">
            <v>excess/(short)</v>
          </cell>
          <cell r="J10" t="str">
            <v>%</v>
          </cell>
        </row>
        <row r="12">
          <cell r="C12" t="str">
            <v>[a]</v>
          </cell>
          <cell r="D12" t="str">
            <v>[b] = [a] x</v>
          </cell>
          <cell r="E12" t="str">
            <v>[c]=[a]-[b]</v>
          </cell>
          <cell r="F12" t="str">
            <v>[d]</v>
          </cell>
          <cell r="G12" t="str">
            <v>[e]=[d] x [c]</v>
          </cell>
          <cell r="H12" t="str">
            <v>[f]</v>
          </cell>
          <cell r="I12" t="str">
            <v>[g] = [f] - [e]</v>
          </cell>
          <cell r="J12" t="str">
            <v>[g]/[f] x 100</v>
          </cell>
        </row>
        <row r="13">
          <cell r="D13">
            <v>7.7499999999999999E-2</v>
          </cell>
          <cell r="G13" t="str">
            <v>Rs.</v>
          </cell>
          <cell r="H13" t="str">
            <v>Rs.</v>
          </cell>
          <cell r="I13" t="str">
            <v>Rs.</v>
          </cell>
        </row>
        <row r="15">
          <cell r="A15">
            <v>1</v>
          </cell>
          <cell r="B15" t="str">
            <v>Augmentin 375 mg tablets 6's</v>
          </cell>
          <cell r="C15">
            <v>48.42</v>
          </cell>
          <cell r="D15">
            <v>3.7525500000000003</v>
          </cell>
          <cell r="E15">
            <v>44.667450000000002</v>
          </cell>
          <cell r="F15">
            <v>4100391</v>
          </cell>
          <cell r="G15">
            <v>183154009.97295001</v>
          </cell>
          <cell r="H15">
            <v>182962428</v>
          </cell>
          <cell r="I15">
            <v>-191581.97295001149</v>
          </cell>
          <cell r="J15">
            <v>-0.10471110109558203</v>
          </cell>
        </row>
        <row r="16">
          <cell r="A16">
            <v>2</v>
          </cell>
          <cell r="B16" t="str">
            <v>Augmentin 156 mg syrup 60 ml</v>
          </cell>
          <cell r="C16">
            <v>39.549999999999997</v>
          </cell>
          <cell r="D16">
            <v>3.0651249999999997</v>
          </cell>
          <cell r="E16">
            <v>36.484874999999995</v>
          </cell>
          <cell r="F16">
            <v>2922030</v>
          </cell>
          <cell r="G16">
            <v>106609899.29624999</v>
          </cell>
          <cell r="H16">
            <v>106598913</v>
          </cell>
          <cell r="I16">
            <v>-10986.296249985695</v>
          </cell>
          <cell r="J16">
            <v>-1.0306199135431798E-2</v>
          </cell>
        </row>
        <row r="17">
          <cell r="A17">
            <v>3</v>
          </cell>
          <cell r="B17" t="str">
            <v>Augmentin 312.5 mg syrup 60 ml</v>
          </cell>
          <cell r="C17">
            <v>64.290000000000006</v>
          </cell>
          <cell r="D17">
            <v>4.9824750000000009</v>
          </cell>
          <cell r="E17">
            <v>59.307525000000005</v>
          </cell>
          <cell r="F17">
            <v>814905</v>
          </cell>
          <cell r="G17">
            <v>48329998.660125002</v>
          </cell>
          <cell r="H17">
            <v>48288738</v>
          </cell>
          <cell r="I17">
            <v>-41260.660125002265</v>
          </cell>
          <cell r="J17">
            <v>-8.5445720542546108E-2</v>
          </cell>
        </row>
        <row r="18">
          <cell r="A18">
            <v>4</v>
          </cell>
          <cell r="B18" t="str">
            <v>Augmentin 625 mg tablets 6's</v>
          </cell>
          <cell r="C18">
            <v>75.81</v>
          </cell>
          <cell r="D18">
            <v>5.8752750000000002</v>
          </cell>
          <cell r="E18">
            <v>69.934725</v>
          </cell>
          <cell r="F18">
            <v>1268444</v>
          </cell>
          <cell r="G18">
            <v>88708282.317900002</v>
          </cell>
          <cell r="H18">
            <v>88603131</v>
          </cell>
          <cell r="I18">
            <v>-105151.317900002</v>
          </cell>
          <cell r="J18">
            <v>-0.11867675184074704</v>
          </cell>
        </row>
        <row r="19">
          <cell r="F19">
            <v>9105770</v>
          </cell>
          <cell r="G19">
            <v>426802190.24722499</v>
          </cell>
          <cell r="H19">
            <v>426453210</v>
          </cell>
          <cell r="I19">
            <v>-348980.24722498655</v>
          </cell>
          <cell r="J19">
            <v>-8.1833185691107008E-2</v>
          </cell>
        </row>
        <row r="21">
          <cell r="A21">
            <v>5</v>
          </cell>
          <cell r="B21" t="str">
            <v>Ampiclox capsule 250 mg 20's</v>
          </cell>
          <cell r="C21">
            <v>37.06</v>
          </cell>
          <cell r="D21">
            <v>2.87215</v>
          </cell>
          <cell r="E21">
            <v>34.187850000000005</v>
          </cell>
          <cell r="F21">
            <v>190999</v>
          </cell>
          <cell r="G21">
            <v>6529845.1621500012</v>
          </cell>
          <cell r="H21">
            <v>6529441</v>
          </cell>
          <cell r="I21">
            <v>-404.16215000115335</v>
          </cell>
          <cell r="J21">
            <v>-6.1898430509005802E-3</v>
          </cell>
        </row>
        <row r="22">
          <cell r="A22">
            <v>6</v>
          </cell>
          <cell r="B22" t="str">
            <v>Ampiclox capsule 250 mg 100's</v>
          </cell>
          <cell r="C22">
            <v>185.33</v>
          </cell>
          <cell r="D22">
            <v>14.363075</v>
          </cell>
          <cell r="E22">
            <v>170.966925</v>
          </cell>
          <cell r="F22">
            <v>194434</v>
          </cell>
          <cell r="G22">
            <v>33241783.095449999</v>
          </cell>
          <cell r="H22">
            <v>33343464</v>
          </cell>
          <cell r="I22">
            <v>101680.90455000103</v>
          </cell>
          <cell r="J22">
            <v>0.30495003323590203</v>
          </cell>
        </row>
        <row r="23">
          <cell r="A23">
            <v>7</v>
          </cell>
          <cell r="B23" t="str">
            <v>Ampiclox capsule 500 mg 20's</v>
          </cell>
          <cell r="C23">
            <v>64.03</v>
          </cell>
          <cell r="D23">
            <v>4.9623249999999999</v>
          </cell>
          <cell r="E23">
            <v>59.067675000000001</v>
          </cell>
          <cell r="F23">
            <v>446491</v>
          </cell>
          <cell r="G23">
            <v>26373185.278425001</v>
          </cell>
          <cell r="H23">
            <v>26369663</v>
          </cell>
          <cell r="I23">
            <v>-3522.278425000608</v>
          </cell>
          <cell r="J23">
            <v>-1.3357313003964472E-2</v>
          </cell>
        </row>
        <row r="24">
          <cell r="A24">
            <v>8</v>
          </cell>
          <cell r="B24" t="str">
            <v>Ampiclox capsule 500 mg 100's</v>
          </cell>
          <cell r="C24">
            <v>320.11</v>
          </cell>
          <cell r="D24">
            <v>24.808524999999999</v>
          </cell>
          <cell r="E24">
            <v>295.30147500000004</v>
          </cell>
          <cell r="F24">
            <v>425063</v>
          </cell>
          <cell r="G24">
            <v>125521730.86792502</v>
          </cell>
          <cell r="H24">
            <v>125963368</v>
          </cell>
          <cell r="I24">
            <v>441637.13207498193</v>
          </cell>
          <cell r="J24">
            <v>0.350607592578012</v>
          </cell>
        </row>
        <row r="25">
          <cell r="A25">
            <v>9</v>
          </cell>
          <cell r="B25" t="str">
            <v>Ampiclox syrup 250 mg 60 ml</v>
          </cell>
          <cell r="C25">
            <v>28.29</v>
          </cell>
          <cell r="D25">
            <v>2.192475</v>
          </cell>
          <cell r="E25">
            <v>26.097524999999997</v>
          </cell>
          <cell r="F25">
            <v>2088350</v>
          </cell>
          <cell r="G25">
            <v>54500766.333749995</v>
          </cell>
          <cell r="H25">
            <v>54460854</v>
          </cell>
          <cell r="I25">
            <v>-39912.333749994636</v>
          </cell>
          <cell r="J25">
            <v>-7.3286279627555295E-2</v>
          </cell>
        </row>
        <row r="26">
          <cell r="A26">
            <v>10</v>
          </cell>
          <cell r="B26" t="str">
            <v>Ampiclox drops 90 mg 8 ml</v>
          </cell>
          <cell r="C26">
            <v>17.48</v>
          </cell>
          <cell r="D26">
            <v>1.3547</v>
          </cell>
          <cell r="E26">
            <v>16.125299999999999</v>
          </cell>
          <cell r="F26">
            <v>1241085</v>
          </cell>
          <cell r="G26">
            <v>20012867.9505</v>
          </cell>
          <cell r="H26">
            <v>19957016</v>
          </cell>
          <cell r="I26">
            <v>-55851.950500000268</v>
          </cell>
          <cell r="J26">
            <v>-0.27986123025606768</v>
          </cell>
        </row>
        <row r="27">
          <cell r="F27">
            <v>4586422</v>
          </cell>
          <cell r="G27">
            <v>266180178.68820006</v>
          </cell>
          <cell r="H27">
            <v>266623807</v>
          </cell>
          <cell r="I27">
            <v>443628.31179994345</v>
          </cell>
          <cell r="J27">
            <v>0.16638735932532214</v>
          </cell>
        </row>
        <row r="29">
          <cell r="A29">
            <v>11</v>
          </cell>
          <cell r="B29" t="str">
            <v>Amoxil capsule 250 mg 20's</v>
          </cell>
          <cell r="C29">
            <v>47.43</v>
          </cell>
          <cell r="D29">
            <v>3.6758250000000001</v>
          </cell>
          <cell r="E29">
            <v>43.754174999999996</v>
          </cell>
          <cell r="F29">
            <v>219596</v>
          </cell>
          <cell r="G29">
            <v>9608241.8132999986</v>
          </cell>
          <cell r="H29">
            <v>9607701</v>
          </cell>
          <cell r="I29">
            <v>-540.81329999864101</v>
          </cell>
          <cell r="J29">
            <v>-5.6289563965265053E-3</v>
          </cell>
        </row>
        <row r="30">
          <cell r="A30">
            <v>12</v>
          </cell>
          <cell r="B30" t="str">
            <v>Amoxil capsule 250 mg 100's</v>
          </cell>
          <cell r="C30">
            <v>237.21</v>
          </cell>
          <cell r="D30">
            <v>18.383775</v>
          </cell>
          <cell r="E30">
            <v>218.82622500000002</v>
          </cell>
          <cell r="F30">
            <v>230862</v>
          </cell>
          <cell r="G30">
            <v>50518659.955950007</v>
          </cell>
          <cell r="H30">
            <v>50391200</v>
          </cell>
          <cell r="I30">
            <v>-127459.95595000684</v>
          </cell>
          <cell r="J30">
            <v>-0.25294090228057053</v>
          </cell>
        </row>
        <row r="31">
          <cell r="A31">
            <v>13</v>
          </cell>
          <cell r="B31" t="str">
            <v>Amoxil capsule 500 mg 20's</v>
          </cell>
          <cell r="C31">
            <v>114.51</v>
          </cell>
          <cell r="D31">
            <v>8.8745250000000002</v>
          </cell>
          <cell r="E31">
            <v>105.635475</v>
          </cell>
          <cell r="F31">
            <v>319099</v>
          </cell>
          <cell r="G31">
            <v>33708174.437025003</v>
          </cell>
          <cell r="H31">
            <v>33699084</v>
          </cell>
          <cell r="I31">
            <v>-9090.4370250031352</v>
          </cell>
          <cell r="J31">
            <v>-2.6975323795160534E-2</v>
          </cell>
        </row>
        <row r="32">
          <cell r="A32">
            <v>14</v>
          </cell>
          <cell r="B32" t="str">
            <v>Amoxil capsule 500 mg 100's</v>
          </cell>
          <cell r="C32">
            <v>572.48</v>
          </cell>
          <cell r="D32">
            <v>44.367200000000004</v>
          </cell>
          <cell r="E32">
            <v>528.11279999999999</v>
          </cell>
          <cell r="F32">
            <v>230173</v>
          </cell>
          <cell r="G32">
            <v>121557307.51440001</v>
          </cell>
          <cell r="H32">
            <v>119777901</v>
          </cell>
          <cell r="I32">
            <v>-1779406.5144000053</v>
          </cell>
          <cell r="J32">
            <v>-1.4855883260134983</v>
          </cell>
        </row>
        <row r="33">
          <cell r="A33">
            <v>15</v>
          </cell>
          <cell r="B33" t="str">
            <v>Amoxil syrup 125 mg 60 ml</v>
          </cell>
          <cell r="C33">
            <v>29.84</v>
          </cell>
          <cell r="D33">
            <v>2.3125999999999998</v>
          </cell>
          <cell r="E33">
            <v>27.5274</v>
          </cell>
          <cell r="F33">
            <v>3602359</v>
          </cell>
          <cell r="G33">
            <v>99163577.136600003</v>
          </cell>
          <cell r="H33">
            <v>98487992</v>
          </cell>
          <cell r="I33">
            <v>-675585.13660000265</v>
          </cell>
          <cell r="J33">
            <v>-0.68595685918746585</v>
          </cell>
        </row>
        <row r="34">
          <cell r="A34">
            <v>16</v>
          </cell>
          <cell r="B34" t="str">
            <v>Amoxil syrup 250 mg 60 ml</v>
          </cell>
          <cell r="C34">
            <v>39.14</v>
          </cell>
          <cell r="D34">
            <v>3.03335</v>
          </cell>
          <cell r="E34">
            <v>36.106650000000002</v>
          </cell>
          <cell r="F34">
            <v>2007498</v>
          </cell>
          <cell r="G34">
            <v>72484027.66170001</v>
          </cell>
          <cell r="H34">
            <v>72367215</v>
          </cell>
          <cell r="I34">
            <v>-116812.6617000103</v>
          </cell>
          <cell r="J34">
            <v>-0.16141654988382556</v>
          </cell>
        </row>
        <row r="35">
          <cell r="A35">
            <v>17</v>
          </cell>
          <cell r="B35" t="str">
            <v>Amoxil drops 125 mg 10 ml</v>
          </cell>
          <cell r="C35">
            <v>17.77</v>
          </cell>
          <cell r="D35">
            <v>1.377175</v>
          </cell>
          <cell r="E35">
            <v>16.392824999999998</v>
          </cell>
          <cell r="F35">
            <v>1529111</v>
          </cell>
          <cell r="G35">
            <v>25066449.028574999</v>
          </cell>
          <cell r="H35">
            <v>25060805</v>
          </cell>
          <cell r="I35">
            <v>-5644.0285749994218</v>
          </cell>
          <cell r="J35">
            <v>-2.2521337901952557E-2</v>
          </cell>
        </row>
        <row r="36">
          <cell r="F36">
            <v>8138698</v>
          </cell>
          <cell r="G36">
            <v>412106437.54755002</v>
          </cell>
          <cell r="H36">
            <v>409391898</v>
          </cell>
          <cell r="I36">
            <v>-2714539.5475500226</v>
          </cell>
          <cell r="J36">
            <v>-0.66306626018036696</v>
          </cell>
        </row>
        <row r="38">
          <cell r="A38">
            <v>18</v>
          </cell>
          <cell r="B38" t="str">
            <v>Maxolon tablet 10 mg 20'sx5</v>
          </cell>
          <cell r="C38">
            <v>29.82</v>
          </cell>
          <cell r="D38">
            <v>2.3110499999999998</v>
          </cell>
          <cell r="E38">
            <v>27.508949999999999</v>
          </cell>
          <cell r="F38">
            <v>220106</v>
          </cell>
          <cell r="G38">
            <v>6054884.9486999996</v>
          </cell>
          <cell r="H38">
            <v>6047290</v>
          </cell>
          <cell r="I38">
            <v>-7594.9486999996006</v>
          </cell>
          <cell r="J38">
            <v>-0.12559259932961045</v>
          </cell>
        </row>
        <row r="39">
          <cell r="A39">
            <v>19</v>
          </cell>
          <cell r="B39" t="str">
            <v>Maxolon syrup 5 mg 50 ml</v>
          </cell>
          <cell r="C39">
            <v>13.35</v>
          </cell>
          <cell r="D39">
            <v>1.0346249999999999</v>
          </cell>
          <cell r="E39">
            <v>12.315375</v>
          </cell>
          <cell r="F39">
            <v>866169</v>
          </cell>
          <cell r="G39">
            <v>10667196.048374999</v>
          </cell>
          <cell r="H39">
            <v>10655599</v>
          </cell>
          <cell r="I39">
            <v>-11597.048374999315</v>
          </cell>
          <cell r="J39">
            <v>-0.10883525529629366</v>
          </cell>
        </row>
        <row r="40">
          <cell r="F40">
            <v>1086275</v>
          </cell>
          <cell r="G40">
            <v>16722080.997074999</v>
          </cell>
          <cell r="H40">
            <v>16702889</v>
          </cell>
          <cell r="I40">
            <v>-19191.997074998915</v>
          </cell>
          <cell r="J40">
            <v>-0.11490226077057039</v>
          </cell>
        </row>
        <row r="42">
          <cell r="A42">
            <v>20</v>
          </cell>
          <cell r="B42" t="str">
            <v>Orbenin capsule 250 mg 100's</v>
          </cell>
          <cell r="C42">
            <v>187.74</v>
          </cell>
          <cell r="D42">
            <v>14.549850000000001</v>
          </cell>
          <cell r="E42">
            <v>173.19015000000002</v>
          </cell>
          <cell r="F42">
            <v>38323</v>
          </cell>
          <cell r="G42">
            <v>6637166.1184500009</v>
          </cell>
          <cell r="H42">
            <v>6416093</v>
          </cell>
          <cell r="I42">
            <v>-221073.11845000088</v>
          </cell>
          <cell r="J42">
            <v>-3.4456033983609786</v>
          </cell>
        </row>
        <row r="43">
          <cell r="A43">
            <v>21</v>
          </cell>
          <cell r="B43" t="str">
            <v>Orbenin syrup 125 mg 60 ml</v>
          </cell>
          <cell r="C43">
            <v>18.98</v>
          </cell>
          <cell r="D43">
            <v>1.47095</v>
          </cell>
          <cell r="E43">
            <v>17.509050000000002</v>
          </cell>
          <cell r="F43">
            <v>9784</v>
          </cell>
          <cell r="G43">
            <v>171308.54520000002</v>
          </cell>
          <cell r="H43">
            <v>169491</v>
          </cell>
          <cell r="I43">
            <v>-1817.5452000000223</v>
          </cell>
          <cell r="J43">
            <v>-1.0723549923004894</v>
          </cell>
        </row>
        <row r="44">
          <cell r="F44">
            <v>48107</v>
          </cell>
          <cell r="G44">
            <v>6808474.6636500005</v>
          </cell>
          <cell r="H44">
            <v>6585584</v>
          </cell>
          <cell r="I44">
            <v>-222890.66365000047</v>
          </cell>
          <cell r="J44">
            <v>-3.3845238880864699</v>
          </cell>
        </row>
        <row r="46">
          <cell r="A46">
            <v>22</v>
          </cell>
          <cell r="B46" t="str">
            <v>Penbritin capsuel 250 mg 20's</v>
          </cell>
          <cell r="C46">
            <v>32.729999999999997</v>
          </cell>
          <cell r="D46">
            <v>2.5365749999999996</v>
          </cell>
          <cell r="E46">
            <v>30.193424999999998</v>
          </cell>
          <cell r="F46">
            <v>51514</v>
          </cell>
          <cell r="G46">
            <v>1555384.0954499999</v>
          </cell>
          <cell r="H46">
            <v>1553675</v>
          </cell>
          <cell r="I46">
            <v>-1709.0954499999061</v>
          </cell>
          <cell r="J46">
            <v>-0.11000340804865277</v>
          </cell>
        </row>
        <row r="47">
          <cell r="A47">
            <v>23</v>
          </cell>
          <cell r="B47" t="str">
            <v>Penbritin capsuel 250 mg 100's</v>
          </cell>
          <cell r="C47">
            <v>163.66</v>
          </cell>
          <cell r="D47">
            <v>12.68365</v>
          </cell>
          <cell r="E47">
            <v>150.97635</v>
          </cell>
          <cell r="F47">
            <v>94125</v>
          </cell>
          <cell r="G47">
            <v>14210648.94375</v>
          </cell>
          <cell r="H47">
            <v>14072476</v>
          </cell>
          <cell r="I47">
            <v>-138172.94374999963</v>
          </cell>
          <cell r="J47">
            <v>-0.9818666150150096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_dec"/>
      <sheetName val="recon-pharma"/>
      <sheetName val="recon-cons"/>
      <sheetName val="Beecham"/>
      <sheetName val="Beecham (3)"/>
      <sheetName val="Beecham (5)"/>
      <sheetName val="Beecham Det"/>
      <sheetName val="Sheet1"/>
      <sheetName val="Sheet4"/>
      <sheetName val="Sheet5"/>
      <sheetName val="recon_pharma"/>
      <sheetName val="recon_cons"/>
      <sheetName val="Beecham_(3)"/>
      <sheetName val="Beecham_(5)"/>
      <sheetName val="Beecham_Det"/>
      <sheetName val="New A-Rept"/>
      <sheetName val="Lead"/>
      <sheetName val="Sub-Lead"/>
      <sheetName val="Short term deposit - Vendor-wis"/>
      <sheetName val="Sundry Prepayments"/>
      <sheetName val="Prepaid Insurance Calculation"/>
      <sheetName val="Prepaid Insurance 2019"/>
      <sheetName val="Prepaid Insurance"/>
      <sheetName val="Prepaid Insurance Vouching"/>
      <sheetName val="Prepayments (Verification) "/>
      <sheetName val="Prepaid Land Rentals"/>
      <sheetName val="Property Tax- Kemari"/>
      <sheetName val="Beecham_(3)1"/>
      <sheetName val="Beecham_(5)1"/>
      <sheetName val="Beecham_Det1"/>
      <sheetName val="New_A-Rept"/>
      <sheetName val="Short_term_deposit_-_Vendor-wis"/>
      <sheetName val="Sundry_Prepayments"/>
      <sheetName val="Prepaid_Insurance_Calculation"/>
      <sheetName val="Prepaid_Insurance_2019"/>
      <sheetName val="Prepaid_Insurance"/>
      <sheetName val="Prepaid_Insurance_Vouching"/>
      <sheetName val="Prepayments_(Verification)_"/>
      <sheetName val="Prepaid_Land_Rentals"/>
      <sheetName val="Property_Tax-_Kemari"/>
      <sheetName val="2005 Bridge_TPG"/>
      <sheetName val="Keys"/>
      <sheetName val="List_Loc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>
        <row r="1">
          <cell r="A1" t="str">
            <v>Pakistan Refinery Limited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_pharma"/>
      <sheetName val="recon_cons"/>
      <sheetName val="sale_dec"/>
      <sheetName val="recon-pharma"/>
      <sheetName val="recon-cons"/>
      <sheetName val="Beecham"/>
      <sheetName val="Beecham (3)"/>
      <sheetName val="Beecham (5)"/>
      <sheetName val="Beecham Det"/>
      <sheetName val="Sheet1"/>
      <sheetName val="Sheet4"/>
      <sheetName val="Sheet5"/>
      <sheetName val="Beecham_(3)"/>
      <sheetName val="Beecham_(5)"/>
      <sheetName val="Beecham_Det"/>
      <sheetName val="3_2"/>
      <sheetName val="RCM &amp; Test Plan"/>
      <sheetName val="PO created before PR"/>
      <sheetName val="Lead vs Actual time"/>
      <sheetName val="PO and PR"/>
      <sheetName val="Import"/>
      <sheetName val="Advances"/>
      <sheetName val="Payables"/>
      <sheetName val="MIS"/>
      <sheetName val="Invoice received but goods not"/>
      <sheetName val="Goods received but invoice not "/>
      <sheetName val="MRR vs MIS"/>
      <sheetName val="Open Pos"/>
      <sheetName val="Outstanding PR"/>
      <sheetName val="Quotations"/>
      <sheetName val="Suppliers Evaluation"/>
      <sheetName val="Transaction with rejected suppl"/>
      <sheetName val="Approved POs"/>
      <sheetName val="Vendor Master File"/>
      <sheetName val="Suppliers Without Bank Details"/>
      <sheetName val="Approved Vendors"/>
      <sheetName val="POs made with Approved Vendors"/>
      <sheetName val="Vendors not ncluded in ASL"/>
      <sheetName val="Beecham_(3)1"/>
      <sheetName val="Beecham_(5)1"/>
      <sheetName val="Beecham_Det1"/>
      <sheetName val="Capex Data Info"/>
      <sheetName val="HRMS Data Info"/>
      <sheetName val="General Assumption(final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>
        <row r="1">
          <cell r="B1">
            <v>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_pharma"/>
      <sheetName val="recon_cons"/>
      <sheetName val="General Assumption(final)"/>
    </sheetNames>
    <sheetDataSet>
      <sheetData sheetId="0"/>
      <sheetData sheetId="1"/>
      <sheetData sheetId="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finitions"/>
      <sheetName val="Title sheet"/>
      <sheetName val="General assumptions"/>
      <sheetName val="Detailed assumptions"/>
      <sheetName val="General instructions"/>
      <sheetName val="Detailed budget- Year 1"/>
      <sheetName val="Detailed budget- Year 2"/>
      <sheetName val="Detailed budget-Year 3, 4 and 5"/>
      <sheetName val="5 Year Budget"/>
      <sheetName val="Summary"/>
      <sheetName val="Ledger Data"/>
    </sheetNames>
    <sheetDataSet>
      <sheetData sheetId="0">
        <row r="3">
          <cell r="F3" t="str">
            <v>Human Resources</v>
          </cell>
        </row>
        <row r="4">
          <cell r="F4" t="str">
            <v>Technical &amp; Management Assistance</v>
          </cell>
        </row>
        <row r="5">
          <cell r="F5" t="str">
            <v>Training</v>
          </cell>
        </row>
        <row r="6">
          <cell r="F6" t="str">
            <v>Health Products and Health Equipment</v>
          </cell>
        </row>
        <row r="7">
          <cell r="F7" t="str">
            <v>Pharmaceutical Products (Medicines)</v>
          </cell>
        </row>
        <row r="8">
          <cell r="F8" t="str">
            <v>Procurement and Supply Management Costs (PSM)</v>
          </cell>
        </row>
        <row r="9">
          <cell r="F9" t="str">
            <v>Infrastructure and Other Equipment</v>
          </cell>
        </row>
        <row r="10">
          <cell r="F10" t="str">
            <v>Communication Materials</v>
          </cell>
        </row>
        <row r="11">
          <cell r="F11" t="str">
            <v>Monitoring and Evaluation (M&amp;E)</v>
          </cell>
        </row>
        <row r="12">
          <cell r="F12" t="str">
            <v>Living Support to Clients/Target Population</v>
          </cell>
        </row>
        <row r="13">
          <cell r="F13" t="str">
            <v>Planning and Administration</v>
          </cell>
        </row>
        <row r="14">
          <cell r="F14" t="str">
            <v>Overheads</v>
          </cell>
        </row>
        <row r="15">
          <cell r="F15" t="str">
            <v>Other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 &amp; Mapping"/>
      <sheetName val="Master File Pharma"/>
      <sheetName val="Provider Coverege"/>
      <sheetName val="old FY MIO "/>
      <sheetName val="Pharma P&amp;L Summary"/>
      <sheetName val="DB"/>
      <sheetName val="HR F.F Per"/>
      <sheetName val="HR F.F Per Summary"/>
      <sheetName val="ASM SPB"/>
      <sheetName val="TB&amp;KFW"/>
      <sheetName val="F.F Master Short"/>
      <sheetName val="F.F M_Data"/>
      <sheetName val="MIO TGT Cards 2025-26"/>
      <sheetName val="RSM Graph TGT 2025-26"/>
      <sheetName val="FY TGT Units 2025-26"/>
      <sheetName val="Pharma Enoject Incentive"/>
      <sheetName val="Pharma Enoject Summary"/>
      <sheetName val="F.F Productivity (YTD)"/>
      <sheetName val="F.F Productivity UCC (YTD)"/>
      <sheetName val="Pharma Area wise Graphs"/>
      <sheetName val="Pharma NDB"/>
      <sheetName val="Pharma CEO NDB"/>
      <sheetName val="Pharma CEO PPT"/>
      <sheetName val="ASM &amp; RSM FP &amp; NFP"/>
      <sheetName val="ASM &amp; RSM Cur &amp; YTD"/>
      <sheetName val="Pharma CNBD YTD 2025-26"/>
      <sheetName val="Pharma Area"/>
      <sheetName val="ASM Wise PNL"/>
      <sheetName val="Zahid Najmi Format"/>
      <sheetName val="Pharma Incentive"/>
      <sheetName val="Pharma Payout Summary"/>
      <sheetName val="Pharma Incentive YTD"/>
      <sheetName val="Payout Summary YTD"/>
      <sheetName val="Pharma Incentive (QTR)"/>
      <sheetName val="Pharma Payout Summary (QTR)"/>
      <sheetName val="PHARMA D.B"/>
      <sheetName val="Final ASM Feedforward"/>
      <sheetName val="New ASM Feed Back"/>
      <sheetName val="ASM Feedback"/>
      <sheetName val="Pharma Organogram 2025-26"/>
      <sheetName val="F.F Productivity"/>
      <sheetName val="B. Salaries 2025-26"/>
      <sheetName val="Last Year 2024-25"/>
      <sheetName val="Product Manager Allocation"/>
      <sheetName val="Feedback"/>
      <sheetName val="Pharma AWP vs Actual Days Spent"/>
      <sheetName val="PL - Pharma - MIO wise Sales V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>
        <row r="1">
          <cell r="A1" t="str">
            <v xml:space="preserve">  REGIONAL Targets 2025-26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2">
          <cell r="F2" t="str">
            <v>NATL-PHR-DGM</v>
          </cell>
        </row>
      </sheetData>
      <sheetData sheetId="40" refreshError="1"/>
      <sheetData sheetId="41" refreshError="1"/>
      <sheetData sheetId="42" refreshError="1"/>
      <sheetData sheetId="43">
        <row r="2">
          <cell r="B2" t="str">
            <v>Urooj Ahmed Iqbal</v>
          </cell>
        </row>
      </sheetData>
      <sheetData sheetId="44" refreshError="1"/>
      <sheetData sheetId="45" refreshError="1"/>
      <sheetData sheetId="4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TY_CYP_PI_Matrix"/>
      <sheetName val="Tehsil landscape (ORGINAL)"/>
      <sheetName val="Tehsil landscape_V"/>
      <sheetName val="Contribution"/>
      <sheetName val="Tehsil landscape_V2"/>
      <sheetName val="Forecast CYPs_V2"/>
      <sheetName val="Forecast"/>
      <sheetName val="% Allocation"/>
      <sheetName val="Sales Qty Region"/>
      <sheetName val="Sales Qty Region (2)"/>
      <sheetName val="Working_Sheet"/>
      <sheetName val="VSC_Cases"/>
      <sheetName val="Sheet1"/>
      <sheetName val="Sheet1 (2)"/>
      <sheetName val="Diff"/>
      <sheetName val="Sheet1 (3)"/>
      <sheetName val="Diff2"/>
      <sheetName val="Commodities_Purchases"/>
      <sheetName val="Cmty_LC_TC"/>
      <sheetName val="Cmty_PC_TC"/>
      <sheetName val="Cmty_RM_TC"/>
      <sheetName val="Cmty_TC_TC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4">
          <cell r="B4">
            <v>0.68999999999999984</v>
          </cell>
        </row>
        <row r="5">
          <cell r="B5">
            <v>0.31</v>
          </cell>
        </row>
        <row r="8">
          <cell r="B8">
            <v>0.16</v>
          </cell>
        </row>
        <row r="9">
          <cell r="B9">
            <v>0.46</v>
          </cell>
        </row>
        <row r="10">
          <cell r="B10">
            <v>0.38</v>
          </cell>
        </row>
        <row r="13">
          <cell r="B13">
            <v>0.86368425875022903</v>
          </cell>
        </row>
        <row r="14">
          <cell r="B14">
            <v>0</v>
          </cell>
        </row>
        <row r="15">
          <cell r="B15">
            <v>0</v>
          </cell>
        </row>
        <row r="16">
          <cell r="B16">
            <v>0.13631574124977094</v>
          </cell>
        </row>
        <row r="19">
          <cell r="B19">
            <v>0.14285714285714285</v>
          </cell>
        </row>
        <row r="20">
          <cell r="B20">
            <v>0.5714285714285714</v>
          </cell>
        </row>
        <row r="21">
          <cell r="B21">
            <v>0.2857142857142857</v>
          </cell>
        </row>
        <row r="22">
          <cell r="B22">
            <v>0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0</v>
          </cell>
        </row>
        <row r="26">
          <cell r="B26">
            <v>0.89533520371843722</v>
          </cell>
        </row>
        <row r="28">
          <cell r="B28">
            <v>0</v>
          </cell>
        </row>
        <row r="29">
          <cell r="B29">
            <v>0</v>
          </cell>
        </row>
        <row r="30">
          <cell r="B30">
            <v>0.23324664932986597</v>
          </cell>
        </row>
        <row r="31">
          <cell r="B31">
            <v>0.10002000400080016</v>
          </cell>
        </row>
        <row r="32">
          <cell r="B32">
            <v>0.46669333866773355</v>
          </cell>
        </row>
        <row r="33">
          <cell r="B33">
            <v>0.20004000800160032</v>
          </cell>
        </row>
        <row r="34">
          <cell r="B34">
            <v>0.10466479628156275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 Test Documentation"/>
      <sheetName val="Drop down"/>
      <sheetName val="Commodities_Purchases"/>
      <sheetName val="Cmty_LC_TC"/>
      <sheetName val="Cmty_PC_TC"/>
      <sheetName val="Cmty_RM_TC"/>
      <sheetName val="Cmty_TC_TC"/>
    </sheetNames>
    <sheetDataSet>
      <sheetData sheetId="0"/>
      <sheetData sheetId="1">
        <row r="7">
          <cell r="C7" t="str">
            <v>Multiple times a day</v>
          </cell>
          <cell r="G7" t="str">
            <v>Yes</v>
          </cell>
          <cell r="I7" t="str">
            <v>Low</v>
          </cell>
        </row>
        <row r="8">
          <cell r="C8" t="str">
            <v>Daily</v>
          </cell>
          <cell r="G8" t="str">
            <v>No</v>
          </cell>
          <cell r="I8" t="str">
            <v>Moderate</v>
          </cell>
        </row>
        <row r="9">
          <cell r="C9" t="str">
            <v>Weekly</v>
          </cell>
          <cell r="G9" t="str">
            <v>N/A</v>
          </cell>
          <cell r="I9" t="str">
            <v>High</v>
          </cell>
        </row>
        <row r="10">
          <cell r="C10" t="str">
            <v>Monthly</v>
          </cell>
        </row>
        <row r="11">
          <cell r="C11" t="str">
            <v>Quarterly</v>
          </cell>
        </row>
        <row r="12">
          <cell r="C12" t="str">
            <v>Annually</v>
          </cell>
        </row>
        <row r="13">
          <cell r="C13" t="str">
            <v>Other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General Assumption"/>
      <sheetName val="Sales Summary"/>
      <sheetName val="Database"/>
      <sheetName val="Sales Assumptions"/>
      <sheetName val="Sales Qty Tehsil"/>
      <sheetName val="Sales Qty Tehsil_Dist."/>
      <sheetName val="Sales Qty Tehsil_Inst."/>
      <sheetName val="Sales_Dist.UP"/>
      <sheetName val="Sales_Inst.UP"/>
      <sheetName val="Sales_Dist.%"/>
      <sheetName val="Sales_Inst.%"/>
      <sheetName val="SalesValue_Total"/>
      <sheetName val="CYP_Total"/>
      <sheetName val="Sales_Dist.Total"/>
      <sheetName val="CYP_Factor"/>
      <sheetName val="Sales_Inst.Total"/>
      <sheetName val="General Assumption(final)"/>
      <sheetName val="COGS Summary"/>
      <sheetName val="COGS_Database"/>
      <sheetName val="Commodities Summary"/>
      <sheetName val="Commodities Assumptions"/>
      <sheetName val="Commodities_Purchases"/>
      <sheetName val="Sales &amp; CYP upto Feb-14"/>
      <sheetName val="Combine Sales &amp; CYP YTD Mar-14"/>
      <sheetName val="DataSheet"/>
      <sheetName val="Cmty_TOTALCOST"/>
      <sheetName val="Cmty_RM_UC"/>
      <sheetName val="Cmty_RM_TC"/>
      <sheetName val="Cmty_PC_UC"/>
      <sheetName val="Cmty_PC_TC"/>
      <sheetName val="Cmty_LC_UC"/>
      <sheetName val="Cmty_LC_TC"/>
      <sheetName val="Cmty_TC_UC"/>
      <sheetName val="Cmty_Total_UC"/>
      <sheetName val="Cmty_TC_TC"/>
      <sheetName val="Sales&amp;Com_Diff"/>
      <sheetName val="recon_cons"/>
      <sheetName val="recon_pharm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4">
          <cell r="E4">
            <v>1</v>
          </cell>
          <cell r="J4">
            <v>7.0000000000000007E-2</v>
          </cell>
        </row>
        <row r="5">
          <cell r="J5">
            <v>0.15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oss"/>
      <sheetName val="Range Page"/>
      <sheetName val="Budget Template"/>
      <sheetName val="Summary"/>
      <sheetName val="Headquarters Costs"/>
      <sheetName val="Field Costs"/>
      <sheetName val="Headquarters &amp; Field Summary"/>
      <sheetName val="SF 424"/>
      <sheetName val="SF 424A"/>
      <sheetName val="Match Requirement"/>
      <sheetName val="Internal Budget Analysis"/>
      <sheetName val="rural CYP"/>
      <sheetName val="Budget Notes"/>
      <sheetName val="Assumptions"/>
      <sheetName val="recon_cons"/>
      <sheetName val="recon_pharma"/>
    </sheetNames>
    <sheetDataSet>
      <sheetData sheetId="0"/>
      <sheetData sheetId="1">
        <row r="4">
          <cell r="A4">
            <v>0.35</v>
          </cell>
        </row>
        <row r="7">
          <cell r="A7">
            <v>0</v>
          </cell>
        </row>
        <row r="9">
          <cell r="A9">
            <v>0</v>
          </cell>
        </row>
        <row r="10">
          <cell r="A10">
            <v>0</v>
          </cell>
        </row>
        <row r="25">
          <cell r="A25">
            <v>1</v>
          </cell>
        </row>
        <row r="26">
          <cell r="A26">
            <v>1</v>
          </cell>
        </row>
        <row r="27">
          <cell r="A27">
            <v>1</v>
          </cell>
        </row>
        <row r="28">
          <cell r="A28">
            <v>1</v>
          </cell>
        </row>
        <row r="31">
          <cell r="A31">
            <v>1.05</v>
          </cell>
        </row>
        <row r="32">
          <cell r="A32">
            <v>1.1025</v>
          </cell>
        </row>
        <row r="33">
          <cell r="A33">
            <v>1.1576250000000001</v>
          </cell>
        </row>
        <row r="34">
          <cell r="A34">
            <v>1.2155062500000002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06">
          <cell r="S406">
            <v>-1233738.4863688757</v>
          </cell>
        </row>
      </sheetData>
      <sheetData sheetId="14" refreshError="1"/>
      <sheetData sheetId="1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posal Approval Sheet"/>
      <sheetName val="Range Page"/>
      <sheetName val="Budget Template"/>
      <sheetName val="Summary"/>
      <sheetName val="SF 424"/>
      <sheetName val="SF 424A"/>
      <sheetName val="Match Requirement"/>
      <sheetName val="Internal Budget Analysis"/>
      <sheetName val="Headquarters Costs"/>
      <sheetName val="Field Costs"/>
      <sheetName val="Headquarters &amp; Field Summary"/>
      <sheetName val="recon_cons"/>
      <sheetName val="recon_pharma"/>
    </sheetNames>
    <sheetDataSet>
      <sheetData sheetId="0"/>
      <sheetData sheetId="1" refreshError="1">
        <row r="4">
          <cell r="A4">
            <v>0.39900000000000002</v>
          </cell>
        </row>
        <row r="8">
          <cell r="A8">
            <v>0</v>
          </cell>
        </row>
        <row r="9">
          <cell r="A9">
            <v>0</v>
          </cell>
        </row>
        <row r="14">
          <cell r="A14">
            <v>0</v>
          </cell>
        </row>
        <row r="15">
          <cell r="A15">
            <v>0</v>
          </cell>
        </row>
        <row r="17">
          <cell r="A17">
            <v>2.1499999999999998E-2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Performance Framework 3-5"/>
      <sheetName val="HIV"/>
      <sheetName val="TB"/>
      <sheetName val="Malaria"/>
      <sheetName val="HSS"/>
      <sheetName val="Sheet1"/>
      <sheetName val="Drop down"/>
      <sheetName val="recon_cons"/>
      <sheetName val="recon_pharma"/>
    </sheetNames>
    <sheetDataSet>
      <sheetData sheetId="0" refreshError="1"/>
      <sheetData sheetId="1" refreshError="1"/>
      <sheetData sheetId="2">
        <row r="2">
          <cell r="E2" t="str">
            <v>Please select…</v>
          </cell>
        </row>
        <row r="3">
          <cell r="E3" t="str">
            <v>HMIS</v>
          </cell>
        </row>
        <row r="4">
          <cell r="E4" t="str">
            <v>Patient records</v>
          </cell>
          <cell r="F4" t="str">
            <v>Please enter a data source here…</v>
          </cell>
        </row>
        <row r="5">
          <cell r="E5" t="str">
            <v>Training records</v>
          </cell>
        </row>
        <row r="6">
          <cell r="E6" t="str">
            <v>MICS (Multiple Indicator Cluster Survey)</v>
          </cell>
        </row>
        <row r="7">
          <cell r="E7" t="str">
            <v>DHS/DHS+ (Demographic and Health Survey)</v>
          </cell>
        </row>
        <row r="8">
          <cell r="E8" t="str">
            <v>AIS (AIDS Indicator Survey)</v>
          </cell>
        </row>
        <row r="9">
          <cell r="E9" t="str">
            <v>BSS (Behavioral Surveillance Survey)</v>
          </cell>
        </row>
        <row r="10">
          <cell r="E10" t="str">
            <v>Health Facility survey</v>
          </cell>
        </row>
        <row r="11">
          <cell r="E11" t="str">
            <v>SAMS (Service Availability Mapping Survey)</v>
          </cell>
        </row>
        <row r="12">
          <cell r="E12" t="str">
            <v>Households survey</v>
          </cell>
        </row>
        <row r="13">
          <cell r="E13" t="str">
            <v>Specific surveys and research (specify)</v>
          </cell>
        </row>
        <row r="14">
          <cell r="E14" t="str">
            <v>Reports (specify)</v>
          </cell>
        </row>
        <row r="15">
          <cell r="E15" t="str">
            <v>Vital and disease-specific registry</v>
          </cell>
        </row>
        <row r="16">
          <cell r="E16" t="str">
            <v>Operational Research</v>
          </cell>
        </row>
        <row r="17">
          <cell r="E17" t="str">
            <v>Health Provider survey</v>
          </cell>
        </row>
        <row r="18">
          <cell r="E18" t="str">
            <v>National Health Account</v>
          </cell>
        </row>
        <row r="19">
          <cell r="E19" t="str">
            <v>Administrative records</v>
          </cell>
        </row>
      </sheetData>
      <sheetData sheetId="3">
        <row r="2">
          <cell r="E2" t="str">
            <v>Please select…</v>
          </cell>
        </row>
        <row r="3">
          <cell r="E3" t="str">
            <v>R&amp;R TB system, quarterly reports</v>
          </cell>
        </row>
        <row r="4">
          <cell r="E4" t="str">
            <v xml:space="preserve">R&amp;R TB system, yearly management report </v>
          </cell>
        </row>
        <row r="5">
          <cell r="E5" t="str">
            <v>TB prevalence survey</v>
          </cell>
        </row>
        <row r="6">
          <cell r="E6" t="str">
            <v>TB patient register</v>
          </cell>
        </row>
        <row r="7">
          <cell r="E7" t="str">
            <v>TB laboratory register</v>
          </cell>
        </row>
        <row r="8">
          <cell r="E8" t="str">
            <v>TB treatment card</v>
          </cell>
        </row>
        <row r="9">
          <cell r="E9" t="str">
            <v>Training records</v>
          </cell>
        </row>
        <row r="10">
          <cell r="E10" t="str">
            <v>Specify- Reports, Surveys, Questionnaires etc.</v>
          </cell>
        </row>
        <row r="11">
          <cell r="E11" t="str">
            <v>Health Provider survey</v>
          </cell>
        </row>
        <row r="12">
          <cell r="E12" t="str">
            <v>Health Facility survey</v>
          </cell>
        </row>
        <row r="13">
          <cell r="E13" t="str">
            <v>National Health Account</v>
          </cell>
        </row>
        <row r="14">
          <cell r="E14" t="str">
            <v>Households survey</v>
          </cell>
        </row>
        <row r="15">
          <cell r="E15" t="str">
            <v>SAMS (Service Availability Mapping Survey)</v>
          </cell>
        </row>
        <row r="16">
          <cell r="E16" t="str">
            <v>Administrative records</v>
          </cell>
        </row>
      </sheetData>
      <sheetData sheetId="4">
        <row r="2">
          <cell r="E2" t="str">
            <v>Please select…</v>
          </cell>
        </row>
        <row r="3">
          <cell r="E3" t="str">
            <v>DHS/DHS+ (Demographic and Health Survey)</v>
          </cell>
        </row>
        <row r="4">
          <cell r="E4" t="str">
            <v>MIS (Malaria Indicator Survey)</v>
          </cell>
        </row>
        <row r="5">
          <cell r="E5" t="str">
            <v>MICS (Multiple Indicator Cluster Survey)</v>
          </cell>
        </row>
        <row r="6">
          <cell r="E6" t="str">
            <v>Situation Analysis</v>
          </cell>
        </row>
        <row r="7">
          <cell r="E7" t="str">
            <v>HMIS</v>
          </cell>
        </row>
        <row r="8">
          <cell r="E8" t="str">
            <v>Health Facility survey</v>
          </cell>
        </row>
        <row r="9">
          <cell r="E9" t="str">
            <v>Health Provider survey</v>
          </cell>
        </row>
        <row r="10">
          <cell r="E10" t="str">
            <v>Key informant survey</v>
          </cell>
        </row>
        <row r="11">
          <cell r="E11" t="str">
            <v>Households survey</v>
          </cell>
        </row>
        <row r="12">
          <cell r="E12" t="str">
            <v>Vital registration systems</v>
          </cell>
        </row>
        <row r="13">
          <cell r="E13" t="str">
            <v>Training records</v>
          </cell>
        </row>
        <row r="14">
          <cell r="E14" t="str">
            <v>Patients records</v>
          </cell>
        </row>
        <row r="15">
          <cell r="E15" t="str">
            <v>Surveillance systems</v>
          </cell>
        </row>
        <row r="16">
          <cell r="E16" t="str">
            <v>Other report, specify</v>
          </cell>
        </row>
        <row r="17">
          <cell r="E17" t="str">
            <v>National Health Account</v>
          </cell>
        </row>
        <row r="18">
          <cell r="E18" t="str">
            <v>SAMS (Service Availability Mapping Survey)</v>
          </cell>
        </row>
        <row r="19">
          <cell r="E19" t="str">
            <v>Other survey, specify</v>
          </cell>
        </row>
        <row r="20">
          <cell r="E20" t="str">
            <v>Administrative records</v>
          </cell>
        </row>
      </sheetData>
      <sheetData sheetId="5">
        <row r="2">
          <cell r="D2" t="str">
            <v>Please select…</v>
          </cell>
        </row>
        <row r="3">
          <cell r="D3" t="str">
            <v>HMIS</v>
          </cell>
        </row>
        <row r="4">
          <cell r="D4" t="str">
            <v>Patient records</v>
          </cell>
        </row>
        <row r="5">
          <cell r="D5" t="str">
            <v>Training records</v>
          </cell>
        </row>
        <row r="6">
          <cell r="D6" t="str">
            <v>MICS (Multiple Indicator Cluster Survey)</v>
          </cell>
        </row>
        <row r="7">
          <cell r="D7" t="str">
            <v>DHS/DHS+ (Demographic and Health Survey)</v>
          </cell>
        </row>
        <row r="8">
          <cell r="D8" t="str">
            <v>AIS (AIDS Indicator Survey)</v>
          </cell>
        </row>
        <row r="9">
          <cell r="D9" t="str">
            <v>BSS (Behavioral Surveillance Survey)</v>
          </cell>
        </row>
        <row r="10">
          <cell r="D10" t="str">
            <v>Health Facility survey</v>
          </cell>
        </row>
        <row r="11">
          <cell r="D11" t="str">
            <v>SAMS (Service Availability Mapping Survey)</v>
          </cell>
        </row>
        <row r="12">
          <cell r="D12" t="str">
            <v>Households survey</v>
          </cell>
        </row>
        <row r="13">
          <cell r="D13" t="str">
            <v>Specific surveys and research (specify)</v>
          </cell>
        </row>
        <row r="14">
          <cell r="D14" t="str">
            <v>Reports (specify)</v>
          </cell>
        </row>
        <row r="15">
          <cell r="D15" t="str">
            <v>Vital and disease-specific registry</v>
          </cell>
        </row>
        <row r="16">
          <cell r="D16" t="str">
            <v>Operational Research</v>
          </cell>
        </row>
        <row r="17">
          <cell r="D17" t="str">
            <v>Health Provider survey</v>
          </cell>
        </row>
        <row r="18">
          <cell r="D18" t="str">
            <v>National Health Account</v>
          </cell>
        </row>
        <row r="19">
          <cell r="D19" t="str">
            <v>Administrative records</v>
          </cell>
        </row>
        <row r="20">
          <cell r="D20" t="str">
            <v>R&amp;R TB system, quarterly reports</v>
          </cell>
        </row>
        <row r="21">
          <cell r="D21" t="str">
            <v xml:space="preserve">R&amp;R TB system, yearly management report </v>
          </cell>
        </row>
        <row r="22">
          <cell r="D22" t="str">
            <v>TB prevalence survey</v>
          </cell>
        </row>
        <row r="23">
          <cell r="D23" t="str">
            <v>TB patient register</v>
          </cell>
        </row>
        <row r="24">
          <cell r="D24" t="str">
            <v>TB laboratory register</v>
          </cell>
        </row>
        <row r="25">
          <cell r="D25" t="str">
            <v>TB treatment card</v>
          </cell>
        </row>
        <row r="26">
          <cell r="D26" t="str">
            <v>MIS (Malaria Indicator Survey)</v>
          </cell>
        </row>
        <row r="27">
          <cell r="D27" t="str">
            <v>Situation Analysis</v>
          </cell>
        </row>
        <row r="28">
          <cell r="D28" t="str">
            <v>Key informant survey</v>
          </cell>
        </row>
        <row r="29">
          <cell r="D29" t="str">
            <v>Patients records</v>
          </cell>
        </row>
        <row r="30">
          <cell r="D30" t="str">
            <v>Surveillance systems</v>
          </cell>
        </row>
        <row r="31">
          <cell r="D31" t="str">
            <v>Specify- Reports, Surveys, Questionnaires etc.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ministration expenses"/>
      <sheetName val="break up"/>
      <sheetName val="HIV"/>
      <sheetName val="HSS"/>
      <sheetName val="Malaria"/>
      <sheetName val="TB"/>
      <sheetName val="Input"/>
      <sheetName val="16-Avg Sales Price"/>
      <sheetName val="Notes"/>
      <sheetName val="GRADE"/>
      <sheetName val="Total"/>
      <sheetName val="lease analysis"/>
      <sheetName val="HM （ローカルスタッフ）"/>
      <sheetName val="VARIOUS DATA OF CPV_s"/>
      <sheetName val="Amortization Table"/>
      <sheetName val="Entity Information Sheet"/>
      <sheetName val="iNSPECTION"/>
      <sheetName val="Capital-US$"/>
      <sheetName val="Category C"/>
      <sheetName val="Definitions"/>
    </sheetNames>
    <sheetDataSet>
      <sheetData sheetId="0">
        <row r="1">
          <cell r="F1" t="str">
            <v>Prepared by</v>
          </cell>
        </row>
      </sheetData>
      <sheetData sheetId="1">
        <row r="1">
          <cell r="F1" t="str">
            <v>Prepared by</v>
          </cell>
        </row>
        <row r="3">
          <cell r="F3" t="str">
            <v>Reviewed by</v>
          </cell>
        </row>
        <row r="7">
          <cell r="B7" t="str">
            <v>Administrative Expenses</v>
          </cell>
        </row>
        <row r="9">
          <cell r="B9" t="str">
            <v>DESCRIPTION</v>
          </cell>
          <cell r="C9"/>
          <cell r="D9" t="str">
            <v>year ended June 30, 2005</v>
          </cell>
          <cell r="E9"/>
          <cell r="F9" t="str">
            <v>Year ended June 30, 2004</v>
          </cell>
        </row>
        <row r="10">
          <cell r="D10" t="str">
            <v>Rs</v>
          </cell>
          <cell r="E10"/>
          <cell r="F10" t="str">
            <v>Rs</v>
          </cell>
        </row>
        <row r="11">
          <cell r="B11" t="str">
            <v>Salaries and wages</v>
          </cell>
        </row>
        <row r="12">
          <cell r="B12" t="str">
            <v>Regular salaries</v>
          </cell>
          <cell r="D12">
            <v>19029584</v>
          </cell>
          <cell r="F12">
            <v>14504444</v>
          </cell>
        </row>
        <row r="13">
          <cell r="B13" t="str">
            <v>COLA</v>
          </cell>
          <cell r="D13">
            <v>0</v>
          </cell>
          <cell r="F13">
            <v>152707</v>
          </cell>
        </row>
        <row r="14">
          <cell r="B14" t="str">
            <v>Daily Allowance</v>
          </cell>
          <cell r="D14">
            <v>0</v>
          </cell>
          <cell r="F14">
            <v>215878</v>
          </cell>
        </row>
        <row r="15">
          <cell r="B15" t="str">
            <v>Overtime</v>
          </cell>
          <cell r="D15">
            <v>129055</v>
          </cell>
          <cell r="F15">
            <v>574905</v>
          </cell>
        </row>
        <row r="16">
          <cell r="B16" t="str">
            <v>Leave enchasment</v>
          </cell>
          <cell r="D16">
            <v>664242</v>
          </cell>
          <cell r="F16">
            <v>594864</v>
          </cell>
        </row>
        <row r="17">
          <cell r="B17" t="str">
            <v>Temporary salaries &amp; wages</v>
          </cell>
          <cell r="D17">
            <v>0</v>
          </cell>
          <cell r="F17">
            <v>0</v>
          </cell>
        </row>
        <row r="18">
          <cell r="B18" t="str">
            <v>Employees Medical</v>
          </cell>
          <cell r="D18">
            <v>891244</v>
          </cell>
          <cell r="F18">
            <v>1557328.82</v>
          </cell>
        </row>
        <row r="19">
          <cell r="B19" t="str">
            <v>Vision and Dental</v>
          </cell>
          <cell r="D19">
            <v>67480</v>
          </cell>
          <cell r="F19">
            <v>48943</v>
          </cell>
        </row>
        <row r="20">
          <cell r="B20" t="str">
            <v>Night Allowance</v>
          </cell>
          <cell r="D20">
            <v>7</v>
          </cell>
          <cell r="F20">
            <v>19152</v>
          </cell>
        </row>
        <row r="21">
          <cell r="B21" t="str">
            <v>Holiday Working Allowance</v>
          </cell>
          <cell r="D21">
            <v>9145</v>
          </cell>
          <cell r="F21">
            <v>57374</v>
          </cell>
        </row>
        <row r="22">
          <cell r="B22" t="str">
            <v>Special Allowances</v>
          </cell>
          <cell r="D22">
            <v>0</v>
          </cell>
          <cell r="F22">
            <v>15860</v>
          </cell>
        </row>
        <row r="23">
          <cell r="B23" t="str">
            <v>Inconvenience Allowance</v>
          </cell>
          <cell r="D23">
            <v>0</v>
          </cell>
          <cell r="F23">
            <v>0</v>
          </cell>
        </row>
        <row r="24">
          <cell r="B24" t="str">
            <v>Contract wages (Ali)</v>
          </cell>
          <cell r="D24">
            <v>349712</v>
          </cell>
          <cell r="F24">
            <v>0</v>
          </cell>
        </row>
        <row r="25">
          <cell r="B25" t="str">
            <v>Janitorial expenses</v>
          </cell>
          <cell r="D25">
            <v>38700</v>
          </cell>
          <cell r="F25">
            <v>180430</v>
          </cell>
        </row>
        <row r="26">
          <cell r="B26" t="str">
            <v>Security services</v>
          </cell>
          <cell r="D26">
            <v>555161</v>
          </cell>
          <cell r="F26">
            <v>160500</v>
          </cell>
        </row>
        <row r="27">
          <cell r="B27" t="str">
            <v>Internship expenses</v>
          </cell>
          <cell r="D27">
            <v>27133</v>
          </cell>
          <cell r="F27">
            <v>4833</v>
          </cell>
        </row>
        <row r="28">
          <cell r="B28" t="str">
            <v>Workers uniform</v>
          </cell>
          <cell r="D28">
            <v>138064.31</v>
          </cell>
          <cell r="F28">
            <v>293515.92</v>
          </cell>
        </row>
        <row r="29">
          <cell r="B29" t="str">
            <v>Processing Charges</v>
          </cell>
          <cell r="D29">
            <v>0</v>
          </cell>
          <cell r="F29">
            <v>0</v>
          </cell>
        </row>
        <row r="30">
          <cell r="B30" t="str">
            <v>Employees recruitment expenses</v>
          </cell>
          <cell r="D30">
            <v>85000</v>
          </cell>
          <cell r="F30">
            <v>0</v>
          </cell>
        </row>
        <row r="31">
          <cell r="B31" t="str">
            <v>Other adition/deletion</v>
          </cell>
          <cell r="D31">
            <v>-29345</v>
          </cell>
          <cell r="F31">
            <v>-3538</v>
          </cell>
        </row>
        <row r="32">
          <cell r="B32" t="str">
            <v>EOBI</v>
          </cell>
          <cell r="D32">
            <v>71550</v>
          </cell>
          <cell r="F32">
            <v>138100</v>
          </cell>
        </row>
        <row r="33">
          <cell r="B33" t="str">
            <v>SESSI</v>
          </cell>
          <cell r="D33">
            <v>2520</v>
          </cell>
          <cell r="F33">
            <v>64910</v>
          </cell>
        </row>
        <row r="34">
          <cell r="B34" t="str">
            <v>Employee Welfare</v>
          </cell>
          <cell r="D34">
            <v>2444482.37</v>
          </cell>
          <cell r="F34">
            <v>661025.79</v>
          </cell>
        </row>
        <row r="35">
          <cell r="B35" t="str">
            <v>Education Cess</v>
          </cell>
          <cell r="D35">
            <v>0</v>
          </cell>
          <cell r="F35">
            <v>0</v>
          </cell>
        </row>
        <row r="36">
          <cell r="B36" t="str">
            <v>Incentives to field staff</v>
          </cell>
          <cell r="D36">
            <v>10000</v>
          </cell>
        </row>
        <row r="37">
          <cell r="B37" t="str">
            <v>Rounding off difference</v>
          </cell>
          <cell r="D37">
            <v>0</v>
          </cell>
          <cell r="F37">
            <v>-2</v>
          </cell>
        </row>
        <row r="38">
          <cell r="B38" t="str">
            <v>Total</v>
          </cell>
          <cell r="D38">
            <v>24483734.68</v>
          </cell>
          <cell r="F38">
            <v>19241230.530000001</v>
          </cell>
        </row>
        <row r="41">
          <cell r="B41" t="str">
            <v>Staff Retirement Benefits</v>
          </cell>
        </row>
        <row r="42">
          <cell r="B42" t="str">
            <v>PF Contribution</v>
          </cell>
          <cell r="D42">
            <v>760687</v>
          </cell>
          <cell r="F42">
            <v>956699</v>
          </cell>
        </row>
        <row r="44">
          <cell r="B44" t="str">
            <v>Bonus</v>
          </cell>
        </row>
        <row r="45">
          <cell r="B45" t="str">
            <v>Bonus</v>
          </cell>
          <cell r="D45">
            <v>2291437</v>
          </cell>
          <cell r="F45">
            <v>4816819</v>
          </cell>
        </row>
        <row r="47">
          <cell r="B47" t="str">
            <v>Fuel &amp; Power</v>
          </cell>
        </row>
        <row r="48">
          <cell r="B48" t="str">
            <v xml:space="preserve">Electricity </v>
          </cell>
          <cell r="D48">
            <v>377427.45</v>
          </cell>
          <cell r="F48">
            <v>416548</v>
          </cell>
        </row>
        <row r="49">
          <cell r="B49" t="str">
            <v>Gas</v>
          </cell>
          <cell r="D49">
            <v>1454</v>
          </cell>
          <cell r="F49">
            <v>43229</v>
          </cell>
        </row>
        <row r="50">
          <cell r="B50" t="str">
            <v>Generator expenses</v>
          </cell>
          <cell r="D50">
            <v>12852.8</v>
          </cell>
          <cell r="F50">
            <v>4500</v>
          </cell>
        </row>
        <row r="51">
          <cell r="B51" t="str">
            <v>Water</v>
          </cell>
          <cell r="D51">
            <v>104535</v>
          </cell>
          <cell r="F51">
            <v>62616</v>
          </cell>
        </row>
        <row r="52">
          <cell r="D52">
            <v>496269.25</v>
          </cell>
          <cell r="F52">
            <v>526893</v>
          </cell>
        </row>
        <row r="54">
          <cell r="B54" t="str">
            <v>Repairs &amp; maintenance</v>
          </cell>
        </row>
        <row r="55">
          <cell r="B55" t="str">
            <v>Consumable stores</v>
          </cell>
          <cell r="D55">
            <v>43054.35</v>
          </cell>
          <cell r="F55">
            <v>32050</v>
          </cell>
        </row>
        <row r="56">
          <cell r="B56" t="str">
            <v>Repairs mechanical</v>
          </cell>
          <cell r="D56">
            <v>25966</v>
          </cell>
          <cell r="F56">
            <v>51979</v>
          </cell>
        </row>
        <row r="57">
          <cell r="B57" t="str">
            <v>Repairs Electrical</v>
          </cell>
          <cell r="D57">
            <v>53826</v>
          </cell>
          <cell r="F57">
            <v>13394</v>
          </cell>
        </row>
        <row r="58">
          <cell r="B58" t="str">
            <v>Repairs Electronics</v>
          </cell>
          <cell r="D58">
            <v>1044146</v>
          </cell>
          <cell r="F58">
            <v>881263.15</v>
          </cell>
        </row>
        <row r="59">
          <cell r="B59" t="str">
            <v>Repairs Buildings</v>
          </cell>
          <cell r="D59">
            <v>177104</v>
          </cell>
          <cell r="F59">
            <v>33517</v>
          </cell>
        </row>
        <row r="60">
          <cell r="B60" t="str">
            <v>Repair furniture</v>
          </cell>
          <cell r="D60">
            <v>162968</v>
          </cell>
          <cell r="F60">
            <v>35926</v>
          </cell>
        </row>
        <row r="61">
          <cell r="B61" t="str">
            <v>Repairs Others</v>
          </cell>
          <cell r="D61">
            <v>3355699.04</v>
          </cell>
          <cell r="F61">
            <v>907380.28</v>
          </cell>
        </row>
        <row r="62">
          <cell r="B62" t="str">
            <v>Scala support/Maintenance</v>
          </cell>
          <cell r="D62">
            <v>0</v>
          </cell>
          <cell r="F62">
            <v>7354</v>
          </cell>
        </row>
        <row r="63">
          <cell r="D63">
            <v>4862763.3900000006</v>
          </cell>
          <cell r="F63">
            <v>1962863.4300000002</v>
          </cell>
        </row>
        <row r="65">
          <cell r="B65" t="str">
            <v>Insurance</v>
          </cell>
        </row>
        <row r="66">
          <cell r="B66" t="str">
            <v>Vehicle Insurance</v>
          </cell>
          <cell r="D66">
            <v>380135</v>
          </cell>
          <cell r="F66">
            <v>468126</v>
          </cell>
        </row>
        <row r="67">
          <cell r="B67" t="str">
            <v>Fire Insurance</v>
          </cell>
          <cell r="D67">
            <v>63417</v>
          </cell>
          <cell r="F67">
            <v>0</v>
          </cell>
        </row>
        <row r="68">
          <cell r="B68" t="str">
            <v>Group life Insurance</v>
          </cell>
          <cell r="D68">
            <v>75273.36</v>
          </cell>
          <cell r="F68">
            <v>119966.1</v>
          </cell>
        </row>
        <row r="69">
          <cell r="B69" t="str">
            <v>Insurance expense other</v>
          </cell>
          <cell r="D69">
            <v>154453</v>
          </cell>
          <cell r="F69">
            <v>186939.6</v>
          </cell>
        </row>
        <row r="70">
          <cell r="D70">
            <v>673278.36</v>
          </cell>
          <cell r="F70">
            <v>775031.7</v>
          </cell>
        </row>
        <row r="72">
          <cell r="B72" t="str">
            <v>Depreciation</v>
          </cell>
        </row>
        <row r="73">
          <cell r="B73" t="str">
            <v xml:space="preserve">Building </v>
          </cell>
          <cell r="D73">
            <v>33841</v>
          </cell>
          <cell r="F73">
            <v>-3387</v>
          </cell>
        </row>
        <row r="74">
          <cell r="B74" t="str">
            <v xml:space="preserve">Plant &amp; Machinery </v>
          </cell>
          <cell r="D74">
            <v>0</v>
          </cell>
          <cell r="F74">
            <v>1959</v>
          </cell>
        </row>
        <row r="75">
          <cell r="B75" t="str">
            <v>Plant &amp; Equipment-general</v>
          </cell>
          <cell r="D75">
            <v>34462</v>
          </cell>
          <cell r="F75">
            <v>46178</v>
          </cell>
        </row>
        <row r="76">
          <cell r="B76" t="str">
            <v>Office Equipment</v>
          </cell>
          <cell r="D76">
            <v>225480</v>
          </cell>
          <cell r="F76">
            <v>794351</v>
          </cell>
        </row>
        <row r="77">
          <cell r="B77" t="str">
            <v>Furniture &amp; fixture</v>
          </cell>
          <cell r="D77">
            <v>137981</v>
          </cell>
          <cell r="F77">
            <v>144897</v>
          </cell>
        </row>
        <row r="78">
          <cell r="B78" t="str">
            <v>Motor vehicles</v>
          </cell>
          <cell r="D78">
            <v>1483123</v>
          </cell>
          <cell r="F78">
            <v>835147</v>
          </cell>
        </row>
        <row r="79">
          <cell r="B79" t="str">
            <v>Lab Equipment</v>
          </cell>
          <cell r="D79">
            <v>0</v>
          </cell>
          <cell r="F79">
            <v>13</v>
          </cell>
        </row>
        <row r="80">
          <cell r="B80" t="str">
            <v>PC &amp; Softwares</v>
          </cell>
          <cell r="D80">
            <v>1977586</v>
          </cell>
          <cell r="F80">
            <v>1721200</v>
          </cell>
        </row>
        <row r="81">
          <cell r="B81" t="str">
            <v>Leased assets</v>
          </cell>
          <cell r="D81">
            <v>0</v>
          </cell>
          <cell r="F81">
            <v>105462</v>
          </cell>
        </row>
        <row r="82">
          <cell r="B82" t="str">
            <v>Dep Leased assets</v>
          </cell>
          <cell r="D82">
            <v>0</v>
          </cell>
          <cell r="F82">
            <v>-32686</v>
          </cell>
        </row>
        <row r="83">
          <cell r="B83" t="str">
            <v>Rounding off interest</v>
          </cell>
          <cell r="D83">
            <v>0</v>
          </cell>
          <cell r="F83">
            <v>-1</v>
          </cell>
        </row>
        <row r="84">
          <cell r="D84">
            <v>3892473</v>
          </cell>
          <cell r="F84">
            <v>3613133</v>
          </cell>
        </row>
        <row r="86">
          <cell r="B86" t="str">
            <v>Rent, rates and taxes</v>
          </cell>
        </row>
        <row r="87">
          <cell r="B87" t="str">
            <v>Rent, rates and taxes</v>
          </cell>
          <cell r="D87">
            <v>547920</v>
          </cell>
          <cell r="F87">
            <v>569044</v>
          </cell>
        </row>
        <row r="89">
          <cell r="B89" t="str">
            <v>Entertainment</v>
          </cell>
        </row>
        <row r="90">
          <cell r="B90" t="str">
            <v>Entertainment</v>
          </cell>
          <cell r="D90">
            <v>216031</v>
          </cell>
          <cell r="F90">
            <v>287898</v>
          </cell>
        </row>
        <row r="92">
          <cell r="B92" t="str">
            <v xml:space="preserve">Subscription,Scholarships </v>
          </cell>
        </row>
        <row r="93">
          <cell r="B93" t="str">
            <v>News Papers and Periodicals</v>
          </cell>
          <cell r="D93">
            <v>22935</v>
          </cell>
          <cell r="F93">
            <v>24567</v>
          </cell>
        </row>
        <row r="94">
          <cell r="B94" t="str">
            <v>Subscription expenses</v>
          </cell>
          <cell r="D94">
            <v>57416</v>
          </cell>
          <cell r="F94">
            <v>228511</v>
          </cell>
        </row>
        <row r="95">
          <cell r="B95" t="str">
            <v>Courses &amp; Seminar expenses</v>
          </cell>
          <cell r="D95">
            <v>350896</v>
          </cell>
          <cell r="F95">
            <v>46245</v>
          </cell>
        </row>
        <row r="96">
          <cell r="B96" t="str">
            <v>Fee and Subscription</v>
          </cell>
          <cell r="D96">
            <v>12000</v>
          </cell>
          <cell r="F96">
            <v>20200</v>
          </cell>
        </row>
        <row r="97">
          <cell r="B97" t="str">
            <v>Educational Expenses</v>
          </cell>
          <cell r="D97">
            <v>0</v>
          </cell>
          <cell r="F97">
            <v>5630</v>
          </cell>
        </row>
        <row r="98">
          <cell r="D98">
            <v>443247</v>
          </cell>
          <cell r="F98">
            <v>325153</v>
          </cell>
        </row>
        <row r="100">
          <cell r="B100" t="str">
            <v>Meeting &amp; Allied Expenses</v>
          </cell>
        </row>
        <row r="101">
          <cell r="B101" t="str">
            <v>Meeting attendance fee</v>
          </cell>
          <cell r="D101">
            <v>11000</v>
          </cell>
          <cell r="F101">
            <v>23800</v>
          </cell>
        </row>
        <row r="102">
          <cell r="B102" t="str">
            <v>Registrar Services</v>
          </cell>
          <cell r="D102">
            <v>126524.55</v>
          </cell>
          <cell r="F102">
            <v>43067</v>
          </cell>
        </row>
        <row r="103">
          <cell r="B103" t="str">
            <v>Sales conference expenses</v>
          </cell>
          <cell r="D103">
            <v>300</v>
          </cell>
          <cell r="F103">
            <v>0</v>
          </cell>
        </row>
        <row r="104">
          <cell r="B104" t="str">
            <v>Meetings &amp; Function expenses</v>
          </cell>
          <cell r="D104">
            <v>16050</v>
          </cell>
          <cell r="F104">
            <v>47002</v>
          </cell>
        </row>
        <row r="105">
          <cell r="B105" t="str">
            <v>AGM expenses</v>
          </cell>
          <cell r="D105">
            <v>55610</v>
          </cell>
          <cell r="F105">
            <v>127915.05</v>
          </cell>
        </row>
        <row r="106">
          <cell r="D106">
            <v>209484.55</v>
          </cell>
          <cell r="F106">
            <v>241784.05</v>
          </cell>
        </row>
        <row r="108">
          <cell r="B108" t="str">
            <v xml:space="preserve">Traveling &amp; Vehicle running expenses </v>
          </cell>
        </row>
        <row r="109">
          <cell r="B109" t="str">
            <v>Traveling</v>
          </cell>
          <cell r="D109">
            <v>41654</v>
          </cell>
          <cell r="F109">
            <v>30134</v>
          </cell>
        </row>
        <row r="110">
          <cell r="B110" t="str">
            <v>Motor Vehicle running</v>
          </cell>
          <cell r="D110">
            <v>1940280</v>
          </cell>
          <cell r="F110">
            <v>1319920</v>
          </cell>
        </row>
        <row r="111">
          <cell r="B111" t="str">
            <v>Motor Vehicle running expense</v>
          </cell>
          <cell r="D111">
            <v>2141891.21</v>
          </cell>
          <cell r="F111">
            <v>710165.61</v>
          </cell>
        </row>
        <row r="112">
          <cell r="B112" t="str">
            <v xml:space="preserve">Conveyance </v>
          </cell>
          <cell r="D112">
            <v>28226</v>
          </cell>
          <cell r="F112">
            <v>12553</v>
          </cell>
        </row>
        <row r="113">
          <cell r="B113" t="str">
            <v>Transportation Charges</v>
          </cell>
          <cell r="D113">
            <v>27755</v>
          </cell>
          <cell r="F113">
            <v>43141</v>
          </cell>
        </row>
        <row r="114">
          <cell r="B114" t="str">
            <v>Travelling Expense</v>
          </cell>
          <cell r="D114">
            <v>1860092.25</v>
          </cell>
          <cell r="F114">
            <v>404376.75</v>
          </cell>
        </row>
        <row r="115">
          <cell r="B115" t="str">
            <v>Indirect Transport charges</v>
          </cell>
          <cell r="D115">
            <v>12785</v>
          </cell>
        </row>
        <row r="116">
          <cell r="D116">
            <v>6052683.46</v>
          </cell>
          <cell r="F116">
            <v>2520290.36</v>
          </cell>
        </row>
        <row r="119">
          <cell r="B119" t="str">
            <v>Postage,Telegram and Telephone</v>
          </cell>
        </row>
        <row r="120">
          <cell r="B120" t="str">
            <v xml:space="preserve">Telephone </v>
          </cell>
          <cell r="D120">
            <v>545560</v>
          </cell>
          <cell r="F120">
            <v>556443.16</v>
          </cell>
        </row>
        <row r="121">
          <cell r="B121" t="str">
            <v>Mobile</v>
          </cell>
          <cell r="D121">
            <v>771301</v>
          </cell>
          <cell r="F121">
            <v>577529</v>
          </cell>
        </row>
        <row r="122">
          <cell r="B122" t="str">
            <v>Internet Expenses</v>
          </cell>
          <cell r="D122">
            <v>914578</v>
          </cell>
          <cell r="F122">
            <v>614238</v>
          </cell>
        </row>
        <row r="123">
          <cell r="B123" t="str">
            <v>Fax</v>
          </cell>
          <cell r="D123">
            <v>0</v>
          </cell>
          <cell r="F123">
            <v>400</v>
          </cell>
        </row>
        <row r="124">
          <cell r="B124" t="str">
            <v>Phone card/mobile/tel expense</v>
          </cell>
          <cell r="D124">
            <v>24000</v>
          </cell>
          <cell r="F124">
            <v>10737</v>
          </cell>
        </row>
        <row r="125">
          <cell r="B125" t="str">
            <v>Postage</v>
          </cell>
          <cell r="D125">
            <v>68878</v>
          </cell>
          <cell r="F125">
            <v>71374</v>
          </cell>
        </row>
        <row r="126">
          <cell r="D126">
            <v>2324317</v>
          </cell>
          <cell r="F126">
            <v>1830721.1600000001</v>
          </cell>
        </row>
        <row r="128">
          <cell r="B128" t="str">
            <v>Printing &amp; Stationery</v>
          </cell>
        </row>
        <row r="129">
          <cell r="B129" t="str">
            <v>Printing &amp; Stationery</v>
          </cell>
          <cell r="D129">
            <v>1054774.0900000001</v>
          </cell>
          <cell r="F129">
            <v>978767.48</v>
          </cell>
        </row>
        <row r="130">
          <cell r="B130" t="str">
            <v>General Advertisement</v>
          </cell>
          <cell r="D130">
            <v>94134</v>
          </cell>
          <cell r="F130">
            <v>401240</v>
          </cell>
        </row>
        <row r="131">
          <cell r="B131" t="str">
            <v>Rounding off difference</v>
          </cell>
          <cell r="D131">
            <v>0</v>
          </cell>
          <cell r="F131">
            <v>2</v>
          </cell>
        </row>
        <row r="132">
          <cell r="D132">
            <v>1148908.0900000001</v>
          </cell>
          <cell r="F132">
            <v>1380009.48</v>
          </cell>
        </row>
        <row r="134">
          <cell r="B134" t="str">
            <v>Laboratory Expenses</v>
          </cell>
        </row>
        <row r="135">
          <cell r="B135" t="str">
            <v>Reasearch and Development</v>
          </cell>
          <cell r="D135">
            <v>43971</v>
          </cell>
          <cell r="F135">
            <v>10322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posal Approval Sheet"/>
      <sheetName val="Range Page"/>
      <sheetName val="Budget Template"/>
      <sheetName val="Summary"/>
      <sheetName val="Match Requirement"/>
      <sheetName val="Internal Budget Analysis"/>
      <sheetName val="% Allocation"/>
    </sheetNames>
    <sheetDataSet>
      <sheetData sheetId="0" refreshError="1"/>
      <sheetData sheetId="1" refreshError="1">
        <row r="17">
          <cell r="A17">
            <v>0</v>
          </cell>
        </row>
        <row r="18">
          <cell r="A18">
            <v>0</v>
          </cell>
        </row>
        <row r="19">
          <cell r="A19">
            <v>0</v>
          </cell>
        </row>
        <row r="20">
          <cell r="A20">
            <v>0</v>
          </cell>
        </row>
        <row r="21">
          <cell r="A21">
            <v>0</v>
          </cell>
        </row>
        <row r="22">
          <cell r="A22">
            <v>0</v>
          </cell>
        </row>
        <row r="26">
          <cell r="A26">
            <v>0.03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0 CHO with NTP-R8 salaries"/>
      <sheetName val="workplan -Y-1"/>
      <sheetName val="Worplan -Y-2"/>
      <sheetName val="TB Obj wise summary"/>
      <sheetName val="GF Detail - Year 1-Discard"/>
      <sheetName val="GF Detail - Year 2-Discard"/>
      <sheetName val="Range Page"/>
      <sheetName val="Objective 3-Discard"/>
      <sheetName val="Objective 4-Discard"/>
      <sheetName val="Objective 5-Discard"/>
      <sheetName val="Instructions-Discard"/>
      <sheetName val="GF Detail - Year 3,4,5-Discard"/>
      <sheetName val="TB Obj SDA Summary-Discard"/>
      <sheetName val="5 Year Budget"/>
      <sheetName val="OH Calculation"/>
      <sheetName val="Match Requirement"/>
      <sheetName val="Advance Payment Calculator"/>
      <sheetName val="% Alloc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P9"/>
      <sheetName val="P10"/>
      <sheetName val="P11"/>
      <sheetName val="P12"/>
      <sheetName val="P13"/>
      <sheetName val="P14"/>
      <sheetName val="P15"/>
      <sheetName val="P16"/>
      <sheetName val="P17"/>
      <sheetName val="P18"/>
      <sheetName val="P19"/>
      <sheetName val="P20"/>
      <sheetName val="GS Performance Framework 3-5"/>
      <sheetName val="HIV"/>
      <sheetName val="TB"/>
      <sheetName val="Malaria"/>
      <sheetName val="HSS"/>
      <sheetName val="Sheet1"/>
      <sheetName val="Range Page"/>
      <sheetName val="Drop 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>
        <row r="2">
          <cell r="A2" t="str">
            <v>Please select…</v>
          </cell>
          <cell r="B2" t="str">
            <v>Please select…</v>
          </cell>
          <cell r="D2" t="str">
            <v>Please select…</v>
          </cell>
        </row>
        <row r="3">
          <cell r="A3" t="str">
            <v>BCC - Mass media</v>
          </cell>
          <cell r="B3" t="str">
            <v xml:space="preserve">% of young women and men aged 15-24 who are HIV infected </v>
          </cell>
          <cell r="D3" t="str">
            <v xml:space="preserve">% of women and men aged 15-49 who have had sexual intercourse with more than one partner in the last 12 months </v>
          </cell>
          <cell r="G3" t="str">
            <v>Not top 10</v>
          </cell>
        </row>
        <row r="4">
          <cell r="A4" t="str">
            <v>BCC - community outreach and schools</v>
          </cell>
          <cell r="B4" t="str">
            <v xml:space="preserve">% of adults and children with HIV known to be on treatment 12 months after initiation of antiretroviral therapy </v>
          </cell>
          <cell r="D4" t="str">
            <v>% of never married young men and women aged 15-24 who have never had sex</v>
          </cell>
          <cell r="G4" t="str">
            <v>Top 10 equivalent</v>
          </cell>
        </row>
        <row r="5">
          <cell r="A5" t="str">
            <v xml:space="preserve">Condom </v>
          </cell>
          <cell r="B5" t="str">
            <v xml:space="preserve">% of infants born to HIV infected mothers who are infected </v>
          </cell>
          <cell r="D5" t="str">
            <v xml:space="preserve">% of young women and men aged 15-24 who have had sexual intercourse before the age of 15 </v>
          </cell>
          <cell r="F5" t="str">
            <v>Please enter a SDA here…</v>
          </cell>
          <cell r="G5" t="str">
            <v>Antimalarial treatment: ACT &amp; Non ACT</v>
          </cell>
        </row>
        <row r="6">
          <cell r="A6" t="str">
            <v>Testing and Counseling</v>
          </cell>
          <cell r="B6" t="str">
            <v xml:space="preserve">% of most-at-risk population(s) (sex workers, clients of sex workers, men who have sex with men, injecting drug users) who are HIV infected </v>
          </cell>
          <cell r="D6" t="str">
            <v xml:space="preserve">% of injecting drug users reporting the use of sterile injecting equipment the last time they injected </v>
          </cell>
          <cell r="G6" t="str">
            <v>Antimalarial treatment: Non ACT</v>
          </cell>
        </row>
        <row r="7">
          <cell r="A7" t="str">
            <v>PMTCT</v>
          </cell>
          <cell r="B7" t="str">
            <v>% of children under age 18 who are orphans</v>
          </cell>
          <cell r="D7" t="str">
            <v xml:space="preserve">% of injecting drug users reporting the use of a condom the last time they had sexual intercourse </v>
          </cell>
          <cell r="G7" t="str">
            <v>Antimalarial treatment: People reached with ACT</v>
          </cell>
        </row>
        <row r="8">
          <cell r="A8" t="str">
            <v>Post-exposure prophylaxis (PEP)</v>
          </cell>
          <cell r="D8" t="str">
            <v>Current school attendance among orphans and non-orphans</v>
          </cell>
          <cell r="G8" t="str">
            <v>Antimalarial treatment: Therapy undefined</v>
          </cell>
        </row>
        <row r="9">
          <cell r="A9" t="str">
            <v>STI diagnosis and treatment</v>
          </cell>
          <cell r="D9" t="str">
            <v>% of women and men aged 15-49 who have had more than one sexual partner in the past 12 months reporting the use of a condom during their last sexual intercourse</v>
          </cell>
          <cell r="G9" t="str">
            <v>Condoms distributed</v>
          </cell>
        </row>
        <row r="10">
          <cell r="A10" t="str">
            <v>Blood safety and universal precaution</v>
          </cell>
          <cell r="D10" t="str">
            <v xml:space="preserve">% of women and men aged 15-49 expressing accepting attitudes towards people with HIV </v>
          </cell>
          <cell r="G10" t="str">
            <v>DOTS: People on DOTS (detection)</v>
          </cell>
        </row>
        <row r="11">
          <cell r="A11" t="str">
            <v>Antiretroviral treatment (ARV) and monitoring</v>
          </cell>
          <cell r="D11" t="str">
            <v xml:space="preserve">% of female and male sex workers reporting the use of a condom with their most recent client </v>
          </cell>
          <cell r="G11" t="str">
            <v>DOTS: People on MDR-TB</v>
          </cell>
        </row>
        <row r="12">
          <cell r="A12" t="str">
            <v>Prophylaxis and treatment for opportunistic infections</v>
          </cell>
          <cell r="D12" t="str">
            <v xml:space="preserve">% of men aged 15-49 reporting sex with a sex worker in the last 12 months who used a condom during last paid intercourse </v>
          </cell>
          <cell r="G12" t="str">
            <v>DOTS: TB cases successfully treated</v>
          </cell>
        </row>
        <row r="13">
          <cell r="A13" t="str">
            <v>Care and support for the chronically ill</v>
          </cell>
          <cell r="D13" t="str">
            <v xml:space="preserve">% of men reporting the use of condom the last time they had anal sex with a male partner </v>
          </cell>
          <cell r="G13" t="str">
            <v>HIV associated infections: People receiving treatment for STIs</v>
          </cell>
        </row>
        <row r="14">
          <cell r="A14" t="str">
            <v>Support for orphans and vulnerable children</v>
          </cell>
          <cell r="G14" t="str">
            <v>HIV associated infections: People receiving treatment for TB/HIV</v>
          </cell>
        </row>
        <row r="15">
          <cell r="A15" t="str">
            <v>TB/HIV</v>
          </cell>
          <cell r="G15" t="str">
            <v>Malaria prevention: ITN distributed</v>
          </cell>
        </row>
        <row r="16">
          <cell r="A16" t="str">
            <v>Policy development including workplace policy</v>
          </cell>
          <cell r="G16" t="str">
            <v>Malaria prevention: LLN distributed</v>
          </cell>
        </row>
        <row r="17">
          <cell r="A17" t="str">
            <v xml:space="preserve">Strengthening of civil society and institutional capacity building </v>
          </cell>
          <cell r="G17" t="str">
            <v>Malaria prevention: Structures covered by Indoor Residual Spraying</v>
          </cell>
        </row>
        <row r="18">
          <cell r="A18" t="str">
            <v>Stigma reduction in all settings</v>
          </cell>
          <cell r="G18" t="str">
            <v>Outreach: BCC</v>
          </cell>
        </row>
        <row r="19">
          <cell r="A19" t="str">
            <v>HSS: Service delivery</v>
          </cell>
          <cell r="G19" t="str">
            <v>Outreach: Orphans – external support</v>
          </cell>
        </row>
        <row r="20">
          <cell r="A20" t="str">
            <v>HSS: Health Workforce</v>
          </cell>
          <cell r="G20" t="str">
            <v>Outreach: People receiving care &amp; support</v>
          </cell>
        </row>
        <row r="21">
          <cell r="A21" t="str">
            <v>HSS: Medical Products, vaccines and technology</v>
          </cell>
          <cell r="G21" t="str">
            <v>Outreach: Special groups</v>
          </cell>
        </row>
        <row r="22">
          <cell r="A22" t="str">
            <v>HSS: Financing</v>
          </cell>
          <cell r="G22" t="str">
            <v>People on ARVs</v>
          </cell>
        </row>
        <row r="23">
          <cell r="A23" t="str">
            <v>HSS: Leadership and Governance</v>
          </cell>
          <cell r="G23" t="str">
            <v>People reached with HIV Counseling and Testing</v>
          </cell>
        </row>
        <row r="24">
          <cell r="A24" t="str">
            <v xml:space="preserve">HSS: Information system </v>
          </cell>
          <cell r="G24" t="str">
            <v>People reached with PMTCT</v>
          </cell>
        </row>
        <row r="25">
          <cell r="A25" t="str">
            <v>CSS: Monitoring and documentation of community and government interventions</v>
          </cell>
          <cell r="G25" t="str">
            <v>Training: Community</v>
          </cell>
        </row>
        <row r="26">
          <cell r="A26" t="str">
            <v xml:space="preserve">CSS: Advocacy, communication and social mobilization </v>
          </cell>
          <cell r="G26" t="str">
            <v>Training: Health</v>
          </cell>
        </row>
        <row r="27">
          <cell r="A27" t="str">
            <v xml:space="preserve">CSS: Building community linkages, collaboration and coordination </v>
          </cell>
          <cell r="G27" t="str">
            <v>Training: Health &amp; Community</v>
          </cell>
        </row>
        <row r="28">
          <cell r="A28" t="str">
            <v xml:space="preserve">CSS: Human resources: skills building for service delivery, advocacy and leadership </v>
          </cell>
          <cell r="G28" t="str">
            <v>Training: Other</v>
          </cell>
        </row>
        <row r="29">
          <cell r="A29" t="str">
            <v xml:space="preserve">CSS: Financial resources </v>
          </cell>
          <cell r="G29" t="str">
            <v>Training: Undefined</v>
          </cell>
        </row>
        <row r="30">
          <cell r="A30" t="str">
            <v>CSS: Material resources - infrastructure and essential commodities (including medical and other products &amp; technologies)</v>
          </cell>
        </row>
        <row r="31">
          <cell r="A31" t="str">
            <v xml:space="preserve">CSS: Community based activities and services - delivery, use and quality </v>
          </cell>
        </row>
        <row r="32">
          <cell r="A32" t="str">
            <v xml:space="preserve">CSS: Management, accountability and leadership </v>
          </cell>
        </row>
        <row r="33">
          <cell r="A33" t="str">
            <v xml:space="preserve">CSS: Monitoring &amp; evaluation, evidence-building </v>
          </cell>
        </row>
        <row r="34">
          <cell r="A34" t="str">
            <v xml:space="preserve">CSS: Strategic planning </v>
          </cell>
        </row>
      </sheetData>
      <sheetData sheetId="15">
        <row r="2">
          <cell r="A2" t="str">
            <v>Please select…</v>
          </cell>
          <cell r="B2" t="str">
            <v>Please select…</v>
          </cell>
          <cell r="D2" t="str">
            <v>Please select…</v>
          </cell>
        </row>
        <row r="3">
          <cell r="A3" t="str">
            <v>High Quality DOTS</v>
          </cell>
          <cell r="B3" t="str">
            <v>TB prevalence rate</v>
          </cell>
          <cell r="D3" t="str">
            <v>Notification rate:  new smear positive TB cases</v>
          </cell>
        </row>
        <row r="4">
          <cell r="A4" t="str">
            <v>Improving diagnosis</v>
          </cell>
          <cell r="B4" t="str">
            <v>TB incidence rate</v>
          </cell>
          <cell r="D4" t="str">
            <v>Notification rate:  all forms TB cases</v>
          </cell>
        </row>
        <row r="5">
          <cell r="A5" t="str">
            <v xml:space="preserve">Patient support </v>
          </cell>
          <cell r="B5" t="str">
            <v>TB mortality rate</v>
          </cell>
          <cell r="D5" t="str">
            <v>Case detection rate: new smear positive TB cases</v>
          </cell>
        </row>
        <row r="6">
          <cell r="A6" t="str">
            <v xml:space="preserve">Procurement and supply management (First line drugs) </v>
          </cell>
          <cell r="D6" t="str">
            <v>Treatment success rate: new smear positive TB cases</v>
          </cell>
        </row>
        <row r="7">
          <cell r="A7" t="str">
            <v>M&amp;E</v>
          </cell>
        </row>
        <row r="8">
          <cell r="A8" t="str">
            <v>TB/HIV</v>
          </cell>
        </row>
        <row r="9">
          <cell r="A9" t="str">
            <v>MDR-TB</v>
          </cell>
        </row>
        <row r="10">
          <cell r="A10" t="str">
            <v xml:space="preserve">High-risk groups </v>
          </cell>
        </row>
        <row r="11">
          <cell r="A11" t="str">
            <v>Infection control</v>
          </cell>
        </row>
        <row r="12">
          <cell r="A12" t="str">
            <v>PAL (Practical Approach to Lung Health)</v>
          </cell>
        </row>
        <row r="13">
          <cell r="A13" t="str">
            <v>All care providers (PPM / ISTC - Public-Public, Public-Private Mix (PPM) approaches and International standards for TB care)</v>
          </cell>
        </row>
        <row r="14">
          <cell r="A14" t="str">
            <v xml:space="preserve">ACSM (Advocacy, communication and social mobilization) </v>
          </cell>
        </row>
        <row r="15">
          <cell r="A15" t="str">
            <v xml:space="preserve">Community TB care </v>
          </cell>
        </row>
        <row r="16">
          <cell r="A16" t="str">
            <v>Operational Research</v>
          </cell>
        </row>
        <row r="17">
          <cell r="A17" t="str">
            <v>HSS: Service delivery</v>
          </cell>
        </row>
        <row r="18">
          <cell r="A18" t="str">
            <v>HSS:  Health Workforce</v>
          </cell>
        </row>
        <row r="19">
          <cell r="A19" t="str">
            <v>HSS:  Medical Products, Vaccines and Technology</v>
          </cell>
        </row>
        <row r="20">
          <cell r="A20" t="str">
            <v>HSS:  Financing</v>
          </cell>
        </row>
        <row r="21">
          <cell r="A21" t="str">
            <v>HSS:  Information System</v>
          </cell>
        </row>
        <row r="22">
          <cell r="A22" t="str">
            <v>HSS:  Leadership and Goverance</v>
          </cell>
        </row>
        <row r="23">
          <cell r="A23" t="str">
            <v>CSS: Monitoring and documentation of community and government interventions</v>
          </cell>
        </row>
        <row r="24">
          <cell r="A24" t="str">
            <v xml:space="preserve">CSS: Advocacy, communication and social mobilization </v>
          </cell>
        </row>
        <row r="25">
          <cell r="A25" t="str">
            <v xml:space="preserve">CSS: Building community linkages, collaboration and coordination </v>
          </cell>
        </row>
        <row r="26">
          <cell r="A26" t="str">
            <v xml:space="preserve">CSS: Human resources: skills building for service delivery, advocacy and leadership </v>
          </cell>
        </row>
        <row r="27">
          <cell r="A27" t="str">
            <v xml:space="preserve">CSS: Financial resources </v>
          </cell>
        </row>
        <row r="28">
          <cell r="A28" t="str">
            <v>CSS: Material resources - infrastructure and essential commodities (including medical and other products &amp; technologies)</v>
          </cell>
        </row>
        <row r="29">
          <cell r="A29" t="str">
            <v xml:space="preserve">CSS: Community based activities and services - delivery, use and quality </v>
          </cell>
        </row>
        <row r="30">
          <cell r="A30" t="str">
            <v xml:space="preserve">CSS: Management, accountability and leadership </v>
          </cell>
        </row>
        <row r="31">
          <cell r="A31" t="str">
            <v xml:space="preserve">CSS: Monitoring &amp; evaluation, evidence-building </v>
          </cell>
        </row>
        <row r="32">
          <cell r="A32" t="str">
            <v xml:space="preserve">CSS: Strategic planning </v>
          </cell>
        </row>
      </sheetData>
      <sheetData sheetId="16">
        <row r="2">
          <cell r="A2" t="str">
            <v>Please select…</v>
          </cell>
          <cell r="B2" t="str">
            <v>Please select…</v>
          </cell>
          <cell r="D2" t="str">
            <v>Please select…</v>
          </cell>
        </row>
        <row r="3">
          <cell r="A3" t="str">
            <v>BCC - Mass media</v>
          </cell>
          <cell r="B3" t="str">
            <v xml:space="preserve">Death rates associated with Malaria: all-cause under-5 mortality rate in highly endemic areas </v>
          </cell>
          <cell r="D3" t="str">
            <v>% of U5 children (and other target groups) with malaria/fever receiving appropriate treatment within 24 hours (community/health facility)</v>
          </cell>
        </row>
        <row r="4">
          <cell r="A4" t="str">
            <v>BCC - community outreach</v>
          </cell>
          <cell r="B4" t="str">
            <v xml:space="preserve">Incidence of clinical malaria cases (estimated and/or reported) </v>
          </cell>
          <cell r="D4" t="str">
            <v>% of U5 children (and other target group) with uncomplicated malaria correctly managed at health facilities</v>
          </cell>
        </row>
        <row r="5">
          <cell r="A5" t="str">
            <v>Insecticide-treated nets (ITNs)</v>
          </cell>
          <cell r="B5" t="str">
            <v>Anaemia prevalence in children under 5 years of age</v>
          </cell>
          <cell r="D5" t="str">
            <v>% of U5 children (and other target groups) admitted with severe malaria and correctly managed at health facilities</v>
          </cell>
        </row>
        <row r="6">
          <cell r="A6" t="str">
            <v>Malaria prevention during pregnancy</v>
          </cell>
          <cell r="B6" t="str">
            <v xml:space="preserve">Prevalence of malaria parasite infection </v>
          </cell>
          <cell r="D6" t="str">
            <v>% of children U5 sleeping under an ITN</v>
          </cell>
        </row>
        <row r="7">
          <cell r="A7" t="str">
            <v>Indoor Residual Spraying</v>
          </cell>
          <cell r="B7" t="str">
            <v>Laboratory-confirmed malaria cases seen in heath facilities</v>
          </cell>
          <cell r="D7" t="str">
            <v>% of households with at least one ITN</v>
          </cell>
        </row>
        <row r="8">
          <cell r="A8" t="str">
            <v>Prompt, effective anti-malarial treatment</v>
          </cell>
          <cell r="B8" t="str">
            <v>Laboratory-confirmed malaria deaths seen in health facilities</v>
          </cell>
          <cell r="D8" t="str">
            <v>% of pregnant women (and other target groups) sleeping under an ITN</v>
          </cell>
        </row>
        <row r="9">
          <cell r="A9" t="str">
            <v>Home based management of malaria</v>
          </cell>
          <cell r="B9" t="str">
            <v>Malaria-attributed deaths in sentinel demographic surveillance sites</v>
          </cell>
          <cell r="D9" t="str">
            <v>% of pregnant women on Intermittent preventive treatment (IPT) according to national policy (specific to Sub-Saharian Africa)</v>
          </cell>
        </row>
        <row r="10">
          <cell r="A10" t="str">
            <v>Diagnosis</v>
          </cell>
          <cell r="B10" t="str">
            <v>API (Annual Parasite Index) (specific to Latin America and Asia)</v>
          </cell>
          <cell r="D10" t="str">
            <v>% of households in malaria areas protected by IRS</v>
          </cell>
        </row>
        <row r="11">
          <cell r="A11" t="str">
            <v>Monitoring drug resistance</v>
          </cell>
          <cell r="B11" t="str">
            <v xml:space="preserve">Incidence of confirmed malaria cases  </v>
          </cell>
          <cell r="D11" t="str">
            <v>% of households covered by ITN or IRS</v>
          </cell>
        </row>
        <row r="12">
          <cell r="A12" t="str">
            <v>Monitoring insecticide resistance</v>
          </cell>
        </row>
        <row r="13">
          <cell r="A13" t="str">
            <v>Coordination and partnership development (national, community, public-private)</v>
          </cell>
        </row>
        <row r="14">
          <cell r="A14" t="str">
            <v>HSS: Service delivery</v>
          </cell>
        </row>
        <row r="15">
          <cell r="A15" t="str">
            <v xml:space="preserve">HSS: Health Workforce </v>
          </cell>
        </row>
        <row r="16">
          <cell r="A16" t="str">
            <v xml:space="preserve">HSS: Medical Products, Vaccines and Technology </v>
          </cell>
        </row>
        <row r="17">
          <cell r="A17" t="str">
            <v xml:space="preserve">HSS: Information system </v>
          </cell>
        </row>
        <row r="18">
          <cell r="A18" t="str">
            <v xml:space="preserve">HSS: Financing </v>
          </cell>
        </row>
        <row r="19">
          <cell r="A19" t="str">
            <v xml:space="preserve">HSS: Leadership and Goverance </v>
          </cell>
        </row>
        <row r="20">
          <cell r="A20" t="str">
            <v>CSS: Monitoring and documentation of community and government interventions</v>
          </cell>
        </row>
        <row r="21">
          <cell r="A21" t="str">
            <v xml:space="preserve">CSS: Advocacy, communication and social mobilization </v>
          </cell>
        </row>
        <row r="22">
          <cell r="A22" t="str">
            <v xml:space="preserve">CSS: Building community linkages, collaboration and coordination </v>
          </cell>
        </row>
        <row r="23">
          <cell r="A23" t="str">
            <v xml:space="preserve">CSS: Human resources: skills building for service delivery, advocacy and leadership </v>
          </cell>
        </row>
        <row r="24">
          <cell r="A24" t="str">
            <v xml:space="preserve">CSS: Financial resources </v>
          </cell>
        </row>
        <row r="25">
          <cell r="A25" t="str">
            <v>CSS: Material resources - infrastructure and essential commodities (including medical and other products &amp; technologies)</v>
          </cell>
        </row>
        <row r="26">
          <cell r="A26" t="str">
            <v xml:space="preserve">CSS: Community based activities and services - delivery, use and quality </v>
          </cell>
        </row>
        <row r="27">
          <cell r="A27" t="str">
            <v xml:space="preserve">CSS: Management, accountability and leadership </v>
          </cell>
        </row>
        <row r="28">
          <cell r="A28" t="str">
            <v xml:space="preserve">CSS: Monitoring &amp; evaluation, evidence-building </v>
          </cell>
        </row>
        <row r="29">
          <cell r="A29" t="str">
            <v xml:space="preserve">CSS: Strategic planning </v>
          </cell>
        </row>
      </sheetData>
      <sheetData sheetId="17">
        <row r="2">
          <cell r="A2" t="str">
            <v>Please select…</v>
          </cell>
          <cell r="B2" t="str">
            <v>Please select…</v>
          </cell>
          <cell r="C2" t="str">
            <v>Please select…</v>
          </cell>
        </row>
        <row r="3">
          <cell r="A3" t="str">
            <v>HSS: Service delivery</v>
          </cell>
          <cell r="B3" t="str">
            <v xml:space="preserve">All-cause mortality rate among children younger than five years </v>
          </cell>
          <cell r="C3" t="str">
            <v xml:space="preserve">% of women and men aged 15-49 who have had sexual intercourse with more than one partner in the last 12 months </v>
          </cell>
        </row>
        <row r="4">
          <cell r="A4" t="str">
            <v>HSS: Health Workforce</v>
          </cell>
          <cell r="B4" t="str">
            <v xml:space="preserve">% of young women and men aged 15-24 who are HIV infected </v>
          </cell>
          <cell r="C4" t="str">
            <v>% of never married young men and women aged 15-24 who have never had sex</v>
          </cell>
        </row>
        <row r="5">
          <cell r="A5" t="str">
            <v>HSS: Medical Products, vaccines and technology</v>
          </cell>
          <cell r="B5" t="str">
            <v xml:space="preserve">% of adults and children with HIV known to be on treatment 12 months after initiation of antiretroviral therapy </v>
          </cell>
          <cell r="C5" t="str">
            <v xml:space="preserve">% of young women and men aged 15-24 who have had sexual intercourse before the age of 15 </v>
          </cell>
        </row>
        <row r="6">
          <cell r="A6" t="str">
            <v>HSS: Financing</v>
          </cell>
          <cell r="B6" t="str">
            <v xml:space="preserve">% of infants born to HIV infected mothers who are infected </v>
          </cell>
          <cell r="C6" t="str">
            <v xml:space="preserve">% of injecting drug users reporting the use of sterile injecting equipment the last time they injected </v>
          </cell>
        </row>
        <row r="7">
          <cell r="A7" t="str">
            <v>HSS: Leadership and Governance</v>
          </cell>
          <cell r="B7" t="str">
            <v xml:space="preserve">% of most-at-risk population(s) (sex workers, clients of sex workers, men who have sex with men, injecting drug users) who are HIV infected </v>
          </cell>
          <cell r="C7" t="str">
            <v xml:space="preserve">% of injecting drug users reporting the use of a condom the last time they had sexual intercourse </v>
          </cell>
        </row>
        <row r="8">
          <cell r="A8" t="str">
            <v xml:space="preserve">HSS: Information system </v>
          </cell>
          <cell r="B8" t="str">
            <v>% of children under age 18 who are orphans</v>
          </cell>
          <cell r="C8" t="str">
            <v>Current school attendance among orphans and non-orphans</v>
          </cell>
        </row>
        <row r="9">
          <cell r="A9" t="str">
            <v>CSS: Monitoring and documentation of community and government interventions</v>
          </cell>
          <cell r="B9" t="str">
            <v>TB prevalence rate</v>
          </cell>
          <cell r="C9" t="str">
            <v>% of women and men aged 15-49 who have had more than one sexual partner in the past 12 months reporting the use of a condom during their last sexual intercourse</v>
          </cell>
        </row>
        <row r="10">
          <cell r="A10" t="str">
            <v xml:space="preserve">CSS: Advocacy, communication and social mobilization </v>
          </cell>
          <cell r="B10" t="str">
            <v>TB incidence rate</v>
          </cell>
          <cell r="C10" t="str">
            <v xml:space="preserve">% of women and men aged 15-49 expressing accepting attitudes towards people with HIV </v>
          </cell>
        </row>
        <row r="11">
          <cell r="A11" t="str">
            <v xml:space="preserve">CSS: Building community linkages, collaboration and coordination </v>
          </cell>
          <cell r="B11" t="str">
            <v>TB mortality rate</v>
          </cell>
          <cell r="C11" t="str">
            <v xml:space="preserve">% of female and male sex workers reporting the use of a condom with their most recent client </v>
          </cell>
        </row>
        <row r="12">
          <cell r="A12" t="str">
            <v xml:space="preserve">CSS: Human resources: skills building for service delivery, advocacy and leadership </v>
          </cell>
          <cell r="B12" t="str">
            <v xml:space="preserve">Death rates associated with Malaria: all-cause under-5 mortality rate in highly endemic areas </v>
          </cell>
          <cell r="C12" t="str">
            <v xml:space="preserve">% of men aged 15-49 reporting sex with a sex worker in the last 12 months who used a condom during last paid intercourse </v>
          </cell>
        </row>
        <row r="13">
          <cell r="A13" t="str">
            <v xml:space="preserve">CSS: Financial resources </v>
          </cell>
          <cell r="B13" t="str">
            <v xml:space="preserve">Incidence of clinical malaria cases (estimated and/or reported) </v>
          </cell>
          <cell r="C13" t="str">
            <v xml:space="preserve">% of men reporting the use of condom the last time they had anal sex with a male partner </v>
          </cell>
        </row>
        <row r="14">
          <cell r="A14" t="str">
            <v>CSS: Material resources - infrastructure and essential commodities (including medical and other products &amp; technologies)</v>
          </cell>
          <cell r="B14" t="str">
            <v>Anaemia prevalence in children under 5 years of age</v>
          </cell>
          <cell r="C14" t="str">
            <v>Case detection rate: new smear positive TB cases</v>
          </cell>
        </row>
        <row r="15">
          <cell r="A15" t="str">
            <v xml:space="preserve">CSS: Community based activities and services - delivery, use and quality </v>
          </cell>
          <cell r="B15" t="str">
            <v xml:space="preserve">Prevalence of malaria parasite infection </v>
          </cell>
          <cell r="C15" t="str">
            <v>Treatment success rate: new smear positive TB cases</v>
          </cell>
        </row>
        <row r="16">
          <cell r="A16" t="str">
            <v xml:space="preserve">CSS: Management, accountability and leadership </v>
          </cell>
          <cell r="B16" t="str">
            <v>Laboratory-confirmed malaria cases seen in heath facilities</v>
          </cell>
          <cell r="C16" t="str">
            <v>% of U5 children (and other target groups) with malaria/fever receiving appropriate treatment within 24 hours (community/health facility)</v>
          </cell>
        </row>
        <row r="17">
          <cell r="A17" t="str">
            <v xml:space="preserve">CSS: Monitoring &amp; evaluation, evidence-building </v>
          </cell>
          <cell r="B17" t="str">
            <v>Laboratory-confirmed malaria deaths seen in health facilities</v>
          </cell>
          <cell r="C17" t="str">
            <v>% of U5 children (and other target group) with uncomplicated malaria correctly managed at health facilities</v>
          </cell>
        </row>
        <row r="18">
          <cell r="A18" t="str">
            <v xml:space="preserve">CSS: Strategic planning </v>
          </cell>
          <cell r="B18" t="str">
            <v>Malaria-attributed deaths in sentinel demographic surveillance sites</v>
          </cell>
          <cell r="C18" t="str">
            <v>% of U5 children (and other target groups) admitted with severe malaria and correctly managed at health facilities</v>
          </cell>
        </row>
        <row r="19">
          <cell r="B19" t="str">
            <v>API (Annual Parasite Index) (specific to Latin America and Asia)</v>
          </cell>
          <cell r="C19" t="str">
            <v>% of children U5 sleeping under an ITN</v>
          </cell>
        </row>
        <row r="20">
          <cell r="B20" t="str">
            <v xml:space="preserve">Incidence of confirmed malaria cases  </v>
          </cell>
          <cell r="C20" t="str">
            <v>% of households with at least one ITN</v>
          </cell>
        </row>
        <row r="21">
          <cell r="C21" t="str">
            <v>% of pregnant women (and other target groups) sleeping under an ITN</v>
          </cell>
        </row>
        <row r="22">
          <cell r="C22" t="str">
            <v>% of pregnant women on Intermittent preventive treatment (IPT) according to national policy (specific to Sub-Saharian Africa)</v>
          </cell>
        </row>
        <row r="23">
          <cell r="C23" t="str">
            <v>% of households in malaria areas protected by IRS</v>
          </cell>
        </row>
        <row r="24">
          <cell r="C24" t="str">
            <v>% of households covered by ITN or IRS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adCount"/>
      <sheetName val="Sales QTY &amp; CYP(in million)"/>
      <sheetName val="1.3.1-NFP (Financial Budget)"/>
      <sheetName val="1.1.3 DELIVERABLES"/>
      <sheetName val="1.2-FP (COGS @ Cost)"/>
      <sheetName val="1.4- NFP (COGS @ Cost)"/>
      <sheetName val="Mgt.Acc_YTD_BUDGET(SM&amp;SF)"/>
      <sheetName val="Mgt.Acc_YTD_ACTUAL(SM&amp;SF)"/>
      <sheetName val="1.1-Consolidated (COGS @ Cost)"/>
      <sheetName val="1.2-FP (COGS @ Cost)(Acc)"/>
      <sheetName val="1.2-FP_SM (COGS @ Cost)(Acc)"/>
      <sheetName val="1.2-FP_SF (COGS @ Cost)(Acc)"/>
      <sheetName val="1.4- NFP (COGS @ Cost)(Acc)"/>
      <sheetName val="3-Donor Funding"/>
      <sheetName val="Income From Funding"/>
      <sheetName val="4-Variance_Department"/>
      <sheetName val="6-Variance_Department"/>
      <sheetName val="Actual13-14Dept"/>
      <sheetName val="Research"/>
      <sheetName val="CAPEX"/>
      <sheetName val="HC_Pivot"/>
      <sheetName val="Budget_Upto_Dec-14"/>
      <sheetName val="Budget_Dec-14"/>
      <sheetName val="ACTIncomeFF_Dec-14"/>
      <sheetName val="Budget_2014-15 iNCOME FF"/>
      <sheetName val="Actual_Mar-15"/>
      <sheetName val="Sales &amp; CYP"/>
      <sheetName val="Other Income Budget14-15"/>
      <sheetName val="Sheet7"/>
      <sheetName val="Project Status Report"/>
      <sheetName val="Clinics_in_Sales"/>
      <sheetName val="Endowment Budget"/>
      <sheetName val="Drop down"/>
    </sheetNames>
    <sheetDataSet>
      <sheetData sheetId="0">
        <row r="97">
          <cell r="C97">
            <v>97</v>
          </cell>
        </row>
      </sheetData>
      <sheetData sheetId="1" refreshError="1"/>
      <sheetData sheetId="2" refreshError="1"/>
      <sheetData sheetId="3">
        <row r="14">
          <cell r="D14">
            <v>2.4455978044871793</v>
          </cell>
        </row>
      </sheetData>
      <sheetData sheetId="4">
        <row r="11">
          <cell r="H11">
            <v>535.71324227300579</v>
          </cell>
        </row>
      </sheetData>
      <sheetData sheetId="5">
        <row r="13">
          <cell r="D13">
            <v>0</v>
          </cell>
        </row>
      </sheetData>
      <sheetData sheetId="6">
        <row r="26">
          <cell r="B26">
            <v>931.30547192942026</v>
          </cell>
        </row>
      </sheetData>
      <sheetData sheetId="7">
        <row r="154">
          <cell r="B154">
            <v>359.094372477592</v>
          </cell>
        </row>
      </sheetData>
      <sheetData sheetId="8">
        <row r="5">
          <cell r="E5" t="str">
            <v>BUDGET</v>
          </cell>
        </row>
      </sheetData>
      <sheetData sheetId="9">
        <row r="8">
          <cell r="C8">
            <v>2.4455978044871793</v>
          </cell>
        </row>
      </sheetData>
      <sheetData sheetId="10"/>
      <sheetData sheetId="11"/>
      <sheetData sheetId="12"/>
      <sheetData sheetId="13" refreshError="1"/>
      <sheetData sheetId="14"/>
      <sheetData sheetId="15" refreshError="1"/>
      <sheetData sheetId="16" refreshError="1"/>
      <sheetData sheetId="17">
        <row r="5">
          <cell r="A5" t="str">
            <v>Line Item</v>
          </cell>
        </row>
      </sheetData>
      <sheetData sheetId="18" refreshError="1"/>
      <sheetData sheetId="19" refreshError="1"/>
      <sheetData sheetId="20">
        <row r="2">
          <cell r="A2" t="str">
            <v>Administration</v>
          </cell>
        </row>
      </sheetData>
      <sheetData sheetId="21" refreshError="1"/>
      <sheetData sheetId="22">
        <row r="8">
          <cell r="H8">
            <v>5.0313543002665106</v>
          </cell>
        </row>
      </sheetData>
      <sheetData sheetId="23" refreshError="1"/>
      <sheetData sheetId="24">
        <row r="27">
          <cell r="P27">
            <v>1697.9873796429918</v>
          </cell>
        </row>
      </sheetData>
      <sheetData sheetId="25">
        <row r="7">
          <cell r="G7">
            <v>272.06742710999885</v>
          </cell>
        </row>
      </sheetData>
      <sheetData sheetId="26">
        <row r="78">
          <cell r="G78">
            <v>0</v>
          </cell>
        </row>
      </sheetData>
      <sheetData sheetId="27">
        <row r="38">
          <cell r="I38">
            <v>183.0010276852482</v>
          </cell>
        </row>
      </sheetData>
      <sheetData sheetId="28">
        <row r="71">
          <cell r="G71">
            <v>19.276532039999999</v>
          </cell>
        </row>
      </sheetData>
      <sheetData sheetId="29" refreshError="1"/>
      <sheetData sheetId="30" refreshError="1"/>
      <sheetData sheetId="31">
        <row r="1">
          <cell r="C1">
            <v>48680511.170100071</v>
          </cell>
          <cell r="D1">
            <v>152165144.78576005</v>
          </cell>
          <cell r="E1">
            <v>268653781.889296</v>
          </cell>
        </row>
      </sheetData>
      <sheetData sheetId="3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Key Assumptions "/>
      <sheetName val="Key Assumptions"/>
      <sheetName val="Summary A"/>
      <sheetName val="DataSheet"/>
      <sheetName val="General Assumption"/>
      <sheetName val="Summary B"/>
      <sheetName val="Actual Estimated 8+4"/>
      <sheetName val="Summary C"/>
      <sheetName val="PnA_UC"/>
      <sheetName val="PnA_TC"/>
      <sheetName val="Assumptions"/>
      <sheetName val="Training Summary"/>
      <sheetName val="Trainings &amp; Meetings"/>
      <sheetName val="T&amp;M_UC"/>
      <sheetName val="T&amp;M_TC"/>
      <sheetName val="CAPEX Summary"/>
      <sheetName val="CAPEX"/>
      <sheetName val="CAPEX_UC"/>
      <sheetName val="CAPEX_TC"/>
      <sheetName val="Consultant Summary"/>
      <sheetName val="Consultants"/>
      <sheetName val="Consultants_UC"/>
      <sheetName val="Consultants_TC"/>
      <sheetName val="Travel Summary"/>
      <sheetName val="Travel "/>
      <sheetName val="Travel_UC "/>
      <sheetName val="Travel_TC"/>
      <sheetName val="ODC Summary"/>
      <sheetName val="OtherDirectCost"/>
      <sheetName val="P&amp;A Summary"/>
      <sheetName val="Promotions &amp; Advertising"/>
      <sheetName val="Salaries Summary"/>
      <sheetName val="Pivot_Headcount"/>
      <sheetName val="Working Sheet"/>
      <sheetName val="ODC"/>
      <sheetName val="ODCALLOCATION"/>
      <sheetName val="ODCTC"/>
      <sheetName val="General Assumption(final)"/>
    </sheetNames>
    <sheetDataSet>
      <sheetData sheetId="0">
        <row r="1">
          <cell r="A1" t="str">
            <v>GREENSTAR SOCIAL MARKETING (GUARANTEE) LIMITED</v>
          </cell>
        </row>
      </sheetData>
      <sheetData sheetId="1"/>
      <sheetData sheetId="2"/>
      <sheetData sheetId="3"/>
      <sheetData sheetId="4">
        <row r="1">
          <cell r="A1" t="str">
            <v>LINE ITEM</v>
          </cell>
        </row>
      </sheetData>
      <sheetData sheetId="5">
        <row r="4">
          <cell r="E4">
            <v>1</v>
          </cell>
          <cell r="F4">
            <v>105</v>
          </cell>
        </row>
        <row r="5">
          <cell r="E5">
            <v>1.1000000000000001</v>
          </cell>
          <cell r="F5">
            <v>110</v>
          </cell>
        </row>
        <row r="6">
          <cell r="E6">
            <v>1.1000000000000001</v>
          </cell>
          <cell r="F6">
            <v>115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aries"/>
      <sheetName val="Budget"/>
      <sheetName val="T- Exp."/>
      <sheetName val="Detail"/>
      <sheetName val="CFR"/>
      <sheetName val="Bal"/>
      <sheetName val="General Assumption(final)"/>
      <sheetName val="Range Page"/>
    </sheetNames>
    <sheetDataSet>
      <sheetData sheetId="0" refreshError="1"/>
      <sheetData sheetId="1">
        <row r="3">
          <cell r="R3">
            <v>52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Key Assumptions"/>
      <sheetName val="Summary A"/>
      <sheetName val="DataSheet"/>
      <sheetName val="General Assumption"/>
      <sheetName val="Summary B"/>
      <sheetName val="Actual Estimated 8+4"/>
      <sheetName val="Summary C"/>
      <sheetName val="Assumptions"/>
      <sheetName val="CAPEX Summary"/>
      <sheetName val="CAPEX"/>
      <sheetName val="Travel Summary"/>
      <sheetName val="Travel "/>
      <sheetName val="Travel_UC "/>
      <sheetName val="Travel_TC"/>
      <sheetName val="FUEL &amp; REPAIRS"/>
      <sheetName val="Travel Supporting Sheet"/>
      <sheetName val="Fuel Supporting Sheet"/>
      <sheetName val="ODC Summary"/>
      <sheetName val="OtherDirectCost Zones"/>
      <sheetName val="ODC Region + Clinics"/>
      <sheetName val="P&amp;A Summary"/>
      <sheetName val="Promotions &amp; Advertising"/>
      <sheetName val="PnA_UC"/>
      <sheetName val="PnA_TC"/>
      <sheetName val="Training Summary"/>
      <sheetName val="Trainings &amp; Meetings"/>
      <sheetName val="T&amp;M_UC"/>
      <sheetName val="T&amp;M_TC"/>
      <sheetName val="CAPEX_UC"/>
      <sheetName val="CAPEX_TC"/>
      <sheetName val="Consultant Summary"/>
      <sheetName val="Consultants"/>
      <sheetName val="Consultants_UC"/>
      <sheetName val="Consultants_TC"/>
      <sheetName val="Sheet1"/>
      <sheetName val="Sheet2"/>
      <sheetName val="Sheet3"/>
      <sheetName val="Salaries Summary"/>
      <sheetName val="Pivot_Headcount"/>
      <sheetName val="Working Sheet"/>
      <sheetName val="ODC"/>
      <sheetName val="ODCALLOCATION"/>
      <sheetName val="ODCTC"/>
      <sheetName val="F&amp;R"/>
      <sheetName val="FNRALLOCATION"/>
      <sheetName val="FNRTC"/>
      <sheetName val="Range Page"/>
    </sheetNames>
    <sheetDataSet>
      <sheetData sheetId="0"/>
      <sheetData sheetId="1"/>
      <sheetData sheetId="2"/>
      <sheetData sheetId="3">
        <row r="2">
          <cell r="A2" t="str">
            <v>Travel</v>
          </cell>
        </row>
      </sheetData>
      <sheetData sheetId="4">
        <row r="4">
          <cell r="C4">
            <v>41821</v>
          </cell>
        </row>
        <row r="25">
          <cell r="B25" t="str">
            <v xml:space="preserve">19-Central 2 Region </v>
          </cell>
        </row>
        <row r="26">
          <cell r="B26" t="str">
            <v>20-Bhawalpur Zone</v>
          </cell>
        </row>
        <row r="27">
          <cell r="B27" t="str">
            <v>21-Multan-1 Zone</v>
          </cell>
        </row>
        <row r="28">
          <cell r="B28" t="str">
            <v>22-Multan-2 Zone</v>
          </cell>
        </row>
        <row r="29">
          <cell r="B29" t="str">
            <v>11-Faisalabad Zone</v>
          </cell>
        </row>
        <row r="30">
          <cell r="B30">
            <v>0</v>
          </cell>
        </row>
        <row r="44">
          <cell r="B44" t="str">
            <v>M</v>
          </cell>
        </row>
        <row r="45">
          <cell r="B45" t="str">
            <v>O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olidated Smr"/>
      <sheetName val="Training NO-for Dr. Haroon"/>
      <sheetName val="GS-NTP Summary-S"/>
      <sheetName val="New PATA Smr"/>
      <sheetName val="New ASD Smr"/>
      <sheetName val="New GS Smr"/>
      <sheetName val="Objct-1"/>
      <sheetName val="Objct-2"/>
      <sheetName val="GS Smr"/>
      <sheetName val="WP-Y1"/>
      <sheetName val="WP-Y2"/>
      <sheetName val="WP Y345"/>
      <sheetName val="GS SDA SMRY"/>
      <sheetName val="Definitions (2)"/>
      <sheetName val="Grand Total"/>
      <sheetName val="NTP Summary-S"/>
      <sheetName val="NTP detail budget-S"/>
      <sheetName val="NTP workplan-S"/>
      <sheetName val="ASD Summary-S"/>
      <sheetName val="PATA Summary-S"/>
      <sheetName val="Range Page-Not to sent"/>
      <sheetName val="Definitions"/>
      <sheetName val="Training-Not to sent"/>
      <sheetName val="Objective 3"/>
      <sheetName val="Objective 4"/>
      <sheetName val="Objective 5"/>
      <sheetName val="Instructions-Not to sent"/>
      <sheetName val="GF Detail - Year 1 discard"/>
      <sheetName val="GF Detail - Year 2discard"/>
      <sheetName val="GF Detail - Year 3, 4, 5 discar"/>
      <sheetName val="Sheet4discard"/>
      <sheetName val="ignore"/>
      <sheetName val="GF Obj SDA Summarydiscard"/>
      <sheetName val="5 Year Budget"/>
      <sheetName val="OH Calculation"/>
      <sheetName val="Match Requirement"/>
      <sheetName val="Advance Payment Calculator"/>
      <sheetName val="LFA_Signature (image)"/>
      <sheetName val="Range Pa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1">
          <cell r="B31" t="str">
            <v>Please Select…</v>
          </cell>
        </row>
        <row r="32">
          <cell r="B32" t="str">
            <v>FBO</v>
          </cell>
        </row>
        <row r="33">
          <cell r="B33" t="str">
            <v>NGO/CBO/Academic</v>
          </cell>
        </row>
        <row r="34">
          <cell r="B34" t="str">
            <v>Private Sector</v>
          </cell>
        </row>
        <row r="35">
          <cell r="B35" t="str">
            <v>Ministry of Health (MoH)</v>
          </cell>
        </row>
        <row r="36">
          <cell r="B36" t="str">
            <v>Other Government</v>
          </cell>
        </row>
        <row r="37">
          <cell r="B37" t="str">
            <v>UNDP</v>
          </cell>
        </row>
        <row r="38">
          <cell r="B38" t="str">
            <v>Other Multilateral Organisation</v>
          </cell>
        </row>
        <row r="127">
          <cell r="B127" t="str">
            <v>Please Select…</v>
          </cell>
        </row>
        <row r="128">
          <cell r="B128" t="str">
            <v>HIV:Prevention</v>
          </cell>
        </row>
        <row r="129">
          <cell r="B129" t="str">
            <v>HIV:Treatment</v>
          </cell>
        </row>
        <row r="130">
          <cell r="B130" t="str">
            <v>HIV:Care and Support</v>
          </cell>
        </row>
        <row r="131">
          <cell r="B131" t="str">
            <v>HIV:TB/HIV Collaborative Activities</v>
          </cell>
        </row>
        <row r="132">
          <cell r="B132" t="str">
            <v>HIV:Supportive Environment</v>
          </cell>
        </row>
        <row r="133">
          <cell r="B133" t="str">
            <v>HIV:Health Systems Strengthening (HSS)</v>
          </cell>
        </row>
        <row r="134">
          <cell r="B134" t="str">
            <v>HIV_TB: TB Detection</v>
          </cell>
        </row>
        <row r="135">
          <cell r="B135" t="str">
            <v>HIV_TB: TB Treatment</v>
          </cell>
        </row>
        <row r="136">
          <cell r="B136" t="str">
            <v>HIV_TB: Collaborative Activities</v>
          </cell>
        </row>
        <row r="137">
          <cell r="B137" t="str">
            <v>HIV_TB: Supportive Environment</v>
          </cell>
        </row>
        <row r="138">
          <cell r="B138" t="str">
            <v>HIV_TB: Health Systems Strengthening (HSS)</v>
          </cell>
        </row>
        <row r="139">
          <cell r="B139" t="str">
            <v>Mal: Prevention</v>
          </cell>
        </row>
        <row r="140">
          <cell r="B140" t="str">
            <v>Mal: Treatment</v>
          </cell>
        </row>
        <row r="141">
          <cell r="B141" t="str">
            <v>Mal: Supportive Environment</v>
          </cell>
        </row>
        <row r="142">
          <cell r="B142" t="str">
            <v>Mal: Health Systems Strengthening (HSS)</v>
          </cell>
        </row>
        <row r="143">
          <cell r="B143" t="str">
            <v>TB Detection</v>
          </cell>
        </row>
        <row r="144">
          <cell r="B144" t="str">
            <v>TB Treatment</v>
          </cell>
        </row>
        <row r="145">
          <cell r="B145" t="str">
            <v>TB/HIV Collaborative Activities</v>
          </cell>
        </row>
        <row r="146">
          <cell r="B146" t="str">
            <v>TB: Supportive Environment</v>
          </cell>
        </row>
        <row r="147">
          <cell r="B147" t="str">
            <v>TB: Health Systems Strengthening (HSS)</v>
          </cell>
        </row>
        <row r="148">
          <cell r="B148" t="str">
            <v>HSS: Health Systems Strengthening (HSS)</v>
          </cell>
        </row>
        <row r="149">
          <cell r="B149" t="str">
            <v>HSS: Supportive Environment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_cons"/>
      <sheetName val="recon_pharma"/>
      <sheetName val="sale_dec"/>
      <sheetName val="recon-pharma"/>
      <sheetName val="recon-cons"/>
      <sheetName val="Beecham"/>
      <sheetName val="Beecham (3)"/>
      <sheetName val="Beecham (5)"/>
      <sheetName val="Beecham Det"/>
      <sheetName val="Sheet1"/>
      <sheetName val="Sheet4"/>
      <sheetName val="Sheet5"/>
      <sheetName val="Disposal schedule (Tax)"/>
      <sheetName val="五年资产应用"/>
      <sheetName val="Range Page"/>
      <sheetName val="HIV"/>
      <sheetName val="HSS"/>
      <sheetName val="Malaria"/>
      <sheetName val="TB"/>
    </sheetNames>
    <sheetDataSet>
      <sheetData sheetId="0">
        <row r="1">
          <cell r="A1" t="str">
            <v>AFF &amp; CO.</v>
          </cell>
        </row>
        <row r="3">
          <cell r="A3" t="str">
            <v>CLIENT :</v>
          </cell>
          <cell r="B3" t="str">
            <v>BEECHAM PAKISTAN (PRIVATE) LIMITED</v>
          </cell>
        </row>
        <row r="4">
          <cell r="A4" t="str">
            <v>PERIOD :</v>
          </cell>
          <cell r="B4" t="str">
            <v>Y.E DECEMBER 31, 1998</v>
          </cell>
          <cell r="H4" t="str">
            <v>PREPARED BY:</v>
          </cell>
        </row>
        <row r="5">
          <cell r="A5" t="str">
            <v>SUBJECT:</v>
          </cell>
          <cell r="B5" t="str">
            <v>TRADE DEBTS</v>
          </cell>
          <cell r="H5" t="str">
            <v>REVIEWED BY:</v>
          </cell>
        </row>
        <row r="7">
          <cell r="A7" t="str">
            <v>GLOBAL RECONCILIATION OF SALES - PHARMA</v>
          </cell>
        </row>
        <row r="9">
          <cell r="A9" t="str">
            <v>S.No</v>
          </cell>
          <cell r="B9" t="str">
            <v>Products</v>
          </cell>
          <cell r="C9" t="str">
            <v>Trade</v>
          </cell>
          <cell r="D9" t="str">
            <v>Trade</v>
          </cell>
          <cell r="E9" t="str">
            <v>Net</v>
          </cell>
          <cell r="F9" t="str">
            <v>Quantities</v>
          </cell>
          <cell r="G9" t="str">
            <v>Sales as per</v>
          </cell>
          <cell r="I9" t="str">
            <v>Difference</v>
          </cell>
        </row>
        <row r="10">
          <cell r="C10" t="str">
            <v>Price</v>
          </cell>
          <cell r="D10" t="str">
            <v>discount</v>
          </cell>
          <cell r="E10" t="str">
            <v>Price</v>
          </cell>
          <cell r="G10" t="str">
            <v>our working</v>
          </cell>
          <cell r="H10" t="str">
            <v>client's records</v>
          </cell>
          <cell r="I10" t="str">
            <v>excess/(short)</v>
          </cell>
          <cell r="J10" t="str">
            <v>%</v>
          </cell>
        </row>
        <row r="12">
          <cell r="C12" t="str">
            <v>[a]</v>
          </cell>
          <cell r="D12" t="str">
            <v>[b] = [a] x</v>
          </cell>
          <cell r="E12" t="str">
            <v>[c]=[a]-[b]</v>
          </cell>
          <cell r="F12" t="str">
            <v>[d]</v>
          </cell>
          <cell r="G12" t="str">
            <v>[e]=[d] x [c]</v>
          </cell>
          <cell r="H12" t="str">
            <v>[f]</v>
          </cell>
          <cell r="I12" t="str">
            <v>[g] = [f] - [e]</v>
          </cell>
          <cell r="J12" t="str">
            <v>[g]/[f] x 100</v>
          </cell>
        </row>
        <row r="13">
          <cell r="D13">
            <v>7.7499999999999999E-2</v>
          </cell>
          <cell r="G13" t="str">
            <v>Rs.</v>
          </cell>
          <cell r="H13" t="str">
            <v>Rs.</v>
          </cell>
          <cell r="I13" t="str">
            <v>Rs.</v>
          </cell>
        </row>
        <row r="15">
          <cell r="A15">
            <v>1</v>
          </cell>
          <cell r="B15" t="str">
            <v>Augmentin 375 mg tablets 6's</v>
          </cell>
          <cell r="C15">
            <v>48.42</v>
          </cell>
          <cell r="D15">
            <v>3.7525500000000003</v>
          </cell>
          <cell r="E15">
            <v>44.667450000000002</v>
          </cell>
          <cell r="F15">
            <v>4100391</v>
          </cell>
          <cell r="G15">
            <v>183154009.97295001</v>
          </cell>
          <cell r="H15">
            <v>182962428</v>
          </cell>
          <cell r="I15">
            <v>-191581.97295001149</v>
          </cell>
          <cell r="J15">
            <v>-0.10471110109558203</v>
          </cell>
        </row>
        <row r="16">
          <cell r="A16">
            <v>2</v>
          </cell>
          <cell r="B16" t="str">
            <v>Augmentin 156 mg syrup 60 ml</v>
          </cell>
          <cell r="C16">
            <v>39.549999999999997</v>
          </cell>
          <cell r="D16">
            <v>3.0651249999999997</v>
          </cell>
          <cell r="E16">
            <v>36.484874999999995</v>
          </cell>
          <cell r="F16">
            <v>2922030</v>
          </cell>
          <cell r="G16">
            <v>106609899.29624999</v>
          </cell>
          <cell r="H16">
            <v>106598913</v>
          </cell>
          <cell r="I16">
            <v>-10986.296249985695</v>
          </cell>
          <cell r="J16">
            <v>-1.0306199135431798E-2</v>
          </cell>
        </row>
        <row r="17">
          <cell r="A17">
            <v>3</v>
          </cell>
          <cell r="B17" t="str">
            <v>Augmentin 312.5 mg syrup 60 ml</v>
          </cell>
          <cell r="C17">
            <v>64.290000000000006</v>
          </cell>
          <cell r="D17">
            <v>4.9824750000000009</v>
          </cell>
          <cell r="E17">
            <v>59.307525000000005</v>
          </cell>
          <cell r="F17">
            <v>814905</v>
          </cell>
          <cell r="G17">
            <v>48329998.660125002</v>
          </cell>
          <cell r="H17">
            <v>48288738</v>
          </cell>
          <cell r="I17">
            <v>-41260.660125002265</v>
          </cell>
          <cell r="J17">
            <v>-8.5445720542546108E-2</v>
          </cell>
        </row>
        <row r="18">
          <cell r="A18">
            <v>4</v>
          </cell>
          <cell r="B18" t="str">
            <v>Augmentin 625 mg tablets 6's</v>
          </cell>
          <cell r="C18">
            <v>75.81</v>
          </cell>
          <cell r="D18">
            <v>5.8752750000000002</v>
          </cell>
          <cell r="E18">
            <v>69.934725</v>
          </cell>
          <cell r="F18">
            <v>1268444</v>
          </cell>
          <cell r="G18">
            <v>88708282.317900002</v>
          </cell>
          <cell r="H18">
            <v>88603131</v>
          </cell>
          <cell r="I18">
            <v>-105151.317900002</v>
          </cell>
          <cell r="J18">
            <v>-0.11867675184074704</v>
          </cell>
        </row>
        <row r="19">
          <cell r="F19">
            <v>9105770</v>
          </cell>
          <cell r="G19">
            <v>426802190.24722499</v>
          </cell>
          <cell r="H19">
            <v>426453210</v>
          </cell>
          <cell r="I19">
            <v>-348980.24722498655</v>
          </cell>
          <cell r="J19">
            <v>-8.1833185691107008E-2</v>
          </cell>
        </row>
        <row r="21">
          <cell r="A21">
            <v>5</v>
          </cell>
          <cell r="B21" t="str">
            <v>Ampiclox capsule 250 mg 20's</v>
          </cell>
          <cell r="C21">
            <v>37.06</v>
          </cell>
          <cell r="D21">
            <v>2.87215</v>
          </cell>
          <cell r="E21">
            <v>34.187850000000005</v>
          </cell>
          <cell r="F21">
            <v>190999</v>
          </cell>
          <cell r="G21">
            <v>6529845.1621500012</v>
          </cell>
          <cell r="H21">
            <v>6529441</v>
          </cell>
          <cell r="I21">
            <v>-404.16215000115335</v>
          </cell>
          <cell r="J21">
            <v>-6.1898430509005802E-3</v>
          </cell>
        </row>
        <row r="22">
          <cell r="A22">
            <v>6</v>
          </cell>
          <cell r="B22" t="str">
            <v>Ampiclox capsule 250 mg 100's</v>
          </cell>
          <cell r="C22">
            <v>185.33</v>
          </cell>
          <cell r="D22">
            <v>14.363075</v>
          </cell>
          <cell r="E22">
            <v>170.966925</v>
          </cell>
          <cell r="F22">
            <v>194434</v>
          </cell>
          <cell r="G22">
            <v>33241783.095449999</v>
          </cell>
          <cell r="H22">
            <v>33343464</v>
          </cell>
          <cell r="I22">
            <v>101680.90455000103</v>
          </cell>
          <cell r="J22">
            <v>0.30495003323590203</v>
          </cell>
        </row>
        <row r="23">
          <cell r="A23">
            <v>7</v>
          </cell>
          <cell r="B23" t="str">
            <v>Ampiclox capsule 500 mg 20's</v>
          </cell>
          <cell r="C23">
            <v>64.03</v>
          </cell>
          <cell r="D23">
            <v>4.9623249999999999</v>
          </cell>
          <cell r="E23">
            <v>59.067675000000001</v>
          </cell>
          <cell r="F23">
            <v>446491</v>
          </cell>
          <cell r="G23">
            <v>26373185.278425001</v>
          </cell>
          <cell r="H23">
            <v>26369663</v>
          </cell>
          <cell r="I23">
            <v>-3522.278425000608</v>
          </cell>
          <cell r="J23">
            <v>-1.3357313003964472E-2</v>
          </cell>
        </row>
        <row r="24">
          <cell r="A24">
            <v>8</v>
          </cell>
          <cell r="B24" t="str">
            <v>Ampiclox capsule 500 mg 100's</v>
          </cell>
          <cell r="C24">
            <v>320.11</v>
          </cell>
          <cell r="D24">
            <v>24.808524999999999</v>
          </cell>
          <cell r="E24">
            <v>295.30147500000004</v>
          </cell>
          <cell r="F24">
            <v>425063</v>
          </cell>
          <cell r="G24">
            <v>125521730.86792502</v>
          </cell>
          <cell r="H24">
            <v>125963368</v>
          </cell>
          <cell r="I24">
            <v>441637.13207498193</v>
          </cell>
          <cell r="J24">
            <v>0.350607592578012</v>
          </cell>
        </row>
        <row r="25">
          <cell r="A25">
            <v>9</v>
          </cell>
          <cell r="B25" t="str">
            <v>Ampiclox syrup 250 mg 60 ml</v>
          </cell>
          <cell r="C25">
            <v>28.29</v>
          </cell>
          <cell r="D25">
            <v>2.192475</v>
          </cell>
          <cell r="E25">
            <v>26.097524999999997</v>
          </cell>
          <cell r="F25">
            <v>2088350</v>
          </cell>
          <cell r="G25">
            <v>54500766.333749995</v>
          </cell>
          <cell r="H25">
            <v>54460854</v>
          </cell>
          <cell r="I25">
            <v>-39912.333749994636</v>
          </cell>
          <cell r="J25">
            <v>-7.3286279627555295E-2</v>
          </cell>
        </row>
        <row r="26">
          <cell r="A26">
            <v>10</v>
          </cell>
          <cell r="B26" t="str">
            <v>Ampiclox drops 90 mg 8 ml</v>
          </cell>
          <cell r="C26">
            <v>17.48</v>
          </cell>
          <cell r="D26">
            <v>1.3547</v>
          </cell>
          <cell r="E26">
            <v>16.125299999999999</v>
          </cell>
          <cell r="F26">
            <v>1241085</v>
          </cell>
          <cell r="G26">
            <v>20012867.9505</v>
          </cell>
          <cell r="H26">
            <v>19957016</v>
          </cell>
          <cell r="I26">
            <v>-55851.950500000268</v>
          </cell>
          <cell r="J26">
            <v>-0.27986123025606768</v>
          </cell>
        </row>
        <row r="27">
          <cell r="F27">
            <v>4586422</v>
          </cell>
          <cell r="G27">
            <v>266180178.68820006</v>
          </cell>
          <cell r="H27">
            <v>266623807</v>
          </cell>
          <cell r="I27">
            <v>443628.31179994345</v>
          </cell>
          <cell r="J27">
            <v>0.16638735932532214</v>
          </cell>
        </row>
        <row r="29">
          <cell r="A29">
            <v>11</v>
          </cell>
          <cell r="B29" t="str">
            <v>Amoxil capsule 250 mg 20's</v>
          </cell>
          <cell r="C29">
            <v>47.43</v>
          </cell>
          <cell r="D29">
            <v>3.6758250000000001</v>
          </cell>
          <cell r="E29">
            <v>43.754174999999996</v>
          </cell>
          <cell r="F29">
            <v>219596</v>
          </cell>
          <cell r="G29">
            <v>9608241.8132999986</v>
          </cell>
          <cell r="H29">
            <v>9607701</v>
          </cell>
          <cell r="I29">
            <v>-540.81329999864101</v>
          </cell>
          <cell r="J29">
            <v>-5.6289563965265053E-3</v>
          </cell>
        </row>
        <row r="30">
          <cell r="A30">
            <v>12</v>
          </cell>
          <cell r="B30" t="str">
            <v>Amoxil capsule 250 mg 100's</v>
          </cell>
          <cell r="C30">
            <v>237.21</v>
          </cell>
          <cell r="D30">
            <v>18.383775</v>
          </cell>
          <cell r="E30">
            <v>218.82622500000002</v>
          </cell>
          <cell r="F30">
            <v>230862</v>
          </cell>
          <cell r="G30">
            <v>50518659.955950007</v>
          </cell>
          <cell r="H30">
            <v>50391200</v>
          </cell>
          <cell r="I30">
            <v>-127459.95595000684</v>
          </cell>
          <cell r="J30">
            <v>-0.25294090228057053</v>
          </cell>
        </row>
        <row r="31">
          <cell r="A31">
            <v>13</v>
          </cell>
          <cell r="B31" t="str">
            <v>Amoxil capsule 500 mg 20's</v>
          </cell>
          <cell r="C31">
            <v>114.51</v>
          </cell>
          <cell r="D31">
            <v>8.8745250000000002</v>
          </cell>
          <cell r="E31">
            <v>105.635475</v>
          </cell>
          <cell r="F31">
            <v>319099</v>
          </cell>
          <cell r="G31">
            <v>33708174.437025003</v>
          </cell>
          <cell r="H31">
            <v>33699084</v>
          </cell>
          <cell r="I31">
            <v>-9090.4370250031352</v>
          </cell>
          <cell r="J31">
            <v>-2.6975323795160534E-2</v>
          </cell>
        </row>
        <row r="32">
          <cell r="A32">
            <v>14</v>
          </cell>
          <cell r="B32" t="str">
            <v>Amoxil capsule 500 mg 100's</v>
          </cell>
          <cell r="C32">
            <v>572.48</v>
          </cell>
          <cell r="D32">
            <v>44.367200000000004</v>
          </cell>
          <cell r="E32">
            <v>528.11279999999999</v>
          </cell>
          <cell r="F32">
            <v>230173</v>
          </cell>
          <cell r="G32">
            <v>121557307.51440001</v>
          </cell>
          <cell r="H32">
            <v>119777901</v>
          </cell>
          <cell r="I32">
            <v>-1779406.5144000053</v>
          </cell>
          <cell r="J32">
            <v>-1.4855883260134983</v>
          </cell>
        </row>
        <row r="33">
          <cell r="A33">
            <v>15</v>
          </cell>
          <cell r="B33" t="str">
            <v>Amoxil syrup 125 mg 60 ml</v>
          </cell>
          <cell r="C33">
            <v>29.84</v>
          </cell>
          <cell r="D33">
            <v>2.3125999999999998</v>
          </cell>
          <cell r="E33">
            <v>27.5274</v>
          </cell>
          <cell r="F33">
            <v>3602359</v>
          </cell>
          <cell r="G33">
            <v>99163577.136600003</v>
          </cell>
          <cell r="H33">
            <v>98487992</v>
          </cell>
          <cell r="I33">
            <v>-675585.13660000265</v>
          </cell>
          <cell r="J33">
            <v>-0.68595685918746585</v>
          </cell>
        </row>
        <row r="34">
          <cell r="A34">
            <v>16</v>
          </cell>
          <cell r="B34" t="str">
            <v>Amoxil syrup 250 mg 60 ml</v>
          </cell>
          <cell r="C34">
            <v>39.14</v>
          </cell>
          <cell r="D34">
            <v>3.03335</v>
          </cell>
          <cell r="E34">
            <v>36.106650000000002</v>
          </cell>
          <cell r="F34">
            <v>2007498</v>
          </cell>
          <cell r="G34">
            <v>72484027.66170001</v>
          </cell>
          <cell r="H34">
            <v>72367215</v>
          </cell>
          <cell r="I34">
            <v>-116812.6617000103</v>
          </cell>
          <cell r="J34">
            <v>-0.16141654988382556</v>
          </cell>
        </row>
        <row r="35">
          <cell r="A35">
            <v>17</v>
          </cell>
          <cell r="B35" t="str">
            <v>Amoxil drops 125 mg 10 ml</v>
          </cell>
          <cell r="C35">
            <v>17.77</v>
          </cell>
          <cell r="D35">
            <v>1.377175</v>
          </cell>
          <cell r="E35">
            <v>16.392824999999998</v>
          </cell>
          <cell r="F35">
            <v>1529111</v>
          </cell>
          <cell r="G35">
            <v>25066449.028574999</v>
          </cell>
          <cell r="H35">
            <v>25060805</v>
          </cell>
          <cell r="I35">
            <v>-5644.0285749994218</v>
          </cell>
          <cell r="J35">
            <v>-2.2521337901952557E-2</v>
          </cell>
        </row>
        <row r="36">
          <cell r="F36">
            <v>8138698</v>
          </cell>
          <cell r="G36">
            <v>412106437.54755002</v>
          </cell>
          <cell r="H36">
            <v>409391898</v>
          </cell>
          <cell r="I36">
            <v>-2714539.5475500226</v>
          </cell>
          <cell r="J36">
            <v>-0.66306626018036696</v>
          </cell>
        </row>
        <row r="38">
          <cell r="A38">
            <v>18</v>
          </cell>
          <cell r="B38" t="str">
            <v>Maxolon tablet 10 mg 20'sx5</v>
          </cell>
          <cell r="C38">
            <v>29.82</v>
          </cell>
          <cell r="D38">
            <v>2.3110499999999998</v>
          </cell>
          <cell r="E38">
            <v>27.508949999999999</v>
          </cell>
          <cell r="F38">
            <v>220106</v>
          </cell>
          <cell r="G38">
            <v>6054884.9486999996</v>
          </cell>
          <cell r="H38">
            <v>6047290</v>
          </cell>
          <cell r="I38">
            <v>-7594.9486999996006</v>
          </cell>
          <cell r="J38">
            <v>-0.12559259932961045</v>
          </cell>
        </row>
        <row r="39">
          <cell r="A39">
            <v>19</v>
          </cell>
          <cell r="B39" t="str">
            <v>Maxolon syrup 5 mg 50 ml</v>
          </cell>
          <cell r="C39">
            <v>13.35</v>
          </cell>
          <cell r="D39">
            <v>1.0346249999999999</v>
          </cell>
          <cell r="E39">
            <v>12.315375</v>
          </cell>
          <cell r="F39">
            <v>866169</v>
          </cell>
          <cell r="G39">
            <v>10667196.048374999</v>
          </cell>
          <cell r="H39">
            <v>10655599</v>
          </cell>
          <cell r="I39">
            <v>-11597.048374999315</v>
          </cell>
          <cell r="J39">
            <v>-0.10883525529629366</v>
          </cell>
        </row>
        <row r="40">
          <cell r="F40">
            <v>1086275</v>
          </cell>
          <cell r="G40">
            <v>16722080.997074999</v>
          </cell>
          <cell r="H40">
            <v>16702889</v>
          </cell>
          <cell r="I40">
            <v>-19191.997074998915</v>
          </cell>
          <cell r="J40">
            <v>-0.11490226077057039</v>
          </cell>
        </row>
        <row r="42">
          <cell r="A42">
            <v>20</v>
          </cell>
          <cell r="B42" t="str">
            <v>Orbenin capsule 250 mg 100's</v>
          </cell>
          <cell r="C42">
            <v>187.74</v>
          </cell>
          <cell r="D42">
            <v>14.549850000000001</v>
          </cell>
          <cell r="E42">
            <v>173.19015000000002</v>
          </cell>
          <cell r="F42">
            <v>38323</v>
          </cell>
          <cell r="G42">
            <v>6637166.1184500009</v>
          </cell>
          <cell r="H42">
            <v>6416093</v>
          </cell>
          <cell r="I42">
            <v>-221073.11845000088</v>
          </cell>
          <cell r="J42">
            <v>-3.4456033983609786</v>
          </cell>
        </row>
        <row r="43">
          <cell r="A43">
            <v>21</v>
          </cell>
          <cell r="B43" t="str">
            <v>Orbenin syrup 125 mg 60 ml</v>
          </cell>
          <cell r="C43">
            <v>18.98</v>
          </cell>
          <cell r="D43">
            <v>1.47095</v>
          </cell>
          <cell r="E43">
            <v>17.509050000000002</v>
          </cell>
          <cell r="F43">
            <v>9784</v>
          </cell>
          <cell r="G43">
            <v>171308.54520000002</v>
          </cell>
          <cell r="H43">
            <v>169491</v>
          </cell>
          <cell r="I43">
            <v>-1817.5452000000223</v>
          </cell>
          <cell r="J43">
            <v>-1.0723549923004894</v>
          </cell>
        </row>
        <row r="44">
          <cell r="F44">
            <v>48107</v>
          </cell>
          <cell r="G44">
            <v>6808474.6636500005</v>
          </cell>
          <cell r="H44">
            <v>6585584</v>
          </cell>
          <cell r="I44">
            <v>-222890.66365000047</v>
          </cell>
          <cell r="J44">
            <v>-3.3845238880864699</v>
          </cell>
        </row>
        <row r="46">
          <cell r="A46">
            <v>22</v>
          </cell>
          <cell r="B46" t="str">
            <v>Penbritin capsuel 250 mg 20's</v>
          </cell>
          <cell r="C46">
            <v>32.729999999999997</v>
          </cell>
          <cell r="D46">
            <v>2.5365749999999996</v>
          </cell>
          <cell r="E46">
            <v>30.193424999999998</v>
          </cell>
          <cell r="F46">
            <v>51514</v>
          </cell>
          <cell r="G46">
            <v>1555384.0954499999</v>
          </cell>
          <cell r="H46">
            <v>1553675</v>
          </cell>
          <cell r="I46">
            <v>-1709.0954499999061</v>
          </cell>
          <cell r="J46">
            <v>-0.11000340804865277</v>
          </cell>
        </row>
        <row r="47">
          <cell r="A47">
            <v>23</v>
          </cell>
          <cell r="B47" t="str">
            <v>Penbritin capsuel 250 mg 100's</v>
          </cell>
          <cell r="C47">
            <v>163.66</v>
          </cell>
          <cell r="D47">
            <v>12.68365</v>
          </cell>
          <cell r="E47">
            <v>150.97635</v>
          </cell>
          <cell r="F47">
            <v>94125</v>
          </cell>
          <cell r="G47">
            <v>14210648.94375</v>
          </cell>
          <cell r="H47">
            <v>14072476</v>
          </cell>
          <cell r="I47">
            <v>-138172.94374999963</v>
          </cell>
          <cell r="J47">
            <v>-0.9818666150150096</v>
          </cell>
        </row>
      </sheetData>
      <sheetData sheetId="1">
        <row r="1">
          <cell r="A1" t="str">
            <v>AFF &amp; CO.</v>
          </cell>
        </row>
      </sheetData>
      <sheetData sheetId="2"/>
      <sheetData sheetId="3">
        <row r="1">
          <cell r="A1" t="str">
            <v>AFF &amp; CO.</v>
          </cell>
        </row>
      </sheetData>
      <sheetData sheetId="4">
        <row r="1">
          <cell r="A1" t="str">
            <v>AFF &amp; CO.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CPMLETE TB - original"/>
      <sheetName val="back up "/>
      <sheetName val="back up 2"/>
      <sheetName val="recon-cons"/>
      <sheetName val="Two Step Revenue Testing Master"/>
      <sheetName val="Global Data"/>
      <sheetName val="Non-Statistical Sampling Master"/>
      <sheetName val="recon_cons"/>
      <sheetName val="Augbkp98"/>
      <sheetName val="CPMLETE_TB_-_original"/>
      <sheetName val="back_up_"/>
      <sheetName val="back_up_2"/>
      <sheetName val="Two_Step_Revenue_Testing_Master"/>
      <sheetName val="Global_Data"/>
      <sheetName val="Non-Statistical_Sampling_Master"/>
      <sheetName val="CPMLETE_TB_-_original1"/>
      <sheetName val="back_up_1"/>
      <sheetName val="back_up_21"/>
      <sheetName val="Two_Step_Revenue_Testing_Maste1"/>
      <sheetName val="Global_Data1"/>
      <sheetName val="Non-Statistical_Sampling_Maste1"/>
      <sheetName val="CPMLETE_TB_-_original2"/>
      <sheetName val="back_up_3"/>
      <sheetName val="back_up_22"/>
      <sheetName val="Two_Step_Revenue_Testing_Maste2"/>
      <sheetName val="Global_Data2"/>
      <sheetName val="Non-Statistical_Sampling_Maste2"/>
      <sheetName val="BS-OVS"/>
      <sheetName val="Draft"/>
      <sheetName val="Acct"/>
      <sheetName val="SALARY"/>
      <sheetName val="CPMLETE_TB_-_original3"/>
      <sheetName val="back_up_4"/>
      <sheetName val="back_up_23"/>
      <sheetName val="Two_Step_Revenue_Testing_Maste3"/>
      <sheetName val="Global_Data3"/>
      <sheetName val="Non-Statistical_Sampling_Maste3"/>
      <sheetName val="Financial goals for 2005"/>
      <sheetName val="GM + NS"/>
      <sheetName val="Drop Down"/>
      <sheetName val="HIV"/>
      <sheetName val="HSS"/>
      <sheetName val="Malaria"/>
      <sheetName val="TB"/>
    </sheetNames>
    <sheetDataSet>
      <sheetData sheetId="0" refreshError="1"/>
      <sheetData sheetId="1" refreshError="1">
        <row r="4">
          <cell r="A4">
            <v>0</v>
          </cell>
          <cell r="B4" t="str">
            <v>million</v>
          </cell>
        </row>
        <row r="5">
          <cell r="A5">
            <v>99</v>
          </cell>
          <cell r="B5" t="str">
            <v>FALSE</v>
          </cell>
        </row>
        <row r="6">
          <cell r="A6">
            <v>100</v>
          </cell>
          <cell r="B6" t="str">
            <v>FALSE</v>
          </cell>
        </row>
        <row r="7">
          <cell r="A7">
            <v>1000</v>
          </cell>
          <cell r="B7" t="str">
            <v>FALSE</v>
          </cell>
        </row>
        <row r="8">
          <cell r="A8">
            <v>10000</v>
          </cell>
          <cell r="B8" t="str">
            <v>FALSE</v>
          </cell>
        </row>
        <row r="9">
          <cell r="A9">
            <v>100000</v>
          </cell>
          <cell r="B9" t="str">
            <v>FALSE</v>
          </cell>
        </row>
        <row r="10">
          <cell r="A10">
            <v>1000000</v>
          </cell>
          <cell r="B10" t="str">
            <v>one million one hundred fortyeight thousand six hundred five</v>
          </cell>
        </row>
        <row r="11">
          <cell r="A11">
            <v>10000000</v>
          </cell>
          <cell r="B11" t="str">
            <v>FALSE</v>
          </cell>
        </row>
        <row r="12">
          <cell r="A12">
            <v>100000000</v>
          </cell>
          <cell r="B12" t="str">
            <v>FALSE</v>
          </cell>
        </row>
        <row r="13">
          <cell r="A13">
            <v>1000000000</v>
          </cell>
          <cell r="B13" t="str">
            <v>FALSE</v>
          </cell>
        </row>
      </sheetData>
      <sheetData sheetId="2" refreshError="1"/>
      <sheetData sheetId="3">
        <row r="4">
          <cell r="A4">
            <v>0</v>
          </cell>
        </row>
      </sheetData>
      <sheetData sheetId="4">
        <row r="4">
          <cell r="A4">
            <v>0</v>
          </cell>
        </row>
      </sheetData>
      <sheetData sheetId="5">
        <row r="4">
          <cell r="A4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4">
            <v>0</v>
          </cell>
        </row>
      </sheetData>
      <sheetData sheetId="13">
        <row r="4">
          <cell r="A4">
            <v>0</v>
          </cell>
        </row>
      </sheetData>
      <sheetData sheetId="14">
        <row r="4">
          <cell r="A4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>
        <row r="4">
          <cell r="A4">
            <v>0</v>
          </cell>
        </row>
      </sheetData>
      <sheetData sheetId="35">
        <row r="4">
          <cell r="A4">
            <v>0</v>
          </cell>
        </row>
      </sheetData>
      <sheetData sheetId="36">
        <row r="4">
          <cell r="A4">
            <v>0</v>
          </cell>
        </row>
      </sheetData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_ PY"/>
      <sheetName val="OC _ L"/>
      <sheetName val="OC _ PY"/>
      <sheetName val="OI _ PY"/>
      <sheetName val="NNPL_P1"/>
      <sheetName val="Other Operating Charges"/>
      <sheetName val="C"/>
      <sheetName val="A"/>
      <sheetName val="HIV"/>
      <sheetName val="HSS"/>
      <sheetName val="Malaria"/>
      <sheetName val="TB"/>
      <sheetName val="break up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  <sheetName val="PL"/>
      <sheetName val="Disclosure"/>
      <sheetName val="COGS"/>
      <sheetName val="cr mfg"/>
      <sheetName val="RM Consu"/>
      <sheetName val="GLOBL COGS MAT"/>
      <sheetName val="GLOBL COGSLAB"/>
      <sheetName val="GLOBL COGS foh"/>
      <sheetName val="variance"/>
      <sheetName val="mfg"/>
      <sheetName val="manu"/>
      <sheetName val="tb (2)"/>
      <sheetName val="3"/>
      <sheetName val="cr admin"/>
      <sheetName val="3_2"/>
      <sheetName val="Admin"/>
      <sheetName val="4-1"/>
      <sheetName val="5"/>
      <sheetName val="5-1"/>
      <sheetName val="6"/>
      <sheetName val="tb2001"/>
      <sheetName val="OC _ L"/>
      <sheetName val="CPMLETE TB - original"/>
      <sheetName val="break up"/>
      <sheetName val="Range Page"/>
    </sheetNames>
    <sheetDataSet>
      <sheetData sheetId="0">
        <row r="2">
          <cell r="A2" t="str">
            <v>SmithKline &amp; French of Pakistan Limited</v>
          </cell>
          <cell r="F2" t="str">
            <v xml:space="preserve">Prepared by: </v>
          </cell>
        </row>
        <row r="3">
          <cell r="A3" t="str">
            <v>Limited Review as at June 30, 2002</v>
          </cell>
        </row>
        <row r="4">
          <cell r="A4" t="str">
            <v>Profit &amp; Loss Account</v>
          </cell>
          <cell r="F4" t="str">
            <v xml:space="preserve">Reviewed by: </v>
          </cell>
        </row>
        <row r="6">
          <cell r="A6" t="str">
            <v>Other income</v>
          </cell>
        </row>
        <row r="7">
          <cell r="C7" t="str">
            <v>Schedule</v>
          </cell>
          <cell r="D7" t="str">
            <v>Half Year Ended</v>
          </cell>
          <cell r="E7" t="str">
            <v>Period Ended</v>
          </cell>
          <cell r="F7" t="str">
            <v>Half Year Ended</v>
          </cell>
          <cell r="G7" t="str">
            <v>Increase/(decrease)</v>
          </cell>
        </row>
        <row r="8">
          <cell r="C8" t="str">
            <v>Reference</v>
          </cell>
          <cell r="D8">
            <v>37437</v>
          </cell>
          <cell r="E8">
            <v>37043</v>
          </cell>
          <cell r="F8">
            <v>37072</v>
          </cell>
          <cell r="G8" t="str">
            <v>Amount</v>
          </cell>
          <cell r="H8" t="str">
            <v>%</v>
          </cell>
        </row>
        <row r="10">
          <cell r="A10" t="str">
            <v xml:space="preserve">Income on PLS savings accounts </v>
          </cell>
          <cell r="D10">
            <v>1397674.29</v>
          </cell>
          <cell r="E10">
            <v>42049</v>
          </cell>
          <cell r="F10">
            <v>42049</v>
          </cell>
          <cell r="G10">
            <v>1355625.29</v>
          </cell>
          <cell r="H10">
            <v>3223.9180242098505</v>
          </cell>
        </row>
        <row r="11">
          <cell r="A11" t="str">
            <v>Income on loan to associate undertaking-Beecham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e">
            <v>#DIV/0!</v>
          </cell>
        </row>
        <row r="12">
          <cell r="A12" t="str">
            <v>Promotional Allowance from Associated Undertaking</v>
          </cell>
          <cell r="D12">
            <v>11906000</v>
          </cell>
          <cell r="E12">
            <v>10930630</v>
          </cell>
          <cell r="F12">
            <v>10930630</v>
          </cell>
          <cell r="G12">
            <v>975370</v>
          </cell>
          <cell r="H12">
            <v>8.9232734069307984</v>
          </cell>
        </row>
        <row r="13">
          <cell r="A13" t="str">
            <v>Profit on disposal of fixed assets</v>
          </cell>
          <cell r="D13">
            <v>2250597</v>
          </cell>
          <cell r="E13">
            <v>2974189</v>
          </cell>
          <cell r="F13">
            <v>2974189</v>
          </cell>
          <cell r="G13">
            <v>-723592</v>
          </cell>
          <cell r="H13">
            <v>-24.329052390416344</v>
          </cell>
        </row>
        <row r="14">
          <cell r="A14" t="str">
            <v>Service Charges from Associated Undertaking</v>
          </cell>
          <cell r="D14">
            <v>311731</v>
          </cell>
          <cell r="E14">
            <v>172889</v>
          </cell>
          <cell r="F14">
            <v>172889</v>
          </cell>
          <cell r="G14">
            <v>138842</v>
          </cell>
          <cell r="H14">
            <v>80.307017797546393</v>
          </cell>
        </row>
        <row r="15">
          <cell r="A15" t="str">
            <v>Scrap sales</v>
          </cell>
          <cell r="D15">
            <v>211736</v>
          </cell>
          <cell r="E15">
            <v>281258</v>
          </cell>
          <cell r="F15">
            <v>281258</v>
          </cell>
          <cell r="G15">
            <v>-69522</v>
          </cell>
          <cell r="H15">
            <v>-24.71823023700659</v>
          </cell>
        </row>
        <row r="16">
          <cell r="A16" t="str">
            <v>Insurance commission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 t="e">
            <v>#DIV/0!</v>
          </cell>
        </row>
        <row r="17">
          <cell r="A17" t="str">
            <v>Liabilities no longer required written back</v>
          </cell>
          <cell r="D17">
            <v>47800</v>
          </cell>
          <cell r="E17">
            <v>846558</v>
          </cell>
          <cell r="F17">
            <v>846558</v>
          </cell>
          <cell r="G17">
            <v>-798758</v>
          </cell>
          <cell r="H17">
            <v>-94.353606014000221</v>
          </cell>
        </row>
        <row r="18">
          <cell r="A18" t="str">
            <v>Exchange Gain</v>
          </cell>
          <cell r="D18">
            <v>789467</v>
          </cell>
          <cell r="F18">
            <v>0</v>
          </cell>
          <cell r="G18">
            <v>789467</v>
          </cell>
          <cell r="H18" t="e">
            <v>#DIV/0!</v>
          </cell>
        </row>
        <row r="19">
          <cell r="A19" t="str">
            <v>Others</v>
          </cell>
          <cell r="C19" t="str">
            <v/>
          </cell>
          <cell r="D19">
            <v>25457</v>
          </cell>
          <cell r="E19">
            <v>56973</v>
          </cell>
          <cell r="F19">
            <v>56973</v>
          </cell>
          <cell r="G19">
            <v>-31516</v>
          </cell>
          <cell r="H19">
            <v>-55.317431063837255</v>
          </cell>
        </row>
        <row r="20">
          <cell r="D20">
            <v>16940462.289999999</v>
          </cell>
          <cell r="E20">
            <v>15304546</v>
          </cell>
          <cell r="F20">
            <v>15304546</v>
          </cell>
          <cell r="G20">
            <v>1635916.2899999991</v>
          </cell>
          <cell r="H20">
            <v>10.689087346988268</v>
          </cell>
        </row>
        <row r="21">
          <cell r="E21" t="str">
            <v/>
          </cell>
        </row>
        <row r="22">
          <cell r="A22" t="str">
            <v>Conclusion:</v>
          </cell>
          <cell r="E22" t="str">
            <v/>
          </cell>
          <cell r="F22" t="str">
            <v/>
          </cell>
        </row>
        <row r="24">
          <cell r="A24" t="str">
            <v>Based on the inquiries from the company personnel and analytical procedures applied to financial data, as outlined in the review program, indicating the work performed, I conclude that nothing has come to my attention that causes me to believe that the ab</v>
          </cell>
        </row>
        <row r="26">
          <cell r="A26" t="str">
            <v xml:space="preserve">Senior: </v>
          </cell>
          <cell r="B26" t="str">
            <v xml:space="preserve">Reviewed by: 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/>
      <sheetData sheetId="13"/>
      <sheetData sheetId="14"/>
      <sheetData sheetId="15" refreshError="1"/>
      <sheetData sheetId="16">
        <row r="2">
          <cell r="A2" t="str">
            <v>SmithKline &amp; French of Pakistan Limited</v>
          </cell>
        </row>
      </sheetData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"/>
      <sheetName val="Disclosure"/>
      <sheetName val="COGS"/>
      <sheetName val="cr mfg"/>
      <sheetName val="RM Consu"/>
      <sheetName val="GLOBL COGS MAT"/>
      <sheetName val="GLOBL COGSLAB"/>
      <sheetName val="GLOBL COGS foh"/>
      <sheetName val="variance"/>
      <sheetName val="mfg"/>
      <sheetName val="manu"/>
      <sheetName val="tb (2)"/>
      <sheetName val="3"/>
      <sheetName val="cr admin"/>
      <sheetName val="3_2"/>
      <sheetName val="Admin"/>
      <sheetName val="4"/>
      <sheetName val="4-1"/>
      <sheetName val="5"/>
      <sheetName val="5-1"/>
      <sheetName val="6"/>
      <sheetName val="tb2001"/>
      <sheetName val="CPMLETE TB - original"/>
      <sheetName val="OC _ L"/>
      <sheetName val="cr_mfg"/>
      <sheetName val="RM_Consu"/>
      <sheetName val="GLOBL_COGS_MAT"/>
      <sheetName val="GLOBL_COGSLAB"/>
      <sheetName val="GLOBL_COGS_foh"/>
      <sheetName val="tb_(2)"/>
      <sheetName val="cr_admin"/>
      <sheetName val="CPMLETE_TB_-_original"/>
      <sheetName val="OC___L"/>
      <sheetName val="NNPL_P1"/>
      <sheetName val="Sheet1"/>
      <sheetName val="back up "/>
      <sheetName val="back up 2"/>
      <sheetName val="Other Operating Charges"/>
      <sheetName val="recon-cons"/>
      <sheetName val="back_up_"/>
      <sheetName val="back_up_2"/>
      <sheetName val="Other_Operating_Charges"/>
      <sheetName val="cr_mfg1"/>
      <sheetName val="RM_Consu1"/>
      <sheetName val="GLOBL_COGS_MAT1"/>
      <sheetName val="GLOBL_COGSLAB1"/>
      <sheetName val="GLOBL_COGS_foh1"/>
      <sheetName val="tb_(2)1"/>
      <sheetName val="cr_admin1"/>
      <sheetName val="CPMLETE_TB_-_original1"/>
      <sheetName val="back_up_1"/>
      <sheetName val="back_up_21"/>
      <sheetName val="OC___L1"/>
      <sheetName val="Other_Operating_Charges1"/>
      <sheetName val="HRMS Data Info"/>
      <sheetName val="HR Positions"/>
      <sheetName val="C"/>
      <sheetName val="Range Page"/>
    </sheetNames>
    <sheetDataSet>
      <sheetData sheetId="0">
        <row r="2">
          <cell r="A2" t="str">
            <v>SmithKline &amp; French of Pakistan Limited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>
        <row r="2">
          <cell r="A2" t="str">
            <v>SmithKline &amp; French of Pakistan Limited</v>
          </cell>
        </row>
      </sheetData>
      <sheetData sheetId="13"/>
      <sheetData sheetId="14"/>
      <sheetData sheetId="15" refreshError="1"/>
      <sheetData sheetId="16">
        <row r="2">
          <cell r="A2" t="str">
            <v>SmithKline &amp; French of Pakistan Limited</v>
          </cell>
          <cell r="B2"/>
          <cell r="C2"/>
          <cell r="D2"/>
          <cell r="E2"/>
          <cell r="F2" t="str">
            <v xml:space="preserve">Prepared by: </v>
          </cell>
        </row>
        <row r="3">
          <cell r="A3" t="str">
            <v>Limited Review as at June 30, 2002</v>
          </cell>
        </row>
        <row r="4">
          <cell r="A4" t="str">
            <v>Profit &amp; Loss Account</v>
          </cell>
          <cell r="B4"/>
          <cell r="C4"/>
          <cell r="D4"/>
          <cell r="E4"/>
          <cell r="F4" t="str">
            <v xml:space="preserve">Reviewed by: </v>
          </cell>
        </row>
        <row r="6">
          <cell r="A6" t="str">
            <v>Other income</v>
          </cell>
        </row>
        <row r="7">
          <cell r="C7" t="str">
            <v>Schedule</v>
          </cell>
          <cell r="D7" t="str">
            <v>Half Year Ended</v>
          </cell>
          <cell r="E7" t="str">
            <v>Period Ended</v>
          </cell>
          <cell r="F7" t="str">
            <v>Half Year Ended</v>
          </cell>
          <cell r="G7" t="str">
            <v>Increase/(decrease)</v>
          </cell>
        </row>
        <row r="8">
          <cell r="C8" t="str">
            <v>Reference</v>
          </cell>
          <cell r="D8">
            <v>37437</v>
          </cell>
          <cell r="E8">
            <v>37043</v>
          </cell>
          <cell r="F8">
            <v>37072</v>
          </cell>
          <cell r="G8" t="str">
            <v>Amount</v>
          </cell>
          <cell r="H8" t="str">
            <v>%</v>
          </cell>
        </row>
        <row r="10">
          <cell r="A10" t="str">
            <v xml:space="preserve">Income on PLS savings accounts </v>
          </cell>
          <cell r="B10"/>
          <cell r="C10"/>
          <cell r="D10">
            <v>1397674.29</v>
          </cell>
          <cell r="E10">
            <v>42049</v>
          </cell>
          <cell r="F10">
            <v>42049</v>
          </cell>
          <cell r="G10">
            <v>1355625.29</v>
          </cell>
          <cell r="H10">
            <v>3223.9180242098505</v>
          </cell>
        </row>
        <row r="11">
          <cell r="A11" t="str">
            <v>Income on loan to associate undertaking-Beecham</v>
          </cell>
          <cell r="B11"/>
          <cell r="C11"/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e">
            <v>#DIV/0!</v>
          </cell>
        </row>
        <row r="12">
          <cell r="A12" t="str">
            <v>Promotional Allowance from Associated Undertaking</v>
          </cell>
          <cell r="B12"/>
          <cell r="C12"/>
          <cell r="D12">
            <v>11906000</v>
          </cell>
          <cell r="E12">
            <v>10930630</v>
          </cell>
          <cell r="F12">
            <v>10930630</v>
          </cell>
          <cell r="G12">
            <v>975370</v>
          </cell>
          <cell r="H12">
            <v>8.9232734069307984</v>
          </cell>
        </row>
        <row r="13">
          <cell r="A13" t="str">
            <v>Profit on disposal of fixed assets</v>
          </cell>
          <cell r="B13"/>
          <cell r="C13"/>
          <cell r="D13">
            <v>2250597</v>
          </cell>
          <cell r="E13">
            <v>2974189</v>
          </cell>
          <cell r="F13">
            <v>2974189</v>
          </cell>
          <cell r="G13">
            <v>-723592</v>
          </cell>
          <cell r="H13">
            <v>-24.329052390416344</v>
          </cell>
        </row>
        <row r="14">
          <cell r="A14" t="str">
            <v>Service Charges from Associated Undertaking</v>
          </cell>
          <cell r="B14"/>
          <cell r="C14"/>
          <cell r="D14">
            <v>311731</v>
          </cell>
          <cell r="E14">
            <v>172889</v>
          </cell>
          <cell r="F14">
            <v>172889</v>
          </cell>
          <cell r="G14">
            <v>138842</v>
          </cell>
          <cell r="H14">
            <v>80.307017797546393</v>
          </cell>
        </row>
        <row r="15">
          <cell r="A15" t="str">
            <v>Scrap sales</v>
          </cell>
          <cell r="B15"/>
          <cell r="C15"/>
          <cell r="D15">
            <v>211736</v>
          </cell>
          <cell r="E15">
            <v>281258</v>
          </cell>
          <cell r="F15">
            <v>281258</v>
          </cell>
          <cell r="G15">
            <v>-69522</v>
          </cell>
          <cell r="H15">
            <v>-24.71823023700659</v>
          </cell>
        </row>
        <row r="16">
          <cell r="A16" t="str">
            <v>Insurance commission</v>
          </cell>
          <cell r="B16"/>
          <cell r="C16"/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 t="e">
            <v>#DIV/0!</v>
          </cell>
        </row>
        <row r="17">
          <cell r="A17" t="str">
            <v>Liabilities no longer required written back</v>
          </cell>
          <cell r="B17"/>
          <cell r="C17"/>
          <cell r="D17">
            <v>47800</v>
          </cell>
          <cell r="E17">
            <v>846558</v>
          </cell>
          <cell r="F17">
            <v>846558</v>
          </cell>
          <cell r="G17">
            <v>-798758</v>
          </cell>
          <cell r="H17">
            <v>-94.353606014000221</v>
          </cell>
        </row>
        <row r="18">
          <cell r="A18" t="str">
            <v>Exchange Gain</v>
          </cell>
          <cell r="B18"/>
          <cell r="C18"/>
          <cell r="D18">
            <v>789467</v>
          </cell>
          <cell r="E18"/>
          <cell r="F18">
            <v>0</v>
          </cell>
          <cell r="G18">
            <v>789467</v>
          </cell>
          <cell r="H18" t="e">
            <v>#DIV/0!</v>
          </cell>
        </row>
        <row r="19">
          <cell r="A19" t="str">
            <v>Others</v>
          </cell>
          <cell r="B19"/>
          <cell r="C19">
            <v>0</v>
          </cell>
          <cell r="D19">
            <v>25457</v>
          </cell>
          <cell r="E19">
            <v>56973</v>
          </cell>
          <cell r="F19">
            <v>56973</v>
          </cell>
          <cell r="G19">
            <v>-31516</v>
          </cell>
          <cell r="H19">
            <v>-55.317431063837255</v>
          </cell>
        </row>
        <row r="20">
          <cell r="D20">
            <v>16940462.289999999</v>
          </cell>
          <cell r="E20">
            <v>15304546</v>
          </cell>
          <cell r="F20">
            <v>15304546</v>
          </cell>
          <cell r="G20">
            <v>1635916.2899999991</v>
          </cell>
          <cell r="H20">
            <v>10.689087346988268</v>
          </cell>
        </row>
        <row r="21">
          <cell r="E21">
            <v>0</v>
          </cell>
        </row>
        <row r="22">
          <cell r="A22" t="str">
            <v>Conclusion:</v>
          </cell>
          <cell r="B22"/>
          <cell r="C22"/>
          <cell r="D22"/>
          <cell r="E22">
            <v>0</v>
          </cell>
          <cell r="F22">
            <v>0</v>
          </cell>
        </row>
        <row r="24">
          <cell r="A24" t="str">
            <v>Based on the inquiries from the company personnel and analytical procedures applied to financial data, as outlined in the review program, indicating the work performed, I conclude that nothing has come to my attention that causes me to believe that the ab</v>
          </cell>
        </row>
        <row r="26">
          <cell r="A26" t="str">
            <v xml:space="preserve">Senior: </v>
          </cell>
          <cell r="B26" t="str">
            <v xml:space="preserve">Reviewed by: </v>
          </cell>
        </row>
      </sheetData>
      <sheetData sheetId="17" refreshError="1"/>
      <sheetData sheetId="18"/>
      <sheetData sheetId="19" refreshError="1"/>
      <sheetData sheetId="20">
        <row r="2">
          <cell r="A2" t="str">
            <v>SmithKline &amp; French of Pakistan Limited</v>
          </cell>
        </row>
      </sheetData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>
        <row r="1">
          <cell r="A1" t="str">
            <v>ATTOCK CEMENT PAKISTAN LIMITED</v>
          </cell>
        </row>
      </sheetData>
      <sheetData sheetId="32"/>
      <sheetData sheetId="33" refreshError="1"/>
      <sheetData sheetId="34"/>
      <sheetData sheetId="35">
        <row r="2">
          <cell r="A2" t="str">
            <v>SmithKline &amp; French of Pakistan Limited</v>
          </cell>
        </row>
      </sheetData>
      <sheetData sheetId="36"/>
      <sheetData sheetId="37" refreshError="1"/>
      <sheetData sheetId="38" refreshError="1"/>
      <sheetData sheetId="39">
        <row r="2">
          <cell r="A2" t="str">
            <v>SmithKline &amp; French of Pakistan Limited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etails"/>
      <sheetName val="Range Page"/>
      <sheetName val="Sheet2"/>
      <sheetName val="Sheet1"/>
      <sheetName val="admin cross"/>
      <sheetName val="Manu Crss"/>
      <sheetName val="HIV"/>
      <sheetName val="HSS"/>
      <sheetName val="Malaria"/>
      <sheetName val="T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EY"/>
      <sheetName val="DeptMasterSheet"/>
      <sheetName val="Admin"/>
      <sheetName val="DeptBudgetSummary"/>
      <sheetName val="Sub Accounts and Unit Costs"/>
      <sheetName val="OtherDirectCost"/>
      <sheetName val="FUEL &amp; REPAIRS"/>
      <sheetName val="Transpor"/>
      <sheetName val="ODC"/>
      <sheetName val="T&amp;M_UC"/>
      <sheetName val="T&amp;M_TC"/>
      <sheetName val="Travel_Summary"/>
      <sheetName val="Travel by employee"/>
      <sheetName val="Travel"/>
      <sheetName val="Travel_UC"/>
      <sheetName val="Travel_TC"/>
      <sheetName val="T&amp;M Summary"/>
      <sheetName val="Trainings &amp; Meetings"/>
      <sheetName val="Consultants_Summary"/>
      <sheetName val="Consultants"/>
      <sheetName val="Consultants_UC"/>
      <sheetName val="Consultants_TC"/>
      <sheetName val="C&amp;E Summary"/>
      <sheetName val="Communication &amp; Education"/>
      <sheetName val="C&amp;E_UC"/>
      <sheetName val="C&amp;E_TC"/>
      <sheetName val="P&amp;A Summary"/>
      <sheetName val="Promotions &amp; Advertising"/>
      <sheetName val="P&amp;A_UC"/>
      <sheetName val="P&amp;A_TC"/>
      <sheetName val="Research Summary"/>
      <sheetName val="Research"/>
      <sheetName val="ResearchUC"/>
      <sheetName val="ResearchTC"/>
      <sheetName val="Transport_Allocation"/>
      <sheetName val="Transport_UC"/>
      <sheetName val="Transport_TC"/>
      <sheetName val="Capex Summary"/>
      <sheetName val="CAPEX"/>
      <sheetName val="CAPEX_UC"/>
      <sheetName val="CAPEX_TC"/>
      <sheetName val="ODCALLOCATION"/>
      <sheetName val="ODCTC"/>
      <sheetName val="VSC Summary"/>
      <sheetName val="VSC Reimbursements"/>
      <sheetName val="VSCR_UC"/>
      <sheetName val="VSCR_TC"/>
      <sheetName val="HEADCOUNT"/>
      <sheetName val="Commodities"/>
      <sheetName val="Commodities_Purchases"/>
      <sheetName val="Cmty_TOTALCOST_TC"/>
      <sheetName val="Cmty_RM_UC"/>
      <sheetName val="Cmty_RM_TC"/>
      <sheetName val="Cmty_TC_UC"/>
      <sheetName val="Cmty_TC_TC"/>
      <sheetName val="Cmty_LC_UC"/>
      <sheetName val="Cmty_LC_TC"/>
      <sheetName val="Cmty_PC_UC"/>
      <sheetName val="Cmty_PC_TC"/>
      <sheetName val="Cmty_TOTALCOST_S&amp;M%"/>
      <sheetName val="Cmty_TC_S&amp;M"/>
      <sheetName val="Cmty_TOTALCOST_HST%"/>
      <sheetName val="Cmty_TC_HST"/>
      <sheetName val="Sales Summary"/>
      <sheetName val="Sales"/>
      <sheetName val="Sales_UP"/>
      <sheetName val="TotalSales"/>
      <sheetName val="CYP_Factor"/>
      <sheetName val="TotalCYP"/>
      <sheetName val="HIV"/>
      <sheetName val="HSS"/>
      <sheetName val="Malaria"/>
      <sheetName val="TB"/>
    </sheetNames>
    <sheetDataSet>
      <sheetData sheetId="0"/>
      <sheetData sheetId="1"/>
      <sheetData sheetId="2"/>
      <sheetData sheetId="3"/>
      <sheetData sheetId="4">
        <row r="60">
          <cell r="H60">
            <v>105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J4">
            <v>41468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EY"/>
      <sheetName val="DeptMasterSheet"/>
      <sheetName val="Actual YTD"/>
      <sheetName val="DeptBudgetSummary"/>
      <sheetName val="Sub Accounts and Unit Costs"/>
      <sheetName val="Capex Summary"/>
      <sheetName val="OtherDirectCost_Summary"/>
      <sheetName val="ODC_South Region"/>
      <sheetName val="ODC_Central-1 Region"/>
      <sheetName val="ODC_Central-2 Region"/>
      <sheetName val="ODC_North Region"/>
      <sheetName val="Transport_Allocation"/>
      <sheetName val="Transport_TC"/>
      <sheetName val="Transport Summary"/>
      <sheetName val="F&amp;R_South"/>
      <sheetName val="F&amp;R_Central1"/>
      <sheetName val="F&amp;R_Central2"/>
      <sheetName val="F&amp;R_North"/>
      <sheetName val="ODC"/>
      <sheetName val="T&amp;M_UC"/>
      <sheetName val="T&amp;M_TC"/>
      <sheetName val="Travel_Summary"/>
      <sheetName val="Travel"/>
      <sheetName val="Travel by employee"/>
      <sheetName val="Travel by employee-OPS FORMAT"/>
      <sheetName val="Travel_UC"/>
      <sheetName val="Travel_TC"/>
      <sheetName val="T&amp;M Summary"/>
      <sheetName val="Trainings &amp; Meetings"/>
      <sheetName val="Consultants_Summary"/>
      <sheetName val="Consultants"/>
      <sheetName val="Consultants_UC"/>
      <sheetName val="Consultants_TC"/>
      <sheetName val="C&amp;E Summary"/>
      <sheetName val="Communication &amp; Education"/>
      <sheetName val="C&amp;E_UC"/>
      <sheetName val="C&amp;E_TC"/>
      <sheetName val="P&amp;A Summary"/>
      <sheetName val="Promotions &amp; Advertising"/>
      <sheetName val="P&amp;A_UC"/>
      <sheetName val="P&amp;A_TC"/>
      <sheetName val="Research Summary"/>
      <sheetName val="Research"/>
      <sheetName val="ResearchUC"/>
      <sheetName val="ResearchTC"/>
      <sheetName val="Transport_UC"/>
      <sheetName val="CAPEX"/>
      <sheetName val="CAPEX_UC"/>
      <sheetName val="CAPEX_TC"/>
      <sheetName val="ODCALLOCATION"/>
      <sheetName val="ODCTC"/>
      <sheetName val="VSC Summary"/>
      <sheetName val="VSC Reimbursements"/>
      <sheetName val="VSCR_UC"/>
      <sheetName val="VSCR_TC"/>
      <sheetName val="HEADCOUNT"/>
      <sheetName val="Commodities"/>
      <sheetName val="Commodities_Purchases"/>
      <sheetName val="Cmty_TOTALCOST_TC"/>
      <sheetName val="Cmty_RM_UC"/>
      <sheetName val="Cmty_RM_TC"/>
      <sheetName val="Cmty_TC_UC"/>
      <sheetName val="Cmty_TC_TC"/>
      <sheetName val="Cmty_LC_UC"/>
      <sheetName val="Cmty_LC_TC"/>
      <sheetName val="Cmty_PC_UC"/>
      <sheetName val="Cmty_PC_TC"/>
      <sheetName val="Cmty_TOTALCOST_S&amp;M%"/>
      <sheetName val="Cmty_TC_S&amp;M"/>
      <sheetName val="Cmty_TOTALCOST_HST%"/>
      <sheetName val="Cmty_TC_HST"/>
      <sheetName val="Sales Summary"/>
      <sheetName val="Sales"/>
      <sheetName val="Sales_UP"/>
      <sheetName val="TotalSales"/>
      <sheetName val="CYP_Factor"/>
      <sheetName val="TotalCYP"/>
      <sheetName val="Sheet1"/>
      <sheetName val="HIV"/>
      <sheetName val="HSS"/>
      <sheetName val="Malaria"/>
      <sheetName val="TB"/>
      <sheetName val="Endowment Budget"/>
    </sheetNames>
    <sheetDataSet>
      <sheetData sheetId="0"/>
      <sheetData sheetId="1"/>
      <sheetData sheetId="2"/>
      <sheetData sheetId="3"/>
      <sheetData sheetId="4">
        <row r="60">
          <cell r="H60">
            <v>105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HIV Performance Framework"/>
      <sheetName val="SDAs_impact_datasources"/>
      <sheetName val="Endowment Budget"/>
    </sheetNames>
    <sheetDataSet>
      <sheetData sheetId="0"/>
      <sheetData sheetId="1"/>
      <sheetData sheetId="2">
        <row r="2">
          <cell r="A2" t="str">
            <v>BCC - Mass media</v>
          </cell>
        </row>
        <row r="3">
          <cell r="A3" t="str">
            <v>BCC - community outreach and schools</v>
          </cell>
        </row>
        <row r="4">
          <cell r="A4" t="str">
            <v xml:space="preserve">Condom </v>
          </cell>
        </row>
        <row r="5">
          <cell r="A5" t="str">
            <v>Testing and Counseling</v>
          </cell>
        </row>
        <row r="6">
          <cell r="A6" t="str">
            <v>PMTCT</v>
          </cell>
        </row>
        <row r="7">
          <cell r="A7" t="str">
            <v>Post-exposure prophylaxis (PEP)</v>
          </cell>
        </row>
        <row r="8">
          <cell r="A8" t="str">
            <v>STI diagnosis and treatment</v>
          </cell>
        </row>
        <row r="9">
          <cell r="A9" t="str">
            <v>Blood safety and universal precaution</v>
          </cell>
        </row>
        <row r="10">
          <cell r="A10" t="str">
            <v>Antiretroviral treatment (ARV) and monitoring</v>
          </cell>
        </row>
        <row r="11">
          <cell r="A11" t="str">
            <v>Prophylaxis and treatment for opportunistic infections</v>
          </cell>
        </row>
        <row r="12">
          <cell r="A12" t="str">
            <v>Care and support for the chronically ill</v>
          </cell>
        </row>
        <row r="13">
          <cell r="A13" t="str">
            <v>Support for orphans and vulnerable children</v>
          </cell>
        </row>
        <row r="14">
          <cell r="A14" t="str">
            <v>TB/HIV</v>
          </cell>
        </row>
        <row r="15">
          <cell r="A15" t="str">
            <v>Policy development including workplace policy</v>
          </cell>
        </row>
        <row r="16">
          <cell r="A16" t="str">
            <v xml:space="preserve">Strengthening of civil society and institutional capacity building </v>
          </cell>
        </row>
        <row r="17">
          <cell r="A17" t="str">
            <v>Stigma reduction in all settings</v>
          </cell>
        </row>
        <row r="18">
          <cell r="A18" t="str">
            <v>HSS: Service delivery</v>
          </cell>
        </row>
        <row r="19">
          <cell r="A19" t="str">
            <v>HSS: Health Workforce</v>
          </cell>
        </row>
        <row r="20">
          <cell r="A20" t="str">
            <v>HSS: Medical Products, vaccines and technology</v>
          </cell>
        </row>
        <row r="21">
          <cell r="A21" t="str">
            <v>HSS: Financing</v>
          </cell>
        </row>
        <row r="22">
          <cell r="A22" t="str">
            <v>HSS: Leadership and Governance</v>
          </cell>
        </row>
        <row r="23">
          <cell r="A23" t="str">
            <v xml:space="preserve">HSS: Information system </v>
          </cell>
        </row>
      </sheetData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_TARGETS_INPUT_SHEET"/>
      <sheetName val="Sales Qty Tehsil(BASE_SHEET)"/>
      <sheetName val="Sales Qty Tehsil Y1(R)"/>
      <sheetName val="Sales Summary"/>
      <sheetName val="Database"/>
      <sheetName val="General Assumption(final)"/>
      <sheetName val="Sales Assumptions"/>
      <sheetName val="Sales Qty Tehsil_Dist."/>
      <sheetName val="Sales Qty Tehsil_Inst."/>
      <sheetName val="Sales_Dist.UP"/>
      <sheetName val="Sales_Inst.UP"/>
      <sheetName val="Sales_Dist.%"/>
      <sheetName val="Sales_Inst.%"/>
      <sheetName val="SalesValue_Total"/>
      <sheetName val="Sales_Dist.Total"/>
      <sheetName val="Sales_Inst.Total"/>
      <sheetName val="CYP_Total"/>
      <sheetName val="CYP_Factor"/>
      <sheetName val="Endowment Budget"/>
      <sheetName val="General Assumption"/>
    </sheetNames>
    <sheetDataSet>
      <sheetData sheetId="0" refreshError="1">
        <row r="6">
          <cell r="AA6">
            <v>-0.2156848750422603</v>
          </cell>
          <cell r="AH6">
            <v>0</v>
          </cell>
          <cell r="AO6">
            <v>0</v>
          </cell>
        </row>
        <row r="7">
          <cell r="AA7">
            <v>-0.21568487967836475</v>
          </cell>
          <cell r="AH7">
            <v>0</v>
          </cell>
          <cell r="AO7">
            <v>0</v>
          </cell>
        </row>
        <row r="8">
          <cell r="AA8">
            <v>-0.21568488276910167</v>
          </cell>
          <cell r="AH8">
            <v>0</v>
          </cell>
          <cell r="AO8">
            <v>0</v>
          </cell>
        </row>
        <row r="10">
          <cell r="AA10">
            <v>-0.21568488986887366</v>
          </cell>
          <cell r="AH10">
            <v>0</v>
          </cell>
          <cell r="AO10">
            <v>0</v>
          </cell>
        </row>
        <row r="11">
          <cell r="AA11">
            <v>-0.21568501821617908</v>
          </cell>
          <cell r="AH11">
            <v>0</v>
          </cell>
          <cell r="AO11">
            <v>0</v>
          </cell>
        </row>
        <row r="12">
          <cell r="AA12">
            <v>-0.21568490620398584</v>
          </cell>
          <cell r="AH12">
            <v>0</v>
          </cell>
          <cell r="AO12">
            <v>0</v>
          </cell>
        </row>
        <row r="13">
          <cell r="AA13">
            <v>-0.21568471018264418</v>
          </cell>
          <cell r="AH13">
            <v>0</v>
          </cell>
          <cell r="AO13">
            <v>0</v>
          </cell>
        </row>
        <row r="16">
          <cell r="AA16">
            <v>-8.1966892053994184E-2</v>
          </cell>
          <cell r="AH16">
            <v>0</v>
          </cell>
          <cell r="AO16">
            <v>0</v>
          </cell>
        </row>
        <row r="17">
          <cell r="AA17">
            <v>-0.46835079901381255</v>
          </cell>
          <cell r="AH17">
            <v>0</v>
          </cell>
          <cell r="AO17">
            <v>0</v>
          </cell>
        </row>
        <row r="18">
          <cell r="AA18">
            <v>-0.57001522683577976</v>
          </cell>
          <cell r="AH18">
            <v>0</v>
          </cell>
          <cell r="AO18">
            <v>0</v>
          </cell>
        </row>
        <row r="20">
          <cell r="AA20">
            <v>-0.56930209280420063</v>
          </cell>
          <cell r="AH20">
            <v>0</v>
          </cell>
          <cell r="AO20">
            <v>0</v>
          </cell>
        </row>
        <row r="21">
          <cell r="AA21">
            <v>1.1287144366127594E-2</v>
          </cell>
          <cell r="AH21">
            <v>0</v>
          </cell>
          <cell r="AO21">
            <v>0</v>
          </cell>
        </row>
        <row r="23">
          <cell r="AA23">
            <v>0.56363600000000025</v>
          </cell>
          <cell r="AH23">
            <v>0</v>
          </cell>
          <cell r="AO23">
            <v>0</v>
          </cell>
        </row>
        <row r="24">
          <cell r="AA24">
            <v>0.56364000000000081</v>
          </cell>
          <cell r="AH24">
            <v>0</v>
          </cell>
          <cell r="AO24">
            <v>0</v>
          </cell>
        </row>
        <row r="27">
          <cell r="AA27">
            <v>1.4460751612185896</v>
          </cell>
          <cell r="AH27">
            <v>0</v>
          </cell>
          <cell r="AO27">
            <v>0</v>
          </cell>
        </row>
        <row r="30">
          <cell r="AA30">
            <v>1.709592466716081E-16</v>
          </cell>
          <cell r="AH30">
            <v>0</v>
          </cell>
          <cell r="AO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CG Master File"/>
      <sheetName val="FMCG Master File (2)"/>
      <sheetName val="Sheet4"/>
      <sheetName val="Sheet3"/>
      <sheetName val="NEW DASHBOARD"/>
      <sheetName val="FMCG F.F"/>
      <sheetName val="FMCG SKU"/>
      <sheetName val="Sheet2"/>
      <sheetName val="Direc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E5BF-A1EC-4A61-8CE8-D6A49559C983}">
  <sheetPr codeName="Sheet1">
    <tabColor rgb="FF00B0F0"/>
    <pageSetUpPr fitToPage="1"/>
  </sheetPr>
  <dimension ref="A1:LV123"/>
  <sheetViews>
    <sheetView tabSelected="1" zoomScale="80" zoomScaleNormal="80" workbookViewId="0">
      <pane xSplit="16" ySplit="3" topLeftCell="BE81" activePane="bottomRight" state="frozen"/>
      <selection activeCell="N1" sqref="N1:S1"/>
      <selection pane="topRight" activeCell="N1" sqref="N1:S1"/>
      <selection pane="bottomLeft" activeCell="N1" sqref="N1:S1"/>
      <selection pane="bottomRight" activeCell="F77" sqref="F77"/>
    </sheetView>
  </sheetViews>
  <sheetFormatPr defaultColWidth="5.88671875" defaultRowHeight="14.4"/>
  <cols>
    <col min="1" max="1" width="11.5546875" customWidth="1"/>
    <col min="2" max="2" width="13.21875" customWidth="1"/>
    <col min="3" max="3" width="16.88671875" customWidth="1"/>
    <col min="4" max="4" width="27.77734375" hidden="1" customWidth="1"/>
    <col min="5" max="5" width="14.44140625" customWidth="1"/>
    <col min="6" max="6" width="46" customWidth="1"/>
    <col min="7" max="7" width="23.33203125" hidden="1" customWidth="1"/>
    <col min="8" max="8" width="18.109375" hidden="1" customWidth="1"/>
    <col min="9" max="9" width="117.6640625" hidden="1" customWidth="1"/>
    <col min="10" max="10" width="9.5546875" customWidth="1"/>
    <col min="11" max="11" width="10.21875" customWidth="1"/>
    <col min="12" max="12" width="12.21875" customWidth="1"/>
    <col min="13" max="13" width="10.6640625" customWidth="1"/>
    <col min="14" max="14" width="13.6640625" customWidth="1"/>
    <col min="15" max="15" width="13.44140625" customWidth="1"/>
    <col min="16" max="16" width="8.21875" bestFit="1" customWidth="1"/>
    <col min="17" max="20" width="7.33203125" customWidth="1"/>
    <col min="21" max="21" width="7.33203125" bestFit="1" customWidth="1"/>
    <col min="22" max="36" width="7.33203125" customWidth="1"/>
    <col min="37" max="47" width="7.33203125" bestFit="1" customWidth="1"/>
    <col min="48" max="48" width="15.44140625" bestFit="1" customWidth="1"/>
    <col min="49" max="49" width="7.77734375" bestFit="1" customWidth="1"/>
    <col min="50" max="50" width="12" bestFit="1" customWidth="1"/>
    <col min="51" max="51" width="12.44140625" bestFit="1" customWidth="1"/>
    <col min="52" max="54" width="7.5546875" bestFit="1" customWidth="1"/>
    <col min="55" max="55" width="7.33203125" bestFit="1" customWidth="1"/>
    <col min="56" max="61" width="7.5546875" bestFit="1" customWidth="1"/>
    <col min="62" max="62" width="7.33203125" bestFit="1" customWidth="1"/>
    <col min="63" max="68" width="7.5546875" bestFit="1" customWidth="1"/>
    <col min="69" max="69" width="7.33203125" bestFit="1" customWidth="1"/>
    <col min="70" max="70" width="7.5546875" bestFit="1" customWidth="1"/>
    <col min="71" max="71" width="7.21875" bestFit="1" customWidth="1"/>
    <col min="72" max="76" width="7.33203125" bestFit="1" customWidth="1"/>
    <col min="77" max="80" width="7.33203125" customWidth="1"/>
    <col min="81" max="81" width="10.44140625" bestFit="1" customWidth="1"/>
    <col min="82" max="82" width="15.44140625" bestFit="1" customWidth="1"/>
    <col min="83" max="83" width="10.88671875" customWidth="1"/>
    <col min="84" max="84" width="7.33203125" bestFit="1" customWidth="1"/>
    <col min="85" max="85" width="12.44140625" bestFit="1" customWidth="1"/>
    <col min="86" max="86" width="14.33203125" customWidth="1"/>
    <col min="87" max="87" width="15.21875" customWidth="1"/>
    <col min="88" max="88" width="13.21875" customWidth="1"/>
    <col min="89" max="89" width="13.77734375" customWidth="1"/>
    <col min="90" max="90" width="12.44140625" customWidth="1"/>
    <col min="91" max="91" width="14.109375" bestFit="1" customWidth="1"/>
    <col min="92" max="92" width="13.88671875" bestFit="1" customWidth="1"/>
    <col min="93" max="93" width="14.109375" bestFit="1" customWidth="1"/>
    <col min="94" max="94" width="11.33203125" bestFit="1" customWidth="1"/>
    <col min="95" max="95" width="13.5546875" bestFit="1" customWidth="1"/>
    <col min="96" max="96" width="14.21875" bestFit="1" customWidth="1"/>
    <col min="97" max="97" width="13.44140625" bestFit="1" customWidth="1"/>
    <col min="98" max="98" width="11.33203125" bestFit="1" customWidth="1"/>
    <col min="99" max="99" width="13.44140625" bestFit="1" customWidth="1"/>
    <col min="100" max="100" width="13.109375" bestFit="1" customWidth="1"/>
    <col min="101" max="101" width="14.21875" bestFit="1" customWidth="1"/>
    <col min="102" max="102" width="11.33203125" bestFit="1" customWidth="1"/>
    <col min="103" max="103" width="13.5546875" bestFit="1" customWidth="1"/>
    <col min="104" max="104" width="14.21875" bestFit="1" customWidth="1"/>
    <col min="105" max="105" width="13.44140625" bestFit="1" customWidth="1"/>
    <col min="106" max="106" width="12.44140625" bestFit="1" customWidth="1"/>
    <col min="107" max="107" width="11.5546875" customWidth="1"/>
    <col min="108" max="108" width="9.5546875" bestFit="1" customWidth="1"/>
    <col min="109" max="109" width="9.109375" customWidth="1"/>
    <col min="110" max="110" width="38.44140625" bestFit="1" customWidth="1"/>
    <col min="111" max="111" width="18.44140625" bestFit="1" customWidth="1"/>
    <col min="112" max="112" width="17" bestFit="1" customWidth="1"/>
    <col min="113" max="113" width="22.5546875" bestFit="1" customWidth="1"/>
    <col min="114" max="114" width="25" bestFit="1" customWidth="1"/>
    <col min="115" max="115" width="18.33203125" bestFit="1" customWidth="1"/>
    <col min="116" max="116" width="24.109375" customWidth="1"/>
    <col min="117" max="117" width="15.88671875" customWidth="1"/>
    <col min="118" max="118" width="12.6640625" bestFit="1" customWidth="1"/>
    <col min="119" max="119" width="9.5546875" bestFit="1" customWidth="1"/>
    <col min="120" max="120" width="6.21875" bestFit="1" customWidth="1"/>
    <col min="121" max="121" width="6.21875" customWidth="1"/>
    <col min="122" max="122" width="22.88671875" customWidth="1"/>
    <col min="123" max="123" width="15.5546875" bestFit="1" customWidth="1"/>
    <col min="124" max="124" width="21.77734375" bestFit="1" customWidth="1"/>
    <col min="125" max="125" width="17.77734375" bestFit="1" customWidth="1"/>
    <col min="126" max="126" width="15.21875" bestFit="1" customWidth="1"/>
    <col min="127" max="127" width="19.33203125" bestFit="1" customWidth="1"/>
    <col min="128" max="128" width="14.5546875" bestFit="1" customWidth="1"/>
    <col min="129" max="129" width="13.77734375" bestFit="1" customWidth="1"/>
    <col min="130" max="135" width="9.88671875" bestFit="1" customWidth="1"/>
    <col min="136" max="136" width="16.21875" bestFit="1" customWidth="1"/>
    <col min="137" max="137" width="50.77734375" bestFit="1" customWidth="1"/>
    <col min="138" max="138" width="12.44140625" bestFit="1" customWidth="1"/>
    <col min="139" max="139" width="12.21875" bestFit="1" customWidth="1"/>
    <col min="140" max="140" width="12" bestFit="1" customWidth="1"/>
    <col min="141" max="141" width="15.21875" bestFit="1" customWidth="1"/>
    <col min="142" max="142" width="11.77734375" bestFit="1" customWidth="1"/>
    <col min="143" max="143" width="11.5546875" bestFit="1" customWidth="1"/>
    <col min="144" max="144" width="15.21875" bestFit="1" customWidth="1"/>
    <col min="145" max="145" width="11.77734375" bestFit="1" customWidth="1"/>
    <col min="146" max="146" width="11.5546875" bestFit="1" customWidth="1"/>
    <col min="147" max="147" width="15.21875" bestFit="1" customWidth="1"/>
    <col min="148" max="149" width="11.5546875" bestFit="1" customWidth="1"/>
    <col min="150" max="150" width="15.21875" bestFit="1" customWidth="1"/>
    <col min="151" max="151" width="11.44140625" customWidth="1"/>
    <col min="152" max="152" width="11.5546875" bestFit="1" customWidth="1"/>
    <col min="153" max="153" width="15.21875" bestFit="1" customWidth="1"/>
    <col min="154" max="154" width="11.77734375" bestFit="1" customWidth="1"/>
    <col min="155" max="155" width="11.5546875" bestFit="1" customWidth="1"/>
    <col min="156" max="156" width="15.21875" bestFit="1" customWidth="1"/>
    <col min="157" max="157" width="12.44140625" bestFit="1" customWidth="1"/>
    <col min="158" max="158" width="11.5546875" bestFit="1" customWidth="1"/>
    <col min="159" max="159" width="15.21875" bestFit="1" customWidth="1"/>
    <col min="160" max="160" width="11.77734375" bestFit="1" customWidth="1"/>
    <col min="161" max="161" width="11.5546875" bestFit="1" customWidth="1"/>
    <col min="162" max="163" width="16.6640625" bestFit="1" customWidth="1"/>
    <col min="164" max="164" width="14.44140625" bestFit="1" customWidth="1"/>
    <col min="165" max="165" width="16" bestFit="1" customWidth="1"/>
    <col min="166" max="166" width="11.77734375" bestFit="1" customWidth="1"/>
    <col min="167" max="167" width="14.44140625" bestFit="1" customWidth="1"/>
    <col min="168" max="168" width="15.21875" bestFit="1" customWidth="1"/>
    <col min="169" max="169" width="9.109375" customWidth="1"/>
    <col min="170" max="170" width="11.5546875" bestFit="1" customWidth="1"/>
    <col min="171" max="171" width="15.21875" bestFit="1" customWidth="1"/>
    <col min="172" max="172" width="11.44140625" bestFit="1" customWidth="1"/>
    <col min="173" max="173" width="11.5546875" bestFit="1" customWidth="1"/>
    <col min="174" max="174" width="24.21875" bestFit="1" customWidth="1"/>
    <col min="175" max="175" width="16.88671875" bestFit="1" customWidth="1"/>
    <col min="176" max="176" width="17" bestFit="1" customWidth="1"/>
    <col min="177" max="178" width="15.44140625" customWidth="1"/>
    <col min="179" max="179" width="58.109375" customWidth="1"/>
    <col min="180" max="180" width="8.88671875" customWidth="1"/>
    <col min="181" max="181" width="13.44140625" bestFit="1" customWidth="1"/>
    <col min="182" max="183" width="12.44140625" bestFit="1" customWidth="1"/>
    <col min="184" max="184" width="13.44140625" bestFit="1" customWidth="1"/>
    <col min="185" max="185" width="12.44140625" bestFit="1" customWidth="1"/>
    <col min="186" max="186" width="13.44140625" bestFit="1" customWidth="1"/>
    <col min="187" max="187" width="13.88671875" bestFit="1" customWidth="1"/>
    <col min="188" max="188" width="14.44140625" bestFit="1" customWidth="1"/>
    <col min="189" max="189" width="8.88671875" customWidth="1"/>
    <col min="190" max="190" width="44.44140625" customWidth="1"/>
    <col min="191" max="191" width="17.21875" bestFit="1" customWidth="1"/>
    <col min="192" max="192" width="18.44140625" bestFit="1" customWidth="1"/>
    <col min="193" max="193" width="12.6640625" bestFit="1" customWidth="1"/>
    <col min="194" max="194" width="18.6640625" bestFit="1" customWidth="1"/>
    <col min="195" max="196" width="18.5546875" customWidth="1"/>
    <col min="197" max="197" width="8.88671875" customWidth="1"/>
    <col min="198" max="210" width="14.109375" bestFit="1" customWidth="1"/>
    <col min="211" max="211" width="8.88671875" customWidth="1"/>
    <col min="212" max="223" width="13.33203125" bestFit="1" customWidth="1"/>
    <col min="224" max="224" width="8.88671875" customWidth="1"/>
    <col min="225" max="225" width="13.21875" customWidth="1"/>
    <col min="226" max="227" width="12.33203125" customWidth="1"/>
    <col min="228" max="228" width="11.109375" customWidth="1"/>
    <col min="229" max="229" width="13.33203125" bestFit="1" customWidth="1"/>
    <col min="230" max="230" width="17.5546875" bestFit="1" customWidth="1"/>
    <col min="231" max="231" width="18" bestFit="1" customWidth="1"/>
    <col min="232" max="232" width="20.88671875" bestFit="1" customWidth="1"/>
    <col min="233" max="233" width="26.6640625" bestFit="1" customWidth="1"/>
    <col min="234" max="249" width="9.109375" customWidth="1"/>
    <col min="250" max="268" width="8.88671875" customWidth="1"/>
    <col min="269" max="269" width="7.88671875" bestFit="1" customWidth="1"/>
    <col min="270" max="270" width="9.33203125" bestFit="1" customWidth="1"/>
    <col min="271" max="271" width="23.5546875" bestFit="1" customWidth="1"/>
    <col min="272" max="275" width="7.5546875" bestFit="1" customWidth="1"/>
    <col min="276" max="276" width="6.77734375" bestFit="1" customWidth="1"/>
    <col min="277" max="280" width="7.5546875" bestFit="1" customWidth="1"/>
    <col min="281" max="281" width="7.77734375" bestFit="1" customWidth="1"/>
    <col min="282" max="282" width="9.44140625" bestFit="1" customWidth="1"/>
    <col min="283" max="290" width="7.77734375" bestFit="1" customWidth="1"/>
    <col min="291" max="291" width="8.21875" bestFit="1" customWidth="1"/>
    <col min="292" max="292" width="7.77734375" bestFit="1" customWidth="1"/>
    <col min="293" max="301" width="8.21875" bestFit="1" customWidth="1"/>
    <col min="302" max="302" width="7.77734375" bestFit="1" customWidth="1"/>
    <col min="303" max="306" width="7.5546875" bestFit="1" customWidth="1"/>
    <col min="307" max="309" width="7.21875" bestFit="1" customWidth="1"/>
    <col min="310" max="311" width="7.5546875" bestFit="1" customWidth="1"/>
    <col min="312" max="312" width="9" bestFit="1" customWidth="1"/>
    <col min="313" max="313" width="7.33203125" bestFit="1" customWidth="1"/>
    <col min="314" max="321" width="7.77734375" bestFit="1" customWidth="1"/>
    <col min="322" max="322" width="8.21875" bestFit="1" customWidth="1"/>
    <col min="323" max="323" width="7.77734375" customWidth="1"/>
    <col min="324" max="332" width="8.21875" bestFit="1" customWidth="1"/>
    <col min="333" max="333" width="7.77734375" bestFit="1" customWidth="1"/>
    <col min="334" max="334" width="25.77734375" bestFit="1" customWidth="1"/>
    <col min="335" max="335" width="8.5546875" customWidth="1"/>
    <col min="336" max="336" width="16.21875" bestFit="1" customWidth="1"/>
    <col min="337" max="338" width="16" bestFit="1" customWidth="1"/>
    <col min="339" max="339" width="15.5546875" bestFit="1" customWidth="1"/>
    <col min="340" max="340" width="15" bestFit="1" customWidth="1"/>
    <col min="341" max="341" width="14.5546875" bestFit="1" customWidth="1"/>
    <col min="342" max="342" width="15" bestFit="1" customWidth="1"/>
    <col min="343" max="343" width="14.5546875" bestFit="1" customWidth="1"/>
    <col min="344" max="347" width="15" bestFit="1" customWidth="1"/>
    <col min="348" max="348" width="14.5546875" bestFit="1" customWidth="1"/>
    <col min="349" max="352" width="15" bestFit="1" customWidth="1"/>
    <col min="353" max="353" width="13.5546875" bestFit="1" customWidth="1"/>
    <col min="354" max="356" width="14.109375" bestFit="1" customWidth="1"/>
    <col min="357" max="357" width="13.109375" bestFit="1" customWidth="1"/>
    <col min="358" max="360" width="13.5546875" bestFit="1" customWidth="1"/>
    <col min="361" max="361" width="13.109375" bestFit="1" customWidth="1"/>
    <col min="362" max="362" width="13.5546875" bestFit="1" customWidth="1"/>
    <col min="363" max="363" width="12.77734375" bestFit="1" customWidth="1"/>
    <col min="364" max="364" width="13.5546875" bestFit="1" customWidth="1"/>
    <col min="365" max="365" width="13.109375" bestFit="1" customWidth="1"/>
    <col min="366" max="366" width="13.5546875" bestFit="1" customWidth="1"/>
    <col min="367" max="369" width="13.109375" bestFit="1" customWidth="1"/>
    <col min="370" max="370" width="8.5546875" customWidth="1"/>
    <col min="371" max="371" width="30.44140625" bestFit="1" customWidth="1"/>
    <col min="372" max="373" width="14.6640625" bestFit="1" customWidth="1"/>
    <col min="374" max="374" width="5.88671875" customWidth="1"/>
    <col min="375" max="375" width="9.33203125" bestFit="1" customWidth="1"/>
    <col min="376" max="376" width="40.109375" customWidth="1"/>
    <col min="377" max="377" width="16.6640625" bestFit="1" customWidth="1"/>
    <col min="378" max="378" width="15" bestFit="1" customWidth="1"/>
    <col min="379" max="379" width="10.5546875" bestFit="1" customWidth="1"/>
    <col min="380" max="380" width="20.77734375" bestFit="1" customWidth="1"/>
    <col min="381" max="381" width="17.109375" bestFit="1" customWidth="1"/>
    <col min="382" max="382" width="15" bestFit="1" customWidth="1"/>
    <col min="383" max="383" width="14.5546875" bestFit="1" customWidth="1"/>
    <col min="384" max="384" width="20.77734375" bestFit="1" customWidth="1"/>
    <col min="385" max="385" width="15.21875" bestFit="1" customWidth="1"/>
    <col min="386" max="386" width="15" bestFit="1" customWidth="1"/>
    <col min="387" max="387" width="10.5546875" bestFit="1" customWidth="1"/>
    <col min="388" max="388" width="20.77734375" bestFit="1" customWidth="1"/>
    <col min="389" max="389" width="15.6640625" bestFit="1" customWidth="1"/>
    <col min="390" max="390" width="15" bestFit="1" customWidth="1"/>
    <col min="391" max="391" width="14.5546875" bestFit="1" customWidth="1"/>
    <col min="392" max="392" width="20.77734375" bestFit="1" customWidth="1"/>
    <col min="393" max="393" width="15.21875" bestFit="1" customWidth="1"/>
    <col min="394" max="394" width="15" bestFit="1" customWidth="1"/>
    <col min="395" max="395" width="10.5546875" bestFit="1" customWidth="1"/>
    <col min="396" max="396" width="20.77734375" bestFit="1" customWidth="1"/>
    <col min="397" max="397" width="15.21875" bestFit="1" customWidth="1"/>
    <col min="398" max="398" width="15" bestFit="1" customWidth="1"/>
    <col min="399" max="399" width="10.5546875" bestFit="1" customWidth="1"/>
    <col min="400" max="400" width="20.77734375" bestFit="1" customWidth="1"/>
    <col min="401" max="401" width="15.21875" bestFit="1" customWidth="1"/>
    <col min="402" max="402" width="15" bestFit="1" customWidth="1"/>
    <col min="403" max="403" width="10.5546875" bestFit="1" customWidth="1"/>
    <col min="404" max="404" width="11.33203125" bestFit="1" customWidth="1"/>
    <col min="405" max="405" width="15.6640625" bestFit="1" customWidth="1"/>
    <col min="406" max="406" width="15.77734375" bestFit="1" customWidth="1"/>
    <col min="407" max="407" width="12.33203125" bestFit="1" customWidth="1"/>
    <col min="408" max="408" width="19.77734375" bestFit="1" customWidth="1"/>
    <col min="409" max="409" width="15.21875" bestFit="1" customWidth="1"/>
    <col min="410" max="410" width="15" bestFit="1" customWidth="1"/>
    <col min="411" max="411" width="10.5546875" bestFit="1" customWidth="1"/>
    <col min="412" max="412" width="20.77734375" bestFit="1" customWidth="1"/>
    <col min="413" max="413" width="15.21875" bestFit="1" customWidth="1"/>
    <col min="414" max="414" width="15" bestFit="1" customWidth="1"/>
    <col min="415" max="415" width="12.77734375" bestFit="1" customWidth="1"/>
    <col min="416" max="416" width="19.77734375" bestFit="1" customWidth="1"/>
    <col min="417" max="417" width="15.21875" bestFit="1" customWidth="1"/>
    <col min="418" max="418" width="15" bestFit="1" customWidth="1"/>
    <col min="419" max="419" width="10.5546875" bestFit="1" customWidth="1"/>
    <col min="420" max="420" width="20.77734375" bestFit="1" customWidth="1"/>
    <col min="421" max="421" width="15.21875" bestFit="1" customWidth="1"/>
    <col min="422" max="422" width="15" bestFit="1" customWidth="1"/>
    <col min="423" max="423" width="12.6640625" bestFit="1" customWidth="1"/>
    <col min="424" max="424" width="20.77734375" bestFit="1" customWidth="1"/>
    <col min="425" max="425" width="15.21875" bestFit="1" customWidth="1"/>
    <col min="426" max="426" width="15" bestFit="1" customWidth="1"/>
    <col min="427" max="427" width="10.5546875" bestFit="1" customWidth="1"/>
    <col min="428" max="428" width="20.77734375" bestFit="1" customWidth="1"/>
    <col min="429" max="430" width="15" bestFit="1" customWidth="1"/>
    <col min="431" max="431" width="12.33203125" bestFit="1" customWidth="1"/>
    <col min="432" max="432" width="20.77734375" bestFit="1" customWidth="1"/>
    <col min="433" max="433" width="15.21875" bestFit="1" customWidth="1"/>
    <col min="434" max="434" width="15" bestFit="1" customWidth="1"/>
    <col min="435" max="435" width="10.5546875" bestFit="1" customWidth="1"/>
    <col min="436" max="436" width="20.77734375" bestFit="1" customWidth="1"/>
    <col min="437" max="437" width="15.6640625" bestFit="1" customWidth="1"/>
    <col min="438" max="438" width="15" bestFit="1" customWidth="1"/>
    <col min="439" max="439" width="10.5546875" bestFit="1" customWidth="1"/>
    <col min="440" max="440" width="20.77734375" bestFit="1" customWidth="1"/>
    <col min="441" max="441" width="15.21875" bestFit="1" customWidth="1"/>
    <col min="442" max="442" width="15" bestFit="1" customWidth="1"/>
    <col min="443" max="443" width="10.5546875" bestFit="1" customWidth="1"/>
    <col min="444" max="444" width="20.77734375" bestFit="1" customWidth="1"/>
    <col min="445" max="445" width="14.88671875" bestFit="1" customWidth="1"/>
    <col min="446" max="446" width="15" bestFit="1" customWidth="1"/>
    <col min="447" max="447" width="12.33203125" bestFit="1" customWidth="1"/>
    <col min="448" max="448" width="14" bestFit="1" customWidth="1"/>
    <col min="449" max="449" width="15.21875" bestFit="1" customWidth="1"/>
    <col min="450" max="450" width="15" bestFit="1" customWidth="1"/>
    <col min="451" max="451" width="10.5546875" bestFit="1" customWidth="1"/>
    <col min="452" max="452" width="20.77734375" bestFit="1" customWidth="1"/>
    <col min="453" max="453" width="15.109375" bestFit="1" customWidth="1"/>
    <col min="454" max="454" width="15" bestFit="1" customWidth="1"/>
    <col min="455" max="455" width="12.33203125" bestFit="1" customWidth="1"/>
    <col min="456" max="456" width="20.77734375" bestFit="1" customWidth="1"/>
    <col min="457" max="457" width="15.21875" bestFit="1" customWidth="1"/>
    <col min="458" max="458" width="15" bestFit="1" customWidth="1"/>
    <col min="459" max="459" width="10.5546875" bestFit="1" customWidth="1"/>
    <col min="460" max="460" width="20.77734375" bestFit="1" customWidth="1"/>
    <col min="461" max="461" width="15.109375" bestFit="1" customWidth="1"/>
    <col min="462" max="462" width="15" bestFit="1" customWidth="1"/>
    <col min="463" max="463" width="12.33203125" bestFit="1" customWidth="1"/>
    <col min="464" max="464" width="20.77734375" bestFit="1" customWidth="1"/>
    <col min="465" max="465" width="15.21875" bestFit="1" customWidth="1"/>
    <col min="466" max="466" width="15" bestFit="1" customWidth="1"/>
    <col min="467" max="467" width="10.5546875" bestFit="1" customWidth="1"/>
    <col min="468" max="468" width="20.77734375" bestFit="1" customWidth="1"/>
    <col min="469" max="469" width="15.109375" bestFit="1" customWidth="1"/>
    <col min="470" max="470" width="15" bestFit="1" customWidth="1"/>
    <col min="471" max="471" width="12.33203125" bestFit="1" customWidth="1"/>
    <col min="472" max="472" width="20.77734375" bestFit="1" customWidth="1"/>
    <col min="473" max="477" width="5.88671875" customWidth="1"/>
    <col min="478" max="478" width="9.88671875" bestFit="1" customWidth="1"/>
    <col min="479" max="479" width="10.109375" bestFit="1" customWidth="1"/>
    <col min="480" max="480" width="47.33203125" bestFit="1" customWidth="1"/>
    <col min="481" max="481" width="17.109375" bestFit="1" customWidth="1"/>
    <col min="482" max="483" width="18.33203125" bestFit="1" customWidth="1"/>
    <col min="484" max="484" width="17.88671875" bestFit="1" customWidth="1"/>
    <col min="485" max="485" width="18.109375" bestFit="1" customWidth="1"/>
    <col min="486" max="486" width="18.33203125" bestFit="1" customWidth="1"/>
    <col min="487" max="487" width="17.88671875" bestFit="1" customWidth="1"/>
    <col min="488" max="488" width="18.109375" bestFit="1" customWidth="1"/>
    <col min="489" max="489" width="17.88671875" bestFit="1" customWidth="1"/>
    <col min="490" max="490" width="17.6640625" bestFit="1" customWidth="1"/>
    <col min="491" max="491" width="18.33203125" bestFit="1" customWidth="1"/>
    <col min="492" max="492" width="17.88671875" bestFit="1" customWidth="1"/>
    <col min="493" max="493" width="15.77734375" bestFit="1" customWidth="1"/>
    <col min="494" max="494" width="5.88671875" customWidth="1"/>
    <col min="495" max="495" width="10.109375" bestFit="1" customWidth="1"/>
    <col min="496" max="496" width="55.44140625" bestFit="1" customWidth="1"/>
    <col min="497" max="499" width="19.77734375" bestFit="1" customWidth="1"/>
    <col min="500" max="500" width="20.21875" bestFit="1" customWidth="1"/>
    <col min="501" max="502" width="19.77734375" bestFit="1" customWidth="1"/>
    <col min="503" max="503" width="20.21875" bestFit="1" customWidth="1"/>
    <col min="504" max="504" width="19.77734375" bestFit="1" customWidth="1"/>
    <col min="505" max="505" width="20.21875" bestFit="1" customWidth="1"/>
    <col min="506" max="506" width="19" bestFit="1" customWidth="1"/>
    <col min="507" max="507" width="19.77734375" bestFit="1" customWidth="1"/>
    <col min="508" max="508" width="20.21875" bestFit="1" customWidth="1"/>
    <col min="509" max="510" width="5.88671875" customWidth="1"/>
    <col min="511" max="511" width="10.109375" bestFit="1" customWidth="1"/>
    <col min="512" max="512" width="55.44140625" bestFit="1" customWidth="1"/>
    <col min="513" max="515" width="19.77734375" bestFit="1" customWidth="1"/>
    <col min="516" max="516" width="20.21875" bestFit="1" customWidth="1"/>
    <col min="517" max="518" width="19.77734375" bestFit="1" customWidth="1"/>
    <col min="519" max="519" width="20.21875" bestFit="1" customWidth="1"/>
    <col min="520" max="520" width="19.77734375" bestFit="1" customWidth="1"/>
    <col min="521" max="521" width="20.21875" bestFit="1" customWidth="1"/>
    <col min="522" max="522" width="19" bestFit="1" customWidth="1"/>
    <col min="523" max="523" width="19.77734375" bestFit="1" customWidth="1"/>
    <col min="524" max="524" width="20.21875" bestFit="1" customWidth="1"/>
    <col min="525" max="529" width="5.88671875" customWidth="1"/>
    <col min="530" max="530" width="10.109375" bestFit="1" customWidth="1"/>
    <col min="531" max="531" width="47.33203125" bestFit="1" customWidth="1"/>
    <col min="532" max="532" width="17.109375" bestFit="1" customWidth="1"/>
    <col min="533" max="534" width="18.33203125" bestFit="1" customWidth="1"/>
    <col min="535" max="535" width="17.88671875" bestFit="1" customWidth="1"/>
    <col min="536" max="536" width="18.109375" bestFit="1" customWidth="1"/>
    <col min="537" max="537" width="18.33203125" bestFit="1" customWidth="1"/>
    <col min="538" max="538" width="17.88671875" bestFit="1" customWidth="1"/>
    <col min="539" max="539" width="18.109375" bestFit="1" customWidth="1"/>
    <col min="540" max="540" width="17.88671875" bestFit="1" customWidth="1"/>
    <col min="541" max="541" width="17.6640625" bestFit="1" customWidth="1"/>
    <col min="542" max="542" width="18.33203125" bestFit="1" customWidth="1"/>
    <col min="543" max="543" width="17.88671875" bestFit="1" customWidth="1"/>
    <col min="544" max="544" width="15.77734375" bestFit="1" customWidth="1"/>
    <col min="545" max="545" width="5.88671875" customWidth="1"/>
    <col min="546" max="546" width="13.21875" bestFit="1" customWidth="1"/>
    <col min="547" max="550" width="12" bestFit="1" customWidth="1"/>
    <col min="551" max="551" width="5.88671875" customWidth="1"/>
    <col min="552" max="552" width="11.6640625" bestFit="1" customWidth="1"/>
    <col min="553" max="598" width="5.88671875" customWidth="1"/>
  </cols>
  <sheetData>
    <row r="1" spans="1:334" ht="15" thickBot="1">
      <c r="JL1">
        <v>2</v>
      </c>
      <c r="JM1">
        <f>JL1+1</f>
        <v>3</v>
      </c>
      <c r="JN1">
        <f t="shared" ref="JN1" si="0">JM1+1</f>
        <v>4</v>
      </c>
      <c r="JP1">
        <f>JN1+1</f>
        <v>5</v>
      </c>
      <c r="JQ1">
        <f>JP1+1</f>
        <v>6</v>
      </c>
      <c r="JR1">
        <f t="shared" ref="JR1" si="1">JQ1+1</f>
        <v>7</v>
      </c>
      <c r="JS1">
        <f t="shared" ref="JS1" si="2">JR1+1</f>
        <v>8</v>
      </c>
      <c r="JT1">
        <f t="shared" ref="JT1" si="3">JS1+1</f>
        <v>9</v>
      </c>
      <c r="JU1">
        <f t="shared" ref="JU1" si="4">JT1+1</f>
        <v>10</v>
      </c>
      <c r="JW1">
        <f>JU1+1</f>
        <v>11</v>
      </c>
      <c r="JX1">
        <f t="shared" ref="JX1" si="5">JW1+1</f>
        <v>12</v>
      </c>
      <c r="JY1">
        <f t="shared" ref="JY1" si="6">JX1+1</f>
        <v>13</v>
      </c>
      <c r="JZ1">
        <f t="shared" ref="JZ1" si="7">JY1+1</f>
        <v>14</v>
      </c>
      <c r="KA1">
        <f t="shared" ref="KA1" si="8">JZ1+1</f>
        <v>15</v>
      </c>
      <c r="KB1">
        <f t="shared" ref="KB1" si="9">KA1+1</f>
        <v>16</v>
      </c>
      <c r="KD1">
        <f>KB1+1</f>
        <v>17</v>
      </c>
      <c r="KE1">
        <f>KD1+1</f>
        <v>18</v>
      </c>
      <c r="KF1">
        <f t="shared" ref="KF1" si="10">KE1+1</f>
        <v>19</v>
      </c>
      <c r="KG1">
        <f t="shared" ref="KG1" si="11">KF1+1</f>
        <v>20</v>
      </c>
      <c r="KH1">
        <f t="shared" ref="KH1" si="12">KG1+1</f>
        <v>21</v>
      </c>
      <c r="KI1">
        <f t="shared" ref="KI1" si="13">KH1+1</f>
        <v>22</v>
      </c>
      <c r="KK1">
        <f>KI1+1</f>
        <v>23</v>
      </c>
      <c r="KL1">
        <f>KK1+1</f>
        <v>24</v>
      </c>
      <c r="KM1">
        <f t="shared" ref="KM1" si="14">KL1+1</f>
        <v>25</v>
      </c>
      <c r="KN1">
        <f t="shared" ref="KN1:KP1" si="15">KM1+1</f>
        <v>26</v>
      </c>
      <c r="KO1">
        <f t="shared" si="15"/>
        <v>27</v>
      </c>
      <c r="KP1">
        <f t="shared" si="15"/>
        <v>28</v>
      </c>
      <c r="KQ1">
        <v>2</v>
      </c>
      <c r="KR1">
        <f>KQ1+1</f>
        <v>3</v>
      </c>
      <c r="KS1">
        <f t="shared" ref="KS1" si="16">KR1+1</f>
        <v>4</v>
      </c>
      <c r="KU1">
        <f>KS1+1</f>
        <v>5</v>
      </c>
      <c r="KV1">
        <f>KU1+1</f>
        <v>6</v>
      </c>
      <c r="KW1">
        <f t="shared" ref="KW1" si="17">KV1+1</f>
        <v>7</v>
      </c>
      <c r="KX1">
        <f t="shared" ref="KX1" si="18">KW1+1</f>
        <v>8</v>
      </c>
      <c r="KY1">
        <f t="shared" ref="KY1" si="19">KX1+1</f>
        <v>9</v>
      </c>
      <c r="KZ1">
        <f t="shared" ref="KZ1" si="20">KY1+1</f>
        <v>10</v>
      </c>
      <c r="LB1">
        <f>KZ1+1</f>
        <v>11</v>
      </c>
      <c r="LC1">
        <f t="shared" ref="LC1" si="21">LB1+1</f>
        <v>12</v>
      </c>
      <c r="LD1">
        <f t="shared" ref="LD1" si="22">LC1+1</f>
        <v>13</v>
      </c>
      <c r="LE1">
        <f t="shared" ref="LE1" si="23">LD1+1</f>
        <v>14</v>
      </c>
      <c r="LF1">
        <f t="shared" ref="LF1" si="24">LE1+1</f>
        <v>15</v>
      </c>
      <c r="LG1">
        <f t="shared" ref="LG1" si="25">LF1+1</f>
        <v>16</v>
      </c>
      <c r="LI1">
        <f>LG1+1</f>
        <v>17</v>
      </c>
      <c r="LJ1">
        <f>LI1+1</f>
        <v>18</v>
      </c>
      <c r="LK1">
        <f t="shared" ref="LK1" si="26">LJ1+1</f>
        <v>19</v>
      </c>
      <c r="LL1">
        <f t="shared" ref="LL1" si="27">LK1+1</f>
        <v>20</v>
      </c>
      <c r="LM1">
        <f t="shared" ref="LM1" si="28">LL1+1</f>
        <v>21</v>
      </c>
      <c r="LN1">
        <f t="shared" ref="LN1" si="29">LM1+1</f>
        <v>22</v>
      </c>
      <c r="LP1">
        <f>LN1+1</f>
        <v>23</v>
      </c>
      <c r="LQ1">
        <f>LP1+1</f>
        <v>24</v>
      </c>
      <c r="LR1">
        <f t="shared" ref="LR1" si="30">LQ1+1</f>
        <v>25</v>
      </c>
      <c r="LS1">
        <f t="shared" ref="LS1" si="31">LR1+1</f>
        <v>26</v>
      </c>
      <c r="LT1">
        <f t="shared" ref="LT1" si="32">LS1+1</f>
        <v>27</v>
      </c>
      <c r="LU1">
        <f t="shared" ref="LU1" si="33">LT1+1</f>
        <v>28</v>
      </c>
    </row>
    <row r="2" spans="1:334" ht="52.2" customHeight="1" thickBot="1">
      <c r="A2" s="179" t="s">
        <v>550</v>
      </c>
      <c r="B2" s="180"/>
      <c r="C2" s="180"/>
      <c r="D2" s="181"/>
      <c r="E2" s="180"/>
      <c r="F2" s="180"/>
      <c r="G2" s="181"/>
      <c r="H2" s="181"/>
      <c r="I2" s="181"/>
      <c r="J2" s="180"/>
      <c r="K2" s="180"/>
      <c r="L2" s="181"/>
      <c r="M2" s="181"/>
      <c r="N2" s="181"/>
      <c r="O2" s="181"/>
      <c r="P2" s="182"/>
      <c r="Q2" s="188" t="s">
        <v>548</v>
      </c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89"/>
      <c r="AK2" s="189"/>
      <c r="AL2" s="189"/>
      <c r="AM2" s="189"/>
      <c r="AN2" s="189"/>
      <c r="AO2" s="189"/>
      <c r="AP2" s="189"/>
      <c r="AQ2" s="189"/>
      <c r="AR2" s="189"/>
      <c r="AS2" s="189"/>
      <c r="AT2" s="189"/>
      <c r="AU2" s="189"/>
      <c r="AV2" s="189"/>
      <c r="AW2" s="190"/>
      <c r="AX2" s="191" t="s">
        <v>549</v>
      </c>
      <c r="AY2" s="192"/>
      <c r="AZ2" s="192"/>
      <c r="BA2" s="192"/>
      <c r="BB2" s="192"/>
      <c r="BC2" s="192"/>
      <c r="BD2" s="192"/>
      <c r="BE2" s="192"/>
      <c r="BF2" s="192"/>
      <c r="BG2" s="192"/>
      <c r="BH2" s="192"/>
      <c r="BI2" s="192"/>
      <c r="BJ2" s="192"/>
      <c r="BK2" s="192"/>
      <c r="BL2" s="192"/>
      <c r="BM2" s="192"/>
      <c r="BN2" s="192"/>
      <c r="BO2" s="192"/>
      <c r="BP2" s="192"/>
      <c r="BQ2" s="192"/>
      <c r="BR2" s="192"/>
      <c r="BS2" s="192"/>
      <c r="BT2" s="192"/>
      <c r="BU2" s="192"/>
      <c r="BV2" s="192"/>
      <c r="BW2" s="192"/>
      <c r="BX2" s="192"/>
      <c r="BY2" s="192"/>
      <c r="BZ2" s="192"/>
      <c r="CA2" s="192"/>
      <c r="CB2" s="192"/>
      <c r="CC2" s="192"/>
      <c r="CD2" s="193"/>
      <c r="CF2" s="169">
        <f ca="1">NETWORKDAYS.INTL(EOMONTH(TODAY(),-1)+1,TODAY(),11)</f>
        <v>13</v>
      </c>
      <c r="JJ2" s="194" t="s">
        <v>395</v>
      </c>
      <c r="JK2" s="195"/>
      <c r="JL2" s="183" t="s">
        <v>162</v>
      </c>
      <c r="JM2" s="184"/>
      <c r="JN2" s="184"/>
      <c r="JO2" s="184"/>
      <c r="JP2" s="184"/>
      <c r="JQ2" s="184"/>
      <c r="JR2" s="184"/>
      <c r="JS2" s="184"/>
      <c r="JT2" s="184"/>
      <c r="JU2" s="184"/>
      <c r="JV2" s="184"/>
      <c r="JW2" s="184"/>
      <c r="JX2" s="184"/>
      <c r="JY2" s="184"/>
      <c r="JZ2" s="184"/>
      <c r="KA2" s="184"/>
      <c r="KB2" s="184"/>
      <c r="KC2" s="184"/>
      <c r="KD2" s="184"/>
      <c r="KE2" s="184"/>
      <c r="KF2" s="184"/>
      <c r="KG2" s="184"/>
      <c r="KH2" s="184"/>
      <c r="KI2" s="184"/>
      <c r="KJ2" s="184"/>
      <c r="KK2" s="184"/>
      <c r="KL2" s="184"/>
      <c r="KM2" s="184"/>
      <c r="KN2" s="184"/>
      <c r="KO2" s="184"/>
      <c r="KP2" s="185"/>
      <c r="KQ2" s="186" t="s">
        <v>163</v>
      </c>
      <c r="KR2" s="186"/>
      <c r="KS2" s="186"/>
      <c r="KT2" s="186"/>
      <c r="KU2" s="186"/>
      <c r="KV2" s="186"/>
      <c r="KW2" s="186"/>
      <c r="KX2" s="186"/>
      <c r="KY2" s="186"/>
      <c r="KZ2" s="186"/>
      <c r="LA2" s="186"/>
      <c r="LB2" s="186"/>
      <c r="LC2" s="186"/>
      <c r="LD2" s="186"/>
      <c r="LE2" s="186"/>
      <c r="LF2" s="186"/>
      <c r="LG2" s="186"/>
      <c r="LH2" s="186"/>
      <c r="LI2" s="186"/>
      <c r="LJ2" s="186"/>
      <c r="LK2" s="186"/>
      <c r="LL2" s="186"/>
      <c r="LM2" s="186"/>
      <c r="LN2" s="186"/>
      <c r="LO2" s="186"/>
      <c r="LP2" s="186"/>
      <c r="LQ2" s="186"/>
      <c r="LR2" s="186"/>
      <c r="LS2" s="186"/>
      <c r="LT2" s="186"/>
      <c r="LU2" s="187"/>
    </row>
    <row r="3" spans="1:334" ht="31.8" thickBot="1">
      <c r="A3" s="66" t="s">
        <v>2</v>
      </c>
      <c r="B3" s="67" t="s">
        <v>3</v>
      </c>
      <c r="C3" s="68" t="s">
        <v>4</v>
      </c>
      <c r="D3" s="67" t="s">
        <v>5</v>
      </c>
      <c r="E3" s="67" t="s">
        <v>6</v>
      </c>
      <c r="F3" s="67" t="s">
        <v>398</v>
      </c>
      <c r="G3" s="69" t="s">
        <v>394</v>
      </c>
      <c r="H3" s="70" t="s">
        <v>7</v>
      </c>
      <c r="I3" s="67" t="s">
        <v>8</v>
      </c>
      <c r="J3" s="67" t="s">
        <v>396</v>
      </c>
      <c r="K3" s="69" t="s">
        <v>412</v>
      </c>
      <c r="L3" s="100" t="s">
        <v>401</v>
      </c>
      <c r="M3" s="100" t="s">
        <v>403</v>
      </c>
      <c r="N3" s="100" t="s">
        <v>402</v>
      </c>
      <c r="O3" s="100" t="s">
        <v>404</v>
      </c>
      <c r="P3" s="71" t="s">
        <v>397</v>
      </c>
      <c r="Q3" s="72">
        <v>1</v>
      </c>
      <c r="R3" s="73">
        <f>Q3+1</f>
        <v>2</v>
      </c>
      <c r="S3" s="73">
        <f t="shared" ref="S3:AU3" si="34">R3+1</f>
        <v>3</v>
      </c>
      <c r="T3" s="73">
        <f t="shared" si="34"/>
        <v>4</v>
      </c>
      <c r="U3" s="73">
        <f t="shared" si="34"/>
        <v>5</v>
      </c>
      <c r="V3" s="73">
        <f t="shared" si="34"/>
        <v>6</v>
      </c>
      <c r="W3" s="73">
        <f t="shared" si="34"/>
        <v>7</v>
      </c>
      <c r="X3" s="73">
        <f t="shared" si="34"/>
        <v>8</v>
      </c>
      <c r="Y3" s="73">
        <f t="shared" si="34"/>
        <v>9</v>
      </c>
      <c r="Z3" s="73">
        <f t="shared" si="34"/>
        <v>10</v>
      </c>
      <c r="AA3" s="73">
        <f t="shared" si="34"/>
        <v>11</v>
      </c>
      <c r="AB3" s="73">
        <f t="shared" si="34"/>
        <v>12</v>
      </c>
      <c r="AC3" s="73">
        <f t="shared" si="34"/>
        <v>13</v>
      </c>
      <c r="AD3" s="73">
        <f t="shared" si="34"/>
        <v>14</v>
      </c>
      <c r="AE3" s="73">
        <f t="shared" si="34"/>
        <v>15</v>
      </c>
      <c r="AF3" s="73">
        <f t="shared" si="34"/>
        <v>16</v>
      </c>
      <c r="AG3" s="73">
        <f t="shared" si="34"/>
        <v>17</v>
      </c>
      <c r="AH3" s="73">
        <f t="shared" si="34"/>
        <v>18</v>
      </c>
      <c r="AI3" s="73">
        <f>AH3+1</f>
        <v>19</v>
      </c>
      <c r="AJ3" s="73">
        <f t="shared" si="34"/>
        <v>20</v>
      </c>
      <c r="AK3" s="73">
        <f t="shared" si="34"/>
        <v>21</v>
      </c>
      <c r="AL3" s="73">
        <f t="shared" si="34"/>
        <v>22</v>
      </c>
      <c r="AM3" s="73">
        <f t="shared" si="34"/>
        <v>23</v>
      </c>
      <c r="AN3" s="73">
        <f t="shared" si="34"/>
        <v>24</v>
      </c>
      <c r="AO3" s="73">
        <f t="shared" si="34"/>
        <v>25</v>
      </c>
      <c r="AP3" s="73">
        <f t="shared" si="34"/>
        <v>26</v>
      </c>
      <c r="AQ3" s="73">
        <f t="shared" si="34"/>
        <v>27</v>
      </c>
      <c r="AR3" s="73">
        <f t="shared" si="34"/>
        <v>28</v>
      </c>
      <c r="AS3" s="73">
        <f t="shared" si="34"/>
        <v>29</v>
      </c>
      <c r="AT3" s="73">
        <f t="shared" si="34"/>
        <v>30</v>
      </c>
      <c r="AU3" s="74">
        <f t="shared" si="34"/>
        <v>31</v>
      </c>
      <c r="AV3" s="75" t="s">
        <v>162</v>
      </c>
      <c r="AW3" s="75" t="s">
        <v>400</v>
      </c>
      <c r="AX3" s="72">
        <v>1</v>
      </c>
      <c r="AY3" s="73">
        <f>AX3+1</f>
        <v>2</v>
      </c>
      <c r="AZ3" s="73">
        <f t="shared" ref="AZ3:CB3" si="35">AY3+1</f>
        <v>3</v>
      </c>
      <c r="BA3" s="73">
        <f t="shared" si="35"/>
        <v>4</v>
      </c>
      <c r="BB3" s="73">
        <f t="shared" si="35"/>
        <v>5</v>
      </c>
      <c r="BC3" s="73">
        <f t="shared" si="35"/>
        <v>6</v>
      </c>
      <c r="BD3" s="73">
        <f t="shared" si="35"/>
        <v>7</v>
      </c>
      <c r="BE3" s="73">
        <f t="shared" si="35"/>
        <v>8</v>
      </c>
      <c r="BF3" s="73">
        <f t="shared" si="35"/>
        <v>9</v>
      </c>
      <c r="BG3" s="73">
        <f t="shared" si="35"/>
        <v>10</v>
      </c>
      <c r="BH3" s="73">
        <f t="shared" si="35"/>
        <v>11</v>
      </c>
      <c r="BI3" s="73">
        <f t="shared" si="35"/>
        <v>12</v>
      </c>
      <c r="BJ3" s="73">
        <f t="shared" si="35"/>
        <v>13</v>
      </c>
      <c r="BK3" s="73">
        <f t="shared" si="35"/>
        <v>14</v>
      </c>
      <c r="BL3" s="73">
        <f t="shared" si="35"/>
        <v>15</v>
      </c>
      <c r="BM3" s="73">
        <f t="shared" si="35"/>
        <v>16</v>
      </c>
      <c r="BN3" s="73">
        <f t="shared" si="35"/>
        <v>17</v>
      </c>
      <c r="BO3" s="73">
        <f t="shared" si="35"/>
        <v>18</v>
      </c>
      <c r="BP3" s="73">
        <f t="shared" si="35"/>
        <v>19</v>
      </c>
      <c r="BQ3" s="73">
        <f t="shared" si="35"/>
        <v>20</v>
      </c>
      <c r="BR3" s="73">
        <f t="shared" si="35"/>
        <v>21</v>
      </c>
      <c r="BS3" s="73">
        <f t="shared" si="35"/>
        <v>22</v>
      </c>
      <c r="BT3" s="73">
        <f t="shared" si="35"/>
        <v>23</v>
      </c>
      <c r="BU3" s="73">
        <f t="shared" si="35"/>
        <v>24</v>
      </c>
      <c r="BV3" s="73">
        <f t="shared" si="35"/>
        <v>25</v>
      </c>
      <c r="BW3" s="73">
        <f t="shared" si="35"/>
        <v>26</v>
      </c>
      <c r="BX3" s="73">
        <f t="shared" si="35"/>
        <v>27</v>
      </c>
      <c r="BY3" s="73">
        <f t="shared" si="35"/>
        <v>28</v>
      </c>
      <c r="BZ3" s="73">
        <f t="shared" si="35"/>
        <v>29</v>
      </c>
      <c r="CA3" s="73">
        <f t="shared" si="35"/>
        <v>30</v>
      </c>
      <c r="CB3" s="74">
        <f t="shared" si="35"/>
        <v>31</v>
      </c>
      <c r="CC3" s="75" t="s">
        <v>163</v>
      </c>
      <c r="CD3" s="75" t="s">
        <v>399</v>
      </c>
      <c r="JJ3" s="1" t="s">
        <v>1</v>
      </c>
      <c r="JK3" s="151" t="s">
        <v>0</v>
      </c>
      <c r="JL3" s="6">
        <v>1</v>
      </c>
      <c r="JM3" s="160">
        <f>JL3+1</f>
        <v>2</v>
      </c>
      <c r="JN3" s="160">
        <f t="shared" ref="JN3:LU3" si="36">JM3+1</f>
        <v>3</v>
      </c>
      <c r="JO3" s="160">
        <f t="shared" si="36"/>
        <v>4</v>
      </c>
      <c r="JP3" s="160">
        <f t="shared" si="36"/>
        <v>5</v>
      </c>
      <c r="JQ3" s="160">
        <f t="shared" si="36"/>
        <v>6</v>
      </c>
      <c r="JR3" s="160">
        <f t="shared" si="36"/>
        <v>7</v>
      </c>
      <c r="JS3" s="160">
        <f t="shared" si="36"/>
        <v>8</v>
      </c>
      <c r="JT3" s="160">
        <f t="shared" si="36"/>
        <v>9</v>
      </c>
      <c r="JU3" s="160">
        <f t="shared" si="36"/>
        <v>10</v>
      </c>
      <c r="JV3" s="160">
        <f t="shared" si="36"/>
        <v>11</v>
      </c>
      <c r="JW3" s="160">
        <f t="shared" si="36"/>
        <v>12</v>
      </c>
      <c r="JX3" s="160">
        <f t="shared" si="36"/>
        <v>13</v>
      </c>
      <c r="JY3" s="160">
        <f t="shared" si="36"/>
        <v>14</v>
      </c>
      <c r="JZ3" s="160">
        <f t="shared" si="36"/>
        <v>15</v>
      </c>
      <c r="KA3" s="160">
        <f t="shared" si="36"/>
        <v>16</v>
      </c>
      <c r="KB3" s="160">
        <f t="shared" si="36"/>
        <v>17</v>
      </c>
      <c r="KC3" s="160">
        <f t="shared" si="36"/>
        <v>18</v>
      </c>
      <c r="KD3" s="160">
        <f t="shared" si="36"/>
        <v>19</v>
      </c>
      <c r="KE3" s="160">
        <f t="shared" si="36"/>
        <v>20</v>
      </c>
      <c r="KF3" s="160">
        <f t="shared" si="36"/>
        <v>21</v>
      </c>
      <c r="KG3" s="160">
        <f t="shared" si="36"/>
        <v>22</v>
      </c>
      <c r="KH3" s="160">
        <f t="shared" si="36"/>
        <v>23</v>
      </c>
      <c r="KI3" s="160">
        <f t="shared" si="36"/>
        <v>24</v>
      </c>
      <c r="KJ3" s="160">
        <f t="shared" si="36"/>
        <v>25</v>
      </c>
      <c r="KK3" s="160">
        <f t="shared" si="36"/>
        <v>26</v>
      </c>
      <c r="KL3" s="160">
        <f t="shared" si="36"/>
        <v>27</v>
      </c>
      <c r="KM3" s="160">
        <f t="shared" si="36"/>
        <v>28</v>
      </c>
      <c r="KN3" s="160">
        <f t="shared" si="36"/>
        <v>29</v>
      </c>
      <c r="KO3" s="160">
        <f t="shared" si="36"/>
        <v>30</v>
      </c>
      <c r="KP3" s="161">
        <f t="shared" si="36"/>
        <v>31</v>
      </c>
      <c r="KQ3" s="156">
        <v>1</v>
      </c>
      <c r="KR3" s="6">
        <f t="shared" si="36"/>
        <v>2</v>
      </c>
      <c r="KS3" s="6">
        <f t="shared" si="36"/>
        <v>3</v>
      </c>
      <c r="KT3" s="6">
        <f t="shared" si="36"/>
        <v>4</v>
      </c>
      <c r="KU3" s="6">
        <f t="shared" si="36"/>
        <v>5</v>
      </c>
      <c r="KV3" s="6">
        <f t="shared" si="36"/>
        <v>6</v>
      </c>
      <c r="KW3" s="6">
        <f t="shared" si="36"/>
        <v>7</v>
      </c>
      <c r="KX3" s="6">
        <f t="shared" si="36"/>
        <v>8</v>
      </c>
      <c r="KY3" s="6">
        <f t="shared" si="36"/>
        <v>9</v>
      </c>
      <c r="KZ3" s="6">
        <f t="shared" si="36"/>
        <v>10</v>
      </c>
      <c r="LA3" s="6">
        <f t="shared" si="36"/>
        <v>11</v>
      </c>
      <c r="LB3" s="6">
        <f t="shared" si="36"/>
        <v>12</v>
      </c>
      <c r="LC3" s="6">
        <f t="shared" si="36"/>
        <v>13</v>
      </c>
      <c r="LD3" s="6">
        <f t="shared" si="36"/>
        <v>14</v>
      </c>
      <c r="LE3" s="6">
        <f t="shared" si="36"/>
        <v>15</v>
      </c>
      <c r="LF3" s="6">
        <f t="shared" si="36"/>
        <v>16</v>
      </c>
      <c r="LG3" s="6">
        <f t="shared" si="36"/>
        <v>17</v>
      </c>
      <c r="LH3" s="6">
        <f t="shared" si="36"/>
        <v>18</v>
      </c>
      <c r="LI3" s="6">
        <f t="shared" si="36"/>
        <v>19</v>
      </c>
      <c r="LJ3" s="6">
        <f t="shared" si="36"/>
        <v>20</v>
      </c>
      <c r="LK3" s="6">
        <f t="shared" si="36"/>
        <v>21</v>
      </c>
      <c r="LL3" s="6">
        <f t="shared" si="36"/>
        <v>22</v>
      </c>
      <c r="LM3" s="6">
        <f t="shared" si="36"/>
        <v>23</v>
      </c>
      <c r="LN3" s="6">
        <f t="shared" si="36"/>
        <v>24</v>
      </c>
      <c r="LO3" s="6">
        <f t="shared" si="36"/>
        <v>25</v>
      </c>
      <c r="LP3" s="6">
        <f t="shared" si="36"/>
        <v>26</v>
      </c>
      <c r="LQ3" s="6">
        <f t="shared" si="36"/>
        <v>27</v>
      </c>
      <c r="LR3" s="6">
        <f t="shared" si="36"/>
        <v>28</v>
      </c>
      <c r="LS3" s="6">
        <f t="shared" si="36"/>
        <v>29</v>
      </c>
      <c r="LT3" s="6">
        <f t="shared" si="36"/>
        <v>30</v>
      </c>
      <c r="LU3" s="7">
        <f t="shared" si="36"/>
        <v>31</v>
      </c>
      <c r="LV3" s="2"/>
    </row>
    <row r="4" spans="1:334" ht="16.2" customHeight="1">
      <c r="A4" s="141" t="s">
        <v>9</v>
      </c>
      <c r="B4" s="142" t="s">
        <v>10</v>
      </c>
      <c r="C4" s="142" t="s">
        <v>379</v>
      </c>
      <c r="D4" s="142" t="s">
        <v>164</v>
      </c>
      <c r="E4" s="140" t="s">
        <v>11</v>
      </c>
      <c r="F4" s="142" t="s">
        <v>524</v>
      </c>
      <c r="G4" s="25" t="s">
        <v>432</v>
      </c>
      <c r="H4" s="28" t="s">
        <v>433</v>
      </c>
      <c r="I4" s="143" t="s">
        <v>165</v>
      </c>
      <c r="J4" s="144">
        <v>1</v>
      </c>
      <c r="K4" s="145">
        <v>1</v>
      </c>
      <c r="L4" s="145">
        <f t="shared" ref="L4:L9" si="37">IFERROR(IF(OR(AD4&gt;0),1,0),0)</f>
        <v>0</v>
      </c>
      <c r="M4" s="145">
        <f>IFERROR(IF(OR(AV4&gt;0),1,0),0)</f>
        <v>0</v>
      </c>
      <c r="N4" s="145">
        <f t="shared" ref="N4:N9" si="38">IFERROR(IF(OR(BK4&gt;0),1,0),0)</f>
        <v>0</v>
      </c>
      <c r="O4" s="145">
        <f>IFERROR(IF(OR(CC4&gt;0),1,0),0)</f>
        <v>0</v>
      </c>
      <c r="P4" s="146">
        <f>IFERROR(IF(OR(AV4&gt;0,CC4&gt;0),1,0),0)</f>
        <v>0</v>
      </c>
      <c r="Q4" s="62">
        <f t="shared" ref="Q4:AU4" si="39">JL4</f>
        <v>0</v>
      </c>
      <c r="R4" s="63">
        <f t="shared" si="39"/>
        <v>0</v>
      </c>
      <c r="S4" s="63">
        <f t="shared" si="39"/>
        <v>0</v>
      </c>
      <c r="T4" s="63">
        <f t="shared" si="39"/>
        <v>0</v>
      </c>
      <c r="U4" s="63">
        <f t="shared" si="39"/>
        <v>0</v>
      </c>
      <c r="V4" s="63">
        <f t="shared" si="39"/>
        <v>0</v>
      </c>
      <c r="W4" s="63">
        <f t="shared" si="39"/>
        <v>0</v>
      </c>
      <c r="X4" s="63">
        <f t="shared" si="39"/>
        <v>0</v>
      </c>
      <c r="Y4" s="63">
        <f t="shared" si="39"/>
        <v>0</v>
      </c>
      <c r="Z4" s="63">
        <f t="shared" si="39"/>
        <v>0</v>
      </c>
      <c r="AA4" s="63">
        <f t="shared" si="39"/>
        <v>0</v>
      </c>
      <c r="AB4" s="63">
        <f t="shared" si="39"/>
        <v>0</v>
      </c>
      <c r="AC4" s="63">
        <f t="shared" si="39"/>
        <v>0</v>
      </c>
      <c r="AD4" s="63">
        <f t="shared" si="39"/>
        <v>0</v>
      </c>
      <c r="AE4" s="63">
        <f t="shared" si="39"/>
        <v>0</v>
      </c>
      <c r="AF4" s="63">
        <f t="shared" si="39"/>
        <v>0</v>
      </c>
      <c r="AG4" s="63">
        <f t="shared" si="39"/>
        <v>0</v>
      </c>
      <c r="AH4" s="63">
        <f t="shared" si="39"/>
        <v>0</v>
      </c>
      <c r="AI4" s="63">
        <f t="shared" si="39"/>
        <v>0</v>
      </c>
      <c r="AJ4" s="63">
        <f t="shared" si="39"/>
        <v>0</v>
      </c>
      <c r="AK4" s="63">
        <f t="shared" si="39"/>
        <v>0</v>
      </c>
      <c r="AL4" s="63">
        <f t="shared" si="39"/>
        <v>0</v>
      </c>
      <c r="AM4" s="63">
        <f t="shared" si="39"/>
        <v>0</v>
      </c>
      <c r="AN4" s="63">
        <f t="shared" si="39"/>
        <v>0</v>
      </c>
      <c r="AO4" s="63">
        <f t="shared" si="39"/>
        <v>0</v>
      </c>
      <c r="AP4" s="63">
        <f t="shared" si="39"/>
        <v>0</v>
      </c>
      <c r="AQ4" s="63">
        <f t="shared" si="39"/>
        <v>0</v>
      </c>
      <c r="AR4" s="63">
        <f t="shared" si="39"/>
        <v>0</v>
      </c>
      <c r="AS4" s="63">
        <f t="shared" si="39"/>
        <v>0</v>
      </c>
      <c r="AT4" s="63">
        <f t="shared" si="39"/>
        <v>0</v>
      </c>
      <c r="AU4" s="64">
        <f t="shared" si="39"/>
        <v>0</v>
      </c>
      <c r="AV4" s="65">
        <f t="shared" ref="AV4:AV35" si="40">SUM(Q4:AU4)</f>
        <v>0</v>
      </c>
      <c r="AW4" s="65">
        <f ca="1">IFERROR(AV4/$CF$2/(J4-K4),0)</f>
        <v>0</v>
      </c>
      <c r="AX4" s="62">
        <f>KQ4</f>
        <v>0</v>
      </c>
      <c r="AY4" s="63">
        <f>KR4</f>
        <v>0</v>
      </c>
      <c r="AZ4" s="63">
        <f t="shared" ref="AZ4:CB4" si="41">KS4</f>
        <v>0</v>
      </c>
      <c r="BA4" s="63">
        <f t="shared" si="41"/>
        <v>0</v>
      </c>
      <c r="BB4" s="63">
        <f t="shared" si="41"/>
        <v>0</v>
      </c>
      <c r="BC4" s="63">
        <f t="shared" si="41"/>
        <v>0</v>
      </c>
      <c r="BD4" s="63">
        <f t="shared" si="41"/>
        <v>0</v>
      </c>
      <c r="BE4" s="63">
        <f t="shared" si="41"/>
        <v>0</v>
      </c>
      <c r="BF4" s="63">
        <f t="shared" si="41"/>
        <v>0</v>
      </c>
      <c r="BG4" s="63">
        <f t="shared" si="41"/>
        <v>0</v>
      </c>
      <c r="BH4" s="63">
        <f t="shared" si="41"/>
        <v>0</v>
      </c>
      <c r="BI4" s="63">
        <f t="shared" si="41"/>
        <v>0</v>
      </c>
      <c r="BJ4" s="63">
        <f t="shared" si="41"/>
        <v>0</v>
      </c>
      <c r="BK4" s="63">
        <f t="shared" si="41"/>
        <v>0</v>
      </c>
      <c r="BL4" s="63">
        <f t="shared" si="41"/>
        <v>0</v>
      </c>
      <c r="BM4" s="63">
        <f t="shared" si="41"/>
        <v>0</v>
      </c>
      <c r="BN4" s="63">
        <f t="shared" si="41"/>
        <v>0</v>
      </c>
      <c r="BO4" s="63">
        <f t="shared" si="41"/>
        <v>0</v>
      </c>
      <c r="BP4" s="63">
        <f t="shared" si="41"/>
        <v>0</v>
      </c>
      <c r="BQ4" s="63">
        <f t="shared" si="41"/>
        <v>0</v>
      </c>
      <c r="BR4" s="63">
        <f t="shared" si="41"/>
        <v>0</v>
      </c>
      <c r="BS4" s="63">
        <f t="shared" si="41"/>
        <v>0</v>
      </c>
      <c r="BT4" s="63">
        <f t="shared" si="41"/>
        <v>0</v>
      </c>
      <c r="BU4" s="63">
        <f t="shared" si="41"/>
        <v>0</v>
      </c>
      <c r="BV4" s="63">
        <f t="shared" si="41"/>
        <v>0</v>
      </c>
      <c r="BW4" s="63">
        <f t="shared" si="41"/>
        <v>0</v>
      </c>
      <c r="BX4" s="63">
        <f t="shared" si="41"/>
        <v>0</v>
      </c>
      <c r="BY4" s="63">
        <f t="shared" si="41"/>
        <v>0</v>
      </c>
      <c r="BZ4" s="63">
        <f t="shared" si="41"/>
        <v>0</v>
      </c>
      <c r="CA4" s="63">
        <f t="shared" si="41"/>
        <v>0</v>
      </c>
      <c r="CB4" s="64">
        <f t="shared" si="41"/>
        <v>0</v>
      </c>
      <c r="CC4" s="65">
        <f>SUM(AX4:CB4)</f>
        <v>0</v>
      </c>
      <c r="CD4" s="65">
        <f ca="1">IFERROR(CC4/$CF$2/(J4-K4),0)</f>
        <v>0</v>
      </c>
      <c r="JJ4" s="4" t="s">
        <v>13</v>
      </c>
      <c r="JK4" s="152" t="str">
        <f t="shared" ref="JK4:JK35" si="42">D4</f>
        <v>KHI01-PHR-MIO-01</v>
      </c>
      <c r="JL4" s="3">
        <v>0</v>
      </c>
      <c r="JM4" s="159">
        <v>0</v>
      </c>
      <c r="JN4" s="159">
        <v>0</v>
      </c>
      <c r="JO4" s="159">
        <v>0</v>
      </c>
      <c r="JP4" s="159">
        <v>0</v>
      </c>
      <c r="JQ4" s="159">
        <v>0</v>
      </c>
      <c r="JR4" s="159">
        <v>0</v>
      </c>
      <c r="JS4" s="159">
        <v>0</v>
      </c>
      <c r="JT4" s="159">
        <v>0</v>
      </c>
      <c r="JU4" s="159">
        <v>0</v>
      </c>
      <c r="JV4" s="159">
        <v>0</v>
      </c>
      <c r="JW4" s="159">
        <v>0</v>
      </c>
      <c r="JX4" s="159">
        <v>0</v>
      </c>
      <c r="JY4" s="159">
        <v>0</v>
      </c>
      <c r="JZ4" s="159"/>
      <c r="KA4" s="159"/>
      <c r="KB4" s="159"/>
      <c r="KC4" s="159"/>
      <c r="KD4" s="159"/>
      <c r="KE4" s="159"/>
      <c r="KF4" s="159"/>
      <c r="KG4" s="159"/>
      <c r="KH4" s="159"/>
      <c r="KI4" s="159"/>
      <c r="KJ4" s="159"/>
      <c r="KK4" s="159"/>
      <c r="KL4" s="159"/>
      <c r="KM4" s="159"/>
      <c r="KN4" s="159"/>
      <c r="KO4" s="159"/>
      <c r="KP4" s="162"/>
      <c r="KQ4" s="157">
        <v>0</v>
      </c>
      <c r="KR4" s="157">
        <v>0</v>
      </c>
      <c r="KS4" s="157">
        <v>0</v>
      </c>
      <c r="KT4" s="157">
        <v>0</v>
      </c>
      <c r="KU4" s="157">
        <v>0</v>
      </c>
      <c r="KV4" s="157">
        <v>0</v>
      </c>
      <c r="KW4" s="157">
        <v>0</v>
      </c>
      <c r="KX4" s="157">
        <v>0</v>
      </c>
      <c r="KY4" s="157">
        <v>0</v>
      </c>
      <c r="KZ4" s="157">
        <v>0</v>
      </c>
      <c r="LA4" s="157">
        <v>0</v>
      </c>
      <c r="LB4" s="157">
        <v>0</v>
      </c>
      <c r="LC4" s="157">
        <v>0</v>
      </c>
      <c r="LD4" s="157">
        <v>0</v>
      </c>
      <c r="LE4" s="157"/>
      <c r="LF4" s="157"/>
      <c r="LG4" s="157"/>
      <c r="LH4" s="157"/>
      <c r="LI4" s="157"/>
      <c r="LJ4" s="157"/>
      <c r="LK4" s="157"/>
      <c r="LL4" s="157"/>
      <c r="LM4" s="157"/>
      <c r="LN4" s="157"/>
      <c r="LO4" s="157"/>
      <c r="LP4" s="157"/>
      <c r="LQ4" s="157"/>
      <c r="LR4" s="157"/>
      <c r="LS4" s="157"/>
      <c r="LT4" s="157"/>
      <c r="LU4" s="8"/>
    </row>
    <row r="5" spans="1:334" ht="16.2" customHeight="1">
      <c r="A5" s="38" t="s">
        <v>9</v>
      </c>
      <c r="B5" s="25" t="s">
        <v>10</v>
      </c>
      <c r="C5" s="25" t="s">
        <v>379</v>
      </c>
      <c r="D5" s="25" t="s">
        <v>166</v>
      </c>
      <c r="E5" s="27" t="s">
        <v>14</v>
      </c>
      <c r="F5" s="25" t="s">
        <v>545</v>
      </c>
      <c r="G5" s="25" t="s">
        <v>167</v>
      </c>
      <c r="H5" s="28">
        <v>45349</v>
      </c>
      <c r="I5" s="29" t="s">
        <v>168</v>
      </c>
      <c r="J5" s="30">
        <v>1</v>
      </c>
      <c r="K5" s="147">
        <v>1</v>
      </c>
      <c r="L5" s="147">
        <f t="shared" si="37"/>
        <v>0</v>
      </c>
      <c r="M5" s="147">
        <f>IFERROR(IF(OR(AV5&gt;0),1,0),0)</f>
        <v>0</v>
      </c>
      <c r="N5" s="147">
        <f t="shared" si="38"/>
        <v>0</v>
      </c>
      <c r="O5" s="147">
        <f>IFERROR(IF(OR(CC5&gt;0),1,0),0)</f>
        <v>0</v>
      </c>
      <c r="P5" s="148">
        <f>IFERROR(IF(OR(AV5&gt;0,CC5&gt;0),1,0),0)</f>
        <v>0</v>
      </c>
      <c r="Q5" s="50">
        <f>JL5</f>
        <v>0</v>
      </c>
      <c r="R5" s="17">
        <f t="shared" ref="R5" si="43">JM5</f>
        <v>0</v>
      </c>
      <c r="S5" s="17">
        <f t="shared" ref="S5" si="44">JN5</f>
        <v>0</v>
      </c>
      <c r="T5" s="17">
        <f t="shared" ref="T5" si="45">JO5</f>
        <v>0</v>
      </c>
      <c r="U5" s="17">
        <f t="shared" ref="U5" si="46">JP5</f>
        <v>0</v>
      </c>
      <c r="V5" s="17">
        <f t="shared" ref="V5" si="47">JQ5</f>
        <v>0</v>
      </c>
      <c r="W5" s="17">
        <f t="shared" ref="W5" si="48">JR5</f>
        <v>0</v>
      </c>
      <c r="X5" s="17">
        <f t="shared" ref="X5" si="49">JS5</f>
        <v>0</v>
      </c>
      <c r="Y5" s="17">
        <f t="shared" ref="Y5" si="50">JT5</f>
        <v>0</v>
      </c>
      <c r="Z5" s="17">
        <f t="shared" ref="Z5" si="51">JU5</f>
        <v>0</v>
      </c>
      <c r="AA5" s="17">
        <f t="shared" ref="AA5" si="52">JV5</f>
        <v>0</v>
      </c>
      <c r="AB5" s="17">
        <f t="shared" ref="AB5" si="53">JW5</f>
        <v>0</v>
      </c>
      <c r="AC5" s="17">
        <f t="shared" ref="AC5" si="54">JX5</f>
        <v>0</v>
      </c>
      <c r="AD5" s="17">
        <f t="shared" ref="AD5" si="55">JY5</f>
        <v>0</v>
      </c>
      <c r="AE5" s="17">
        <f t="shared" ref="AE5" si="56">JZ5</f>
        <v>0</v>
      </c>
      <c r="AF5" s="17">
        <f t="shared" ref="AF5" si="57">KA5</f>
        <v>0</v>
      </c>
      <c r="AG5" s="17">
        <f t="shared" ref="AG5" si="58">KB5</f>
        <v>0</v>
      </c>
      <c r="AH5" s="17">
        <f t="shared" ref="AH5" si="59">KC5</f>
        <v>0</v>
      </c>
      <c r="AI5" s="17">
        <f t="shared" ref="AI5" si="60">KD5</f>
        <v>0</v>
      </c>
      <c r="AJ5" s="17">
        <f t="shared" ref="AJ5" si="61">KE5</f>
        <v>0</v>
      </c>
      <c r="AK5" s="17">
        <f t="shared" ref="AK5" si="62">KF5</f>
        <v>0</v>
      </c>
      <c r="AL5" s="17">
        <f t="shared" ref="AL5" si="63">KG5</f>
        <v>0</v>
      </c>
      <c r="AM5" s="17">
        <f t="shared" ref="AM5" si="64">KH5</f>
        <v>0</v>
      </c>
      <c r="AN5" s="17">
        <f t="shared" ref="AN5" si="65">KI5</f>
        <v>0</v>
      </c>
      <c r="AO5" s="17">
        <f t="shared" ref="AO5" si="66">KJ5</f>
        <v>0</v>
      </c>
      <c r="AP5" s="17">
        <f t="shared" ref="AP5" si="67">KK5</f>
        <v>0</v>
      </c>
      <c r="AQ5" s="17">
        <f t="shared" ref="AQ5" si="68">KL5</f>
        <v>0</v>
      </c>
      <c r="AR5" s="17">
        <f t="shared" ref="AR5" si="69">KM5</f>
        <v>0</v>
      </c>
      <c r="AS5" s="17">
        <f t="shared" ref="AS5" si="70">KN5</f>
        <v>0</v>
      </c>
      <c r="AT5" s="17">
        <f t="shared" ref="AT5" si="71">KO5</f>
        <v>0</v>
      </c>
      <c r="AU5" s="54">
        <f t="shared" ref="AU5" si="72">KP5</f>
        <v>0</v>
      </c>
      <c r="AV5" s="58">
        <f t="shared" si="40"/>
        <v>0</v>
      </c>
      <c r="AW5" s="58">
        <f t="shared" ref="AW5:AW68" ca="1" si="73">IFERROR(AV5/$CF$2/(J5-K5),0)</f>
        <v>0</v>
      </c>
      <c r="AX5" s="50">
        <f>KQ5</f>
        <v>0</v>
      </c>
      <c r="AY5" s="17">
        <f>KR5</f>
        <v>0</v>
      </c>
      <c r="AZ5" s="17">
        <f t="shared" ref="AZ5" si="74">KS5</f>
        <v>0</v>
      </c>
      <c r="BA5" s="17">
        <f t="shared" ref="BA5" si="75">KT5</f>
        <v>0</v>
      </c>
      <c r="BB5" s="17">
        <f t="shared" ref="BB5" si="76">KU5</f>
        <v>0</v>
      </c>
      <c r="BC5" s="17">
        <f t="shared" ref="BC5" si="77">KV5</f>
        <v>0</v>
      </c>
      <c r="BD5" s="17">
        <f t="shared" ref="BD5" si="78">KW5</f>
        <v>0</v>
      </c>
      <c r="BE5" s="17">
        <f t="shared" ref="BE5" si="79">KX5</f>
        <v>0</v>
      </c>
      <c r="BF5" s="17">
        <f t="shared" ref="BF5" si="80">KY5</f>
        <v>0</v>
      </c>
      <c r="BG5" s="17">
        <f t="shared" ref="BG5" si="81">KZ5</f>
        <v>0</v>
      </c>
      <c r="BH5" s="17">
        <f t="shared" ref="BH5" si="82">LA5</f>
        <v>0</v>
      </c>
      <c r="BI5" s="17">
        <f t="shared" ref="BI5" si="83">LB5</f>
        <v>0</v>
      </c>
      <c r="BJ5" s="17">
        <f t="shared" ref="BJ5" si="84">LC5</f>
        <v>0</v>
      </c>
      <c r="BK5" s="17">
        <f t="shared" ref="BK5" si="85">LD5</f>
        <v>0</v>
      </c>
      <c r="BL5" s="17">
        <f t="shared" ref="BL5" si="86">LE5</f>
        <v>0</v>
      </c>
      <c r="BM5" s="17">
        <f t="shared" ref="BM5" si="87">LF5</f>
        <v>0</v>
      </c>
      <c r="BN5" s="17">
        <f t="shared" ref="BN5" si="88">LG5</f>
        <v>0</v>
      </c>
      <c r="BO5" s="17">
        <f t="shared" ref="BO5" si="89">LH5</f>
        <v>0</v>
      </c>
      <c r="BP5" s="17">
        <f t="shared" ref="BP5" si="90">LI5</f>
        <v>0</v>
      </c>
      <c r="BQ5" s="17">
        <f t="shared" ref="BQ5" si="91">LJ5</f>
        <v>0</v>
      </c>
      <c r="BR5" s="17">
        <f t="shared" ref="BR5" si="92">LK5</f>
        <v>0</v>
      </c>
      <c r="BS5" s="17">
        <f t="shared" ref="BS5" si="93">LL5</f>
        <v>0</v>
      </c>
      <c r="BT5" s="17">
        <f t="shared" ref="BT5" si="94">LM5</f>
        <v>0</v>
      </c>
      <c r="BU5" s="17">
        <f t="shared" ref="BU5" si="95">LN5</f>
        <v>0</v>
      </c>
      <c r="BV5" s="17">
        <f t="shared" ref="BV5" si="96">LO5</f>
        <v>0</v>
      </c>
      <c r="BW5" s="17">
        <f t="shared" ref="BW5" si="97">LP5</f>
        <v>0</v>
      </c>
      <c r="BX5" s="17">
        <f t="shared" ref="BX5" si="98">LQ5</f>
        <v>0</v>
      </c>
      <c r="BY5" s="17">
        <f t="shared" ref="BY5" si="99">LR5</f>
        <v>0</v>
      </c>
      <c r="BZ5" s="17">
        <f t="shared" ref="BZ5" si="100">LS5</f>
        <v>0</v>
      </c>
      <c r="CA5" s="17">
        <f t="shared" ref="CA5" si="101">LT5</f>
        <v>0</v>
      </c>
      <c r="CB5" s="54">
        <f t="shared" ref="CB5" si="102">LU5</f>
        <v>0</v>
      </c>
      <c r="CC5" s="58">
        <f>SUM(AX5:CB5)</f>
        <v>0</v>
      </c>
      <c r="CD5" s="58">
        <f t="shared" ref="CD5:CD68" ca="1" si="103">IFERROR(CC5/$CF$2/(J5-K5),0)</f>
        <v>0</v>
      </c>
      <c r="JJ5" s="4" t="s">
        <v>13</v>
      </c>
      <c r="JK5" s="152" t="str">
        <f t="shared" si="42"/>
        <v>KHI01-PHR-MIO-02</v>
      </c>
      <c r="JL5" s="163">
        <v>0</v>
      </c>
      <c r="JM5" s="158">
        <v>0</v>
      </c>
      <c r="JN5" s="158">
        <v>0</v>
      </c>
      <c r="JO5" s="159">
        <v>0</v>
      </c>
      <c r="JP5" s="158">
        <v>0</v>
      </c>
      <c r="JQ5" s="158">
        <v>0</v>
      </c>
      <c r="JR5" s="158">
        <v>0</v>
      </c>
      <c r="JS5" s="158">
        <v>0</v>
      </c>
      <c r="JT5" s="158">
        <v>0</v>
      </c>
      <c r="JU5" s="158">
        <v>0</v>
      </c>
      <c r="JV5" s="158">
        <v>0</v>
      </c>
      <c r="JW5" s="159">
        <v>0</v>
      </c>
      <c r="JX5" s="159">
        <v>0</v>
      </c>
      <c r="JY5" s="159">
        <v>0</v>
      </c>
      <c r="JZ5" s="158"/>
      <c r="KA5" s="158"/>
      <c r="KB5" s="158"/>
      <c r="KC5" s="158"/>
      <c r="KD5" s="158"/>
      <c r="KE5" s="158"/>
      <c r="KF5" s="158"/>
      <c r="KG5" s="158"/>
      <c r="KH5" s="159"/>
      <c r="KI5" s="159"/>
      <c r="KJ5" s="158"/>
      <c r="KK5" s="158"/>
      <c r="KL5" s="158"/>
      <c r="KM5" s="158"/>
      <c r="KN5" s="158"/>
      <c r="KO5" s="158"/>
      <c r="KP5" s="164"/>
      <c r="KQ5" s="157">
        <v>0</v>
      </c>
      <c r="KR5" s="157">
        <v>0</v>
      </c>
      <c r="KS5" s="157">
        <v>0</v>
      </c>
      <c r="KT5" s="157">
        <v>0</v>
      </c>
      <c r="KU5" s="157">
        <v>0</v>
      </c>
      <c r="KV5" s="157">
        <v>0</v>
      </c>
      <c r="KW5" s="157">
        <v>0</v>
      </c>
      <c r="KX5" s="157">
        <v>0</v>
      </c>
      <c r="KY5" s="157">
        <v>0</v>
      </c>
      <c r="KZ5" s="157">
        <v>0</v>
      </c>
      <c r="LA5" s="157">
        <v>0</v>
      </c>
      <c r="LB5" s="157">
        <v>0</v>
      </c>
      <c r="LC5" s="157">
        <v>0</v>
      </c>
      <c r="LD5" s="157">
        <v>0</v>
      </c>
      <c r="LE5" s="157"/>
      <c r="LF5" s="157"/>
      <c r="LG5" s="157"/>
      <c r="LH5" s="157"/>
      <c r="LI5" s="157"/>
      <c r="LJ5" s="157"/>
      <c r="LK5" s="157"/>
      <c r="LL5" s="157"/>
      <c r="LM5" s="157"/>
      <c r="LN5" s="157"/>
      <c r="LO5" s="157"/>
      <c r="LP5" s="157"/>
      <c r="LQ5" s="157"/>
      <c r="LR5" s="157"/>
      <c r="LS5" s="157"/>
      <c r="LT5" s="5"/>
      <c r="LU5" s="8"/>
    </row>
    <row r="6" spans="1:334" ht="16.2" customHeight="1">
      <c r="A6" s="38" t="s">
        <v>9</v>
      </c>
      <c r="B6" s="25" t="s">
        <v>10</v>
      </c>
      <c r="C6" s="25" t="s">
        <v>379</v>
      </c>
      <c r="D6" s="25" t="s">
        <v>169</v>
      </c>
      <c r="E6" s="27" t="s">
        <v>15</v>
      </c>
      <c r="F6" s="25" t="s">
        <v>530</v>
      </c>
      <c r="G6" s="25" t="s">
        <v>432</v>
      </c>
      <c r="H6" s="28" t="s">
        <v>433</v>
      </c>
      <c r="I6" s="29" t="s">
        <v>170</v>
      </c>
      <c r="J6" s="30">
        <v>1</v>
      </c>
      <c r="K6" s="147">
        <v>1</v>
      </c>
      <c r="L6" s="147">
        <f t="shared" si="37"/>
        <v>0</v>
      </c>
      <c r="M6" s="147">
        <f t="shared" ref="M6:M9" si="104">IFERROR(IF(OR(AV6&gt;0),1,0),0)</f>
        <v>0</v>
      </c>
      <c r="N6" s="147">
        <f t="shared" si="38"/>
        <v>0</v>
      </c>
      <c r="O6" s="147">
        <f t="shared" ref="O6:O9" si="105">IFERROR(IF(OR(CC6&gt;0),1,0),0)</f>
        <v>0</v>
      </c>
      <c r="P6" s="148">
        <f t="shared" ref="P6:P9" si="106">IFERROR(IF(OR(AV6&gt;0,CC6&gt;0),1,0),0)</f>
        <v>0</v>
      </c>
      <c r="Q6" s="50">
        <f t="shared" ref="Q6:Q9" si="107">JL6</f>
        <v>0</v>
      </c>
      <c r="R6" s="17">
        <f t="shared" ref="R6:R9" si="108">JM6</f>
        <v>0</v>
      </c>
      <c r="S6" s="17">
        <f t="shared" ref="S6:S9" si="109">JN6</f>
        <v>0</v>
      </c>
      <c r="T6" s="17">
        <f t="shared" ref="T6:T9" si="110">JO6</f>
        <v>0</v>
      </c>
      <c r="U6" s="17">
        <f t="shared" ref="U6:U9" si="111">JP6</f>
        <v>0</v>
      </c>
      <c r="V6" s="17">
        <f t="shared" ref="V6:V9" si="112">JQ6</f>
        <v>0</v>
      </c>
      <c r="W6" s="17">
        <f t="shared" ref="W6:W9" si="113">JR6</f>
        <v>0</v>
      </c>
      <c r="X6" s="17">
        <f t="shared" ref="X6:X9" si="114">JS6</f>
        <v>0</v>
      </c>
      <c r="Y6" s="17">
        <f t="shared" ref="Y6:Y9" si="115">JT6</f>
        <v>0</v>
      </c>
      <c r="Z6" s="17">
        <f t="shared" ref="Z6:Z9" si="116">JU6</f>
        <v>0</v>
      </c>
      <c r="AA6" s="17">
        <f t="shared" ref="AA6:AA9" si="117">JV6</f>
        <v>0</v>
      </c>
      <c r="AB6" s="17">
        <f t="shared" ref="AB6:AB9" si="118">JW6</f>
        <v>0</v>
      </c>
      <c r="AC6" s="17">
        <f t="shared" ref="AC6:AC9" si="119">JX6</f>
        <v>0</v>
      </c>
      <c r="AD6" s="17">
        <f t="shared" ref="AD6:AD9" si="120">JY6</f>
        <v>0</v>
      </c>
      <c r="AE6" s="17">
        <f t="shared" ref="AE6:AE9" si="121">JZ6</f>
        <v>0</v>
      </c>
      <c r="AF6" s="17">
        <f t="shared" ref="AF6:AF9" si="122">KA6</f>
        <v>0</v>
      </c>
      <c r="AG6" s="17">
        <f t="shared" ref="AG6:AG9" si="123">KB6</f>
        <v>0</v>
      </c>
      <c r="AH6" s="17">
        <f t="shared" ref="AH6:AH9" si="124">KC6</f>
        <v>0</v>
      </c>
      <c r="AI6" s="17">
        <f t="shared" ref="AI6:AI9" si="125">KD6</f>
        <v>0</v>
      </c>
      <c r="AJ6" s="17">
        <f t="shared" ref="AJ6:AJ9" si="126">KE6</f>
        <v>0</v>
      </c>
      <c r="AK6" s="17">
        <f t="shared" ref="AK6:AK9" si="127">KF6</f>
        <v>0</v>
      </c>
      <c r="AL6" s="17">
        <f t="shared" ref="AL6:AL9" si="128">KG6</f>
        <v>0</v>
      </c>
      <c r="AM6" s="17">
        <f t="shared" ref="AM6:AM9" si="129">KH6</f>
        <v>0</v>
      </c>
      <c r="AN6" s="17">
        <f t="shared" ref="AN6:AN9" si="130">KI6</f>
        <v>0</v>
      </c>
      <c r="AO6" s="17">
        <f t="shared" ref="AO6:AO9" si="131">KJ6</f>
        <v>0</v>
      </c>
      <c r="AP6" s="17">
        <f t="shared" ref="AP6:AP9" si="132">KK6</f>
        <v>0</v>
      </c>
      <c r="AQ6" s="17">
        <f t="shared" ref="AQ6:AQ9" si="133">KL6</f>
        <v>0</v>
      </c>
      <c r="AR6" s="17">
        <f t="shared" ref="AR6:AR9" si="134">KM6</f>
        <v>0</v>
      </c>
      <c r="AS6" s="17">
        <f t="shared" ref="AS6:AS9" si="135">KN6</f>
        <v>0</v>
      </c>
      <c r="AT6" s="17">
        <f t="shared" ref="AT6:AT9" si="136">KO6</f>
        <v>0</v>
      </c>
      <c r="AU6" s="54">
        <f t="shared" ref="AU6:AU9" si="137">KP6</f>
        <v>0</v>
      </c>
      <c r="AV6" s="58">
        <f t="shared" si="40"/>
        <v>0</v>
      </c>
      <c r="AW6" s="58">
        <f t="shared" ca="1" si="73"/>
        <v>0</v>
      </c>
      <c r="AX6" s="50">
        <f t="shared" ref="AX6:AX9" si="138">KQ6</f>
        <v>0</v>
      </c>
      <c r="AY6" s="17">
        <f t="shared" ref="AY6:AY9" si="139">KR6</f>
        <v>0</v>
      </c>
      <c r="AZ6" s="17">
        <f t="shared" ref="AZ6:AZ9" si="140">KS6</f>
        <v>0</v>
      </c>
      <c r="BA6" s="17">
        <f t="shared" ref="BA6:BA9" si="141">KT6</f>
        <v>0</v>
      </c>
      <c r="BB6" s="17">
        <f t="shared" ref="BB6:BB9" si="142">KU6</f>
        <v>0</v>
      </c>
      <c r="BC6" s="17">
        <f t="shared" ref="BC6:BC9" si="143">KV6</f>
        <v>0</v>
      </c>
      <c r="BD6" s="17">
        <f t="shared" ref="BD6:BD9" si="144">KW6</f>
        <v>0</v>
      </c>
      <c r="BE6" s="17">
        <f t="shared" ref="BE6:BE9" si="145">KX6</f>
        <v>0</v>
      </c>
      <c r="BF6" s="17">
        <f t="shared" ref="BF6:BF9" si="146">KY6</f>
        <v>0</v>
      </c>
      <c r="BG6" s="17">
        <f t="shared" ref="BG6:BG9" si="147">KZ6</f>
        <v>0</v>
      </c>
      <c r="BH6" s="17">
        <f t="shared" ref="BH6:BH9" si="148">LA6</f>
        <v>0</v>
      </c>
      <c r="BI6" s="17">
        <f t="shared" ref="BI6:BI9" si="149">LB6</f>
        <v>0</v>
      </c>
      <c r="BJ6" s="17">
        <f t="shared" ref="BJ6:BJ9" si="150">LC6</f>
        <v>0</v>
      </c>
      <c r="BK6" s="17">
        <f t="shared" ref="BK6:BK9" si="151">LD6</f>
        <v>0</v>
      </c>
      <c r="BL6" s="17">
        <f t="shared" ref="BL6:BL9" si="152">LE6</f>
        <v>0</v>
      </c>
      <c r="BM6" s="17">
        <f t="shared" ref="BM6:BM9" si="153">LF6</f>
        <v>0</v>
      </c>
      <c r="BN6" s="17">
        <f t="shared" ref="BN6:BN9" si="154">LG6</f>
        <v>0</v>
      </c>
      <c r="BO6" s="17">
        <f t="shared" ref="BO6:BO9" si="155">LH6</f>
        <v>0</v>
      </c>
      <c r="BP6" s="17">
        <f t="shared" ref="BP6:BP9" si="156">LI6</f>
        <v>0</v>
      </c>
      <c r="BQ6" s="17">
        <f t="shared" ref="BQ6:BQ9" si="157">LJ6</f>
        <v>0</v>
      </c>
      <c r="BR6" s="17">
        <f t="shared" ref="BR6:BR9" si="158">LK6</f>
        <v>0</v>
      </c>
      <c r="BS6" s="17">
        <f t="shared" ref="BS6:BS9" si="159">LL6</f>
        <v>0</v>
      </c>
      <c r="BT6" s="17">
        <f t="shared" ref="BT6:BT9" si="160">LM6</f>
        <v>0</v>
      </c>
      <c r="BU6" s="17">
        <f t="shared" ref="BU6:BU9" si="161">LN6</f>
        <v>0</v>
      </c>
      <c r="BV6" s="17">
        <f t="shared" ref="BV6:BV9" si="162">LO6</f>
        <v>0</v>
      </c>
      <c r="BW6" s="17">
        <f t="shared" ref="BW6:BW9" si="163">LP6</f>
        <v>0</v>
      </c>
      <c r="BX6" s="17">
        <f t="shared" ref="BX6:BX9" si="164">LQ6</f>
        <v>0</v>
      </c>
      <c r="BY6" s="17">
        <f t="shared" ref="BY6:BY9" si="165">LR6</f>
        <v>0</v>
      </c>
      <c r="BZ6" s="17">
        <f t="shared" ref="BZ6:BZ9" si="166">LS6</f>
        <v>0</v>
      </c>
      <c r="CA6" s="17">
        <f t="shared" ref="CA6:CA9" si="167">LT6</f>
        <v>0</v>
      </c>
      <c r="CB6" s="54">
        <f t="shared" ref="CB6:CB9" si="168">LU6</f>
        <v>0</v>
      </c>
      <c r="CC6" s="58">
        <f t="shared" ref="CC6:CC9" si="169">SUM(AX6:CB6)</f>
        <v>0</v>
      </c>
      <c r="CD6" s="58">
        <f t="shared" ca="1" si="103"/>
        <v>0</v>
      </c>
      <c r="JJ6" s="4" t="s">
        <v>13</v>
      </c>
      <c r="JK6" s="152" t="str">
        <f t="shared" si="42"/>
        <v>KHI01-PHR-MIO-03</v>
      </c>
      <c r="JL6" s="163">
        <v>0</v>
      </c>
      <c r="JM6" s="158">
        <v>0</v>
      </c>
      <c r="JN6" s="158">
        <v>0</v>
      </c>
      <c r="JO6" s="159">
        <v>0</v>
      </c>
      <c r="JP6" s="158">
        <v>0</v>
      </c>
      <c r="JQ6" s="158">
        <v>0</v>
      </c>
      <c r="JR6" s="158">
        <v>0</v>
      </c>
      <c r="JS6" s="158">
        <v>0</v>
      </c>
      <c r="JT6" s="158">
        <v>0</v>
      </c>
      <c r="JU6" s="158">
        <v>0</v>
      </c>
      <c r="JV6" s="158">
        <v>0</v>
      </c>
      <c r="JW6" s="159">
        <v>0</v>
      </c>
      <c r="JX6" s="159">
        <v>0</v>
      </c>
      <c r="JY6" s="159">
        <v>0</v>
      </c>
      <c r="JZ6" s="158"/>
      <c r="KA6" s="158"/>
      <c r="KB6" s="158"/>
      <c r="KC6" s="158"/>
      <c r="KD6" s="158"/>
      <c r="KE6" s="158"/>
      <c r="KF6" s="158"/>
      <c r="KG6" s="158"/>
      <c r="KH6" s="159"/>
      <c r="KI6" s="159"/>
      <c r="KJ6" s="158"/>
      <c r="KK6" s="158"/>
      <c r="KL6" s="158"/>
      <c r="KM6" s="158"/>
      <c r="KN6" s="158"/>
      <c r="KO6" s="158"/>
      <c r="KP6" s="164"/>
      <c r="KQ6" s="157">
        <v>0</v>
      </c>
      <c r="KR6" s="157">
        <v>0</v>
      </c>
      <c r="KS6" s="157">
        <v>0</v>
      </c>
      <c r="KT6" s="157">
        <v>0</v>
      </c>
      <c r="KU6" s="157">
        <v>0</v>
      </c>
      <c r="KV6" s="157">
        <v>0</v>
      </c>
      <c r="KW6" s="157">
        <v>0</v>
      </c>
      <c r="KX6" s="157">
        <v>0</v>
      </c>
      <c r="KY6" s="157">
        <v>0</v>
      </c>
      <c r="KZ6" s="157">
        <v>0</v>
      </c>
      <c r="LA6" s="157">
        <v>0</v>
      </c>
      <c r="LB6" s="157">
        <v>0</v>
      </c>
      <c r="LC6" s="157">
        <v>0</v>
      </c>
      <c r="LD6" s="157">
        <v>0</v>
      </c>
      <c r="LE6" s="157"/>
      <c r="LF6" s="157"/>
      <c r="LG6" s="157"/>
      <c r="LH6" s="157"/>
      <c r="LI6" s="157"/>
      <c r="LJ6" s="157"/>
      <c r="LK6" s="157"/>
      <c r="LL6" s="157"/>
      <c r="LM6" s="157"/>
      <c r="LN6" s="157"/>
      <c r="LO6" s="157"/>
      <c r="LP6" s="157"/>
      <c r="LQ6" s="157"/>
      <c r="LR6" s="157"/>
      <c r="LS6" s="157"/>
      <c r="LT6" s="5"/>
      <c r="LU6" s="8"/>
    </row>
    <row r="7" spans="1:334" ht="16.2" customHeight="1">
      <c r="A7" s="38" t="s">
        <v>9</v>
      </c>
      <c r="B7" s="25" t="s">
        <v>10</v>
      </c>
      <c r="C7" s="25" t="s">
        <v>379</v>
      </c>
      <c r="D7" s="25" t="s">
        <v>171</v>
      </c>
      <c r="E7" s="27" t="s">
        <v>422</v>
      </c>
      <c r="F7" s="25" t="s">
        <v>528</v>
      </c>
      <c r="G7" s="25" t="s">
        <v>432</v>
      </c>
      <c r="H7" s="28" t="s">
        <v>433</v>
      </c>
      <c r="I7" s="29" t="s">
        <v>172</v>
      </c>
      <c r="J7" s="30">
        <v>1</v>
      </c>
      <c r="K7" s="147">
        <v>1</v>
      </c>
      <c r="L7" s="147">
        <f t="shared" si="37"/>
        <v>0</v>
      </c>
      <c r="M7" s="147">
        <f t="shared" si="104"/>
        <v>0</v>
      </c>
      <c r="N7" s="147">
        <f t="shared" si="38"/>
        <v>0</v>
      </c>
      <c r="O7" s="147">
        <f t="shared" si="105"/>
        <v>0</v>
      </c>
      <c r="P7" s="148">
        <f t="shared" si="106"/>
        <v>0</v>
      </c>
      <c r="Q7" s="50">
        <f t="shared" si="107"/>
        <v>0</v>
      </c>
      <c r="R7" s="17">
        <f t="shared" si="108"/>
        <v>0</v>
      </c>
      <c r="S7" s="17">
        <f t="shared" si="109"/>
        <v>0</v>
      </c>
      <c r="T7" s="17">
        <f t="shared" si="110"/>
        <v>0</v>
      </c>
      <c r="U7" s="17">
        <f t="shared" si="111"/>
        <v>0</v>
      </c>
      <c r="V7" s="17">
        <f t="shared" si="112"/>
        <v>0</v>
      </c>
      <c r="W7" s="17">
        <f t="shared" si="113"/>
        <v>0</v>
      </c>
      <c r="X7" s="17">
        <f t="shared" si="114"/>
        <v>0</v>
      </c>
      <c r="Y7" s="17">
        <f t="shared" si="115"/>
        <v>0</v>
      </c>
      <c r="Z7" s="17">
        <f t="shared" si="116"/>
        <v>0</v>
      </c>
      <c r="AA7" s="17">
        <f t="shared" si="117"/>
        <v>0</v>
      </c>
      <c r="AB7" s="17">
        <f t="shared" si="118"/>
        <v>0</v>
      </c>
      <c r="AC7" s="17">
        <f t="shared" si="119"/>
        <v>0</v>
      </c>
      <c r="AD7" s="17">
        <f t="shared" si="120"/>
        <v>0</v>
      </c>
      <c r="AE7" s="17">
        <f t="shared" si="121"/>
        <v>0</v>
      </c>
      <c r="AF7" s="17">
        <f t="shared" si="122"/>
        <v>0</v>
      </c>
      <c r="AG7" s="17">
        <f t="shared" si="123"/>
        <v>0</v>
      </c>
      <c r="AH7" s="17">
        <f t="shared" si="124"/>
        <v>0</v>
      </c>
      <c r="AI7" s="17">
        <f t="shared" si="125"/>
        <v>0</v>
      </c>
      <c r="AJ7" s="17">
        <f t="shared" si="126"/>
        <v>0</v>
      </c>
      <c r="AK7" s="17">
        <f t="shared" si="127"/>
        <v>0</v>
      </c>
      <c r="AL7" s="17">
        <f t="shared" si="128"/>
        <v>0</v>
      </c>
      <c r="AM7" s="17">
        <f t="shared" si="129"/>
        <v>0</v>
      </c>
      <c r="AN7" s="17">
        <f t="shared" si="130"/>
        <v>0</v>
      </c>
      <c r="AO7" s="17">
        <f t="shared" si="131"/>
        <v>0</v>
      </c>
      <c r="AP7" s="17">
        <f t="shared" si="132"/>
        <v>0</v>
      </c>
      <c r="AQ7" s="17">
        <f t="shared" si="133"/>
        <v>0</v>
      </c>
      <c r="AR7" s="17">
        <f t="shared" si="134"/>
        <v>0</v>
      </c>
      <c r="AS7" s="17">
        <f t="shared" si="135"/>
        <v>0</v>
      </c>
      <c r="AT7" s="17">
        <f t="shared" si="136"/>
        <v>0</v>
      </c>
      <c r="AU7" s="54">
        <f t="shared" si="137"/>
        <v>0</v>
      </c>
      <c r="AV7" s="58">
        <f t="shared" si="40"/>
        <v>0</v>
      </c>
      <c r="AW7" s="58">
        <f t="shared" ca="1" si="73"/>
        <v>0</v>
      </c>
      <c r="AX7" s="50">
        <f t="shared" si="138"/>
        <v>0</v>
      </c>
      <c r="AY7" s="17">
        <f t="shared" si="139"/>
        <v>0</v>
      </c>
      <c r="AZ7" s="17">
        <f t="shared" si="140"/>
        <v>0</v>
      </c>
      <c r="BA7" s="17">
        <f t="shared" si="141"/>
        <v>0</v>
      </c>
      <c r="BB7" s="17">
        <f t="shared" si="142"/>
        <v>0</v>
      </c>
      <c r="BC7" s="17">
        <f t="shared" si="143"/>
        <v>0</v>
      </c>
      <c r="BD7" s="17">
        <f t="shared" si="144"/>
        <v>0</v>
      </c>
      <c r="BE7" s="17">
        <f t="shared" si="145"/>
        <v>0</v>
      </c>
      <c r="BF7" s="17">
        <f t="shared" si="146"/>
        <v>0</v>
      </c>
      <c r="BG7" s="17">
        <f t="shared" si="147"/>
        <v>0</v>
      </c>
      <c r="BH7" s="17">
        <f t="shared" si="148"/>
        <v>0</v>
      </c>
      <c r="BI7" s="17">
        <f t="shared" si="149"/>
        <v>0</v>
      </c>
      <c r="BJ7" s="17">
        <f t="shared" si="150"/>
        <v>0</v>
      </c>
      <c r="BK7" s="17">
        <f t="shared" si="151"/>
        <v>0</v>
      </c>
      <c r="BL7" s="17">
        <f t="shared" si="152"/>
        <v>0</v>
      </c>
      <c r="BM7" s="17">
        <f t="shared" si="153"/>
        <v>0</v>
      </c>
      <c r="BN7" s="17">
        <f t="shared" si="154"/>
        <v>0</v>
      </c>
      <c r="BO7" s="17">
        <f t="shared" si="155"/>
        <v>0</v>
      </c>
      <c r="BP7" s="17">
        <f t="shared" si="156"/>
        <v>0</v>
      </c>
      <c r="BQ7" s="17">
        <f t="shared" si="157"/>
        <v>0</v>
      </c>
      <c r="BR7" s="17">
        <f t="shared" si="158"/>
        <v>0</v>
      </c>
      <c r="BS7" s="17">
        <f t="shared" si="159"/>
        <v>0</v>
      </c>
      <c r="BT7" s="17">
        <f t="shared" si="160"/>
        <v>0</v>
      </c>
      <c r="BU7" s="17">
        <f t="shared" si="161"/>
        <v>0</v>
      </c>
      <c r="BV7" s="17">
        <f t="shared" si="162"/>
        <v>0</v>
      </c>
      <c r="BW7" s="17">
        <f t="shared" si="163"/>
        <v>0</v>
      </c>
      <c r="BX7" s="17">
        <f t="shared" si="164"/>
        <v>0</v>
      </c>
      <c r="BY7" s="17">
        <f t="shared" si="165"/>
        <v>0</v>
      </c>
      <c r="BZ7" s="17">
        <f t="shared" si="166"/>
        <v>0</v>
      </c>
      <c r="CA7" s="17">
        <f t="shared" si="167"/>
        <v>0</v>
      </c>
      <c r="CB7" s="54">
        <f t="shared" si="168"/>
        <v>0</v>
      </c>
      <c r="CC7" s="58">
        <f t="shared" si="169"/>
        <v>0</v>
      </c>
      <c r="CD7" s="58">
        <f t="shared" ca="1" si="103"/>
        <v>0</v>
      </c>
      <c r="JJ7" s="4" t="s">
        <v>13</v>
      </c>
      <c r="JK7" s="152" t="str">
        <f t="shared" si="42"/>
        <v>KHI01-PHR-MIO-04</v>
      </c>
      <c r="JL7" s="163">
        <v>0</v>
      </c>
      <c r="JM7" s="158">
        <v>0</v>
      </c>
      <c r="JN7" s="158">
        <v>0</v>
      </c>
      <c r="JO7" s="159">
        <v>0</v>
      </c>
      <c r="JP7" s="158">
        <v>0</v>
      </c>
      <c r="JQ7" s="158">
        <v>0</v>
      </c>
      <c r="JR7" s="158">
        <v>0</v>
      </c>
      <c r="JS7" s="158">
        <v>0</v>
      </c>
      <c r="JT7" s="158">
        <v>0</v>
      </c>
      <c r="JU7" s="158">
        <v>0</v>
      </c>
      <c r="JV7" s="158">
        <v>0</v>
      </c>
      <c r="JW7" s="159">
        <v>0</v>
      </c>
      <c r="JX7" s="159">
        <v>0</v>
      </c>
      <c r="JY7" s="159">
        <v>0</v>
      </c>
      <c r="JZ7" s="158"/>
      <c r="KA7" s="158"/>
      <c r="KB7" s="158"/>
      <c r="KC7" s="158"/>
      <c r="KD7" s="158"/>
      <c r="KE7" s="158"/>
      <c r="KF7" s="158"/>
      <c r="KG7" s="158"/>
      <c r="KH7" s="159"/>
      <c r="KI7" s="159"/>
      <c r="KJ7" s="158"/>
      <c r="KK7" s="158"/>
      <c r="KL7" s="158"/>
      <c r="KM7" s="158"/>
      <c r="KN7" s="158"/>
      <c r="KO7" s="158"/>
      <c r="KP7" s="164"/>
      <c r="KQ7" s="157">
        <v>0</v>
      </c>
      <c r="KR7" s="157">
        <v>0</v>
      </c>
      <c r="KS7" s="157">
        <v>0</v>
      </c>
      <c r="KT7" s="157">
        <v>0</v>
      </c>
      <c r="KU7" s="157">
        <v>0</v>
      </c>
      <c r="KV7" s="157">
        <v>0</v>
      </c>
      <c r="KW7" s="157">
        <v>0</v>
      </c>
      <c r="KX7" s="157">
        <v>0</v>
      </c>
      <c r="KY7" s="157">
        <v>0</v>
      </c>
      <c r="KZ7" s="157">
        <v>0</v>
      </c>
      <c r="LA7" s="157">
        <v>0</v>
      </c>
      <c r="LB7" s="157">
        <v>0</v>
      </c>
      <c r="LC7" s="157">
        <v>0</v>
      </c>
      <c r="LD7" s="157">
        <v>0</v>
      </c>
      <c r="LE7" s="157"/>
      <c r="LF7" s="157"/>
      <c r="LG7" s="157"/>
      <c r="LH7" s="157"/>
      <c r="LI7" s="157"/>
      <c r="LJ7" s="157"/>
      <c r="LK7" s="157"/>
      <c r="LL7" s="157"/>
      <c r="LM7" s="157"/>
      <c r="LN7" s="157"/>
      <c r="LO7" s="157"/>
      <c r="LP7" s="157"/>
      <c r="LQ7" s="157"/>
      <c r="LR7" s="157"/>
      <c r="LS7" s="157"/>
      <c r="LT7" s="5"/>
      <c r="LU7" s="8"/>
    </row>
    <row r="8" spans="1:334" ht="16.2" customHeight="1">
      <c r="A8" s="38" t="s">
        <v>9</v>
      </c>
      <c r="B8" s="25" t="s">
        <v>10</v>
      </c>
      <c r="C8" s="25" t="s">
        <v>380</v>
      </c>
      <c r="D8" s="25" t="s">
        <v>429</v>
      </c>
      <c r="E8" s="27" t="s">
        <v>23</v>
      </c>
      <c r="F8" s="25" t="s">
        <v>434</v>
      </c>
      <c r="G8" s="25" t="s">
        <v>180</v>
      </c>
      <c r="H8" s="28">
        <v>45721</v>
      </c>
      <c r="I8" s="29" t="s">
        <v>181</v>
      </c>
      <c r="J8" s="30">
        <v>1</v>
      </c>
      <c r="K8" s="147">
        <v>0</v>
      </c>
      <c r="L8" s="147">
        <f t="shared" si="37"/>
        <v>0</v>
      </c>
      <c r="M8" s="147">
        <f t="shared" si="104"/>
        <v>1</v>
      </c>
      <c r="N8" s="147">
        <f t="shared" si="38"/>
        <v>0</v>
      </c>
      <c r="O8" s="147">
        <f t="shared" si="105"/>
        <v>1</v>
      </c>
      <c r="P8" s="148">
        <f t="shared" si="106"/>
        <v>1</v>
      </c>
      <c r="Q8" s="50">
        <f t="shared" si="107"/>
        <v>1</v>
      </c>
      <c r="R8" s="17">
        <f t="shared" si="108"/>
        <v>1</v>
      </c>
      <c r="S8" s="17">
        <f t="shared" si="109"/>
        <v>1</v>
      </c>
      <c r="T8" s="17">
        <f t="shared" si="110"/>
        <v>0</v>
      </c>
      <c r="U8" s="17">
        <f t="shared" si="111"/>
        <v>1</v>
      </c>
      <c r="V8" s="17">
        <f t="shared" si="112"/>
        <v>1</v>
      </c>
      <c r="W8" s="17">
        <f t="shared" si="113"/>
        <v>1</v>
      </c>
      <c r="X8" s="17">
        <f t="shared" si="114"/>
        <v>1</v>
      </c>
      <c r="Y8" s="17">
        <f t="shared" si="115"/>
        <v>1</v>
      </c>
      <c r="Z8" s="17">
        <f t="shared" si="116"/>
        <v>1</v>
      </c>
      <c r="AA8" s="17">
        <f t="shared" si="117"/>
        <v>0</v>
      </c>
      <c r="AB8" s="17">
        <f t="shared" si="118"/>
        <v>1</v>
      </c>
      <c r="AC8" s="17">
        <f t="shared" si="119"/>
        <v>0</v>
      </c>
      <c r="AD8" s="17">
        <f t="shared" si="120"/>
        <v>0</v>
      </c>
      <c r="AE8" s="17">
        <f t="shared" si="121"/>
        <v>0</v>
      </c>
      <c r="AF8" s="17">
        <f t="shared" si="122"/>
        <v>0</v>
      </c>
      <c r="AG8" s="17">
        <f t="shared" si="123"/>
        <v>0</v>
      </c>
      <c r="AH8" s="17">
        <f t="shared" si="124"/>
        <v>0</v>
      </c>
      <c r="AI8" s="17">
        <f t="shared" si="125"/>
        <v>0</v>
      </c>
      <c r="AJ8" s="17">
        <f t="shared" si="126"/>
        <v>0</v>
      </c>
      <c r="AK8" s="17">
        <f t="shared" si="127"/>
        <v>0</v>
      </c>
      <c r="AL8" s="17">
        <f t="shared" si="128"/>
        <v>0</v>
      </c>
      <c r="AM8" s="17">
        <f t="shared" si="129"/>
        <v>0</v>
      </c>
      <c r="AN8" s="17">
        <f t="shared" si="130"/>
        <v>0</v>
      </c>
      <c r="AO8" s="17">
        <f t="shared" si="131"/>
        <v>0</v>
      </c>
      <c r="AP8" s="17">
        <f t="shared" si="132"/>
        <v>0</v>
      </c>
      <c r="AQ8" s="17">
        <f t="shared" si="133"/>
        <v>0</v>
      </c>
      <c r="AR8" s="17">
        <f t="shared" si="134"/>
        <v>0</v>
      </c>
      <c r="AS8" s="17">
        <f t="shared" si="135"/>
        <v>0</v>
      </c>
      <c r="AT8" s="17">
        <f t="shared" si="136"/>
        <v>0</v>
      </c>
      <c r="AU8" s="54">
        <f t="shared" si="137"/>
        <v>0</v>
      </c>
      <c r="AV8" s="58">
        <f t="shared" ref="AV8" si="170">SUM(Q8:AU8)</f>
        <v>10</v>
      </c>
      <c r="AW8" s="58">
        <f t="shared" ca="1" si="73"/>
        <v>0.76923076923076927</v>
      </c>
      <c r="AX8" s="50">
        <f t="shared" si="138"/>
        <v>10</v>
      </c>
      <c r="AY8" s="17">
        <f t="shared" si="139"/>
        <v>9</v>
      </c>
      <c r="AZ8" s="17">
        <f t="shared" si="140"/>
        <v>6</v>
      </c>
      <c r="BA8" s="17">
        <f t="shared" si="141"/>
        <v>0</v>
      </c>
      <c r="BB8" s="17">
        <f t="shared" si="142"/>
        <v>5</v>
      </c>
      <c r="BC8" s="17">
        <f t="shared" si="143"/>
        <v>7</v>
      </c>
      <c r="BD8" s="17">
        <f t="shared" si="144"/>
        <v>12</v>
      </c>
      <c r="BE8" s="17">
        <f t="shared" si="145"/>
        <v>0</v>
      </c>
      <c r="BF8" s="17">
        <f t="shared" si="146"/>
        <v>9</v>
      </c>
      <c r="BG8" s="17">
        <f t="shared" si="147"/>
        <v>0</v>
      </c>
      <c r="BH8" s="17">
        <f t="shared" si="148"/>
        <v>0</v>
      </c>
      <c r="BI8" s="17">
        <f t="shared" si="149"/>
        <v>0</v>
      </c>
      <c r="BJ8" s="17">
        <f t="shared" si="150"/>
        <v>0</v>
      </c>
      <c r="BK8" s="17">
        <f t="shared" si="151"/>
        <v>0</v>
      </c>
      <c r="BL8" s="17">
        <f t="shared" si="152"/>
        <v>0</v>
      </c>
      <c r="BM8" s="17">
        <f t="shared" si="153"/>
        <v>0</v>
      </c>
      <c r="BN8" s="17">
        <f t="shared" si="154"/>
        <v>0</v>
      </c>
      <c r="BO8" s="17">
        <f t="shared" si="155"/>
        <v>0</v>
      </c>
      <c r="BP8" s="17">
        <f t="shared" si="156"/>
        <v>0</v>
      </c>
      <c r="BQ8" s="17">
        <f t="shared" si="157"/>
        <v>0</v>
      </c>
      <c r="BR8" s="17">
        <f t="shared" si="158"/>
        <v>0</v>
      </c>
      <c r="BS8" s="17">
        <f t="shared" si="159"/>
        <v>0</v>
      </c>
      <c r="BT8" s="17">
        <f t="shared" si="160"/>
        <v>0</v>
      </c>
      <c r="BU8" s="17">
        <f t="shared" si="161"/>
        <v>0</v>
      </c>
      <c r="BV8" s="17">
        <f t="shared" si="162"/>
        <v>0</v>
      </c>
      <c r="BW8" s="17">
        <f t="shared" si="163"/>
        <v>0</v>
      </c>
      <c r="BX8" s="17">
        <f t="shared" si="164"/>
        <v>0</v>
      </c>
      <c r="BY8" s="17">
        <f t="shared" si="165"/>
        <v>0</v>
      </c>
      <c r="BZ8" s="17">
        <f t="shared" si="166"/>
        <v>0</v>
      </c>
      <c r="CA8" s="17">
        <f t="shared" si="167"/>
        <v>0</v>
      </c>
      <c r="CB8" s="54">
        <f t="shared" si="168"/>
        <v>0</v>
      </c>
      <c r="CC8" s="58">
        <f t="shared" si="169"/>
        <v>58</v>
      </c>
      <c r="CD8" s="58">
        <f t="shared" ca="1" si="103"/>
        <v>4.4615384615384617</v>
      </c>
      <c r="JJ8" s="4" t="s">
        <v>13</v>
      </c>
      <c r="JK8" s="152" t="str">
        <f t="shared" ref="JK8" si="171">D8</f>
        <v>KHI01-PHR-PS-01</v>
      </c>
      <c r="JL8" s="163">
        <v>1</v>
      </c>
      <c r="JM8" s="158">
        <v>1</v>
      </c>
      <c r="JN8" s="158">
        <v>1</v>
      </c>
      <c r="JO8" s="159">
        <v>0</v>
      </c>
      <c r="JP8" s="158">
        <v>1</v>
      </c>
      <c r="JQ8" s="158">
        <v>1</v>
      </c>
      <c r="JR8" s="158">
        <v>1</v>
      </c>
      <c r="JS8" s="158">
        <v>1</v>
      </c>
      <c r="JT8" s="158">
        <v>1</v>
      </c>
      <c r="JU8" s="158">
        <v>1</v>
      </c>
      <c r="JV8" s="158">
        <v>0</v>
      </c>
      <c r="JW8" s="159">
        <v>1</v>
      </c>
      <c r="JX8" s="159">
        <v>0</v>
      </c>
      <c r="JY8" s="159">
        <v>0</v>
      </c>
      <c r="JZ8" s="158"/>
      <c r="KA8" s="158"/>
      <c r="KB8" s="158"/>
      <c r="KC8" s="158"/>
      <c r="KD8" s="158"/>
      <c r="KE8" s="158"/>
      <c r="KF8" s="158"/>
      <c r="KG8" s="158"/>
      <c r="KH8" s="159"/>
      <c r="KI8" s="159"/>
      <c r="KJ8" s="158"/>
      <c r="KK8" s="158"/>
      <c r="KL8" s="158"/>
      <c r="KM8" s="158"/>
      <c r="KN8" s="158"/>
      <c r="KO8" s="158"/>
      <c r="KP8" s="164"/>
      <c r="KQ8" s="157">
        <v>10</v>
      </c>
      <c r="KR8" s="157">
        <v>9</v>
      </c>
      <c r="KS8" s="157">
        <v>6</v>
      </c>
      <c r="KT8" s="157">
        <v>0</v>
      </c>
      <c r="KU8" s="157">
        <v>5</v>
      </c>
      <c r="KV8" s="157">
        <v>7</v>
      </c>
      <c r="KW8" s="157">
        <v>12</v>
      </c>
      <c r="KX8" s="157">
        <v>0</v>
      </c>
      <c r="KY8" s="157">
        <v>9</v>
      </c>
      <c r="KZ8" s="157">
        <v>0</v>
      </c>
      <c r="LA8" s="157">
        <v>0</v>
      </c>
      <c r="LB8" s="157">
        <v>0</v>
      </c>
      <c r="LC8" s="157">
        <v>0</v>
      </c>
      <c r="LD8" s="157">
        <v>0</v>
      </c>
      <c r="LE8" s="157"/>
      <c r="LF8" s="157"/>
      <c r="LG8" s="157"/>
      <c r="LH8" s="157"/>
      <c r="LI8" s="157"/>
      <c r="LJ8" s="157"/>
      <c r="LK8" s="157"/>
      <c r="LL8" s="157"/>
      <c r="LM8" s="157"/>
      <c r="LN8" s="157"/>
      <c r="LO8" s="157"/>
      <c r="LP8" s="157"/>
      <c r="LQ8" s="157"/>
      <c r="LR8" s="157"/>
      <c r="LS8" s="157"/>
      <c r="LT8" s="5"/>
      <c r="LU8" s="8"/>
    </row>
    <row r="9" spans="1:334" ht="16.2" customHeight="1">
      <c r="A9" s="38" t="s">
        <v>16</v>
      </c>
      <c r="B9" s="25" t="s">
        <v>10</v>
      </c>
      <c r="C9" s="25" t="s">
        <v>379</v>
      </c>
      <c r="D9" s="25" t="s">
        <v>17</v>
      </c>
      <c r="E9" s="27" t="s">
        <v>18</v>
      </c>
      <c r="F9" s="25" t="s">
        <v>435</v>
      </c>
      <c r="G9" s="25" t="s">
        <v>436</v>
      </c>
      <c r="H9" s="28" t="s">
        <v>436</v>
      </c>
      <c r="I9" s="29" t="s">
        <v>173</v>
      </c>
      <c r="J9" s="30">
        <v>0</v>
      </c>
      <c r="K9" s="147">
        <v>0</v>
      </c>
      <c r="L9" s="147">
        <f t="shared" si="37"/>
        <v>0</v>
      </c>
      <c r="M9" s="147">
        <f t="shared" si="104"/>
        <v>0</v>
      </c>
      <c r="N9" s="147">
        <f t="shared" si="38"/>
        <v>0</v>
      </c>
      <c r="O9" s="147">
        <f t="shared" si="105"/>
        <v>0</v>
      </c>
      <c r="P9" s="148">
        <f t="shared" si="106"/>
        <v>0</v>
      </c>
      <c r="Q9" s="50">
        <f t="shared" si="107"/>
        <v>0</v>
      </c>
      <c r="R9" s="17">
        <f t="shared" si="108"/>
        <v>0</v>
      </c>
      <c r="S9" s="17">
        <f t="shared" si="109"/>
        <v>0</v>
      </c>
      <c r="T9" s="17">
        <f t="shared" si="110"/>
        <v>0</v>
      </c>
      <c r="U9" s="17">
        <f t="shared" si="111"/>
        <v>0</v>
      </c>
      <c r="V9" s="17">
        <f t="shared" si="112"/>
        <v>0</v>
      </c>
      <c r="W9" s="17">
        <f t="shared" si="113"/>
        <v>0</v>
      </c>
      <c r="X9" s="17">
        <f t="shared" si="114"/>
        <v>0</v>
      </c>
      <c r="Y9" s="17">
        <f t="shared" si="115"/>
        <v>0</v>
      </c>
      <c r="Z9" s="17">
        <f t="shared" si="116"/>
        <v>0</v>
      </c>
      <c r="AA9" s="17">
        <f t="shared" si="117"/>
        <v>0</v>
      </c>
      <c r="AB9" s="17">
        <f t="shared" si="118"/>
        <v>0</v>
      </c>
      <c r="AC9" s="17">
        <f t="shared" si="119"/>
        <v>0</v>
      </c>
      <c r="AD9" s="17">
        <f t="shared" si="120"/>
        <v>0</v>
      </c>
      <c r="AE9" s="17">
        <f t="shared" si="121"/>
        <v>0</v>
      </c>
      <c r="AF9" s="17">
        <f t="shared" si="122"/>
        <v>0</v>
      </c>
      <c r="AG9" s="17">
        <f t="shared" si="123"/>
        <v>0</v>
      </c>
      <c r="AH9" s="17">
        <f t="shared" si="124"/>
        <v>0</v>
      </c>
      <c r="AI9" s="17">
        <f t="shared" si="125"/>
        <v>0</v>
      </c>
      <c r="AJ9" s="17">
        <f t="shared" si="126"/>
        <v>0</v>
      </c>
      <c r="AK9" s="17">
        <f t="shared" si="127"/>
        <v>0</v>
      </c>
      <c r="AL9" s="17">
        <f t="shared" si="128"/>
        <v>0</v>
      </c>
      <c r="AM9" s="17">
        <f t="shared" si="129"/>
        <v>0</v>
      </c>
      <c r="AN9" s="17">
        <f t="shared" si="130"/>
        <v>0</v>
      </c>
      <c r="AO9" s="17">
        <f t="shared" si="131"/>
        <v>0</v>
      </c>
      <c r="AP9" s="17">
        <f t="shared" si="132"/>
        <v>0</v>
      </c>
      <c r="AQ9" s="17">
        <f t="shared" si="133"/>
        <v>0</v>
      </c>
      <c r="AR9" s="17">
        <f t="shared" si="134"/>
        <v>0</v>
      </c>
      <c r="AS9" s="17">
        <f t="shared" si="135"/>
        <v>0</v>
      </c>
      <c r="AT9" s="17">
        <f t="shared" si="136"/>
        <v>0</v>
      </c>
      <c r="AU9" s="54">
        <f t="shared" si="137"/>
        <v>0</v>
      </c>
      <c r="AV9" s="58">
        <f t="shared" si="40"/>
        <v>0</v>
      </c>
      <c r="AW9" s="58">
        <f t="shared" ca="1" si="73"/>
        <v>0</v>
      </c>
      <c r="AX9" s="50">
        <f t="shared" si="138"/>
        <v>0</v>
      </c>
      <c r="AY9" s="17">
        <f t="shared" si="139"/>
        <v>0</v>
      </c>
      <c r="AZ9" s="17">
        <f t="shared" si="140"/>
        <v>0</v>
      </c>
      <c r="BA9" s="17">
        <f t="shared" si="141"/>
        <v>0</v>
      </c>
      <c r="BB9" s="17">
        <f t="shared" si="142"/>
        <v>0</v>
      </c>
      <c r="BC9" s="17">
        <f t="shared" si="143"/>
        <v>0</v>
      </c>
      <c r="BD9" s="17">
        <f t="shared" si="144"/>
        <v>0</v>
      </c>
      <c r="BE9" s="17">
        <f t="shared" si="145"/>
        <v>0</v>
      </c>
      <c r="BF9" s="17">
        <f t="shared" si="146"/>
        <v>0</v>
      </c>
      <c r="BG9" s="17">
        <f t="shared" si="147"/>
        <v>0</v>
      </c>
      <c r="BH9" s="17">
        <f t="shared" si="148"/>
        <v>0</v>
      </c>
      <c r="BI9" s="17">
        <f t="shared" si="149"/>
        <v>0</v>
      </c>
      <c r="BJ9" s="17">
        <f t="shared" si="150"/>
        <v>0</v>
      </c>
      <c r="BK9" s="17">
        <f t="shared" si="151"/>
        <v>0</v>
      </c>
      <c r="BL9" s="17">
        <f t="shared" si="152"/>
        <v>0</v>
      </c>
      <c r="BM9" s="17">
        <f t="shared" si="153"/>
        <v>0</v>
      </c>
      <c r="BN9" s="17">
        <f t="shared" si="154"/>
        <v>0</v>
      </c>
      <c r="BO9" s="17">
        <f t="shared" si="155"/>
        <v>0</v>
      </c>
      <c r="BP9" s="17">
        <f t="shared" si="156"/>
        <v>0</v>
      </c>
      <c r="BQ9" s="17">
        <f t="shared" si="157"/>
        <v>0</v>
      </c>
      <c r="BR9" s="17">
        <f t="shared" si="158"/>
        <v>0</v>
      </c>
      <c r="BS9" s="17">
        <f t="shared" si="159"/>
        <v>0</v>
      </c>
      <c r="BT9" s="17">
        <f t="shared" si="160"/>
        <v>0</v>
      </c>
      <c r="BU9" s="17">
        <f t="shared" si="161"/>
        <v>0</v>
      </c>
      <c r="BV9" s="17">
        <f t="shared" si="162"/>
        <v>0</v>
      </c>
      <c r="BW9" s="17">
        <f t="shared" si="163"/>
        <v>0</v>
      </c>
      <c r="BX9" s="17">
        <f t="shared" si="164"/>
        <v>0</v>
      </c>
      <c r="BY9" s="17">
        <f t="shared" si="165"/>
        <v>0</v>
      </c>
      <c r="BZ9" s="17">
        <f t="shared" si="166"/>
        <v>0</v>
      </c>
      <c r="CA9" s="17">
        <f t="shared" si="167"/>
        <v>0</v>
      </c>
      <c r="CB9" s="54">
        <f t="shared" si="168"/>
        <v>0</v>
      </c>
      <c r="CC9" s="58">
        <f t="shared" si="169"/>
        <v>0</v>
      </c>
      <c r="CD9" s="58">
        <f t="shared" ca="1" si="103"/>
        <v>0</v>
      </c>
      <c r="JJ9" s="4" t="s">
        <v>13</v>
      </c>
      <c r="JK9" s="152" t="str">
        <f t="shared" si="42"/>
        <v>KHI01-PHR-MIO-00</v>
      </c>
      <c r="JL9" s="163">
        <v>0</v>
      </c>
      <c r="JM9" s="158">
        <v>0</v>
      </c>
      <c r="JN9" s="158">
        <v>0</v>
      </c>
      <c r="JO9" s="159">
        <v>0</v>
      </c>
      <c r="JP9" s="158">
        <v>0</v>
      </c>
      <c r="JQ9" s="158">
        <v>0</v>
      </c>
      <c r="JR9" s="158">
        <v>0</v>
      </c>
      <c r="JS9" s="158">
        <v>0</v>
      </c>
      <c r="JT9" s="158">
        <v>0</v>
      </c>
      <c r="JU9" s="158">
        <v>0</v>
      </c>
      <c r="JV9" s="158">
        <v>0</v>
      </c>
      <c r="JW9" s="159">
        <v>0</v>
      </c>
      <c r="JX9" s="159">
        <v>0</v>
      </c>
      <c r="JY9" s="159">
        <v>0</v>
      </c>
      <c r="JZ9" s="158"/>
      <c r="KA9" s="158"/>
      <c r="KB9" s="158"/>
      <c r="KC9" s="158"/>
      <c r="KD9" s="158"/>
      <c r="KE9" s="158"/>
      <c r="KF9" s="158"/>
      <c r="KG9" s="158"/>
      <c r="KH9" s="159"/>
      <c r="KI9" s="159"/>
      <c r="KJ9" s="158"/>
      <c r="KK9" s="158"/>
      <c r="KL9" s="158"/>
      <c r="KM9" s="158"/>
      <c r="KN9" s="158"/>
      <c r="KO9" s="158"/>
      <c r="KP9" s="164"/>
      <c r="KQ9" s="157">
        <v>0</v>
      </c>
      <c r="KR9" s="157">
        <v>0</v>
      </c>
      <c r="KS9" s="157">
        <v>0</v>
      </c>
      <c r="KT9" s="157">
        <v>0</v>
      </c>
      <c r="KU9" s="157">
        <v>0</v>
      </c>
      <c r="KV9" s="157">
        <v>0</v>
      </c>
      <c r="KW9" s="157">
        <v>0</v>
      </c>
      <c r="KX9" s="157">
        <v>0</v>
      </c>
      <c r="KY9" s="157">
        <v>0</v>
      </c>
      <c r="KZ9" s="157">
        <v>0</v>
      </c>
      <c r="LA9" s="157">
        <v>0</v>
      </c>
      <c r="LB9" s="157">
        <v>0</v>
      </c>
      <c r="LC9" s="157">
        <v>0</v>
      </c>
      <c r="LD9" s="157">
        <v>0</v>
      </c>
      <c r="LE9" s="157"/>
      <c r="LF9" s="157"/>
      <c r="LG9" s="157"/>
      <c r="LH9" s="157"/>
      <c r="LI9" s="157"/>
      <c r="LJ9" s="157"/>
      <c r="LK9" s="157"/>
      <c r="LL9" s="157"/>
      <c r="LM9" s="157"/>
      <c r="LN9" s="157"/>
      <c r="LO9" s="157"/>
      <c r="LP9" s="157"/>
      <c r="LQ9" s="157"/>
      <c r="LR9" s="157"/>
      <c r="LS9" s="157"/>
      <c r="LT9" s="5"/>
      <c r="LU9" s="8"/>
    </row>
    <row r="10" spans="1:334" ht="15.6">
      <c r="A10" s="37" t="s">
        <v>19</v>
      </c>
      <c r="B10" s="18" t="s">
        <v>10</v>
      </c>
      <c r="C10" s="19" t="s">
        <v>379</v>
      </c>
      <c r="D10" s="20" t="s">
        <v>174</v>
      </c>
      <c r="E10" s="21" t="s">
        <v>20</v>
      </c>
      <c r="F10" s="18" t="s">
        <v>529</v>
      </c>
      <c r="G10" s="18" t="s">
        <v>432</v>
      </c>
      <c r="H10" s="22" t="s">
        <v>433</v>
      </c>
      <c r="I10" s="20" t="s">
        <v>173</v>
      </c>
      <c r="J10" s="23">
        <v>5</v>
      </c>
      <c r="K10" s="97">
        <f t="shared" ref="K10:L10" si="172">SUM(K4:K9)</f>
        <v>4</v>
      </c>
      <c r="L10" s="97">
        <f t="shared" si="172"/>
        <v>0</v>
      </c>
      <c r="M10" s="97">
        <f t="shared" ref="M10" si="173">SUM(M4:M9)</f>
        <v>1</v>
      </c>
      <c r="N10" s="97">
        <f t="shared" ref="N10" si="174">SUM(N4:N9)</f>
        <v>0</v>
      </c>
      <c r="O10" s="97">
        <f t="shared" ref="O10" si="175">SUM(O4:O9)</f>
        <v>1</v>
      </c>
      <c r="P10" s="47">
        <f t="shared" ref="P10:AU10" si="176">SUM(P4:P9)</f>
        <v>1</v>
      </c>
      <c r="Q10" s="51">
        <f t="shared" si="176"/>
        <v>1</v>
      </c>
      <c r="R10" s="24">
        <f t="shared" si="176"/>
        <v>1</v>
      </c>
      <c r="S10" s="24">
        <f t="shared" si="176"/>
        <v>1</v>
      </c>
      <c r="T10" s="24">
        <f t="shared" si="176"/>
        <v>0</v>
      </c>
      <c r="U10" s="24">
        <f t="shared" si="176"/>
        <v>1</v>
      </c>
      <c r="V10" s="24">
        <f t="shared" si="176"/>
        <v>1</v>
      </c>
      <c r="W10" s="24">
        <f t="shared" si="176"/>
        <v>1</v>
      </c>
      <c r="X10" s="24">
        <f t="shared" si="176"/>
        <v>1</v>
      </c>
      <c r="Y10" s="24">
        <f t="shared" si="176"/>
        <v>1</v>
      </c>
      <c r="Z10" s="24">
        <f t="shared" si="176"/>
        <v>1</v>
      </c>
      <c r="AA10" s="24">
        <f t="shared" si="176"/>
        <v>0</v>
      </c>
      <c r="AB10" s="24">
        <f t="shared" si="176"/>
        <v>1</v>
      </c>
      <c r="AC10" s="24">
        <f t="shared" si="176"/>
        <v>0</v>
      </c>
      <c r="AD10" s="24">
        <f t="shared" si="176"/>
        <v>0</v>
      </c>
      <c r="AE10" s="24">
        <f t="shared" si="176"/>
        <v>0</v>
      </c>
      <c r="AF10" s="24">
        <f t="shared" si="176"/>
        <v>0</v>
      </c>
      <c r="AG10" s="24">
        <f t="shared" si="176"/>
        <v>0</v>
      </c>
      <c r="AH10" s="24">
        <f t="shared" si="176"/>
        <v>0</v>
      </c>
      <c r="AI10" s="24">
        <f t="shared" si="176"/>
        <v>0</v>
      </c>
      <c r="AJ10" s="24">
        <f t="shared" si="176"/>
        <v>0</v>
      </c>
      <c r="AK10" s="24">
        <f t="shared" si="176"/>
        <v>0</v>
      </c>
      <c r="AL10" s="24">
        <f t="shared" si="176"/>
        <v>0</v>
      </c>
      <c r="AM10" s="24">
        <f t="shared" si="176"/>
        <v>0</v>
      </c>
      <c r="AN10" s="24">
        <f t="shared" si="176"/>
        <v>0</v>
      </c>
      <c r="AO10" s="24">
        <f t="shared" si="176"/>
        <v>0</v>
      </c>
      <c r="AP10" s="24">
        <f t="shared" si="176"/>
        <v>0</v>
      </c>
      <c r="AQ10" s="24">
        <f t="shared" si="176"/>
        <v>0</v>
      </c>
      <c r="AR10" s="24">
        <f t="shared" si="176"/>
        <v>0</v>
      </c>
      <c r="AS10" s="24">
        <f t="shared" si="176"/>
        <v>0</v>
      </c>
      <c r="AT10" s="24">
        <f t="shared" si="176"/>
        <v>0</v>
      </c>
      <c r="AU10" s="55">
        <f t="shared" si="176"/>
        <v>0</v>
      </c>
      <c r="AV10" s="59">
        <f t="shared" si="40"/>
        <v>10</v>
      </c>
      <c r="AW10" s="59">
        <f t="shared" ca="1" si="73"/>
        <v>0.76923076923076927</v>
      </c>
      <c r="AX10" s="51">
        <f t="shared" ref="AX10" si="177">SUM(AX4:AX9)</f>
        <v>10</v>
      </c>
      <c r="AY10" s="24">
        <f t="shared" ref="AY10" si="178">SUM(AY4:AY9)</f>
        <v>9</v>
      </c>
      <c r="AZ10" s="24">
        <f t="shared" ref="AZ10" si="179">SUM(AZ4:AZ9)</f>
        <v>6</v>
      </c>
      <c r="BA10" s="24">
        <f t="shared" ref="BA10" si="180">SUM(BA4:BA9)</f>
        <v>0</v>
      </c>
      <c r="BB10" s="24">
        <f t="shared" ref="BB10" si="181">SUM(BB4:BB9)</f>
        <v>5</v>
      </c>
      <c r="BC10" s="24">
        <f t="shared" ref="BC10" si="182">SUM(BC4:BC9)</f>
        <v>7</v>
      </c>
      <c r="BD10" s="24">
        <f t="shared" ref="BD10" si="183">SUM(BD4:BD9)</f>
        <v>12</v>
      </c>
      <c r="BE10" s="24">
        <f t="shared" ref="BE10" si="184">SUM(BE4:BE9)</f>
        <v>0</v>
      </c>
      <c r="BF10" s="24">
        <f t="shared" ref="BF10" si="185">SUM(BF4:BF9)</f>
        <v>9</v>
      </c>
      <c r="BG10" s="24">
        <f t="shared" ref="BG10" si="186">SUM(BG4:BG9)</f>
        <v>0</v>
      </c>
      <c r="BH10" s="24">
        <f t="shared" ref="BH10" si="187">SUM(BH4:BH9)</f>
        <v>0</v>
      </c>
      <c r="BI10" s="24">
        <f t="shared" ref="BI10" si="188">SUM(BI4:BI9)</f>
        <v>0</v>
      </c>
      <c r="BJ10" s="24">
        <f t="shared" ref="BJ10" si="189">SUM(BJ4:BJ9)</f>
        <v>0</v>
      </c>
      <c r="BK10" s="24">
        <f t="shared" ref="BK10" si="190">SUM(BK4:BK9)</f>
        <v>0</v>
      </c>
      <c r="BL10" s="24">
        <f t="shared" ref="BL10" si="191">SUM(BL4:BL9)</f>
        <v>0</v>
      </c>
      <c r="BM10" s="24">
        <f t="shared" ref="BM10" si="192">SUM(BM4:BM9)</f>
        <v>0</v>
      </c>
      <c r="BN10" s="24">
        <f t="shared" ref="BN10" si="193">SUM(BN4:BN9)</f>
        <v>0</v>
      </c>
      <c r="BO10" s="24">
        <f t="shared" ref="BO10" si="194">SUM(BO4:BO9)</f>
        <v>0</v>
      </c>
      <c r="BP10" s="24">
        <f t="shared" ref="BP10" si="195">SUM(BP4:BP9)</f>
        <v>0</v>
      </c>
      <c r="BQ10" s="24">
        <f t="shared" ref="BQ10" si="196">SUM(BQ4:BQ9)</f>
        <v>0</v>
      </c>
      <c r="BR10" s="24">
        <f t="shared" ref="BR10" si="197">SUM(BR4:BR9)</f>
        <v>0</v>
      </c>
      <c r="BS10" s="24">
        <f t="shared" ref="BS10" si="198">SUM(BS4:BS9)</f>
        <v>0</v>
      </c>
      <c r="BT10" s="24">
        <f t="shared" ref="BT10" si="199">SUM(BT4:BT9)</f>
        <v>0</v>
      </c>
      <c r="BU10" s="24">
        <f t="shared" ref="BU10" si="200">SUM(BU4:BU9)</f>
        <v>0</v>
      </c>
      <c r="BV10" s="24">
        <f t="shared" ref="BV10" si="201">SUM(BV4:BV9)</f>
        <v>0</v>
      </c>
      <c r="BW10" s="24">
        <f t="shared" ref="BW10" si="202">SUM(BW4:BW9)</f>
        <v>0</v>
      </c>
      <c r="BX10" s="24">
        <f t="shared" ref="BX10" si="203">SUM(BX4:BX9)</f>
        <v>0</v>
      </c>
      <c r="BY10" s="24">
        <f t="shared" ref="BY10" si="204">SUM(BY4:BY9)</f>
        <v>0</v>
      </c>
      <c r="BZ10" s="24">
        <f t="shared" ref="BZ10" si="205">SUM(BZ4:BZ9)</f>
        <v>0</v>
      </c>
      <c r="CA10" s="24">
        <f t="shared" ref="CA10" si="206">SUM(CA4:CA9)</f>
        <v>0</v>
      </c>
      <c r="CB10" s="55">
        <f t="shared" ref="CB10" si="207">SUM(CB4:CB9)</f>
        <v>0</v>
      </c>
      <c r="CC10" s="59">
        <f t="shared" ref="CC10:CC69" si="208">SUM(AX10:CB10)</f>
        <v>58</v>
      </c>
      <c r="CD10" s="59">
        <f t="shared" ca="1" si="103"/>
        <v>4.4615384615384617</v>
      </c>
      <c r="JJ10" s="4" t="s">
        <v>13</v>
      </c>
      <c r="JK10" s="153" t="str">
        <f t="shared" si="42"/>
        <v>KHI01-PHR-ASM-01</v>
      </c>
      <c r="JL10" s="163">
        <v>0</v>
      </c>
      <c r="JM10" s="158">
        <v>0</v>
      </c>
      <c r="JN10" s="158">
        <v>0</v>
      </c>
      <c r="JO10" s="159">
        <v>0</v>
      </c>
      <c r="JP10" s="158">
        <v>0</v>
      </c>
      <c r="JQ10" s="158">
        <v>0</v>
      </c>
      <c r="JR10" s="158">
        <v>0</v>
      </c>
      <c r="JS10" s="158">
        <v>0</v>
      </c>
      <c r="JT10" s="158">
        <v>0</v>
      </c>
      <c r="JU10" s="158">
        <v>0</v>
      </c>
      <c r="JV10" s="158">
        <v>0</v>
      </c>
      <c r="JW10" s="159">
        <v>0</v>
      </c>
      <c r="JX10" s="159">
        <v>0</v>
      </c>
      <c r="JY10" s="159">
        <v>0</v>
      </c>
      <c r="JZ10" s="158"/>
      <c r="KA10" s="158"/>
      <c r="KB10" s="158"/>
      <c r="KC10" s="158"/>
      <c r="KD10" s="158"/>
      <c r="KE10" s="158"/>
      <c r="KF10" s="158"/>
      <c r="KG10" s="158"/>
      <c r="KH10" s="159"/>
      <c r="KI10" s="159"/>
      <c r="KJ10" s="158"/>
      <c r="KK10" s="158"/>
      <c r="KL10" s="158"/>
      <c r="KM10" s="158"/>
      <c r="KN10" s="158"/>
      <c r="KO10" s="158"/>
      <c r="KP10" s="164"/>
      <c r="KQ10" s="157">
        <v>0</v>
      </c>
      <c r="KR10" s="157">
        <v>0</v>
      </c>
      <c r="KS10" s="157">
        <v>0</v>
      </c>
      <c r="KT10" s="157">
        <v>0</v>
      </c>
      <c r="KU10" s="157">
        <v>0</v>
      </c>
      <c r="KV10" s="157">
        <v>0</v>
      </c>
      <c r="KW10" s="157">
        <v>0</v>
      </c>
      <c r="KX10" s="157">
        <v>0</v>
      </c>
      <c r="KY10" s="157">
        <v>0</v>
      </c>
      <c r="KZ10" s="157">
        <v>0</v>
      </c>
      <c r="LA10" s="157">
        <v>0</v>
      </c>
      <c r="LB10" s="157">
        <v>0</v>
      </c>
      <c r="LC10" s="157">
        <v>0</v>
      </c>
      <c r="LD10" s="157">
        <v>0</v>
      </c>
      <c r="LE10" s="157"/>
      <c r="LF10" s="157"/>
      <c r="LG10" s="157"/>
      <c r="LH10" s="157"/>
      <c r="LI10" s="157"/>
      <c r="LJ10" s="157"/>
      <c r="LK10" s="157"/>
      <c r="LL10" s="157"/>
      <c r="LM10" s="157"/>
      <c r="LN10" s="157"/>
      <c r="LO10" s="157"/>
      <c r="LP10" s="157"/>
      <c r="LQ10" s="157"/>
      <c r="LR10" s="157"/>
      <c r="LS10" s="157"/>
      <c r="LT10" s="5"/>
      <c r="LU10" s="8"/>
    </row>
    <row r="11" spans="1:334" ht="16.2" customHeight="1">
      <c r="A11" s="38" t="s">
        <v>9</v>
      </c>
      <c r="B11" s="25" t="s">
        <v>10</v>
      </c>
      <c r="C11" s="25" t="s">
        <v>380</v>
      </c>
      <c r="D11" s="25" t="s">
        <v>175</v>
      </c>
      <c r="E11" s="27" t="s">
        <v>21</v>
      </c>
      <c r="F11" s="25" t="s">
        <v>437</v>
      </c>
      <c r="G11" s="25" t="s">
        <v>176</v>
      </c>
      <c r="H11" s="28">
        <v>45627</v>
      </c>
      <c r="I11" s="29" t="s">
        <v>177</v>
      </c>
      <c r="J11" s="30">
        <v>1</v>
      </c>
      <c r="K11" s="147">
        <v>0</v>
      </c>
      <c r="L11" s="147">
        <f>IFERROR(IF(OR(AD11&gt;0),1,0),0)</f>
        <v>1</v>
      </c>
      <c r="M11" s="147">
        <f t="shared" ref="M11:M15" si="209">IFERROR(IF(OR(AV11&gt;0),1,0),0)</f>
        <v>1</v>
      </c>
      <c r="N11" s="147">
        <f>IFERROR(IF(OR(BK11&gt;0),1,0),0)</f>
        <v>0</v>
      </c>
      <c r="O11" s="147">
        <f t="shared" ref="O11:O15" si="210">IFERROR(IF(OR(CC11&gt;0),1,0),0)</f>
        <v>1</v>
      </c>
      <c r="P11" s="148">
        <f t="shared" ref="P11:P15" si="211">IFERROR(IF(OR(AV11&gt;0,CC11&gt;0),1,0),0)</f>
        <v>1</v>
      </c>
      <c r="Q11" s="50">
        <f t="shared" ref="Q11:Q15" si="212">JL11</f>
        <v>1</v>
      </c>
      <c r="R11" s="17">
        <f t="shared" ref="R11:R15" si="213">JM11</f>
        <v>1</v>
      </c>
      <c r="S11" s="17">
        <f t="shared" ref="S11:S15" si="214">JN11</f>
        <v>1</v>
      </c>
      <c r="T11" s="17">
        <f t="shared" ref="T11:T15" si="215">JO11</f>
        <v>0</v>
      </c>
      <c r="U11" s="17">
        <f t="shared" ref="U11:U15" si="216">JP11</f>
        <v>1</v>
      </c>
      <c r="V11" s="17">
        <f t="shared" ref="V11:V15" si="217">JQ11</f>
        <v>1</v>
      </c>
      <c r="W11" s="17">
        <f t="shared" ref="W11:W15" si="218">JR11</f>
        <v>1</v>
      </c>
      <c r="X11" s="17">
        <f t="shared" ref="X11:X15" si="219">JS11</f>
        <v>1</v>
      </c>
      <c r="Y11" s="17">
        <f t="shared" ref="Y11:Y15" si="220">JT11</f>
        <v>1</v>
      </c>
      <c r="Z11" s="17">
        <f t="shared" ref="Z11:Z15" si="221">JU11</f>
        <v>1</v>
      </c>
      <c r="AA11" s="17">
        <f t="shared" ref="AA11:AA15" si="222">JV11</f>
        <v>0</v>
      </c>
      <c r="AB11" s="17">
        <f t="shared" ref="AB11:AB15" si="223">JW11</f>
        <v>1</v>
      </c>
      <c r="AC11" s="17">
        <f t="shared" ref="AC11:AC15" si="224">JX11</f>
        <v>1</v>
      </c>
      <c r="AD11" s="17">
        <f t="shared" ref="AD11:AD15" si="225">JY11</f>
        <v>1</v>
      </c>
      <c r="AE11" s="17">
        <f t="shared" ref="AE11:AE15" si="226">JZ11</f>
        <v>0</v>
      </c>
      <c r="AF11" s="17">
        <f t="shared" ref="AF11:AF15" si="227">KA11</f>
        <v>0</v>
      </c>
      <c r="AG11" s="17">
        <f t="shared" ref="AG11:AG15" si="228">KB11</f>
        <v>0</v>
      </c>
      <c r="AH11" s="17">
        <f t="shared" ref="AH11:AH15" si="229">KC11</f>
        <v>0</v>
      </c>
      <c r="AI11" s="17">
        <f t="shared" ref="AI11:AI15" si="230">KD11</f>
        <v>0</v>
      </c>
      <c r="AJ11" s="17">
        <f t="shared" ref="AJ11:AJ15" si="231">KE11</f>
        <v>0</v>
      </c>
      <c r="AK11" s="17">
        <f t="shared" ref="AK11:AK15" si="232">KF11</f>
        <v>0</v>
      </c>
      <c r="AL11" s="17">
        <f t="shared" ref="AL11:AL15" si="233">KG11</f>
        <v>0</v>
      </c>
      <c r="AM11" s="17">
        <f t="shared" ref="AM11:AM15" si="234">KH11</f>
        <v>0</v>
      </c>
      <c r="AN11" s="17">
        <f t="shared" ref="AN11:AN15" si="235">KI11</f>
        <v>0</v>
      </c>
      <c r="AO11" s="17">
        <f t="shared" ref="AO11:AO15" si="236">KJ11</f>
        <v>0</v>
      </c>
      <c r="AP11" s="17">
        <f t="shared" ref="AP11:AP15" si="237">KK11</f>
        <v>0</v>
      </c>
      <c r="AQ11" s="17">
        <f t="shared" ref="AQ11:AQ15" si="238">KL11</f>
        <v>0</v>
      </c>
      <c r="AR11" s="17">
        <f t="shared" ref="AR11:AR15" si="239">KM11</f>
        <v>0</v>
      </c>
      <c r="AS11" s="17">
        <f t="shared" ref="AS11:AS15" si="240">KN11</f>
        <v>0</v>
      </c>
      <c r="AT11" s="17">
        <f t="shared" ref="AT11:AT15" si="241">KO11</f>
        <v>0</v>
      </c>
      <c r="AU11" s="54">
        <f t="shared" ref="AU11:AU15" si="242">KP11</f>
        <v>0</v>
      </c>
      <c r="AV11" s="58">
        <f t="shared" si="40"/>
        <v>12</v>
      </c>
      <c r="AW11" s="58">
        <f t="shared" ca="1" si="73"/>
        <v>0.92307692307692313</v>
      </c>
      <c r="AX11" s="50">
        <f t="shared" ref="AX11:AX15" si="243">KQ11</f>
        <v>0</v>
      </c>
      <c r="AY11" s="17">
        <f t="shared" ref="AY11:AY15" si="244">KR11</f>
        <v>11</v>
      </c>
      <c r="AZ11" s="17">
        <f t="shared" ref="AZ11:AZ15" si="245">KS11</f>
        <v>1</v>
      </c>
      <c r="BA11" s="17">
        <f t="shared" ref="BA11:BA15" si="246">KT11</f>
        <v>0</v>
      </c>
      <c r="BB11" s="17">
        <f t="shared" ref="BB11:BB15" si="247">KU11</f>
        <v>5</v>
      </c>
      <c r="BC11" s="17">
        <f t="shared" ref="BC11:BC15" si="248">KV11</f>
        <v>11</v>
      </c>
      <c r="BD11" s="17">
        <f t="shared" ref="BD11:BD15" si="249">KW11</f>
        <v>10</v>
      </c>
      <c r="BE11" s="17">
        <f t="shared" ref="BE11:BE15" si="250">KX11</f>
        <v>11</v>
      </c>
      <c r="BF11" s="17">
        <f t="shared" ref="BF11:BF15" si="251">KY11</f>
        <v>11</v>
      </c>
      <c r="BG11" s="17">
        <f t="shared" ref="BG11:BG15" si="252">KZ11</f>
        <v>7</v>
      </c>
      <c r="BH11" s="17">
        <f t="shared" ref="BH11:BH15" si="253">LA11</f>
        <v>0</v>
      </c>
      <c r="BI11" s="17">
        <f t="shared" ref="BI11:BI15" si="254">LB11</f>
        <v>0</v>
      </c>
      <c r="BJ11" s="17">
        <f t="shared" ref="BJ11:BJ15" si="255">LC11</f>
        <v>13</v>
      </c>
      <c r="BK11" s="17">
        <f t="shared" ref="BK11:BK15" si="256">LD11</f>
        <v>0</v>
      </c>
      <c r="BL11" s="17">
        <f t="shared" ref="BL11:BL15" si="257">LE11</f>
        <v>0</v>
      </c>
      <c r="BM11" s="17">
        <f t="shared" ref="BM11:BM15" si="258">LF11</f>
        <v>0</v>
      </c>
      <c r="BN11" s="17">
        <f t="shared" ref="BN11:BN15" si="259">LG11</f>
        <v>0</v>
      </c>
      <c r="BO11" s="17">
        <f t="shared" ref="BO11:BO15" si="260">LH11</f>
        <v>0</v>
      </c>
      <c r="BP11" s="17">
        <f t="shared" ref="BP11:BP15" si="261">LI11</f>
        <v>0</v>
      </c>
      <c r="BQ11" s="17">
        <f t="shared" ref="BQ11:BQ15" si="262">LJ11</f>
        <v>0</v>
      </c>
      <c r="BR11" s="17">
        <f t="shared" ref="BR11:BR15" si="263">LK11</f>
        <v>0</v>
      </c>
      <c r="BS11" s="17">
        <f t="shared" ref="BS11:BS15" si="264">LL11</f>
        <v>0</v>
      </c>
      <c r="BT11" s="17">
        <f t="shared" ref="BT11:BT15" si="265">LM11</f>
        <v>0</v>
      </c>
      <c r="BU11" s="17">
        <f t="shared" ref="BU11:BU15" si="266">LN11</f>
        <v>0</v>
      </c>
      <c r="BV11" s="17">
        <f t="shared" ref="BV11:BV15" si="267">LO11</f>
        <v>0</v>
      </c>
      <c r="BW11" s="17">
        <f t="shared" ref="BW11:BW15" si="268">LP11</f>
        <v>0</v>
      </c>
      <c r="BX11" s="17">
        <f t="shared" ref="BX11:BX15" si="269">LQ11</f>
        <v>0</v>
      </c>
      <c r="BY11" s="17">
        <f t="shared" ref="BY11:BY15" si="270">LR11</f>
        <v>0</v>
      </c>
      <c r="BZ11" s="17">
        <f t="shared" ref="BZ11:BZ15" si="271">LS11</f>
        <v>0</v>
      </c>
      <c r="CA11" s="17">
        <f t="shared" ref="CA11:CA15" si="272">LT11</f>
        <v>0</v>
      </c>
      <c r="CB11" s="54">
        <f t="shared" ref="CB11:CB15" si="273">LU11</f>
        <v>0</v>
      </c>
      <c r="CC11" s="58">
        <f t="shared" si="208"/>
        <v>80</v>
      </c>
      <c r="CD11" s="58">
        <f t="shared" ca="1" si="103"/>
        <v>6.1538461538461542</v>
      </c>
      <c r="JJ11" s="4" t="s">
        <v>13</v>
      </c>
      <c r="JK11" s="152" t="str">
        <f t="shared" si="42"/>
        <v>KHI02-PHR-MIO-01</v>
      </c>
      <c r="JL11" s="163">
        <v>1</v>
      </c>
      <c r="JM11" s="158">
        <v>1</v>
      </c>
      <c r="JN11" s="158">
        <v>1</v>
      </c>
      <c r="JO11" s="159">
        <v>0</v>
      </c>
      <c r="JP11" s="158">
        <v>1</v>
      </c>
      <c r="JQ11" s="158">
        <v>1</v>
      </c>
      <c r="JR11" s="158">
        <v>1</v>
      </c>
      <c r="JS11" s="158">
        <v>1</v>
      </c>
      <c r="JT11" s="158">
        <v>1</v>
      </c>
      <c r="JU11" s="158">
        <v>1</v>
      </c>
      <c r="JV11" s="158">
        <v>0</v>
      </c>
      <c r="JW11" s="159">
        <v>1</v>
      </c>
      <c r="JX11" s="159">
        <v>1</v>
      </c>
      <c r="JY11" s="159">
        <v>1</v>
      </c>
      <c r="JZ11" s="158"/>
      <c r="KA11" s="158"/>
      <c r="KB11" s="158"/>
      <c r="KC11" s="158"/>
      <c r="KD11" s="158"/>
      <c r="KE11" s="158"/>
      <c r="KF11" s="158"/>
      <c r="KG11" s="158"/>
      <c r="KH11" s="159"/>
      <c r="KI11" s="159"/>
      <c r="KJ11" s="158"/>
      <c r="KK11" s="158"/>
      <c r="KL11" s="158"/>
      <c r="KM11" s="158"/>
      <c r="KN11" s="158"/>
      <c r="KO11" s="158"/>
      <c r="KP11" s="164"/>
      <c r="KQ11" s="157">
        <v>0</v>
      </c>
      <c r="KR11" s="157">
        <v>11</v>
      </c>
      <c r="KS11" s="157">
        <v>1</v>
      </c>
      <c r="KT11" s="157">
        <v>0</v>
      </c>
      <c r="KU11" s="157">
        <v>5</v>
      </c>
      <c r="KV11" s="157">
        <v>11</v>
      </c>
      <c r="KW11" s="157">
        <v>10</v>
      </c>
      <c r="KX11" s="157">
        <v>11</v>
      </c>
      <c r="KY11" s="157">
        <v>11</v>
      </c>
      <c r="KZ11" s="157">
        <v>7</v>
      </c>
      <c r="LA11" s="157">
        <v>0</v>
      </c>
      <c r="LB11" s="157">
        <v>0</v>
      </c>
      <c r="LC11" s="157">
        <v>13</v>
      </c>
      <c r="LD11" s="157">
        <v>0</v>
      </c>
      <c r="LE11" s="157"/>
      <c r="LF11" s="157"/>
      <c r="LG11" s="157"/>
      <c r="LH11" s="157"/>
      <c r="LI11" s="157"/>
      <c r="LJ11" s="157"/>
      <c r="LK11" s="157"/>
      <c r="LL11" s="157"/>
      <c r="LM11" s="157"/>
      <c r="LN11" s="157"/>
      <c r="LO11" s="157"/>
      <c r="LP11" s="157"/>
      <c r="LQ11" s="157"/>
      <c r="LR11" s="157"/>
      <c r="LS11" s="157"/>
      <c r="LT11" s="5"/>
      <c r="LU11" s="8"/>
    </row>
    <row r="12" spans="1:334" ht="16.2" customHeight="1">
      <c r="A12" s="38" t="s">
        <v>9</v>
      </c>
      <c r="B12" s="25" t="s">
        <v>10</v>
      </c>
      <c r="C12" s="25" t="s">
        <v>380</v>
      </c>
      <c r="D12" s="25" t="s">
        <v>178</v>
      </c>
      <c r="E12" s="27" t="s">
        <v>22</v>
      </c>
      <c r="F12" s="25" t="s">
        <v>522</v>
      </c>
      <c r="G12" s="25" t="s">
        <v>432</v>
      </c>
      <c r="H12" s="28" t="s">
        <v>433</v>
      </c>
      <c r="I12" s="29" t="s">
        <v>179</v>
      </c>
      <c r="J12" s="30">
        <v>1</v>
      </c>
      <c r="K12" s="147">
        <v>1</v>
      </c>
      <c r="L12" s="147">
        <f>IFERROR(IF(OR(AD12&gt;0),1,0),0)</f>
        <v>0</v>
      </c>
      <c r="M12" s="147">
        <f t="shared" si="209"/>
        <v>0</v>
      </c>
      <c r="N12" s="147">
        <f>IFERROR(IF(OR(BK12&gt;0),1,0),0)</f>
        <v>0</v>
      </c>
      <c r="O12" s="147">
        <f t="shared" si="210"/>
        <v>0</v>
      </c>
      <c r="P12" s="148">
        <f t="shared" si="211"/>
        <v>0</v>
      </c>
      <c r="Q12" s="50">
        <f t="shared" si="212"/>
        <v>0</v>
      </c>
      <c r="R12" s="17">
        <f t="shared" si="213"/>
        <v>0</v>
      </c>
      <c r="S12" s="17">
        <f t="shared" si="214"/>
        <v>0</v>
      </c>
      <c r="T12" s="17">
        <f t="shared" si="215"/>
        <v>0</v>
      </c>
      <c r="U12" s="17">
        <f t="shared" si="216"/>
        <v>0</v>
      </c>
      <c r="V12" s="17">
        <f t="shared" si="217"/>
        <v>0</v>
      </c>
      <c r="W12" s="17">
        <f t="shared" si="218"/>
        <v>0</v>
      </c>
      <c r="X12" s="17">
        <f t="shared" si="219"/>
        <v>0</v>
      </c>
      <c r="Y12" s="17">
        <f t="shared" si="220"/>
        <v>0</v>
      </c>
      <c r="Z12" s="17">
        <f t="shared" si="221"/>
        <v>0</v>
      </c>
      <c r="AA12" s="17">
        <f t="shared" si="222"/>
        <v>0</v>
      </c>
      <c r="AB12" s="17">
        <f t="shared" si="223"/>
        <v>0</v>
      </c>
      <c r="AC12" s="17">
        <f t="shared" si="224"/>
        <v>0</v>
      </c>
      <c r="AD12" s="17">
        <f t="shared" si="225"/>
        <v>0</v>
      </c>
      <c r="AE12" s="17">
        <f t="shared" si="226"/>
        <v>0</v>
      </c>
      <c r="AF12" s="17">
        <f t="shared" si="227"/>
        <v>0</v>
      </c>
      <c r="AG12" s="17">
        <f t="shared" si="228"/>
        <v>0</v>
      </c>
      <c r="AH12" s="17">
        <f t="shared" si="229"/>
        <v>0</v>
      </c>
      <c r="AI12" s="17">
        <f t="shared" si="230"/>
        <v>0</v>
      </c>
      <c r="AJ12" s="17">
        <f t="shared" si="231"/>
        <v>0</v>
      </c>
      <c r="AK12" s="17">
        <f t="shared" si="232"/>
        <v>0</v>
      </c>
      <c r="AL12" s="17">
        <f t="shared" si="233"/>
        <v>0</v>
      </c>
      <c r="AM12" s="17">
        <f t="shared" si="234"/>
        <v>0</v>
      </c>
      <c r="AN12" s="17">
        <f t="shared" si="235"/>
        <v>0</v>
      </c>
      <c r="AO12" s="17">
        <f t="shared" si="236"/>
        <v>0</v>
      </c>
      <c r="AP12" s="17">
        <f t="shared" si="237"/>
        <v>0</v>
      </c>
      <c r="AQ12" s="17">
        <f t="shared" si="238"/>
        <v>0</v>
      </c>
      <c r="AR12" s="17">
        <f t="shared" si="239"/>
        <v>0</v>
      </c>
      <c r="AS12" s="17">
        <f t="shared" si="240"/>
        <v>0</v>
      </c>
      <c r="AT12" s="17">
        <f t="shared" si="241"/>
        <v>0</v>
      </c>
      <c r="AU12" s="54">
        <f t="shared" si="242"/>
        <v>0</v>
      </c>
      <c r="AV12" s="58">
        <f t="shared" si="40"/>
        <v>0</v>
      </c>
      <c r="AW12" s="58">
        <f t="shared" ca="1" si="73"/>
        <v>0</v>
      </c>
      <c r="AX12" s="50">
        <f t="shared" si="243"/>
        <v>0</v>
      </c>
      <c r="AY12" s="17">
        <f t="shared" si="244"/>
        <v>0</v>
      </c>
      <c r="AZ12" s="17">
        <f t="shared" si="245"/>
        <v>0</v>
      </c>
      <c r="BA12" s="17">
        <f t="shared" si="246"/>
        <v>0</v>
      </c>
      <c r="BB12" s="17">
        <f t="shared" si="247"/>
        <v>0</v>
      </c>
      <c r="BC12" s="17">
        <f t="shared" si="248"/>
        <v>0</v>
      </c>
      <c r="BD12" s="17">
        <f t="shared" si="249"/>
        <v>0</v>
      </c>
      <c r="BE12" s="17">
        <f t="shared" si="250"/>
        <v>0</v>
      </c>
      <c r="BF12" s="17">
        <f t="shared" si="251"/>
        <v>0</v>
      </c>
      <c r="BG12" s="17">
        <f t="shared" si="252"/>
        <v>0</v>
      </c>
      <c r="BH12" s="17">
        <f t="shared" si="253"/>
        <v>0</v>
      </c>
      <c r="BI12" s="17">
        <f t="shared" si="254"/>
        <v>0</v>
      </c>
      <c r="BJ12" s="17">
        <f t="shared" si="255"/>
        <v>0</v>
      </c>
      <c r="BK12" s="17">
        <f t="shared" si="256"/>
        <v>0</v>
      </c>
      <c r="BL12" s="17">
        <f t="shared" si="257"/>
        <v>0</v>
      </c>
      <c r="BM12" s="17">
        <f t="shared" si="258"/>
        <v>0</v>
      </c>
      <c r="BN12" s="17">
        <f t="shared" si="259"/>
        <v>0</v>
      </c>
      <c r="BO12" s="17">
        <f t="shared" si="260"/>
        <v>0</v>
      </c>
      <c r="BP12" s="17">
        <f t="shared" si="261"/>
        <v>0</v>
      </c>
      <c r="BQ12" s="17">
        <f t="shared" si="262"/>
        <v>0</v>
      </c>
      <c r="BR12" s="17">
        <f t="shared" si="263"/>
        <v>0</v>
      </c>
      <c r="BS12" s="17">
        <f t="shared" si="264"/>
        <v>0</v>
      </c>
      <c r="BT12" s="17">
        <f t="shared" si="265"/>
        <v>0</v>
      </c>
      <c r="BU12" s="17">
        <f t="shared" si="266"/>
        <v>0</v>
      </c>
      <c r="BV12" s="17">
        <f t="shared" si="267"/>
        <v>0</v>
      </c>
      <c r="BW12" s="17">
        <f t="shared" si="268"/>
        <v>0</v>
      </c>
      <c r="BX12" s="17">
        <f t="shared" si="269"/>
        <v>0</v>
      </c>
      <c r="BY12" s="17">
        <f t="shared" si="270"/>
        <v>0</v>
      </c>
      <c r="BZ12" s="17">
        <f t="shared" si="271"/>
        <v>0</v>
      </c>
      <c r="CA12" s="17">
        <f t="shared" si="272"/>
        <v>0</v>
      </c>
      <c r="CB12" s="54">
        <f t="shared" si="273"/>
        <v>0</v>
      </c>
      <c r="CC12" s="58">
        <f t="shared" si="208"/>
        <v>0</v>
      </c>
      <c r="CD12" s="58">
        <f t="shared" ca="1" si="103"/>
        <v>0</v>
      </c>
      <c r="JJ12" s="4" t="s">
        <v>13</v>
      </c>
      <c r="JK12" s="152" t="str">
        <f t="shared" si="42"/>
        <v>KHI02-PHR-MIO-02</v>
      </c>
      <c r="JL12" s="163">
        <v>0</v>
      </c>
      <c r="JM12" s="158">
        <v>0</v>
      </c>
      <c r="JN12" s="158">
        <v>0</v>
      </c>
      <c r="JO12" s="159">
        <v>0</v>
      </c>
      <c r="JP12" s="158">
        <v>0</v>
      </c>
      <c r="JQ12" s="158">
        <v>0</v>
      </c>
      <c r="JR12" s="158">
        <v>0</v>
      </c>
      <c r="JS12" s="158">
        <v>0</v>
      </c>
      <c r="JT12" s="158">
        <v>0</v>
      </c>
      <c r="JU12" s="158">
        <v>0</v>
      </c>
      <c r="JV12" s="158">
        <v>0</v>
      </c>
      <c r="JW12" s="159">
        <v>0</v>
      </c>
      <c r="JX12" s="159">
        <v>0</v>
      </c>
      <c r="JY12" s="159">
        <v>0</v>
      </c>
      <c r="JZ12" s="158"/>
      <c r="KA12" s="158"/>
      <c r="KB12" s="158"/>
      <c r="KC12" s="158"/>
      <c r="KD12" s="158"/>
      <c r="KE12" s="158"/>
      <c r="KF12" s="158"/>
      <c r="KG12" s="158"/>
      <c r="KH12" s="159"/>
      <c r="KI12" s="159"/>
      <c r="KJ12" s="158"/>
      <c r="KK12" s="158"/>
      <c r="KL12" s="158"/>
      <c r="KM12" s="158"/>
      <c r="KN12" s="158"/>
      <c r="KO12" s="158"/>
      <c r="KP12" s="164"/>
      <c r="KQ12" s="157">
        <v>0</v>
      </c>
      <c r="KR12" s="157">
        <v>0</v>
      </c>
      <c r="KS12" s="157">
        <v>0</v>
      </c>
      <c r="KT12" s="157">
        <v>0</v>
      </c>
      <c r="KU12" s="157">
        <v>0</v>
      </c>
      <c r="KV12" s="157">
        <v>0</v>
      </c>
      <c r="KW12" s="157">
        <v>0</v>
      </c>
      <c r="KX12" s="157">
        <v>0</v>
      </c>
      <c r="KY12" s="157">
        <v>0</v>
      </c>
      <c r="KZ12" s="157">
        <v>0</v>
      </c>
      <c r="LA12" s="157">
        <v>0</v>
      </c>
      <c r="LB12" s="157">
        <v>0</v>
      </c>
      <c r="LC12" s="157">
        <v>0</v>
      </c>
      <c r="LD12" s="157">
        <v>0</v>
      </c>
      <c r="LE12" s="157"/>
      <c r="LF12" s="157"/>
      <c r="LG12" s="157"/>
      <c r="LH12" s="157"/>
      <c r="LI12" s="157"/>
      <c r="LJ12" s="157"/>
      <c r="LK12" s="157"/>
      <c r="LL12" s="157"/>
      <c r="LM12" s="157"/>
      <c r="LN12" s="157"/>
      <c r="LO12" s="157"/>
      <c r="LP12" s="157"/>
      <c r="LQ12" s="157"/>
      <c r="LR12" s="157"/>
      <c r="LS12" s="157"/>
      <c r="LT12" s="5"/>
      <c r="LU12" s="8"/>
    </row>
    <row r="13" spans="1:334" ht="16.2" customHeight="1">
      <c r="A13" s="38" t="s">
        <v>9</v>
      </c>
      <c r="B13" s="25" t="s">
        <v>10</v>
      </c>
      <c r="C13" s="25" t="s">
        <v>380</v>
      </c>
      <c r="D13" s="25" t="s">
        <v>182</v>
      </c>
      <c r="E13" s="27" t="s">
        <v>423</v>
      </c>
      <c r="F13" s="25" t="s">
        <v>438</v>
      </c>
      <c r="G13" s="25" t="s">
        <v>183</v>
      </c>
      <c r="H13" s="28">
        <v>45721</v>
      </c>
      <c r="I13" s="29" t="s">
        <v>184</v>
      </c>
      <c r="J13" s="30">
        <v>1</v>
      </c>
      <c r="K13" s="147">
        <v>0</v>
      </c>
      <c r="L13" s="147">
        <f>IFERROR(IF(OR(AD13&gt;0),1,0),0)</f>
        <v>1</v>
      </c>
      <c r="M13" s="147">
        <f t="shared" si="209"/>
        <v>1</v>
      </c>
      <c r="N13" s="147">
        <f>IFERROR(IF(OR(BK13&gt;0),1,0),0)</f>
        <v>1</v>
      </c>
      <c r="O13" s="147">
        <f t="shared" si="210"/>
        <v>1</v>
      </c>
      <c r="P13" s="148">
        <f t="shared" si="211"/>
        <v>1</v>
      </c>
      <c r="Q13" s="50">
        <f t="shared" si="212"/>
        <v>1</v>
      </c>
      <c r="R13" s="17">
        <f t="shared" si="213"/>
        <v>1</v>
      </c>
      <c r="S13" s="17">
        <f t="shared" si="214"/>
        <v>1</v>
      </c>
      <c r="T13" s="17">
        <f t="shared" si="215"/>
        <v>0</v>
      </c>
      <c r="U13" s="17">
        <f t="shared" si="216"/>
        <v>1</v>
      </c>
      <c r="V13" s="17">
        <f t="shared" si="217"/>
        <v>1</v>
      </c>
      <c r="W13" s="17">
        <f t="shared" si="218"/>
        <v>1</v>
      </c>
      <c r="X13" s="17">
        <f t="shared" si="219"/>
        <v>1</v>
      </c>
      <c r="Y13" s="17">
        <f t="shared" si="220"/>
        <v>1</v>
      </c>
      <c r="Z13" s="17">
        <f t="shared" si="221"/>
        <v>1</v>
      </c>
      <c r="AA13" s="17">
        <f t="shared" si="222"/>
        <v>0</v>
      </c>
      <c r="AB13" s="17">
        <f t="shared" si="223"/>
        <v>1</v>
      </c>
      <c r="AC13" s="17">
        <f t="shared" si="224"/>
        <v>1</v>
      </c>
      <c r="AD13" s="17">
        <f t="shared" si="225"/>
        <v>1</v>
      </c>
      <c r="AE13" s="17">
        <f t="shared" si="226"/>
        <v>0</v>
      </c>
      <c r="AF13" s="17">
        <f t="shared" si="227"/>
        <v>0</v>
      </c>
      <c r="AG13" s="17">
        <f t="shared" si="228"/>
        <v>0</v>
      </c>
      <c r="AH13" s="17">
        <f t="shared" si="229"/>
        <v>0</v>
      </c>
      <c r="AI13" s="17">
        <f t="shared" si="230"/>
        <v>0</v>
      </c>
      <c r="AJ13" s="17">
        <f t="shared" si="231"/>
        <v>0</v>
      </c>
      <c r="AK13" s="17">
        <f t="shared" si="232"/>
        <v>0</v>
      </c>
      <c r="AL13" s="17">
        <f t="shared" si="233"/>
        <v>0</v>
      </c>
      <c r="AM13" s="17">
        <f t="shared" si="234"/>
        <v>0</v>
      </c>
      <c r="AN13" s="17">
        <f t="shared" si="235"/>
        <v>0</v>
      </c>
      <c r="AO13" s="17">
        <f t="shared" si="236"/>
        <v>0</v>
      </c>
      <c r="AP13" s="17">
        <f t="shared" si="237"/>
        <v>0</v>
      </c>
      <c r="AQ13" s="17">
        <f t="shared" si="238"/>
        <v>0</v>
      </c>
      <c r="AR13" s="17">
        <f t="shared" si="239"/>
        <v>0</v>
      </c>
      <c r="AS13" s="17">
        <f t="shared" si="240"/>
        <v>0</v>
      </c>
      <c r="AT13" s="17">
        <f t="shared" si="241"/>
        <v>0</v>
      </c>
      <c r="AU13" s="54">
        <f t="shared" si="242"/>
        <v>0</v>
      </c>
      <c r="AV13" s="58">
        <f t="shared" si="40"/>
        <v>12</v>
      </c>
      <c r="AW13" s="58">
        <f t="shared" ca="1" si="73"/>
        <v>0.92307692307692313</v>
      </c>
      <c r="AX13" s="50">
        <f t="shared" si="243"/>
        <v>11</v>
      </c>
      <c r="AY13" s="17">
        <f t="shared" si="244"/>
        <v>11</v>
      </c>
      <c r="AZ13" s="17">
        <f t="shared" si="245"/>
        <v>12</v>
      </c>
      <c r="BA13" s="17">
        <f t="shared" si="246"/>
        <v>0</v>
      </c>
      <c r="BB13" s="17">
        <f t="shared" si="247"/>
        <v>10</v>
      </c>
      <c r="BC13" s="17">
        <f t="shared" si="248"/>
        <v>13</v>
      </c>
      <c r="BD13" s="17">
        <f t="shared" si="249"/>
        <v>12</v>
      </c>
      <c r="BE13" s="17">
        <f t="shared" si="250"/>
        <v>9</v>
      </c>
      <c r="BF13" s="17">
        <f t="shared" si="251"/>
        <v>10</v>
      </c>
      <c r="BG13" s="17">
        <f t="shared" si="252"/>
        <v>8</v>
      </c>
      <c r="BH13" s="17">
        <f t="shared" si="253"/>
        <v>0</v>
      </c>
      <c r="BI13" s="17">
        <f t="shared" si="254"/>
        <v>13</v>
      </c>
      <c r="BJ13" s="17">
        <f t="shared" si="255"/>
        <v>9</v>
      </c>
      <c r="BK13" s="17">
        <f t="shared" si="256"/>
        <v>1</v>
      </c>
      <c r="BL13" s="17">
        <f t="shared" si="257"/>
        <v>0</v>
      </c>
      <c r="BM13" s="17">
        <f t="shared" si="258"/>
        <v>0</v>
      </c>
      <c r="BN13" s="17">
        <f t="shared" si="259"/>
        <v>0</v>
      </c>
      <c r="BO13" s="17">
        <f t="shared" si="260"/>
        <v>0</v>
      </c>
      <c r="BP13" s="17">
        <f t="shared" si="261"/>
        <v>0</v>
      </c>
      <c r="BQ13" s="17">
        <f t="shared" si="262"/>
        <v>0</v>
      </c>
      <c r="BR13" s="17">
        <f t="shared" si="263"/>
        <v>0</v>
      </c>
      <c r="BS13" s="17">
        <f t="shared" si="264"/>
        <v>0</v>
      </c>
      <c r="BT13" s="17">
        <f t="shared" si="265"/>
        <v>0</v>
      </c>
      <c r="BU13" s="17">
        <f t="shared" si="266"/>
        <v>0</v>
      </c>
      <c r="BV13" s="17">
        <f t="shared" si="267"/>
        <v>0</v>
      </c>
      <c r="BW13" s="17">
        <f t="shared" si="268"/>
        <v>0</v>
      </c>
      <c r="BX13" s="17">
        <f t="shared" si="269"/>
        <v>0</v>
      </c>
      <c r="BY13" s="17">
        <f t="shared" si="270"/>
        <v>0</v>
      </c>
      <c r="BZ13" s="17">
        <f t="shared" si="271"/>
        <v>0</v>
      </c>
      <c r="CA13" s="17">
        <f t="shared" si="272"/>
        <v>0</v>
      </c>
      <c r="CB13" s="54">
        <f t="shared" si="273"/>
        <v>0</v>
      </c>
      <c r="CC13" s="58">
        <f t="shared" si="208"/>
        <v>119</v>
      </c>
      <c r="CD13" s="58">
        <f t="shared" ca="1" si="103"/>
        <v>9.1538461538461533</v>
      </c>
      <c r="JJ13" s="4" t="s">
        <v>13</v>
      </c>
      <c r="JK13" s="152" t="str">
        <f t="shared" si="42"/>
        <v>KHI02-PHR-MIO-03</v>
      </c>
      <c r="JL13" s="163">
        <v>1</v>
      </c>
      <c r="JM13" s="158">
        <v>1</v>
      </c>
      <c r="JN13" s="158">
        <v>1</v>
      </c>
      <c r="JO13" s="159">
        <v>0</v>
      </c>
      <c r="JP13" s="158">
        <v>1</v>
      </c>
      <c r="JQ13" s="158">
        <v>1</v>
      </c>
      <c r="JR13" s="158">
        <v>1</v>
      </c>
      <c r="JS13" s="158">
        <v>1</v>
      </c>
      <c r="JT13" s="158">
        <v>1</v>
      </c>
      <c r="JU13" s="158">
        <v>1</v>
      </c>
      <c r="JV13" s="158">
        <v>0</v>
      </c>
      <c r="JW13" s="159">
        <v>1</v>
      </c>
      <c r="JX13" s="159">
        <v>1</v>
      </c>
      <c r="JY13" s="159">
        <v>1</v>
      </c>
      <c r="JZ13" s="158"/>
      <c r="KA13" s="158"/>
      <c r="KB13" s="158"/>
      <c r="KC13" s="158"/>
      <c r="KD13" s="158"/>
      <c r="KE13" s="158"/>
      <c r="KF13" s="158"/>
      <c r="KG13" s="158"/>
      <c r="KH13" s="159"/>
      <c r="KI13" s="159"/>
      <c r="KJ13" s="158"/>
      <c r="KK13" s="158"/>
      <c r="KL13" s="158"/>
      <c r="KM13" s="158"/>
      <c r="KN13" s="158"/>
      <c r="KO13" s="158"/>
      <c r="KP13" s="164"/>
      <c r="KQ13" s="157">
        <v>11</v>
      </c>
      <c r="KR13" s="157">
        <v>11</v>
      </c>
      <c r="KS13" s="157">
        <v>12</v>
      </c>
      <c r="KT13" s="157">
        <v>0</v>
      </c>
      <c r="KU13" s="157">
        <v>10</v>
      </c>
      <c r="KV13" s="157">
        <v>13</v>
      </c>
      <c r="KW13" s="157">
        <v>12</v>
      </c>
      <c r="KX13" s="157">
        <v>9</v>
      </c>
      <c r="KY13" s="157">
        <v>10</v>
      </c>
      <c r="KZ13" s="157">
        <v>8</v>
      </c>
      <c r="LA13" s="157">
        <v>0</v>
      </c>
      <c r="LB13" s="157">
        <v>13</v>
      </c>
      <c r="LC13" s="157">
        <v>9</v>
      </c>
      <c r="LD13" s="157">
        <v>1</v>
      </c>
      <c r="LE13" s="157"/>
      <c r="LF13" s="157"/>
      <c r="LG13" s="157"/>
      <c r="LH13" s="157"/>
      <c r="LI13" s="157"/>
      <c r="LJ13" s="157"/>
      <c r="LK13" s="157"/>
      <c r="LL13" s="157"/>
      <c r="LM13" s="157"/>
      <c r="LN13" s="157"/>
      <c r="LO13" s="157"/>
      <c r="LP13" s="157"/>
      <c r="LQ13" s="157"/>
      <c r="LR13" s="157"/>
      <c r="LS13" s="157"/>
      <c r="LT13" s="5"/>
      <c r="LU13" s="8"/>
    </row>
    <row r="14" spans="1:334" ht="16.2" customHeight="1">
      <c r="A14" s="38" t="s">
        <v>9</v>
      </c>
      <c r="B14" s="25" t="s">
        <v>10</v>
      </c>
      <c r="C14" s="26" t="s">
        <v>380</v>
      </c>
      <c r="D14" s="25" t="s">
        <v>185</v>
      </c>
      <c r="E14" s="27" t="s">
        <v>24</v>
      </c>
      <c r="F14" s="25" t="s">
        <v>439</v>
      </c>
      <c r="G14" s="25" t="s">
        <v>440</v>
      </c>
      <c r="H14" s="28">
        <v>45798</v>
      </c>
      <c r="I14" s="29" t="s">
        <v>186</v>
      </c>
      <c r="J14" s="30">
        <v>1</v>
      </c>
      <c r="K14" s="147">
        <v>0</v>
      </c>
      <c r="L14" s="147">
        <f>IFERROR(IF(OR(AD14&gt;0),1,0),0)</f>
        <v>0</v>
      </c>
      <c r="M14" s="147">
        <f t="shared" si="209"/>
        <v>1</v>
      </c>
      <c r="N14" s="147">
        <f>IFERROR(IF(OR(BK14&gt;0),1,0),0)</f>
        <v>0</v>
      </c>
      <c r="O14" s="147">
        <f t="shared" si="210"/>
        <v>1</v>
      </c>
      <c r="P14" s="148">
        <f t="shared" si="211"/>
        <v>1</v>
      </c>
      <c r="Q14" s="50">
        <f t="shared" si="212"/>
        <v>1</v>
      </c>
      <c r="R14" s="17">
        <f t="shared" si="213"/>
        <v>1</v>
      </c>
      <c r="S14" s="17">
        <f t="shared" si="214"/>
        <v>1</v>
      </c>
      <c r="T14" s="17">
        <f t="shared" si="215"/>
        <v>0</v>
      </c>
      <c r="U14" s="17">
        <f t="shared" si="216"/>
        <v>1</v>
      </c>
      <c r="V14" s="17">
        <f t="shared" si="217"/>
        <v>0</v>
      </c>
      <c r="W14" s="17">
        <f t="shared" si="218"/>
        <v>1</v>
      </c>
      <c r="X14" s="17">
        <f t="shared" si="219"/>
        <v>0</v>
      </c>
      <c r="Y14" s="17">
        <f t="shared" si="220"/>
        <v>0</v>
      </c>
      <c r="Z14" s="17">
        <f t="shared" si="221"/>
        <v>1</v>
      </c>
      <c r="AA14" s="17">
        <f t="shared" si="222"/>
        <v>0</v>
      </c>
      <c r="AB14" s="17">
        <f t="shared" si="223"/>
        <v>1</v>
      </c>
      <c r="AC14" s="17">
        <f t="shared" si="224"/>
        <v>1</v>
      </c>
      <c r="AD14" s="17">
        <f t="shared" si="225"/>
        <v>0</v>
      </c>
      <c r="AE14" s="17">
        <f t="shared" si="226"/>
        <v>0</v>
      </c>
      <c r="AF14" s="17">
        <f t="shared" si="227"/>
        <v>0</v>
      </c>
      <c r="AG14" s="17">
        <f t="shared" si="228"/>
        <v>0</v>
      </c>
      <c r="AH14" s="17">
        <f t="shared" si="229"/>
        <v>0</v>
      </c>
      <c r="AI14" s="17">
        <f t="shared" si="230"/>
        <v>0</v>
      </c>
      <c r="AJ14" s="17">
        <f t="shared" si="231"/>
        <v>0</v>
      </c>
      <c r="AK14" s="17">
        <f t="shared" si="232"/>
        <v>0</v>
      </c>
      <c r="AL14" s="17">
        <f t="shared" si="233"/>
        <v>0</v>
      </c>
      <c r="AM14" s="17">
        <f t="shared" si="234"/>
        <v>0</v>
      </c>
      <c r="AN14" s="17">
        <f t="shared" si="235"/>
        <v>0</v>
      </c>
      <c r="AO14" s="17">
        <f t="shared" si="236"/>
        <v>0</v>
      </c>
      <c r="AP14" s="17">
        <f t="shared" si="237"/>
        <v>0</v>
      </c>
      <c r="AQ14" s="17">
        <f t="shared" si="238"/>
        <v>0</v>
      </c>
      <c r="AR14" s="17">
        <f t="shared" si="239"/>
        <v>0</v>
      </c>
      <c r="AS14" s="17">
        <f t="shared" si="240"/>
        <v>0</v>
      </c>
      <c r="AT14" s="17">
        <f t="shared" si="241"/>
        <v>0</v>
      </c>
      <c r="AU14" s="54">
        <f t="shared" si="242"/>
        <v>0</v>
      </c>
      <c r="AV14" s="58">
        <f t="shared" si="40"/>
        <v>8</v>
      </c>
      <c r="AW14" s="58">
        <f t="shared" ca="1" si="73"/>
        <v>0.61538461538461542</v>
      </c>
      <c r="AX14" s="50">
        <f t="shared" si="243"/>
        <v>8</v>
      </c>
      <c r="AY14" s="17">
        <f t="shared" si="244"/>
        <v>3</v>
      </c>
      <c r="AZ14" s="17">
        <f t="shared" si="245"/>
        <v>0</v>
      </c>
      <c r="BA14" s="17">
        <f t="shared" si="246"/>
        <v>0</v>
      </c>
      <c r="BB14" s="17">
        <f t="shared" si="247"/>
        <v>8</v>
      </c>
      <c r="BC14" s="17">
        <f t="shared" si="248"/>
        <v>8</v>
      </c>
      <c r="BD14" s="17">
        <f t="shared" si="249"/>
        <v>11</v>
      </c>
      <c r="BE14" s="17">
        <f t="shared" si="250"/>
        <v>0</v>
      </c>
      <c r="BF14" s="17">
        <f t="shared" si="251"/>
        <v>0</v>
      </c>
      <c r="BG14" s="17">
        <f t="shared" si="252"/>
        <v>6</v>
      </c>
      <c r="BH14" s="17">
        <f t="shared" si="253"/>
        <v>0</v>
      </c>
      <c r="BI14" s="17">
        <f t="shared" si="254"/>
        <v>10</v>
      </c>
      <c r="BJ14" s="17">
        <f t="shared" si="255"/>
        <v>10</v>
      </c>
      <c r="BK14" s="17">
        <f t="shared" si="256"/>
        <v>0</v>
      </c>
      <c r="BL14" s="17">
        <f t="shared" si="257"/>
        <v>0</v>
      </c>
      <c r="BM14" s="17">
        <f t="shared" si="258"/>
        <v>0</v>
      </c>
      <c r="BN14" s="17">
        <f t="shared" si="259"/>
        <v>0</v>
      </c>
      <c r="BO14" s="17">
        <f t="shared" si="260"/>
        <v>0</v>
      </c>
      <c r="BP14" s="17">
        <f t="shared" si="261"/>
        <v>0</v>
      </c>
      <c r="BQ14" s="17">
        <f t="shared" si="262"/>
        <v>0</v>
      </c>
      <c r="BR14" s="17">
        <f t="shared" si="263"/>
        <v>0</v>
      </c>
      <c r="BS14" s="17">
        <f t="shared" si="264"/>
        <v>0</v>
      </c>
      <c r="BT14" s="17">
        <f t="shared" si="265"/>
        <v>0</v>
      </c>
      <c r="BU14" s="17">
        <f t="shared" si="266"/>
        <v>0</v>
      </c>
      <c r="BV14" s="17">
        <f t="shared" si="267"/>
        <v>0</v>
      </c>
      <c r="BW14" s="17">
        <f t="shared" si="268"/>
        <v>0</v>
      </c>
      <c r="BX14" s="17">
        <f t="shared" si="269"/>
        <v>0</v>
      </c>
      <c r="BY14" s="17">
        <f t="shared" si="270"/>
        <v>0</v>
      </c>
      <c r="BZ14" s="17">
        <f t="shared" si="271"/>
        <v>0</v>
      </c>
      <c r="CA14" s="17">
        <f t="shared" si="272"/>
        <v>0</v>
      </c>
      <c r="CB14" s="54">
        <f t="shared" si="273"/>
        <v>0</v>
      </c>
      <c r="CC14" s="58">
        <f t="shared" si="208"/>
        <v>64</v>
      </c>
      <c r="CD14" s="58">
        <f t="shared" ca="1" si="103"/>
        <v>4.9230769230769234</v>
      </c>
      <c r="JJ14" s="4" t="s">
        <v>13</v>
      </c>
      <c r="JK14" s="152" t="str">
        <f t="shared" si="42"/>
        <v>KHI02-PHR-MIO-04</v>
      </c>
      <c r="JL14" s="163">
        <v>1</v>
      </c>
      <c r="JM14" s="158">
        <v>1</v>
      </c>
      <c r="JN14" s="158">
        <v>1</v>
      </c>
      <c r="JO14" s="159">
        <v>0</v>
      </c>
      <c r="JP14" s="158">
        <v>1</v>
      </c>
      <c r="JQ14" s="158">
        <v>0</v>
      </c>
      <c r="JR14" s="158">
        <v>1</v>
      </c>
      <c r="JS14" s="158">
        <v>0</v>
      </c>
      <c r="JT14" s="158">
        <v>0</v>
      </c>
      <c r="JU14" s="158">
        <v>1</v>
      </c>
      <c r="JV14" s="158">
        <v>0</v>
      </c>
      <c r="JW14" s="159">
        <v>1</v>
      </c>
      <c r="JX14" s="159">
        <v>1</v>
      </c>
      <c r="JY14" s="159">
        <v>0</v>
      </c>
      <c r="JZ14" s="158"/>
      <c r="KA14" s="158"/>
      <c r="KB14" s="158"/>
      <c r="KC14" s="158"/>
      <c r="KD14" s="158"/>
      <c r="KE14" s="158"/>
      <c r="KF14" s="158"/>
      <c r="KG14" s="158"/>
      <c r="KH14" s="159"/>
      <c r="KI14" s="159"/>
      <c r="KJ14" s="158"/>
      <c r="KK14" s="158"/>
      <c r="KL14" s="158"/>
      <c r="KM14" s="158"/>
      <c r="KN14" s="158"/>
      <c r="KO14" s="158"/>
      <c r="KP14" s="164"/>
      <c r="KQ14" s="157">
        <v>8</v>
      </c>
      <c r="KR14" s="157">
        <v>3</v>
      </c>
      <c r="KS14" s="157">
        <v>0</v>
      </c>
      <c r="KT14" s="157">
        <v>0</v>
      </c>
      <c r="KU14" s="157">
        <v>8</v>
      </c>
      <c r="KV14" s="157">
        <v>8</v>
      </c>
      <c r="KW14" s="157">
        <v>11</v>
      </c>
      <c r="KX14" s="157">
        <v>0</v>
      </c>
      <c r="KY14" s="157">
        <v>0</v>
      </c>
      <c r="KZ14" s="157">
        <v>6</v>
      </c>
      <c r="LA14" s="157">
        <v>0</v>
      </c>
      <c r="LB14" s="157">
        <v>10</v>
      </c>
      <c r="LC14" s="157">
        <v>10</v>
      </c>
      <c r="LD14" s="157">
        <v>0</v>
      </c>
      <c r="LE14" s="157"/>
      <c r="LF14" s="157"/>
      <c r="LG14" s="157"/>
      <c r="LH14" s="157"/>
      <c r="LI14" s="157"/>
      <c r="LJ14" s="157"/>
      <c r="LK14" s="157"/>
      <c r="LL14" s="157"/>
      <c r="LM14" s="157"/>
      <c r="LN14" s="157"/>
      <c r="LO14" s="157"/>
      <c r="LP14" s="157"/>
      <c r="LQ14" s="157"/>
      <c r="LR14" s="157"/>
      <c r="LS14" s="157"/>
      <c r="LT14" s="5"/>
      <c r="LU14" s="8"/>
    </row>
    <row r="15" spans="1:334" ht="16.2" customHeight="1">
      <c r="A15" s="38" t="s">
        <v>16</v>
      </c>
      <c r="B15" s="25" t="s">
        <v>10</v>
      </c>
      <c r="C15" s="25" t="s">
        <v>380</v>
      </c>
      <c r="D15" s="25" t="s">
        <v>27</v>
      </c>
      <c r="E15" s="27" t="s">
        <v>28</v>
      </c>
      <c r="F15" s="25" t="s">
        <v>441</v>
      </c>
      <c r="G15" s="25" t="s">
        <v>436</v>
      </c>
      <c r="H15" s="28" t="s">
        <v>436</v>
      </c>
      <c r="I15" s="29" t="s">
        <v>188</v>
      </c>
      <c r="J15" s="30">
        <v>0</v>
      </c>
      <c r="K15" s="147">
        <v>0</v>
      </c>
      <c r="L15" s="147">
        <f>IFERROR(IF(OR(AD15&gt;0),1,0),0)</f>
        <v>0</v>
      </c>
      <c r="M15" s="147">
        <f t="shared" si="209"/>
        <v>0</v>
      </c>
      <c r="N15" s="147">
        <f>IFERROR(IF(OR(BK15&gt;0),1,0),0)</f>
        <v>0</v>
      </c>
      <c r="O15" s="147">
        <f t="shared" si="210"/>
        <v>0</v>
      </c>
      <c r="P15" s="148">
        <f t="shared" si="211"/>
        <v>0</v>
      </c>
      <c r="Q15" s="50">
        <f t="shared" si="212"/>
        <v>0</v>
      </c>
      <c r="R15" s="17">
        <f t="shared" si="213"/>
        <v>0</v>
      </c>
      <c r="S15" s="17">
        <f t="shared" si="214"/>
        <v>0</v>
      </c>
      <c r="T15" s="17">
        <f t="shared" si="215"/>
        <v>0</v>
      </c>
      <c r="U15" s="17">
        <f t="shared" si="216"/>
        <v>0</v>
      </c>
      <c r="V15" s="17">
        <f t="shared" si="217"/>
        <v>0</v>
      </c>
      <c r="W15" s="17">
        <f t="shared" si="218"/>
        <v>0</v>
      </c>
      <c r="X15" s="17">
        <f t="shared" si="219"/>
        <v>0</v>
      </c>
      <c r="Y15" s="17">
        <f t="shared" si="220"/>
        <v>0</v>
      </c>
      <c r="Z15" s="17">
        <f t="shared" si="221"/>
        <v>0</v>
      </c>
      <c r="AA15" s="17">
        <f t="shared" si="222"/>
        <v>0</v>
      </c>
      <c r="AB15" s="17">
        <f t="shared" si="223"/>
        <v>0</v>
      </c>
      <c r="AC15" s="17">
        <f t="shared" si="224"/>
        <v>0</v>
      </c>
      <c r="AD15" s="17">
        <f t="shared" si="225"/>
        <v>0</v>
      </c>
      <c r="AE15" s="17">
        <f t="shared" si="226"/>
        <v>0</v>
      </c>
      <c r="AF15" s="17">
        <f t="shared" si="227"/>
        <v>0</v>
      </c>
      <c r="AG15" s="17">
        <f t="shared" si="228"/>
        <v>0</v>
      </c>
      <c r="AH15" s="17">
        <f t="shared" si="229"/>
        <v>0</v>
      </c>
      <c r="AI15" s="17">
        <f t="shared" si="230"/>
        <v>0</v>
      </c>
      <c r="AJ15" s="17">
        <f t="shared" si="231"/>
        <v>0</v>
      </c>
      <c r="AK15" s="17">
        <f t="shared" si="232"/>
        <v>0</v>
      </c>
      <c r="AL15" s="17">
        <f t="shared" si="233"/>
        <v>0</v>
      </c>
      <c r="AM15" s="17">
        <f t="shared" si="234"/>
        <v>0</v>
      </c>
      <c r="AN15" s="17">
        <f t="shared" si="235"/>
        <v>0</v>
      </c>
      <c r="AO15" s="17">
        <f t="shared" si="236"/>
        <v>0</v>
      </c>
      <c r="AP15" s="17">
        <f t="shared" si="237"/>
        <v>0</v>
      </c>
      <c r="AQ15" s="17">
        <f t="shared" si="238"/>
        <v>0</v>
      </c>
      <c r="AR15" s="17">
        <f t="shared" si="239"/>
        <v>0</v>
      </c>
      <c r="AS15" s="17">
        <f t="shared" si="240"/>
        <v>0</v>
      </c>
      <c r="AT15" s="17">
        <f t="shared" si="241"/>
        <v>0</v>
      </c>
      <c r="AU15" s="54">
        <f t="shared" si="242"/>
        <v>0</v>
      </c>
      <c r="AV15" s="58">
        <f t="shared" si="40"/>
        <v>0</v>
      </c>
      <c r="AW15" s="58">
        <f t="shared" ca="1" si="73"/>
        <v>0</v>
      </c>
      <c r="AX15" s="50">
        <f t="shared" si="243"/>
        <v>0</v>
      </c>
      <c r="AY15" s="17">
        <f t="shared" si="244"/>
        <v>0</v>
      </c>
      <c r="AZ15" s="17">
        <f t="shared" si="245"/>
        <v>0</v>
      </c>
      <c r="BA15" s="17">
        <f t="shared" si="246"/>
        <v>0</v>
      </c>
      <c r="BB15" s="17">
        <f t="shared" si="247"/>
        <v>0</v>
      </c>
      <c r="BC15" s="17">
        <f t="shared" si="248"/>
        <v>0</v>
      </c>
      <c r="BD15" s="17">
        <f t="shared" si="249"/>
        <v>0</v>
      </c>
      <c r="BE15" s="17">
        <f t="shared" si="250"/>
        <v>0</v>
      </c>
      <c r="BF15" s="17">
        <f t="shared" si="251"/>
        <v>0</v>
      </c>
      <c r="BG15" s="17">
        <f t="shared" si="252"/>
        <v>0</v>
      </c>
      <c r="BH15" s="17">
        <f t="shared" si="253"/>
        <v>0</v>
      </c>
      <c r="BI15" s="17">
        <f t="shared" si="254"/>
        <v>0</v>
      </c>
      <c r="BJ15" s="17">
        <f t="shared" si="255"/>
        <v>0</v>
      </c>
      <c r="BK15" s="17">
        <f t="shared" si="256"/>
        <v>0</v>
      </c>
      <c r="BL15" s="17">
        <f t="shared" si="257"/>
        <v>0</v>
      </c>
      <c r="BM15" s="17">
        <f t="shared" si="258"/>
        <v>0</v>
      </c>
      <c r="BN15" s="17">
        <f t="shared" si="259"/>
        <v>0</v>
      </c>
      <c r="BO15" s="17">
        <f t="shared" si="260"/>
        <v>0</v>
      </c>
      <c r="BP15" s="17">
        <f t="shared" si="261"/>
        <v>0</v>
      </c>
      <c r="BQ15" s="17">
        <f t="shared" si="262"/>
        <v>0</v>
      </c>
      <c r="BR15" s="17">
        <f t="shared" si="263"/>
        <v>0</v>
      </c>
      <c r="BS15" s="17">
        <f t="shared" si="264"/>
        <v>0</v>
      </c>
      <c r="BT15" s="17">
        <f t="shared" si="265"/>
        <v>0</v>
      </c>
      <c r="BU15" s="17">
        <f t="shared" si="266"/>
        <v>0</v>
      </c>
      <c r="BV15" s="17">
        <f t="shared" si="267"/>
        <v>0</v>
      </c>
      <c r="BW15" s="17">
        <f t="shared" si="268"/>
        <v>0</v>
      </c>
      <c r="BX15" s="17">
        <f t="shared" si="269"/>
        <v>0</v>
      </c>
      <c r="BY15" s="17">
        <f t="shared" si="270"/>
        <v>0</v>
      </c>
      <c r="BZ15" s="17">
        <f t="shared" si="271"/>
        <v>0</v>
      </c>
      <c r="CA15" s="17">
        <f t="shared" si="272"/>
        <v>0</v>
      </c>
      <c r="CB15" s="54">
        <f t="shared" si="273"/>
        <v>0</v>
      </c>
      <c r="CC15" s="58">
        <f t="shared" si="208"/>
        <v>0</v>
      </c>
      <c r="CD15" s="58">
        <f t="shared" ca="1" si="103"/>
        <v>0</v>
      </c>
      <c r="JJ15" s="4" t="s">
        <v>13</v>
      </c>
      <c r="JK15" s="152" t="str">
        <f t="shared" si="42"/>
        <v>KHI02-PHR-MIO-00</v>
      </c>
      <c r="JL15" s="163">
        <v>0</v>
      </c>
      <c r="JM15" s="158">
        <v>0</v>
      </c>
      <c r="JN15" s="158">
        <v>0</v>
      </c>
      <c r="JO15" s="159">
        <v>0</v>
      </c>
      <c r="JP15" s="158">
        <v>0</v>
      </c>
      <c r="JQ15" s="158">
        <v>0</v>
      </c>
      <c r="JR15" s="158">
        <v>0</v>
      </c>
      <c r="JS15" s="158">
        <v>0</v>
      </c>
      <c r="JT15" s="158">
        <v>0</v>
      </c>
      <c r="JU15" s="158">
        <v>0</v>
      </c>
      <c r="JV15" s="158">
        <v>0</v>
      </c>
      <c r="JW15" s="159">
        <v>0</v>
      </c>
      <c r="JX15" s="159">
        <v>0</v>
      </c>
      <c r="JY15" s="159">
        <v>0</v>
      </c>
      <c r="JZ15" s="158"/>
      <c r="KA15" s="158"/>
      <c r="KB15" s="158"/>
      <c r="KC15" s="158"/>
      <c r="KD15" s="158"/>
      <c r="KE15" s="158"/>
      <c r="KF15" s="158"/>
      <c r="KG15" s="158"/>
      <c r="KH15" s="159"/>
      <c r="KI15" s="159"/>
      <c r="KJ15" s="158"/>
      <c r="KK15" s="158"/>
      <c r="KL15" s="158"/>
      <c r="KM15" s="158"/>
      <c r="KN15" s="158"/>
      <c r="KO15" s="158"/>
      <c r="KP15" s="164"/>
      <c r="KQ15" s="157">
        <v>0</v>
      </c>
      <c r="KR15" s="157">
        <v>0</v>
      </c>
      <c r="KS15" s="157">
        <v>0</v>
      </c>
      <c r="KT15" s="157">
        <v>0</v>
      </c>
      <c r="KU15" s="157">
        <v>0</v>
      </c>
      <c r="KV15" s="157">
        <v>0</v>
      </c>
      <c r="KW15" s="157">
        <v>0</v>
      </c>
      <c r="KX15" s="157">
        <v>0</v>
      </c>
      <c r="KY15" s="157">
        <v>0</v>
      </c>
      <c r="KZ15" s="157">
        <v>0</v>
      </c>
      <c r="LA15" s="157">
        <v>0</v>
      </c>
      <c r="LB15" s="157">
        <v>0</v>
      </c>
      <c r="LC15" s="157">
        <v>0</v>
      </c>
      <c r="LD15" s="157">
        <v>0</v>
      </c>
      <c r="LE15" s="157"/>
      <c r="LF15" s="157"/>
      <c r="LG15" s="157"/>
      <c r="LH15" s="157"/>
      <c r="LI15" s="157"/>
      <c r="LJ15" s="157"/>
      <c r="LK15" s="157"/>
      <c r="LL15" s="157"/>
      <c r="LM15" s="157"/>
      <c r="LN15" s="157"/>
      <c r="LO15" s="157"/>
      <c r="LP15" s="157"/>
      <c r="LQ15" s="157"/>
      <c r="LR15" s="157"/>
      <c r="LS15" s="157"/>
      <c r="LT15" s="5"/>
      <c r="LU15" s="8"/>
    </row>
    <row r="16" spans="1:334" ht="16.2" customHeight="1">
      <c r="A16" s="37" t="s">
        <v>19</v>
      </c>
      <c r="B16" s="18" t="s">
        <v>10</v>
      </c>
      <c r="C16" s="19" t="s">
        <v>380</v>
      </c>
      <c r="D16" s="20" t="s">
        <v>189</v>
      </c>
      <c r="E16" s="21" t="s">
        <v>29</v>
      </c>
      <c r="F16" s="18" t="s">
        <v>442</v>
      </c>
      <c r="G16" s="18" t="s">
        <v>187</v>
      </c>
      <c r="H16" s="22">
        <v>46108</v>
      </c>
      <c r="I16" s="20" t="s">
        <v>188</v>
      </c>
      <c r="J16" s="23">
        <v>4</v>
      </c>
      <c r="K16" s="97">
        <f t="shared" ref="K16:AU16" si="274">SUM(K11:K15)</f>
        <v>1</v>
      </c>
      <c r="L16" s="97">
        <f t="shared" si="274"/>
        <v>2</v>
      </c>
      <c r="M16" s="97">
        <f t="shared" si="274"/>
        <v>3</v>
      </c>
      <c r="N16" s="97">
        <f t="shared" si="274"/>
        <v>1</v>
      </c>
      <c r="O16" s="97">
        <f t="shared" si="274"/>
        <v>3</v>
      </c>
      <c r="P16" s="47">
        <f t="shared" si="274"/>
        <v>3</v>
      </c>
      <c r="Q16" s="51">
        <f t="shared" si="274"/>
        <v>3</v>
      </c>
      <c r="R16" s="24">
        <f t="shared" si="274"/>
        <v>3</v>
      </c>
      <c r="S16" s="24">
        <f t="shared" si="274"/>
        <v>3</v>
      </c>
      <c r="T16" s="24">
        <f t="shared" si="274"/>
        <v>0</v>
      </c>
      <c r="U16" s="24">
        <f t="shared" si="274"/>
        <v>3</v>
      </c>
      <c r="V16" s="24">
        <f t="shared" si="274"/>
        <v>2</v>
      </c>
      <c r="W16" s="24">
        <f t="shared" si="274"/>
        <v>3</v>
      </c>
      <c r="X16" s="24">
        <f t="shared" si="274"/>
        <v>2</v>
      </c>
      <c r="Y16" s="24">
        <f t="shared" si="274"/>
        <v>2</v>
      </c>
      <c r="Z16" s="24">
        <f t="shared" si="274"/>
        <v>3</v>
      </c>
      <c r="AA16" s="24">
        <f t="shared" si="274"/>
        <v>0</v>
      </c>
      <c r="AB16" s="24">
        <f t="shared" si="274"/>
        <v>3</v>
      </c>
      <c r="AC16" s="24">
        <f t="shared" si="274"/>
        <v>3</v>
      </c>
      <c r="AD16" s="24">
        <f t="shared" si="274"/>
        <v>2</v>
      </c>
      <c r="AE16" s="24">
        <f t="shared" si="274"/>
        <v>0</v>
      </c>
      <c r="AF16" s="24">
        <f t="shared" si="274"/>
        <v>0</v>
      </c>
      <c r="AG16" s="24">
        <f t="shared" si="274"/>
        <v>0</v>
      </c>
      <c r="AH16" s="24">
        <f t="shared" si="274"/>
        <v>0</v>
      </c>
      <c r="AI16" s="24">
        <f t="shared" si="274"/>
        <v>0</v>
      </c>
      <c r="AJ16" s="24">
        <f t="shared" si="274"/>
        <v>0</v>
      </c>
      <c r="AK16" s="24">
        <f t="shared" si="274"/>
        <v>0</v>
      </c>
      <c r="AL16" s="24">
        <f t="shared" si="274"/>
        <v>0</v>
      </c>
      <c r="AM16" s="24">
        <f t="shared" si="274"/>
        <v>0</v>
      </c>
      <c r="AN16" s="24">
        <f t="shared" si="274"/>
        <v>0</v>
      </c>
      <c r="AO16" s="24">
        <f t="shared" si="274"/>
        <v>0</v>
      </c>
      <c r="AP16" s="24">
        <f t="shared" si="274"/>
        <v>0</v>
      </c>
      <c r="AQ16" s="24">
        <f t="shared" si="274"/>
        <v>0</v>
      </c>
      <c r="AR16" s="24">
        <f t="shared" si="274"/>
        <v>0</v>
      </c>
      <c r="AS16" s="24">
        <f t="shared" si="274"/>
        <v>0</v>
      </c>
      <c r="AT16" s="24">
        <f t="shared" si="274"/>
        <v>0</v>
      </c>
      <c r="AU16" s="55">
        <f t="shared" si="274"/>
        <v>0</v>
      </c>
      <c r="AV16" s="59">
        <f t="shared" si="40"/>
        <v>32</v>
      </c>
      <c r="AW16" s="59">
        <f t="shared" ca="1" si="73"/>
        <v>0.8205128205128206</v>
      </c>
      <c r="AX16" s="51">
        <f t="shared" ref="AX16:CB16" si="275">SUM(AX11:AX15)</f>
        <v>19</v>
      </c>
      <c r="AY16" s="24">
        <f t="shared" si="275"/>
        <v>25</v>
      </c>
      <c r="AZ16" s="24">
        <f t="shared" si="275"/>
        <v>13</v>
      </c>
      <c r="BA16" s="24">
        <f t="shared" si="275"/>
        <v>0</v>
      </c>
      <c r="BB16" s="24">
        <f t="shared" si="275"/>
        <v>23</v>
      </c>
      <c r="BC16" s="24">
        <f t="shared" si="275"/>
        <v>32</v>
      </c>
      <c r="BD16" s="24">
        <f t="shared" si="275"/>
        <v>33</v>
      </c>
      <c r="BE16" s="24">
        <f t="shared" si="275"/>
        <v>20</v>
      </c>
      <c r="BF16" s="24">
        <f t="shared" si="275"/>
        <v>21</v>
      </c>
      <c r="BG16" s="24">
        <f t="shared" si="275"/>
        <v>21</v>
      </c>
      <c r="BH16" s="24">
        <f t="shared" si="275"/>
        <v>0</v>
      </c>
      <c r="BI16" s="24">
        <f t="shared" si="275"/>
        <v>23</v>
      </c>
      <c r="BJ16" s="24">
        <f t="shared" si="275"/>
        <v>32</v>
      </c>
      <c r="BK16" s="24">
        <f t="shared" si="275"/>
        <v>1</v>
      </c>
      <c r="BL16" s="24">
        <f t="shared" si="275"/>
        <v>0</v>
      </c>
      <c r="BM16" s="24">
        <f t="shared" si="275"/>
        <v>0</v>
      </c>
      <c r="BN16" s="24">
        <f t="shared" si="275"/>
        <v>0</v>
      </c>
      <c r="BO16" s="24">
        <f t="shared" si="275"/>
        <v>0</v>
      </c>
      <c r="BP16" s="24">
        <f t="shared" si="275"/>
        <v>0</v>
      </c>
      <c r="BQ16" s="24">
        <f t="shared" si="275"/>
        <v>0</v>
      </c>
      <c r="BR16" s="24">
        <f t="shared" si="275"/>
        <v>0</v>
      </c>
      <c r="BS16" s="24">
        <f t="shared" si="275"/>
        <v>0</v>
      </c>
      <c r="BT16" s="24">
        <f t="shared" si="275"/>
        <v>0</v>
      </c>
      <c r="BU16" s="24">
        <f t="shared" si="275"/>
        <v>0</v>
      </c>
      <c r="BV16" s="24">
        <f t="shared" si="275"/>
        <v>0</v>
      </c>
      <c r="BW16" s="24">
        <f t="shared" si="275"/>
        <v>0</v>
      </c>
      <c r="BX16" s="24">
        <f t="shared" si="275"/>
        <v>0</v>
      </c>
      <c r="BY16" s="24">
        <f t="shared" si="275"/>
        <v>0</v>
      </c>
      <c r="BZ16" s="24">
        <f t="shared" si="275"/>
        <v>0</v>
      </c>
      <c r="CA16" s="24">
        <f t="shared" si="275"/>
        <v>0</v>
      </c>
      <c r="CB16" s="55">
        <f t="shared" si="275"/>
        <v>0</v>
      </c>
      <c r="CC16" s="59">
        <f t="shared" si="208"/>
        <v>263</v>
      </c>
      <c r="CD16" s="59">
        <f t="shared" ca="1" si="103"/>
        <v>6.7435897435897436</v>
      </c>
      <c r="JJ16" s="4" t="s">
        <v>13</v>
      </c>
      <c r="JK16" s="153" t="str">
        <f t="shared" si="42"/>
        <v>KHI02-PHR-ASM-01</v>
      </c>
      <c r="JL16" s="163">
        <v>0</v>
      </c>
      <c r="JM16" s="158">
        <v>0</v>
      </c>
      <c r="JN16" s="158">
        <v>0</v>
      </c>
      <c r="JO16" s="159">
        <v>0</v>
      </c>
      <c r="JP16" s="158">
        <v>0</v>
      </c>
      <c r="JQ16" s="158">
        <v>0</v>
      </c>
      <c r="JR16" s="158">
        <v>0</v>
      </c>
      <c r="JS16" s="158">
        <v>0</v>
      </c>
      <c r="JT16" s="158">
        <v>0</v>
      </c>
      <c r="JU16" s="158">
        <v>0</v>
      </c>
      <c r="JV16" s="158">
        <v>0</v>
      </c>
      <c r="JW16" s="159">
        <v>0</v>
      </c>
      <c r="JX16" s="159">
        <v>0</v>
      </c>
      <c r="JY16" s="159">
        <v>0</v>
      </c>
      <c r="JZ16" s="158"/>
      <c r="KA16" s="158"/>
      <c r="KB16" s="158"/>
      <c r="KC16" s="158"/>
      <c r="KD16" s="158"/>
      <c r="KE16" s="158"/>
      <c r="KF16" s="158"/>
      <c r="KG16" s="158"/>
      <c r="KH16" s="159"/>
      <c r="KI16" s="159"/>
      <c r="KJ16" s="158"/>
      <c r="KK16" s="158"/>
      <c r="KL16" s="158"/>
      <c r="KM16" s="158"/>
      <c r="KN16" s="158"/>
      <c r="KO16" s="158"/>
      <c r="KP16" s="164"/>
      <c r="KQ16" s="157">
        <v>0</v>
      </c>
      <c r="KR16" s="157">
        <v>0</v>
      </c>
      <c r="KS16" s="157">
        <v>0</v>
      </c>
      <c r="KT16" s="157">
        <v>0</v>
      </c>
      <c r="KU16" s="157">
        <v>0</v>
      </c>
      <c r="KV16" s="157">
        <v>0</v>
      </c>
      <c r="KW16" s="157">
        <v>0</v>
      </c>
      <c r="KX16" s="157">
        <v>0</v>
      </c>
      <c r="KY16" s="157">
        <v>0</v>
      </c>
      <c r="KZ16" s="157">
        <v>0</v>
      </c>
      <c r="LA16" s="157">
        <v>0</v>
      </c>
      <c r="LB16" s="157">
        <v>0</v>
      </c>
      <c r="LC16" s="157">
        <v>0</v>
      </c>
      <c r="LD16" s="157">
        <v>0</v>
      </c>
      <c r="LE16" s="157"/>
      <c r="LF16" s="157"/>
      <c r="LG16" s="157"/>
      <c r="LH16" s="157"/>
      <c r="LI16" s="157"/>
      <c r="LJ16" s="157"/>
      <c r="LK16" s="157"/>
      <c r="LL16" s="157"/>
      <c r="LM16" s="157"/>
      <c r="LN16" s="157"/>
      <c r="LO16" s="157"/>
      <c r="LP16" s="157"/>
      <c r="LQ16" s="157"/>
      <c r="LR16" s="157"/>
      <c r="LS16" s="157"/>
      <c r="LT16" s="5"/>
      <c r="LU16" s="8"/>
    </row>
    <row r="17" spans="1:333" ht="16.2" customHeight="1">
      <c r="A17" s="38" t="s">
        <v>9</v>
      </c>
      <c r="B17" s="25" t="s">
        <v>10</v>
      </c>
      <c r="C17" s="26" t="s">
        <v>381</v>
      </c>
      <c r="D17" s="25" t="s">
        <v>190</v>
      </c>
      <c r="E17" s="27" t="s">
        <v>31</v>
      </c>
      <c r="F17" s="25" t="s">
        <v>443</v>
      </c>
      <c r="G17" s="25" t="s">
        <v>191</v>
      </c>
      <c r="H17" s="28">
        <v>45171</v>
      </c>
      <c r="I17" s="29" t="s">
        <v>192</v>
      </c>
      <c r="J17" s="30">
        <v>1</v>
      </c>
      <c r="K17" s="147">
        <v>0</v>
      </c>
      <c r="L17" s="147">
        <f t="shared" ref="L17:L23" si="276">IFERROR(IF(OR(AD17&gt;0),1,0),0)</f>
        <v>1</v>
      </c>
      <c r="M17" s="147">
        <f t="shared" ref="M17:M23" si="277">IFERROR(IF(OR(AV17&gt;0),1,0),0)</f>
        <v>1</v>
      </c>
      <c r="N17" s="147">
        <f t="shared" ref="N17:N23" si="278">IFERROR(IF(OR(BK17&gt;0),1,0),0)</f>
        <v>0</v>
      </c>
      <c r="O17" s="147">
        <f t="shared" ref="O17:O23" si="279">IFERROR(IF(OR(CC17&gt;0),1,0),0)</f>
        <v>1</v>
      </c>
      <c r="P17" s="148">
        <f t="shared" ref="P17:P23" si="280">IFERROR(IF(OR(AV17&gt;0,CC17&gt;0),1,0),0)</f>
        <v>1</v>
      </c>
      <c r="Q17" s="50">
        <f t="shared" ref="Q17:Q23" si="281">JL17</f>
        <v>1</v>
      </c>
      <c r="R17" s="17">
        <f t="shared" ref="R17:R23" si="282">JM17</f>
        <v>1</v>
      </c>
      <c r="S17" s="17">
        <f t="shared" ref="S17:S23" si="283">JN17</f>
        <v>1</v>
      </c>
      <c r="T17" s="17">
        <f t="shared" ref="T17:T23" si="284">JO17</f>
        <v>0</v>
      </c>
      <c r="U17" s="17">
        <f t="shared" ref="U17:U23" si="285">JP17</f>
        <v>1</v>
      </c>
      <c r="V17" s="17">
        <f t="shared" ref="V17:V23" si="286">JQ17</f>
        <v>1</v>
      </c>
      <c r="W17" s="17">
        <f t="shared" ref="W17:W23" si="287">JR17</f>
        <v>1</v>
      </c>
      <c r="X17" s="17">
        <f t="shared" ref="X17:X23" si="288">JS17</f>
        <v>1</v>
      </c>
      <c r="Y17" s="17">
        <f t="shared" ref="Y17:Y23" si="289">JT17</f>
        <v>1</v>
      </c>
      <c r="Z17" s="17">
        <f t="shared" ref="Z17:Z23" si="290">JU17</f>
        <v>1</v>
      </c>
      <c r="AA17" s="17">
        <f t="shared" ref="AA17:AA23" si="291">JV17</f>
        <v>0</v>
      </c>
      <c r="AB17" s="17">
        <f t="shared" ref="AB17:AB23" si="292">JW17</f>
        <v>1</v>
      </c>
      <c r="AC17" s="17">
        <f t="shared" ref="AC17:AC23" si="293">JX17</f>
        <v>1</v>
      </c>
      <c r="AD17" s="17">
        <f t="shared" ref="AD17:AD23" si="294">JY17</f>
        <v>1</v>
      </c>
      <c r="AE17" s="17">
        <f t="shared" ref="AE17:AE23" si="295">JZ17</f>
        <v>0</v>
      </c>
      <c r="AF17" s="17">
        <f t="shared" ref="AF17:AF23" si="296">KA17</f>
        <v>0</v>
      </c>
      <c r="AG17" s="17">
        <f t="shared" ref="AG17:AG23" si="297">KB17</f>
        <v>0</v>
      </c>
      <c r="AH17" s="17">
        <f t="shared" ref="AH17:AH23" si="298">KC17</f>
        <v>0</v>
      </c>
      <c r="AI17" s="17">
        <f t="shared" ref="AI17:AI23" si="299">KD17</f>
        <v>0</v>
      </c>
      <c r="AJ17" s="17">
        <f t="shared" ref="AJ17:AJ23" si="300">KE17</f>
        <v>0</v>
      </c>
      <c r="AK17" s="17">
        <f t="shared" ref="AK17:AK23" si="301">KF17</f>
        <v>0</v>
      </c>
      <c r="AL17" s="17">
        <f t="shared" ref="AL17:AL23" si="302">KG17</f>
        <v>0</v>
      </c>
      <c r="AM17" s="17">
        <f t="shared" ref="AM17:AM23" si="303">KH17</f>
        <v>0</v>
      </c>
      <c r="AN17" s="17">
        <f t="shared" ref="AN17:AN23" si="304">KI17</f>
        <v>0</v>
      </c>
      <c r="AO17" s="17">
        <f t="shared" ref="AO17:AO23" si="305">KJ17</f>
        <v>0</v>
      </c>
      <c r="AP17" s="17">
        <f t="shared" ref="AP17:AP23" si="306">KK17</f>
        <v>0</v>
      </c>
      <c r="AQ17" s="17">
        <f t="shared" ref="AQ17:AQ23" si="307">KL17</f>
        <v>0</v>
      </c>
      <c r="AR17" s="17">
        <f t="shared" ref="AR17:AR23" si="308">KM17</f>
        <v>0</v>
      </c>
      <c r="AS17" s="17">
        <f t="shared" ref="AS17:AS23" si="309">KN17</f>
        <v>0</v>
      </c>
      <c r="AT17" s="17">
        <f t="shared" ref="AT17:AT23" si="310">KO17</f>
        <v>0</v>
      </c>
      <c r="AU17" s="54">
        <f t="shared" ref="AU17:AU23" si="311">KP17</f>
        <v>0</v>
      </c>
      <c r="AV17" s="58">
        <f t="shared" si="40"/>
        <v>12</v>
      </c>
      <c r="AW17" s="58">
        <f t="shared" ca="1" si="73"/>
        <v>0.92307692307692313</v>
      </c>
      <c r="AX17" s="50">
        <f t="shared" ref="AX17:AX23" si="312">KQ17</f>
        <v>12</v>
      </c>
      <c r="AY17" s="17">
        <f t="shared" ref="AY17:AY23" si="313">KR17</f>
        <v>15</v>
      </c>
      <c r="AZ17" s="17">
        <f t="shared" ref="AZ17:AZ23" si="314">KS17</f>
        <v>16</v>
      </c>
      <c r="BA17" s="17">
        <f t="shared" ref="BA17:BA23" si="315">KT17</f>
        <v>0</v>
      </c>
      <c r="BB17" s="17">
        <f t="shared" ref="BB17:BB23" si="316">KU17</f>
        <v>16</v>
      </c>
      <c r="BC17" s="17">
        <f t="shared" ref="BC17:BC23" si="317">KV17</f>
        <v>15</v>
      </c>
      <c r="BD17" s="17">
        <f t="shared" ref="BD17:BD23" si="318">KW17</f>
        <v>14</v>
      </c>
      <c r="BE17" s="17">
        <f t="shared" ref="BE17:BE23" si="319">KX17</f>
        <v>14</v>
      </c>
      <c r="BF17" s="17">
        <f t="shared" ref="BF17:BF23" si="320">KY17</f>
        <v>13</v>
      </c>
      <c r="BG17" s="17">
        <f t="shared" ref="BG17:BG23" si="321">KZ17</f>
        <v>11</v>
      </c>
      <c r="BH17" s="17">
        <f t="shared" ref="BH17:BH23" si="322">LA17</f>
        <v>0</v>
      </c>
      <c r="BI17" s="17">
        <f t="shared" ref="BI17:BI23" si="323">LB17</f>
        <v>14</v>
      </c>
      <c r="BJ17" s="17">
        <f t="shared" ref="BJ17:BJ23" si="324">LC17</f>
        <v>0</v>
      </c>
      <c r="BK17" s="17">
        <f t="shared" ref="BK17:BK23" si="325">LD17</f>
        <v>0</v>
      </c>
      <c r="BL17" s="17">
        <f t="shared" ref="BL17:BL23" si="326">LE17</f>
        <v>0</v>
      </c>
      <c r="BM17" s="17">
        <f t="shared" ref="BM17:BM23" si="327">LF17</f>
        <v>0</v>
      </c>
      <c r="BN17" s="17">
        <f t="shared" ref="BN17:BN23" si="328">LG17</f>
        <v>0</v>
      </c>
      <c r="BO17" s="17">
        <f t="shared" ref="BO17:BO23" si="329">LH17</f>
        <v>0</v>
      </c>
      <c r="BP17" s="17">
        <f t="shared" ref="BP17:BP23" si="330">LI17</f>
        <v>0</v>
      </c>
      <c r="BQ17" s="17">
        <f t="shared" ref="BQ17:BQ23" si="331">LJ17</f>
        <v>0</v>
      </c>
      <c r="BR17" s="17">
        <f t="shared" ref="BR17:BR23" si="332">LK17</f>
        <v>0</v>
      </c>
      <c r="BS17" s="17">
        <f t="shared" ref="BS17:BS23" si="333">LL17</f>
        <v>0</v>
      </c>
      <c r="BT17" s="17">
        <f t="shared" ref="BT17:BT23" si="334">LM17</f>
        <v>0</v>
      </c>
      <c r="BU17" s="17">
        <f t="shared" ref="BU17:BU23" si="335">LN17</f>
        <v>0</v>
      </c>
      <c r="BV17" s="17">
        <f t="shared" ref="BV17:BV23" si="336">LO17</f>
        <v>0</v>
      </c>
      <c r="BW17" s="17">
        <f t="shared" ref="BW17:BW23" si="337">LP17</f>
        <v>0</v>
      </c>
      <c r="BX17" s="17">
        <f t="shared" ref="BX17:BX23" si="338">LQ17</f>
        <v>0</v>
      </c>
      <c r="BY17" s="17">
        <f t="shared" ref="BY17:BY23" si="339">LR17</f>
        <v>0</v>
      </c>
      <c r="BZ17" s="17">
        <f t="shared" ref="BZ17:BZ23" si="340">LS17</f>
        <v>0</v>
      </c>
      <c r="CA17" s="17">
        <f t="shared" ref="CA17:CA23" si="341">LT17</f>
        <v>0</v>
      </c>
      <c r="CB17" s="54">
        <f t="shared" ref="CB17:CB23" si="342">LU17</f>
        <v>0</v>
      </c>
      <c r="CC17" s="58">
        <f t="shared" si="208"/>
        <v>140</v>
      </c>
      <c r="CD17" s="58">
        <f t="shared" ca="1" si="103"/>
        <v>10.76923076923077</v>
      </c>
      <c r="JJ17" s="4" t="s">
        <v>13</v>
      </c>
      <c r="JK17" s="152" t="str">
        <f t="shared" si="42"/>
        <v>HYD01-PHR-MIO-01</v>
      </c>
      <c r="JL17" s="163">
        <v>1</v>
      </c>
      <c r="JM17" s="158">
        <v>1</v>
      </c>
      <c r="JN17" s="158">
        <v>1</v>
      </c>
      <c r="JO17" s="159">
        <v>0</v>
      </c>
      <c r="JP17" s="158">
        <v>1</v>
      </c>
      <c r="JQ17" s="158">
        <v>1</v>
      </c>
      <c r="JR17" s="158">
        <v>1</v>
      </c>
      <c r="JS17" s="158">
        <v>1</v>
      </c>
      <c r="JT17" s="158">
        <v>1</v>
      </c>
      <c r="JU17" s="158">
        <v>1</v>
      </c>
      <c r="JV17" s="158">
        <v>0</v>
      </c>
      <c r="JW17" s="159">
        <v>1</v>
      </c>
      <c r="JX17" s="159">
        <v>1</v>
      </c>
      <c r="JY17" s="159">
        <v>1</v>
      </c>
      <c r="JZ17" s="158"/>
      <c r="KA17" s="158"/>
      <c r="KB17" s="158"/>
      <c r="KC17" s="158"/>
      <c r="KD17" s="158"/>
      <c r="KE17" s="158"/>
      <c r="KF17" s="158"/>
      <c r="KG17" s="158"/>
      <c r="KH17" s="159"/>
      <c r="KI17" s="159"/>
      <c r="KJ17" s="158"/>
      <c r="KK17" s="158"/>
      <c r="KL17" s="158"/>
      <c r="KM17" s="158"/>
      <c r="KN17" s="158"/>
      <c r="KO17" s="158"/>
      <c r="KP17" s="164"/>
      <c r="KQ17" s="157">
        <v>12</v>
      </c>
      <c r="KR17" s="157">
        <v>15</v>
      </c>
      <c r="KS17" s="157">
        <v>16</v>
      </c>
      <c r="KT17" s="157">
        <v>0</v>
      </c>
      <c r="KU17" s="157">
        <v>16</v>
      </c>
      <c r="KV17" s="157">
        <v>15</v>
      </c>
      <c r="KW17" s="157">
        <v>14</v>
      </c>
      <c r="KX17" s="157">
        <v>14</v>
      </c>
      <c r="KY17" s="157">
        <v>13</v>
      </c>
      <c r="KZ17" s="157">
        <v>11</v>
      </c>
      <c r="LA17" s="157">
        <v>0</v>
      </c>
      <c r="LB17" s="157">
        <v>14</v>
      </c>
      <c r="LC17" s="157">
        <v>0</v>
      </c>
      <c r="LD17" s="157">
        <v>0</v>
      </c>
      <c r="LE17" s="157"/>
      <c r="LF17" s="157"/>
      <c r="LG17" s="157"/>
      <c r="LH17" s="157"/>
      <c r="LI17" s="157"/>
      <c r="LJ17" s="157"/>
      <c r="LK17" s="157"/>
      <c r="LL17" s="157"/>
      <c r="LM17" s="157"/>
      <c r="LN17" s="157"/>
      <c r="LO17" s="157"/>
      <c r="LP17" s="157"/>
      <c r="LQ17" s="157"/>
      <c r="LR17" s="157"/>
      <c r="LS17" s="157"/>
      <c r="LT17" s="5"/>
      <c r="LU17" s="8"/>
    </row>
    <row r="18" spans="1:333" ht="16.2" customHeight="1">
      <c r="A18" s="38" t="s">
        <v>9</v>
      </c>
      <c r="B18" s="25" t="s">
        <v>10</v>
      </c>
      <c r="C18" s="26" t="s">
        <v>381</v>
      </c>
      <c r="D18" s="25" t="s">
        <v>193</v>
      </c>
      <c r="E18" s="27" t="s">
        <v>32</v>
      </c>
      <c r="F18" s="25" t="s">
        <v>444</v>
      </c>
      <c r="G18" s="25" t="s">
        <v>194</v>
      </c>
      <c r="H18" s="28">
        <v>45799</v>
      </c>
      <c r="I18" s="29" t="s">
        <v>195</v>
      </c>
      <c r="J18" s="30">
        <v>1</v>
      </c>
      <c r="K18" s="147">
        <v>0</v>
      </c>
      <c r="L18" s="147">
        <f t="shared" si="276"/>
        <v>1</v>
      </c>
      <c r="M18" s="147">
        <f t="shared" si="277"/>
        <v>1</v>
      </c>
      <c r="N18" s="147">
        <f t="shared" si="278"/>
        <v>0</v>
      </c>
      <c r="O18" s="147">
        <f t="shared" si="279"/>
        <v>1</v>
      </c>
      <c r="P18" s="148">
        <f t="shared" si="280"/>
        <v>1</v>
      </c>
      <c r="Q18" s="50">
        <f t="shared" si="281"/>
        <v>1</v>
      </c>
      <c r="R18" s="17">
        <f t="shared" si="282"/>
        <v>1</v>
      </c>
      <c r="S18" s="17">
        <f t="shared" si="283"/>
        <v>0</v>
      </c>
      <c r="T18" s="17">
        <f t="shared" si="284"/>
        <v>0</v>
      </c>
      <c r="U18" s="17">
        <f t="shared" si="285"/>
        <v>1</v>
      </c>
      <c r="V18" s="17">
        <f t="shared" si="286"/>
        <v>1</v>
      </c>
      <c r="W18" s="17">
        <f t="shared" si="287"/>
        <v>1</v>
      </c>
      <c r="X18" s="17">
        <f t="shared" si="288"/>
        <v>1</v>
      </c>
      <c r="Y18" s="17">
        <f t="shared" si="289"/>
        <v>1</v>
      </c>
      <c r="Z18" s="17">
        <f t="shared" si="290"/>
        <v>1</v>
      </c>
      <c r="AA18" s="17">
        <f t="shared" si="291"/>
        <v>0</v>
      </c>
      <c r="AB18" s="17">
        <f t="shared" si="292"/>
        <v>1</v>
      </c>
      <c r="AC18" s="17">
        <f t="shared" si="293"/>
        <v>1</v>
      </c>
      <c r="AD18" s="17">
        <f t="shared" si="294"/>
        <v>1</v>
      </c>
      <c r="AE18" s="17">
        <f t="shared" si="295"/>
        <v>0</v>
      </c>
      <c r="AF18" s="17">
        <f t="shared" si="296"/>
        <v>0</v>
      </c>
      <c r="AG18" s="17">
        <f t="shared" si="297"/>
        <v>0</v>
      </c>
      <c r="AH18" s="17">
        <f t="shared" si="298"/>
        <v>0</v>
      </c>
      <c r="AI18" s="17">
        <f t="shared" si="299"/>
        <v>0</v>
      </c>
      <c r="AJ18" s="17">
        <f t="shared" si="300"/>
        <v>0</v>
      </c>
      <c r="AK18" s="17">
        <f t="shared" si="301"/>
        <v>0</v>
      </c>
      <c r="AL18" s="17">
        <f t="shared" si="302"/>
        <v>0</v>
      </c>
      <c r="AM18" s="17">
        <f t="shared" si="303"/>
        <v>0</v>
      </c>
      <c r="AN18" s="17">
        <f t="shared" si="304"/>
        <v>0</v>
      </c>
      <c r="AO18" s="17">
        <f t="shared" si="305"/>
        <v>0</v>
      </c>
      <c r="AP18" s="17">
        <f t="shared" si="306"/>
        <v>0</v>
      </c>
      <c r="AQ18" s="17">
        <f t="shared" si="307"/>
        <v>0</v>
      </c>
      <c r="AR18" s="17">
        <f t="shared" si="308"/>
        <v>0</v>
      </c>
      <c r="AS18" s="17">
        <f t="shared" si="309"/>
        <v>0</v>
      </c>
      <c r="AT18" s="17">
        <f t="shared" si="310"/>
        <v>0</v>
      </c>
      <c r="AU18" s="54">
        <f t="shared" si="311"/>
        <v>0</v>
      </c>
      <c r="AV18" s="58">
        <f t="shared" si="40"/>
        <v>11</v>
      </c>
      <c r="AW18" s="58">
        <f t="shared" ca="1" si="73"/>
        <v>0.84615384615384615</v>
      </c>
      <c r="AX18" s="50">
        <f t="shared" si="312"/>
        <v>13</v>
      </c>
      <c r="AY18" s="17">
        <f t="shared" si="313"/>
        <v>15</v>
      </c>
      <c r="AZ18" s="17">
        <f t="shared" si="314"/>
        <v>0</v>
      </c>
      <c r="BA18" s="17">
        <f t="shared" si="315"/>
        <v>0</v>
      </c>
      <c r="BB18" s="17">
        <f t="shared" si="316"/>
        <v>14</v>
      </c>
      <c r="BC18" s="17">
        <f t="shared" si="317"/>
        <v>16</v>
      </c>
      <c r="BD18" s="17">
        <f t="shared" si="318"/>
        <v>12</v>
      </c>
      <c r="BE18" s="17">
        <f t="shared" si="319"/>
        <v>14</v>
      </c>
      <c r="BF18" s="17">
        <f t="shared" si="320"/>
        <v>16</v>
      </c>
      <c r="BG18" s="17">
        <f t="shared" si="321"/>
        <v>2</v>
      </c>
      <c r="BH18" s="17">
        <f t="shared" si="322"/>
        <v>0</v>
      </c>
      <c r="BI18" s="17">
        <f t="shared" si="323"/>
        <v>12</v>
      </c>
      <c r="BJ18" s="17">
        <f t="shared" si="324"/>
        <v>17</v>
      </c>
      <c r="BK18" s="17">
        <f t="shared" si="325"/>
        <v>0</v>
      </c>
      <c r="BL18" s="17">
        <f t="shared" si="326"/>
        <v>0</v>
      </c>
      <c r="BM18" s="17">
        <f t="shared" si="327"/>
        <v>0</v>
      </c>
      <c r="BN18" s="17">
        <f t="shared" si="328"/>
        <v>0</v>
      </c>
      <c r="BO18" s="17">
        <f t="shared" si="329"/>
        <v>0</v>
      </c>
      <c r="BP18" s="17">
        <f t="shared" si="330"/>
        <v>0</v>
      </c>
      <c r="BQ18" s="17">
        <f t="shared" si="331"/>
        <v>0</v>
      </c>
      <c r="BR18" s="17">
        <f t="shared" si="332"/>
        <v>0</v>
      </c>
      <c r="BS18" s="17">
        <f t="shared" si="333"/>
        <v>0</v>
      </c>
      <c r="BT18" s="17">
        <f t="shared" si="334"/>
        <v>0</v>
      </c>
      <c r="BU18" s="17">
        <f t="shared" si="335"/>
        <v>0</v>
      </c>
      <c r="BV18" s="17">
        <f t="shared" si="336"/>
        <v>0</v>
      </c>
      <c r="BW18" s="17">
        <f t="shared" si="337"/>
        <v>0</v>
      </c>
      <c r="BX18" s="17">
        <f t="shared" si="338"/>
        <v>0</v>
      </c>
      <c r="BY18" s="17">
        <f t="shared" si="339"/>
        <v>0</v>
      </c>
      <c r="BZ18" s="17">
        <f t="shared" si="340"/>
        <v>0</v>
      </c>
      <c r="CA18" s="17">
        <f t="shared" si="341"/>
        <v>0</v>
      </c>
      <c r="CB18" s="54">
        <f t="shared" si="342"/>
        <v>0</v>
      </c>
      <c r="CC18" s="58">
        <f t="shared" si="208"/>
        <v>131</v>
      </c>
      <c r="CD18" s="58">
        <f t="shared" ca="1" si="103"/>
        <v>10.076923076923077</v>
      </c>
      <c r="JJ18" s="4" t="s">
        <v>13</v>
      </c>
      <c r="JK18" s="152" t="str">
        <f t="shared" si="42"/>
        <v>HYD01-PHR-MIO-02</v>
      </c>
      <c r="JL18" s="163">
        <v>1</v>
      </c>
      <c r="JM18" s="158">
        <v>1</v>
      </c>
      <c r="JN18" s="158">
        <v>0</v>
      </c>
      <c r="JO18" s="159">
        <v>0</v>
      </c>
      <c r="JP18" s="158">
        <v>1</v>
      </c>
      <c r="JQ18" s="158">
        <v>1</v>
      </c>
      <c r="JR18" s="158">
        <v>1</v>
      </c>
      <c r="JS18" s="158">
        <v>1</v>
      </c>
      <c r="JT18" s="158">
        <v>1</v>
      </c>
      <c r="JU18" s="158">
        <v>1</v>
      </c>
      <c r="JV18" s="158">
        <v>0</v>
      </c>
      <c r="JW18" s="159">
        <v>1</v>
      </c>
      <c r="JX18" s="159">
        <v>1</v>
      </c>
      <c r="JY18" s="159">
        <v>1</v>
      </c>
      <c r="JZ18" s="158"/>
      <c r="KA18" s="158"/>
      <c r="KB18" s="158"/>
      <c r="KC18" s="158"/>
      <c r="KD18" s="158"/>
      <c r="KE18" s="158"/>
      <c r="KF18" s="158"/>
      <c r="KG18" s="158"/>
      <c r="KH18" s="159"/>
      <c r="KI18" s="159"/>
      <c r="KJ18" s="158"/>
      <c r="KK18" s="158"/>
      <c r="KL18" s="158"/>
      <c r="KM18" s="158"/>
      <c r="KN18" s="158"/>
      <c r="KO18" s="158"/>
      <c r="KP18" s="164"/>
      <c r="KQ18" s="157">
        <v>13</v>
      </c>
      <c r="KR18" s="157">
        <v>15</v>
      </c>
      <c r="KS18" s="157">
        <v>0</v>
      </c>
      <c r="KT18" s="157">
        <v>0</v>
      </c>
      <c r="KU18" s="157">
        <v>14</v>
      </c>
      <c r="KV18" s="157">
        <v>16</v>
      </c>
      <c r="KW18" s="157">
        <v>12</v>
      </c>
      <c r="KX18" s="157">
        <v>14</v>
      </c>
      <c r="KY18" s="157">
        <v>16</v>
      </c>
      <c r="KZ18" s="157">
        <v>2</v>
      </c>
      <c r="LA18" s="157">
        <v>0</v>
      </c>
      <c r="LB18" s="157">
        <v>12</v>
      </c>
      <c r="LC18" s="157">
        <v>17</v>
      </c>
      <c r="LD18" s="157">
        <v>0</v>
      </c>
      <c r="LE18" s="157"/>
      <c r="LF18" s="157"/>
      <c r="LG18" s="157"/>
      <c r="LH18" s="157"/>
      <c r="LI18" s="157"/>
      <c r="LJ18" s="157"/>
      <c r="LK18" s="157"/>
      <c r="LL18" s="157"/>
      <c r="LM18" s="157"/>
      <c r="LN18" s="157"/>
      <c r="LO18" s="157"/>
      <c r="LP18" s="157"/>
      <c r="LQ18" s="157"/>
      <c r="LR18" s="157"/>
      <c r="LS18" s="157"/>
      <c r="LT18" s="5"/>
      <c r="LU18" s="8"/>
    </row>
    <row r="19" spans="1:333" ht="16.2" customHeight="1">
      <c r="A19" s="38" t="s">
        <v>9</v>
      </c>
      <c r="B19" s="25" t="s">
        <v>10</v>
      </c>
      <c r="C19" s="26" t="s">
        <v>381</v>
      </c>
      <c r="D19" s="25" t="s">
        <v>196</v>
      </c>
      <c r="E19" s="27" t="s">
        <v>33</v>
      </c>
      <c r="F19" s="25" t="s">
        <v>520</v>
      </c>
      <c r="G19" s="25" t="s">
        <v>432</v>
      </c>
      <c r="H19" s="28" t="s">
        <v>433</v>
      </c>
      <c r="I19" s="29" t="s">
        <v>197</v>
      </c>
      <c r="J19" s="30">
        <v>1</v>
      </c>
      <c r="K19" s="147">
        <v>0</v>
      </c>
      <c r="L19" s="147">
        <f t="shared" si="276"/>
        <v>1</v>
      </c>
      <c r="M19" s="147">
        <f t="shared" si="277"/>
        <v>1</v>
      </c>
      <c r="N19" s="147">
        <f t="shared" si="278"/>
        <v>1</v>
      </c>
      <c r="O19" s="147">
        <f t="shared" si="279"/>
        <v>1</v>
      </c>
      <c r="P19" s="148">
        <f t="shared" si="280"/>
        <v>1</v>
      </c>
      <c r="Q19" s="50">
        <f t="shared" si="281"/>
        <v>1</v>
      </c>
      <c r="R19" s="17">
        <f t="shared" si="282"/>
        <v>1</v>
      </c>
      <c r="S19" s="17">
        <f t="shared" si="283"/>
        <v>1</v>
      </c>
      <c r="T19" s="17">
        <f t="shared" si="284"/>
        <v>0</v>
      </c>
      <c r="U19" s="17">
        <f t="shared" si="285"/>
        <v>1</v>
      </c>
      <c r="V19" s="17">
        <f t="shared" si="286"/>
        <v>1</v>
      </c>
      <c r="W19" s="17">
        <f t="shared" si="287"/>
        <v>1</v>
      </c>
      <c r="X19" s="17">
        <f t="shared" si="288"/>
        <v>1</v>
      </c>
      <c r="Y19" s="17">
        <f t="shared" si="289"/>
        <v>1</v>
      </c>
      <c r="Z19" s="17">
        <f t="shared" si="290"/>
        <v>1</v>
      </c>
      <c r="AA19" s="17">
        <f t="shared" si="291"/>
        <v>0</v>
      </c>
      <c r="AB19" s="17">
        <f t="shared" si="292"/>
        <v>1</v>
      </c>
      <c r="AC19" s="17">
        <f t="shared" si="293"/>
        <v>1</v>
      </c>
      <c r="AD19" s="17">
        <f t="shared" si="294"/>
        <v>1</v>
      </c>
      <c r="AE19" s="17">
        <f t="shared" si="295"/>
        <v>0</v>
      </c>
      <c r="AF19" s="17">
        <f t="shared" si="296"/>
        <v>0</v>
      </c>
      <c r="AG19" s="17">
        <f t="shared" si="297"/>
        <v>0</v>
      </c>
      <c r="AH19" s="17">
        <f t="shared" si="298"/>
        <v>0</v>
      </c>
      <c r="AI19" s="17">
        <f t="shared" si="299"/>
        <v>0</v>
      </c>
      <c r="AJ19" s="17">
        <f t="shared" si="300"/>
        <v>0</v>
      </c>
      <c r="AK19" s="17">
        <f t="shared" si="301"/>
        <v>0</v>
      </c>
      <c r="AL19" s="17">
        <f t="shared" si="302"/>
        <v>0</v>
      </c>
      <c r="AM19" s="17">
        <f t="shared" si="303"/>
        <v>0</v>
      </c>
      <c r="AN19" s="17">
        <f t="shared" si="304"/>
        <v>0</v>
      </c>
      <c r="AO19" s="17">
        <f t="shared" si="305"/>
        <v>0</v>
      </c>
      <c r="AP19" s="17">
        <f t="shared" si="306"/>
        <v>0</v>
      </c>
      <c r="AQ19" s="17">
        <f t="shared" si="307"/>
        <v>0</v>
      </c>
      <c r="AR19" s="17">
        <f t="shared" si="308"/>
        <v>0</v>
      </c>
      <c r="AS19" s="17">
        <f t="shared" si="309"/>
        <v>0</v>
      </c>
      <c r="AT19" s="17">
        <f t="shared" si="310"/>
        <v>0</v>
      </c>
      <c r="AU19" s="54">
        <f t="shared" si="311"/>
        <v>0</v>
      </c>
      <c r="AV19" s="58">
        <f t="shared" si="40"/>
        <v>12</v>
      </c>
      <c r="AW19" s="58">
        <f t="shared" ca="1" si="73"/>
        <v>0.92307692307692313</v>
      </c>
      <c r="AX19" s="50">
        <f t="shared" si="312"/>
        <v>0</v>
      </c>
      <c r="AY19" s="17">
        <f t="shared" si="313"/>
        <v>10</v>
      </c>
      <c r="AZ19" s="17">
        <f t="shared" si="314"/>
        <v>4</v>
      </c>
      <c r="BA19" s="17">
        <f t="shared" si="315"/>
        <v>0</v>
      </c>
      <c r="BB19" s="17">
        <f t="shared" si="316"/>
        <v>14</v>
      </c>
      <c r="BC19" s="17">
        <f t="shared" si="317"/>
        <v>7</v>
      </c>
      <c r="BD19" s="17">
        <f t="shared" si="318"/>
        <v>9</v>
      </c>
      <c r="BE19" s="17">
        <f t="shared" si="319"/>
        <v>7</v>
      </c>
      <c r="BF19" s="17">
        <f t="shared" si="320"/>
        <v>10</v>
      </c>
      <c r="BG19" s="17">
        <f t="shared" si="321"/>
        <v>3</v>
      </c>
      <c r="BH19" s="17">
        <f t="shared" si="322"/>
        <v>0</v>
      </c>
      <c r="BI19" s="17">
        <f t="shared" si="323"/>
        <v>9</v>
      </c>
      <c r="BJ19" s="17">
        <f t="shared" si="324"/>
        <v>6</v>
      </c>
      <c r="BK19" s="17">
        <f t="shared" si="325"/>
        <v>3</v>
      </c>
      <c r="BL19" s="17">
        <f t="shared" si="326"/>
        <v>0</v>
      </c>
      <c r="BM19" s="17">
        <f t="shared" si="327"/>
        <v>0</v>
      </c>
      <c r="BN19" s="17">
        <f t="shared" si="328"/>
        <v>0</v>
      </c>
      <c r="BO19" s="17">
        <f t="shared" si="329"/>
        <v>0</v>
      </c>
      <c r="BP19" s="17">
        <f t="shared" si="330"/>
        <v>0</v>
      </c>
      <c r="BQ19" s="17">
        <f t="shared" si="331"/>
        <v>0</v>
      </c>
      <c r="BR19" s="17">
        <f t="shared" si="332"/>
        <v>0</v>
      </c>
      <c r="BS19" s="17">
        <f t="shared" si="333"/>
        <v>0</v>
      </c>
      <c r="BT19" s="17">
        <f t="shared" si="334"/>
        <v>0</v>
      </c>
      <c r="BU19" s="17">
        <f t="shared" si="335"/>
        <v>0</v>
      </c>
      <c r="BV19" s="17">
        <f t="shared" si="336"/>
        <v>0</v>
      </c>
      <c r="BW19" s="17">
        <f t="shared" si="337"/>
        <v>0</v>
      </c>
      <c r="BX19" s="17">
        <f t="shared" si="338"/>
        <v>0</v>
      </c>
      <c r="BY19" s="17">
        <f t="shared" si="339"/>
        <v>0</v>
      </c>
      <c r="BZ19" s="17">
        <f t="shared" si="340"/>
        <v>0</v>
      </c>
      <c r="CA19" s="17">
        <f t="shared" si="341"/>
        <v>0</v>
      </c>
      <c r="CB19" s="54">
        <f t="shared" si="342"/>
        <v>0</v>
      </c>
      <c r="CC19" s="58">
        <f t="shared" si="208"/>
        <v>82</v>
      </c>
      <c r="CD19" s="58">
        <f t="shared" ca="1" si="103"/>
        <v>6.3076923076923075</v>
      </c>
      <c r="JJ19" s="4" t="s">
        <v>13</v>
      </c>
      <c r="JK19" s="152" t="str">
        <f t="shared" si="42"/>
        <v>HYD01-PHR-MIO-03</v>
      </c>
      <c r="JL19" s="163">
        <v>1</v>
      </c>
      <c r="JM19" s="158">
        <v>1</v>
      </c>
      <c r="JN19" s="158">
        <v>1</v>
      </c>
      <c r="JO19" s="159">
        <v>0</v>
      </c>
      <c r="JP19" s="158">
        <v>1</v>
      </c>
      <c r="JQ19" s="158">
        <v>1</v>
      </c>
      <c r="JR19" s="158">
        <v>1</v>
      </c>
      <c r="JS19" s="158">
        <v>1</v>
      </c>
      <c r="JT19" s="158">
        <v>1</v>
      </c>
      <c r="JU19" s="158">
        <v>1</v>
      </c>
      <c r="JV19" s="158">
        <v>0</v>
      </c>
      <c r="JW19" s="159">
        <v>1</v>
      </c>
      <c r="JX19" s="159">
        <v>1</v>
      </c>
      <c r="JY19" s="159">
        <v>1</v>
      </c>
      <c r="JZ19" s="158"/>
      <c r="KA19" s="158"/>
      <c r="KB19" s="158"/>
      <c r="KC19" s="158"/>
      <c r="KD19" s="158"/>
      <c r="KE19" s="158"/>
      <c r="KF19" s="158"/>
      <c r="KG19" s="158"/>
      <c r="KH19" s="159"/>
      <c r="KI19" s="159"/>
      <c r="KJ19" s="158"/>
      <c r="KK19" s="158"/>
      <c r="KL19" s="158"/>
      <c r="KM19" s="158"/>
      <c r="KN19" s="158"/>
      <c r="KO19" s="158"/>
      <c r="KP19" s="164"/>
      <c r="KQ19" s="157">
        <v>0</v>
      </c>
      <c r="KR19" s="157">
        <v>10</v>
      </c>
      <c r="KS19" s="157">
        <v>4</v>
      </c>
      <c r="KT19" s="157">
        <v>0</v>
      </c>
      <c r="KU19" s="157">
        <v>14</v>
      </c>
      <c r="KV19" s="157">
        <v>7</v>
      </c>
      <c r="KW19" s="157">
        <v>9</v>
      </c>
      <c r="KX19" s="157">
        <v>7</v>
      </c>
      <c r="KY19" s="157">
        <v>10</v>
      </c>
      <c r="KZ19" s="157">
        <v>3</v>
      </c>
      <c r="LA19" s="157">
        <v>0</v>
      </c>
      <c r="LB19" s="157">
        <v>9</v>
      </c>
      <c r="LC19" s="157">
        <v>6</v>
      </c>
      <c r="LD19" s="157">
        <v>3</v>
      </c>
      <c r="LE19" s="157"/>
      <c r="LF19" s="157"/>
      <c r="LG19" s="157"/>
      <c r="LH19" s="157"/>
      <c r="LI19" s="157"/>
      <c r="LJ19" s="157"/>
      <c r="LK19" s="157"/>
      <c r="LL19" s="157"/>
      <c r="LM19" s="157"/>
      <c r="LN19" s="157"/>
      <c r="LO19" s="157"/>
      <c r="LP19" s="157"/>
      <c r="LQ19" s="157"/>
      <c r="LR19" s="157"/>
      <c r="LS19" s="157"/>
      <c r="LT19" s="5"/>
      <c r="LU19" s="8"/>
    </row>
    <row r="20" spans="1:333" ht="16.2" customHeight="1">
      <c r="A20" s="38" t="s">
        <v>9</v>
      </c>
      <c r="B20" s="25" t="s">
        <v>10</v>
      </c>
      <c r="C20" s="26" t="s">
        <v>381</v>
      </c>
      <c r="D20" s="25" t="s">
        <v>198</v>
      </c>
      <c r="E20" s="27" t="s">
        <v>34</v>
      </c>
      <c r="F20" s="25" t="s">
        <v>445</v>
      </c>
      <c r="G20" s="25" t="s">
        <v>199</v>
      </c>
      <c r="H20" s="28">
        <v>45575</v>
      </c>
      <c r="I20" s="29" t="s">
        <v>200</v>
      </c>
      <c r="J20" s="30">
        <v>1</v>
      </c>
      <c r="K20" s="147">
        <v>0</v>
      </c>
      <c r="L20" s="147">
        <f t="shared" si="276"/>
        <v>1</v>
      </c>
      <c r="M20" s="147">
        <f t="shared" si="277"/>
        <v>1</v>
      </c>
      <c r="N20" s="147">
        <f t="shared" si="278"/>
        <v>0</v>
      </c>
      <c r="O20" s="147">
        <f t="shared" si="279"/>
        <v>1</v>
      </c>
      <c r="P20" s="148">
        <f t="shared" si="280"/>
        <v>1</v>
      </c>
      <c r="Q20" s="50">
        <f t="shared" si="281"/>
        <v>1</v>
      </c>
      <c r="R20" s="17">
        <f t="shared" si="282"/>
        <v>1</v>
      </c>
      <c r="S20" s="17">
        <f t="shared" si="283"/>
        <v>1</v>
      </c>
      <c r="T20" s="17">
        <f t="shared" si="284"/>
        <v>0</v>
      </c>
      <c r="U20" s="17">
        <f t="shared" si="285"/>
        <v>1</v>
      </c>
      <c r="V20" s="17">
        <f t="shared" si="286"/>
        <v>1</v>
      </c>
      <c r="W20" s="17">
        <f t="shared" si="287"/>
        <v>1</v>
      </c>
      <c r="X20" s="17">
        <f t="shared" si="288"/>
        <v>1</v>
      </c>
      <c r="Y20" s="17">
        <f t="shared" si="289"/>
        <v>1</v>
      </c>
      <c r="Z20" s="17">
        <f t="shared" si="290"/>
        <v>1</v>
      </c>
      <c r="AA20" s="17">
        <f t="shared" si="291"/>
        <v>0</v>
      </c>
      <c r="AB20" s="17">
        <f t="shared" si="292"/>
        <v>1</v>
      </c>
      <c r="AC20" s="17">
        <f t="shared" si="293"/>
        <v>1</v>
      </c>
      <c r="AD20" s="17">
        <f t="shared" si="294"/>
        <v>1</v>
      </c>
      <c r="AE20" s="17">
        <f t="shared" si="295"/>
        <v>0</v>
      </c>
      <c r="AF20" s="17">
        <f t="shared" si="296"/>
        <v>0</v>
      </c>
      <c r="AG20" s="17">
        <f t="shared" si="297"/>
        <v>0</v>
      </c>
      <c r="AH20" s="17">
        <f t="shared" si="298"/>
        <v>0</v>
      </c>
      <c r="AI20" s="17">
        <f t="shared" si="299"/>
        <v>0</v>
      </c>
      <c r="AJ20" s="17">
        <f t="shared" si="300"/>
        <v>0</v>
      </c>
      <c r="AK20" s="17">
        <f t="shared" si="301"/>
        <v>0</v>
      </c>
      <c r="AL20" s="17">
        <f t="shared" si="302"/>
        <v>0</v>
      </c>
      <c r="AM20" s="17">
        <f t="shared" si="303"/>
        <v>0</v>
      </c>
      <c r="AN20" s="17">
        <f t="shared" si="304"/>
        <v>0</v>
      </c>
      <c r="AO20" s="17">
        <f t="shared" si="305"/>
        <v>0</v>
      </c>
      <c r="AP20" s="17">
        <f t="shared" si="306"/>
        <v>0</v>
      </c>
      <c r="AQ20" s="17">
        <f t="shared" si="307"/>
        <v>0</v>
      </c>
      <c r="AR20" s="17">
        <f t="shared" si="308"/>
        <v>0</v>
      </c>
      <c r="AS20" s="17">
        <f t="shared" si="309"/>
        <v>0</v>
      </c>
      <c r="AT20" s="17">
        <f t="shared" si="310"/>
        <v>0</v>
      </c>
      <c r="AU20" s="54">
        <f t="shared" si="311"/>
        <v>0</v>
      </c>
      <c r="AV20" s="58">
        <f t="shared" si="40"/>
        <v>12</v>
      </c>
      <c r="AW20" s="58">
        <f t="shared" ca="1" si="73"/>
        <v>0.92307692307692313</v>
      </c>
      <c r="AX20" s="50">
        <f t="shared" si="312"/>
        <v>6</v>
      </c>
      <c r="AY20" s="17">
        <f t="shared" si="313"/>
        <v>5</v>
      </c>
      <c r="AZ20" s="17">
        <f t="shared" si="314"/>
        <v>2</v>
      </c>
      <c r="BA20" s="17">
        <f t="shared" si="315"/>
        <v>0</v>
      </c>
      <c r="BB20" s="17">
        <f t="shared" si="316"/>
        <v>2</v>
      </c>
      <c r="BC20" s="17">
        <f t="shared" si="317"/>
        <v>4</v>
      </c>
      <c r="BD20" s="17">
        <f t="shared" si="318"/>
        <v>5</v>
      </c>
      <c r="BE20" s="17">
        <f t="shared" si="319"/>
        <v>5</v>
      </c>
      <c r="BF20" s="17">
        <f t="shared" si="320"/>
        <v>4</v>
      </c>
      <c r="BG20" s="17">
        <f t="shared" si="321"/>
        <v>2</v>
      </c>
      <c r="BH20" s="17">
        <f t="shared" si="322"/>
        <v>0</v>
      </c>
      <c r="BI20" s="17">
        <f t="shared" si="323"/>
        <v>3</v>
      </c>
      <c r="BJ20" s="17">
        <f t="shared" si="324"/>
        <v>5</v>
      </c>
      <c r="BK20" s="17">
        <f t="shared" si="325"/>
        <v>0</v>
      </c>
      <c r="BL20" s="17">
        <f t="shared" si="326"/>
        <v>0</v>
      </c>
      <c r="BM20" s="17">
        <f t="shared" si="327"/>
        <v>0</v>
      </c>
      <c r="BN20" s="17">
        <f t="shared" si="328"/>
        <v>0</v>
      </c>
      <c r="BO20" s="17">
        <f t="shared" si="329"/>
        <v>0</v>
      </c>
      <c r="BP20" s="17">
        <f t="shared" si="330"/>
        <v>0</v>
      </c>
      <c r="BQ20" s="17">
        <f t="shared" si="331"/>
        <v>0</v>
      </c>
      <c r="BR20" s="17">
        <f t="shared" si="332"/>
        <v>0</v>
      </c>
      <c r="BS20" s="17">
        <f t="shared" si="333"/>
        <v>0</v>
      </c>
      <c r="BT20" s="17">
        <f t="shared" si="334"/>
        <v>0</v>
      </c>
      <c r="BU20" s="17">
        <f t="shared" si="335"/>
        <v>0</v>
      </c>
      <c r="BV20" s="17">
        <f t="shared" si="336"/>
        <v>0</v>
      </c>
      <c r="BW20" s="17">
        <f t="shared" si="337"/>
        <v>0</v>
      </c>
      <c r="BX20" s="17">
        <f t="shared" si="338"/>
        <v>0</v>
      </c>
      <c r="BY20" s="17">
        <f t="shared" si="339"/>
        <v>0</v>
      </c>
      <c r="BZ20" s="17">
        <f t="shared" si="340"/>
        <v>0</v>
      </c>
      <c r="CA20" s="17">
        <f t="shared" si="341"/>
        <v>0</v>
      </c>
      <c r="CB20" s="54">
        <f t="shared" si="342"/>
        <v>0</v>
      </c>
      <c r="CC20" s="58">
        <f t="shared" si="208"/>
        <v>43</v>
      </c>
      <c r="CD20" s="58">
        <f t="shared" ca="1" si="103"/>
        <v>3.3076923076923075</v>
      </c>
      <c r="JJ20" s="4" t="s">
        <v>13</v>
      </c>
      <c r="JK20" s="152" t="str">
        <f t="shared" si="42"/>
        <v>HYD01-PHR-MIO-04</v>
      </c>
      <c r="JL20" s="163">
        <v>1</v>
      </c>
      <c r="JM20" s="158">
        <v>1</v>
      </c>
      <c r="JN20" s="158">
        <v>1</v>
      </c>
      <c r="JO20" s="159">
        <v>0</v>
      </c>
      <c r="JP20" s="158">
        <v>1</v>
      </c>
      <c r="JQ20" s="158">
        <v>1</v>
      </c>
      <c r="JR20" s="158">
        <v>1</v>
      </c>
      <c r="JS20" s="158">
        <v>1</v>
      </c>
      <c r="JT20" s="158">
        <v>1</v>
      </c>
      <c r="JU20" s="158">
        <v>1</v>
      </c>
      <c r="JV20" s="158">
        <v>0</v>
      </c>
      <c r="JW20" s="159">
        <v>1</v>
      </c>
      <c r="JX20" s="159">
        <v>1</v>
      </c>
      <c r="JY20" s="159">
        <v>1</v>
      </c>
      <c r="JZ20" s="158"/>
      <c r="KA20" s="158"/>
      <c r="KB20" s="158"/>
      <c r="KC20" s="158"/>
      <c r="KD20" s="158"/>
      <c r="KE20" s="158"/>
      <c r="KF20" s="158"/>
      <c r="KG20" s="158"/>
      <c r="KH20" s="159"/>
      <c r="KI20" s="159"/>
      <c r="KJ20" s="158"/>
      <c r="KK20" s="158"/>
      <c r="KL20" s="158"/>
      <c r="KM20" s="158"/>
      <c r="KN20" s="158"/>
      <c r="KO20" s="158"/>
      <c r="KP20" s="164"/>
      <c r="KQ20" s="157">
        <v>6</v>
      </c>
      <c r="KR20" s="157">
        <v>5</v>
      </c>
      <c r="KS20" s="157">
        <v>2</v>
      </c>
      <c r="KT20" s="157">
        <v>0</v>
      </c>
      <c r="KU20" s="157">
        <v>2</v>
      </c>
      <c r="KV20" s="157">
        <v>4</v>
      </c>
      <c r="KW20" s="157">
        <v>5</v>
      </c>
      <c r="KX20" s="157">
        <v>5</v>
      </c>
      <c r="KY20" s="157">
        <v>4</v>
      </c>
      <c r="KZ20" s="157">
        <v>2</v>
      </c>
      <c r="LA20" s="157">
        <v>0</v>
      </c>
      <c r="LB20" s="157">
        <v>3</v>
      </c>
      <c r="LC20" s="157">
        <v>5</v>
      </c>
      <c r="LD20" s="157">
        <v>0</v>
      </c>
      <c r="LE20" s="157"/>
      <c r="LF20" s="157"/>
      <c r="LG20" s="157"/>
      <c r="LH20" s="157"/>
      <c r="LI20" s="157"/>
      <c r="LJ20" s="157"/>
      <c r="LK20" s="157"/>
      <c r="LL20" s="157"/>
      <c r="LM20" s="157"/>
      <c r="LN20" s="157"/>
      <c r="LO20" s="157"/>
      <c r="LP20" s="157"/>
      <c r="LQ20" s="157"/>
      <c r="LR20" s="157"/>
      <c r="LS20" s="157"/>
      <c r="LT20" s="5"/>
      <c r="LU20" s="8"/>
    </row>
    <row r="21" spans="1:333" ht="16.2" customHeight="1">
      <c r="A21" s="38" t="s">
        <v>9</v>
      </c>
      <c r="B21" s="25" t="s">
        <v>10</v>
      </c>
      <c r="C21" s="26" t="s">
        <v>381</v>
      </c>
      <c r="D21" s="25" t="s">
        <v>201</v>
      </c>
      <c r="E21" s="27" t="s">
        <v>35</v>
      </c>
      <c r="F21" s="25" t="s">
        <v>446</v>
      </c>
      <c r="G21" s="25" t="s">
        <v>202</v>
      </c>
      <c r="H21" s="28">
        <v>45173</v>
      </c>
      <c r="I21" s="29" t="s">
        <v>203</v>
      </c>
      <c r="J21" s="30">
        <v>1</v>
      </c>
      <c r="K21" s="147">
        <v>0</v>
      </c>
      <c r="L21" s="147">
        <f t="shared" si="276"/>
        <v>1</v>
      </c>
      <c r="M21" s="147">
        <f t="shared" si="277"/>
        <v>1</v>
      </c>
      <c r="N21" s="147">
        <f t="shared" si="278"/>
        <v>0</v>
      </c>
      <c r="O21" s="147">
        <f t="shared" si="279"/>
        <v>1</v>
      </c>
      <c r="P21" s="148">
        <f t="shared" si="280"/>
        <v>1</v>
      </c>
      <c r="Q21" s="50">
        <f t="shared" si="281"/>
        <v>1</v>
      </c>
      <c r="R21" s="17">
        <f t="shared" si="282"/>
        <v>1</v>
      </c>
      <c r="S21" s="17">
        <f t="shared" si="283"/>
        <v>1</v>
      </c>
      <c r="T21" s="17">
        <f t="shared" si="284"/>
        <v>0</v>
      </c>
      <c r="U21" s="17">
        <f t="shared" si="285"/>
        <v>1</v>
      </c>
      <c r="V21" s="17">
        <f t="shared" si="286"/>
        <v>1</v>
      </c>
      <c r="W21" s="17">
        <f t="shared" si="287"/>
        <v>1</v>
      </c>
      <c r="X21" s="17">
        <f t="shared" si="288"/>
        <v>1</v>
      </c>
      <c r="Y21" s="17">
        <f t="shared" si="289"/>
        <v>1</v>
      </c>
      <c r="Z21" s="17">
        <f t="shared" si="290"/>
        <v>1</v>
      </c>
      <c r="AA21" s="17">
        <f t="shared" si="291"/>
        <v>0</v>
      </c>
      <c r="AB21" s="17">
        <f t="shared" si="292"/>
        <v>1</v>
      </c>
      <c r="AC21" s="17">
        <f t="shared" si="293"/>
        <v>1</v>
      </c>
      <c r="AD21" s="17">
        <f t="shared" si="294"/>
        <v>1</v>
      </c>
      <c r="AE21" s="17">
        <f t="shared" si="295"/>
        <v>0</v>
      </c>
      <c r="AF21" s="17">
        <f t="shared" si="296"/>
        <v>0</v>
      </c>
      <c r="AG21" s="17">
        <f t="shared" si="297"/>
        <v>0</v>
      </c>
      <c r="AH21" s="17">
        <f t="shared" si="298"/>
        <v>0</v>
      </c>
      <c r="AI21" s="17">
        <f t="shared" si="299"/>
        <v>0</v>
      </c>
      <c r="AJ21" s="17">
        <f t="shared" si="300"/>
        <v>0</v>
      </c>
      <c r="AK21" s="17">
        <f t="shared" si="301"/>
        <v>0</v>
      </c>
      <c r="AL21" s="17">
        <f t="shared" si="302"/>
        <v>0</v>
      </c>
      <c r="AM21" s="17">
        <f t="shared" si="303"/>
        <v>0</v>
      </c>
      <c r="AN21" s="17">
        <f t="shared" si="304"/>
        <v>0</v>
      </c>
      <c r="AO21" s="17">
        <f t="shared" si="305"/>
        <v>0</v>
      </c>
      <c r="AP21" s="17">
        <f t="shared" si="306"/>
        <v>0</v>
      </c>
      <c r="AQ21" s="17">
        <f t="shared" si="307"/>
        <v>0</v>
      </c>
      <c r="AR21" s="17">
        <f t="shared" si="308"/>
        <v>0</v>
      </c>
      <c r="AS21" s="17">
        <f t="shared" si="309"/>
        <v>0</v>
      </c>
      <c r="AT21" s="17">
        <f t="shared" si="310"/>
        <v>0</v>
      </c>
      <c r="AU21" s="54">
        <f t="shared" si="311"/>
        <v>0</v>
      </c>
      <c r="AV21" s="58">
        <f t="shared" si="40"/>
        <v>12</v>
      </c>
      <c r="AW21" s="58">
        <f t="shared" ca="1" si="73"/>
        <v>0.92307692307692313</v>
      </c>
      <c r="AX21" s="50">
        <f t="shared" si="312"/>
        <v>4</v>
      </c>
      <c r="AY21" s="17">
        <f t="shared" si="313"/>
        <v>12</v>
      </c>
      <c r="AZ21" s="17">
        <f t="shared" si="314"/>
        <v>9</v>
      </c>
      <c r="BA21" s="17">
        <f t="shared" si="315"/>
        <v>0</v>
      </c>
      <c r="BB21" s="17">
        <f t="shared" si="316"/>
        <v>5</v>
      </c>
      <c r="BC21" s="17">
        <f t="shared" si="317"/>
        <v>14</v>
      </c>
      <c r="BD21" s="17">
        <f t="shared" si="318"/>
        <v>5</v>
      </c>
      <c r="BE21" s="17">
        <f t="shared" si="319"/>
        <v>4</v>
      </c>
      <c r="BF21" s="17">
        <f t="shared" si="320"/>
        <v>11</v>
      </c>
      <c r="BG21" s="17">
        <f t="shared" si="321"/>
        <v>6</v>
      </c>
      <c r="BH21" s="17">
        <f t="shared" si="322"/>
        <v>0</v>
      </c>
      <c r="BI21" s="17">
        <f t="shared" si="323"/>
        <v>0</v>
      </c>
      <c r="BJ21" s="17">
        <f t="shared" si="324"/>
        <v>6</v>
      </c>
      <c r="BK21" s="17">
        <f t="shared" si="325"/>
        <v>0</v>
      </c>
      <c r="BL21" s="17">
        <f t="shared" si="326"/>
        <v>0</v>
      </c>
      <c r="BM21" s="17">
        <f t="shared" si="327"/>
        <v>0</v>
      </c>
      <c r="BN21" s="17">
        <f t="shared" si="328"/>
        <v>0</v>
      </c>
      <c r="BO21" s="17">
        <f t="shared" si="329"/>
        <v>0</v>
      </c>
      <c r="BP21" s="17">
        <f t="shared" si="330"/>
        <v>0</v>
      </c>
      <c r="BQ21" s="17">
        <f t="shared" si="331"/>
        <v>0</v>
      </c>
      <c r="BR21" s="17">
        <f t="shared" si="332"/>
        <v>0</v>
      </c>
      <c r="BS21" s="17">
        <f t="shared" si="333"/>
        <v>0</v>
      </c>
      <c r="BT21" s="17">
        <f t="shared" si="334"/>
        <v>0</v>
      </c>
      <c r="BU21" s="17">
        <f t="shared" si="335"/>
        <v>0</v>
      </c>
      <c r="BV21" s="17">
        <f t="shared" si="336"/>
        <v>0</v>
      </c>
      <c r="BW21" s="17">
        <f t="shared" si="337"/>
        <v>0</v>
      </c>
      <c r="BX21" s="17">
        <f t="shared" si="338"/>
        <v>0</v>
      </c>
      <c r="BY21" s="17">
        <f t="shared" si="339"/>
        <v>0</v>
      </c>
      <c r="BZ21" s="17">
        <f t="shared" si="340"/>
        <v>0</v>
      </c>
      <c r="CA21" s="17">
        <f t="shared" si="341"/>
        <v>0</v>
      </c>
      <c r="CB21" s="54">
        <f t="shared" si="342"/>
        <v>0</v>
      </c>
      <c r="CC21" s="58">
        <f t="shared" si="208"/>
        <v>76</v>
      </c>
      <c r="CD21" s="58">
        <f t="shared" ca="1" si="103"/>
        <v>5.8461538461538458</v>
      </c>
      <c r="JJ21" s="4" t="s">
        <v>13</v>
      </c>
      <c r="JK21" s="152" t="str">
        <f t="shared" si="42"/>
        <v>HYD01-PHR-MIO-05</v>
      </c>
      <c r="JL21" s="163">
        <v>1</v>
      </c>
      <c r="JM21" s="158">
        <v>1</v>
      </c>
      <c r="JN21" s="158">
        <v>1</v>
      </c>
      <c r="JO21" s="159">
        <v>0</v>
      </c>
      <c r="JP21" s="158">
        <v>1</v>
      </c>
      <c r="JQ21" s="158">
        <v>1</v>
      </c>
      <c r="JR21" s="158">
        <v>1</v>
      </c>
      <c r="JS21" s="158">
        <v>1</v>
      </c>
      <c r="JT21" s="158">
        <v>1</v>
      </c>
      <c r="JU21" s="158">
        <v>1</v>
      </c>
      <c r="JV21" s="158">
        <v>0</v>
      </c>
      <c r="JW21" s="159">
        <v>1</v>
      </c>
      <c r="JX21" s="159">
        <v>1</v>
      </c>
      <c r="JY21" s="159">
        <v>1</v>
      </c>
      <c r="JZ21" s="158"/>
      <c r="KA21" s="158"/>
      <c r="KB21" s="158"/>
      <c r="KC21" s="158"/>
      <c r="KD21" s="158"/>
      <c r="KE21" s="158"/>
      <c r="KF21" s="158"/>
      <c r="KG21" s="158"/>
      <c r="KH21" s="159"/>
      <c r="KI21" s="159"/>
      <c r="KJ21" s="158"/>
      <c r="KK21" s="158"/>
      <c r="KL21" s="158"/>
      <c r="KM21" s="158"/>
      <c r="KN21" s="158"/>
      <c r="KO21" s="158"/>
      <c r="KP21" s="164"/>
      <c r="KQ21" s="157">
        <v>4</v>
      </c>
      <c r="KR21" s="157">
        <v>12</v>
      </c>
      <c r="KS21" s="157">
        <v>9</v>
      </c>
      <c r="KT21" s="157">
        <v>0</v>
      </c>
      <c r="KU21" s="157">
        <v>5</v>
      </c>
      <c r="KV21" s="157">
        <v>14</v>
      </c>
      <c r="KW21" s="157">
        <v>5</v>
      </c>
      <c r="KX21" s="157">
        <v>4</v>
      </c>
      <c r="KY21" s="157">
        <v>11</v>
      </c>
      <c r="KZ21" s="157">
        <v>6</v>
      </c>
      <c r="LA21" s="157">
        <v>0</v>
      </c>
      <c r="LB21" s="157">
        <v>0</v>
      </c>
      <c r="LC21" s="157">
        <v>6</v>
      </c>
      <c r="LD21" s="157">
        <v>0</v>
      </c>
      <c r="LE21" s="157"/>
      <c r="LF21" s="157"/>
      <c r="LG21" s="157"/>
      <c r="LH21" s="157"/>
      <c r="LI21" s="157"/>
      <c r="LJ21" s="157"/>
      <c r="LK21" s="157"/>
      <c r="LL21" s="157"/>
      <c r="LM21" s="157"/>
      <c r="LN21" s="157"/>
      <c r="LO21" s="157"/>
      <c r="LP21" s="157"/>
      <c r="LQ21" s="157"/>
      <c r="LR21" s="157"/>
      <c r="LS21" s="157"/>
      <c r="LT21" s="5"/>
      <c r="LU21" s="8"/>
    </row>
    <row r="22" spans="1:333" ht="16.2" customHeight="1">
      <c r="A22" s="38" t="s">
        <v>9</v>
      </c>
      <c r="B22" s="25" t="s">
        <v>10</v>
      </c>
      <c r="C22" s="26" t="s">
        <v>381</v>
      </c>
      <c r="D22" s="25" t="s">
        <v>204</v>
      </c>
      <c r="E22" s="27" t="s">
        <v>36</v>
      </c>
      <c r="F22" s="25" t="s">
        <v>543</v>
      </c>
      <c r="G22" s="25" t="s">
        <v>205</v>
      </c>
      <c r="H22" s="28">
        <v>46066</v>
      </c>
      <c r="I22" s="29" t="s">
        <v>206</v>
      </c>
      <c r="J22" s="30">
        <v>1</v>
      </c>
      <c r="K22" s="147">
        <v>1</v>
      </c>
      <c r="L22" s="147">
        <f t="shared" si="276"/>
        <v>0</v>
      </c>
      <c r="M22" s="147">
        <f t="shared" si="277"/>
        <v>0</v>
      </c>
      <c r="N22" s="147">
        <f t="shared" si="278"/>
        <v>0</v>
      </c>
      <c r="O22" s="147">
        <f t="shared" si="279"/>
        <v>0</v>
      </c>
      <c r="P22" s="148">
        <f t="shared" si="280"/>
        <v>0</v>
      </c>
      <c r="Q22" s="50">
        <f t="shared" si="281"/>
        <v>0</v>
      </c>
      <c r="R22" s="17">
        <f t="shared" si="282"/>
        <v>0</v>
      </c>
      <c r="S22" s="17">
        <f t="shared" si="283"/>
        <v>0</v>
      </c>
      <c r="T22" s="17">
        <f t="shared" si="284"/>
        <v>0</v>
      </c>
      <c r="U22" s="17">
        <f t="shared" si="285"/>
        <v>0</v>
      </c>
      <c r="V22" s="17">
        <f t="shared" si="286"/>
        <v>0</v>
      </c>
      <c r="W22" s="17">
        <f t="shared" si="287"/>
        <v>0</v>
      </c>
      <c r="X22" s="17">
        <f t="shared" si="288"/>
        <v>0</v>
      </c>
      <c r="Y22" s="17">
        <f t="shared" si="289"/>
        <v>0</v>
      </c>
      <c r="Z22" s="17">
        <f t="shared" si="290"/>
        <v>0</v>
      </c>
      <c r="AA22" s="17">
        <f t="shared" si="291"/>
        <v>0</v>
      </c>
      <c r="AB22" s="17">
        <f t="shared" si="292"/>
        <v>0</v>
      </c>
      <c r="AC22" s="17">
        <f t="shared" si="293"/>
        <v>0</v>
      </c>
      <c r="AD22" s="17">
        <f t="shared" si="294"/>
        <v>0</v>
      </c>
      <c r="AE22" s="17">
        <f t="shared" si="295"/>
        <v>0</v>
      </c>
      <c r="AF22" s="17">
        <f t="shared" si="296"/>
        <v>0</v>
      </c>
      <c r="AG22" s="17">
        <f t="shared" si="297"/>
        <v>0</v>
      </c>
      <c r="AH22" s="17">
        <f t="shared" si="298"/>
        <v>0</v>
      </c>
      <c r="AI22" s="17">
        <f t="shared" si="299"/>
        <v>0</v>
      </c>
      <c r="AJ22" s="17">
        <f t="shared" si="300"/>
        <v>0</v>
      </c>
      <c r="AK22" s="17">
        <f t="shared" si="301"/>
        <v>0</v>
      </c>
      <c r="AL22" s="17">
        <f t="shared" si="302"/>
        <v>0</v>
      </c>
      <c r="AM22" s="17">
        <f t="shared" si="303"/>
        <v>0</v>
      </c>
      <c r="AN22" s="17">
        <f t="shared" si="304"/>
        <v>0</v>
      </c>
      <c r="AO22" s="17">
        <f t="shared" si="305"/>
        <v>0</v>
      </c>
      <c r="AP22" s="17">
        <f t="shared" si="306"/>
        <v>0</v>
      </c>
      <c r="AQ22" s="17">
        <f t="shared" si="307"/>
        <v>0</v>
      </c>
      <c r="AR22" s="17">
        <f t="shared" si="308"/>
        <v>0</v>
      </c>
      <c r="AS22" s="17">
        <f t="shared" si="309"/>
        <v>0</v>
      </c>
      <c r="AT22" s="17">
        <f t="shared" si="310"/>
        <v>0</v>
      </c>
      <c r="AU22" s="54">
        <f t="shared" si="311"/>
        <v>0</v>
      </c>
      <c r="AV22" s="58">
        <f t="shared" si="40"/>
        <v>0</v>
      </c>
      <c r="AW22" s="58">
        <f t="shared" ca="1" si="73"/>
        <v>0</v>
      </c>
      <c r="AX22" s="50">
        <f t="shared" si="312"/>
        <v>0</v>
      </c>
      <c r="AY22" s="17">
        <f t="shared" si="313"/>
        <v>0</v>
      </c>
      <c r="AZ22" s="17">
        <f t="shared" si="314"/>
        <v>0</v>
      </c>
      <c r="BA22" s="17">
        <f t="shared" si="315"/>
        <v>0</v>
      </c>
      <c r="BB22" s="17">
        <f t="shared" si="316"/>
        <v>0</v>
      </c>
      <c r="BC22" s="17">
        <f t="shared" si="317"/>
        <v>0</v>
      </c>
      <c r="BD22" s="17">
        <f t="shared" si="318"/>
        <v>0</v>
      </c>
      <c r="BE22" s="17">
        <f t="shared" si="319"/>
        <v>0</v>
      </c>
      <c r="BF22" s="17">
        <f t="shared" si="320"/>
        <v>0</v>
      </c>
      <c r="BG22" s="17">
        <f t="shared" si="321"/>
        <v>0</v>
      </c>
      <c r="BH22" s="17">
        <f t="shared" si="322"/>
        <v>0</v>
      </c>
      <c r="BI22" s="17">
        <f t="shared" si="323"/>
        <v>0</v>
      </c>
      <c r="BJ22" s="17">
        <f t="shared" si="324"/>
        <v>0</v>
      </c>
      <c r="BK22" s="17">
        <f t="shared" si="325"/>
        <v>0</v>
      </c>
      <c r="BL22" s="17">
        <f t="shared" si="326"/>
        <v>0</v>
      </c>
      <c r="BM22" s="17">
        <f t="shared" si="327"/>
        <v>0</v>
      </c>
      <c r="BN22" s="17">
        <f t="shared" si="328"/>
        <v>0</v>
      </c>
      <c r="BO22" s="17">
        <f t="shared" si="329"/>
        <v>0</v>
      </c>
      <c r="BP22" s="17">
        <f t="shared" si="330"/>
        <v>0</v>
      </c>
      <c r="BQ22" s="17">
        <f t="shared" si="331"/>
        <v>0</v>
      </c>
      <c r="BR22" s="17">
        <f t="shared" si="332"/>
        <v>0</v>
      </c>
      <c r="BS22" s="17">
        <f t="shared" si="333"/>
        <v>0</v>
      </c>
      <c r="BT22" s="17">
        <f t="shared" si="334"/>
        <v>0</v>
      </c>
      <c r="BU22" s="17">
        <f t="shared" si="335"/>
        <v>0</v>
      </c>
      <c r="BV22" s="17">
        <f t="shared" si="336"/>
        <v>0</v>
      </c>
      <c r="BW22" s="17">
        <f t="shared" si="337"/>
        <v>0</v>
      </c>
      <c r="BX22" s="17">
        <f t="shared" si="338"/>
        <v>0</v>
      </c>
      <c r="BY22" s="17">
        <f t="shared" si="339"/>
        <v>0</v>
      </c>
      <c r="BZ22" s="17">
        <f t="shared" si="340"/>
        <v>0</v>
      </c>
      <c r="CA22" s="17">
        <f t="shared" si="341"/>
        <v>0</v>
      </c>
      <c r="CB22" s="54">
        <f t="shared" si="342"/>
        <v>0</v>
      </c>
      <c r="CC22" s="58">
        <f t="shared" si="208"/>
        <v>0</v>
      </c>
      <c r="CD22" s="58">
        <f t="shared" ca="1" si="103"/>
        <v>0</v>
      </c>
      <c r="JJ22" s="4" t="s">
        <v>13</v>
      </c>
      <c r="JK22" s="152" t="str">
        <f t="shared" si="42"/>
        <v>HYD01-PHR-MIO-06</v>
      </c>
      <c r="JL22" s="163">
        <v>0</v>
      </c>
      <c r="JM22" s="158">
        <v>0</v>
      </c>
      <c r="JN22" s="158">
        <v>0</v>
      </c>
      <c r="JO22" s="159">
        <v>0</v>
      </c>
      <c r="JP22" s="158">
        <v>0</v>
      </c>
      <c r="JQ22" s="158">
        <v>0</v>
      </c>
      <c r="JR22" s="158">
        <v>0</v>
      </c>
      <c r="JS22" s="158">
        <v>0</v>
      </c>
      <c r="JT22" s="158">
        <v>0</v>
      </c>
      <c r="JU22" s="158">
        <v>0</v>
      </c>
      <c r="JV22" s="158">
        <v>0</v>
      </c>
      <c r="JW22" s="159">
        <v>0</v>
      </c>
      <c r="JX22" s="159">
        <v>0</v>
      </c>
      <c r="JY22" s="159">
        <v>0</v>
      </c>
      <c r="JZ22" s="158"/>
      <c r="KA22" s="158"/>
      <c r="KB22" s="158"/>
      <c r="KC22" s="158"/>
      <c r="KD22" s="158"/>
      <c r="KE22" s="158"/>
      <c r="KF22" s="158"/>
      <c r="KG22" s="158"/>
      <c r="KH22" s="159"/>
      <c r="KI22" s="159"/>
      <c r="KJ22" s="158"/>
      <c r="KK22" s="158"/>
      <c r="KL22" s="158"/>
      <c r="KM22" s="158"/>
      <c r="KN22" s="158"/>
      <c r="KO22" s="158"/>
      <c r="KP22" s="164"/>
      <c r="KQ22" s="157">
        <v>0</v>
      </c>
      <c r="KR22" s="157">
        <v>0</v>
      </c>
      <c r="KS22" s="157">
        <v>0</v>
      </c>
      <c r="KT22" s="157">
        <v>0</v>
      </c>
      <c r="KU22" s="157">
        <v>0</v>
      </c>
      <c r="KV22" s="157">
        <v>0</v>
      </c>
      <c r="KW22" s="157">
        <v>0</v>
      </c>
      <c r="KX22" s="157">
        <v>0</v>
      </c>
      <c r="KY22" s="157">
        <v>0</v>
      </c>
      <c r="KZ22" s="157">
        <v>0</v>
      </c>
      <c r="LA22" s="157">
        <v>0</v>
      </c>
      <c r="LB22" s="157">
        <v>0</v>
      </c>
      <c r="LC22" s="157">
        <v>0</v>
      </c>
      <c r="LD22" s="157">
        <v>0</v>
      </c>
      <c r="LE22" s="157"/>
      <c r="LF22" s="157"/>
      <c r="LG22" s="157"/>
      <c r="LH22" s="157"/>
      <c r="LI22" s="157"/>
      <c r="LJ22" s="157"/>
      <c r="LK22" s="157"/>
      <c r="LL22" s="157"/>
      <c r="LM22" s="157"/>
      <c r="LN22" s="157"/>
      <c r="LO22" s="157"/>
      <c r="LP22" s="157"/>
      <c r="LQ22" s="157"/>
      <c r="LR22" s="157"/>
      <c r="LS22" s="157"/>
      <c r="LT22" s="5"/>
      <c r="LU22" s="8"/>
    </row>
    <row r="23" spans="1:333" ht="16.2" customHeight="1">
      <c r="A23" s="38" t="s">
        <v>16</v>
      </c>
      <c r="B23" s="25" t="s">
        <v>10</v>
      </c>
      <c r="C23" s="26" t="s">
        <v>381</v>
      </c>
      <c r="D23" s="25" t="s">
        <v>37</v>
      </c>
      <c r="E23" s="27" t="s">
        <v>38</v>
      </c>
      <c r="F23" s="25" t="s">
        <v>447</v>
      </c>
      <c r="G23" s="25" t="s">
        <v>436</v>
      </c>
      <c r="H23" s="28" t="s">
        <v>436</v>
      </c>
      <c r="I23" s="29" t="s">
        <v>30</v>
      </c>
      <c r="J23" s="30">
        <v>0</v>
      </c>
      <c r="K23" s="147">
        <v>0</v>
      </c>
      <c r="L23" s="147">
        <f t="shared" si="276"/>
        <v>0</v>
      </c>
      <c r="M23" s="147">
        <f t="shared" si="277"/>
        <v>0</v>
      </c>
      <c r="N23" s="147">
        <f t="shared" si="278"/>
        <v>0</v>
      </c>
      <c r="O23" s="147">
        <f t="shared" si="279"/>
        <v>0</v>
      </c>
      <c r="P23" s="148">
        <f t="shared" si="280"/>
        <v>0</v>
      </c>
      <c r="Q23" s="50">
        <f t="shared" si="281"/>
        <v>0</v>
      </c>
      <c r="R23" s="17">
        <f t="shared" si="282"/>
        <v>0</v>
      </c>
      <c r="S23" s="17">
        <f t="shared" si="283"/>
        <v>0</v>
      </c>
      <c r="T23" s="17">
        <f t="shared" si="284"/>
        <v>0</v>
      </c>
      <c r="U23" s="17">
        <f t="shared" si="285"/>
        <v>0</v>
      </c>
      <c r="V23" s="17">
        <f t="shared" si="286"/>
        <v>0</v>
      </c>
      <c r="W23" s="17">
        <f t="shared" si="287"/>
        <v>0</v>
      </c>
      <c r="X23" s="17">
        <f t="shared" si="288"/>
        <v>0</v>
      </c>
      <c r="Y23" s="17">
        <f t="shared" si="289"/>
        <v>0</v>
      </c>
      <c r="Z23" s="17">
        <f t="shared" si="290"/>
        <v>0</v>
      </c>
      <c r="AA23" s="17">
        <f t="shared" si="291"/>
        <v>0</v>
      </c>
      <c r="AB23" s="17">
        <f t="shared" si="292"/>
        <v>0</v>
      </c>
      <c r="AC23" s="17">
        <f t="shared" si="293"/>
        <v>0</v>
      </c>
      <c r="AD23" s="17">
        <f t="shared" si="294"/>
        <v>0</v>
      </c>
      <c r="AE23" s="17">
        <f t="shared" si="295"/>
        <v>0</v>
      </c>
      <c r="AF23" s="17">
        <f t="shared" si="296"/>
        <v>0</v>
      </c>
      <c r="AG23" s="17">
        <f t="shared" si="297"/>
        <v>0</v>
      </c>
      <c r="AH23" s="17">
        <f t="shared" si="298"/>
        <v>0</v>
      </c>
      <c r="AI23" s="17">
        <f t="shared" si="299"/>
        <v>0</v>
      </c>
      <c r="AJ23" s="17">
        <f t="shared" si="300"/>
        <v>0</v>
      </c>
      <c r="AK23" s="17">
        <f t="shared" si="301"/>
        <v>0</v>
      </c>
      <c r="AL23" s="17">
        <f t="shared" si="302"/>
        <v>0</v>
      </c>
      <c r="AM23" s="17">
        <f t="shared" si="303"/>
        <v>0</v>
      </c>
      <c r="AN23" s="17">
        <f t="shared" si="304"/>
        <v>0</v>
      </c>
      <c r="AO23" s="17">
        <f t="shared" si="305"/>
        <v>0</v>
      </c>
      <c r="AP23" s="17">
        <f t="shared" si="306"/>
        <v>0</v>
      </c>
      <c r="AQ23" s="17">
        <f t="shared" si="307"/>
        <v>0</v>
      </c>
      <c r="AR23" s="17">
        <f t="shared" si="308"/>
        <v>0</v>
      </c>
      <c r="AS23" s="17">
        <f t="shared" si="309"/>
        <v>0</v>
      </c>
      <c r="AT23" s="17">
        <f t="shared" si="310"/>
        <v>0</v>
      </c>
      <c r="AU23" s="54">
        <f t="shared" si="311"/>
        <v>0</v>
      </c>
      <c r="AV23" s="58">
        <f t="shared" si="40"/>
        <v>0</v>
      </c>
      <c r="AW23" s="58">
        <f t="shared" ca="1" si="73"/>
        <v>0</v>
      </c>
      <c r="AX23" s="50">
        <f t="shared" si="312"/>
        <v>0</v>
      </c>
      <c r="AY23" s="17">
        <f t="shared" si="313"/>
        <v>0</v>
      </c>
      <c r="AZ23" s="17">
        <f t="shared" si="314"/>
        <v>0</v>
      </c>
      <c r="BA23" s="17">
        <f t="shared" si="315"/>
        <v>0</v>
      </c>
      <c r="BB23" s="17">
        <f t="shared" si="316"/>
        <v>0</v>
      </c>
      <c r="BC23" s="17">
        <f t="shared" si="317"/>
        <v>0</v>
      </c>
      <c r="BD23" s="17">
        <f t="shared" si="318"/>
        <v>0</v>
      </c>
      <c r="BE23" s="17">
        <f t="shared" si="319"/>
        <v>0</v>
      </c>
      <c r="BF23" s="17">
        <f t="shared" si="320"/>
        <v>0</v>
      </c>
      <c r="BG23" s="17">
        <f t="shared" si="321"/>
        <v>0</v>
      </c>
      <c r="BH23" s="17">
        <f t="shared" si="322"/>
        <v>0</v>
      </c>
      <c r="BI23" s="17">
        <f t="shared" si="323"/>
        <v>0</v>
      </c>
      <c r="BJ23" s="17">
        <f t="shared" si="324"/>
        <v>0</v>
      </c>
      <c r="BK23" s="17">
        <f t="shared" si="325"/>
        <v>0</v>
      </c>
      <c r="BL23" s="17">
        <f t="shared" si="326"/>
        <v>0</v>
      </c>
      <c r="BM23" s="17">
        <f t="shared" si="327"/>
        <v>0</v>
      </c>
      <c r="BN23" s="17">
        <f t="shared" si="328"/>
        <v>0</v>
      </c>
      <c r="BO23" s="17">
        <f t="shared" si="329"/>
        <v>0</v>
      </c>
      <c r="BP23" s="17">
        <f t="shared" si="330"/>
        <v>0</v>
      </c>
      <c r="BQ23" s="17">
        <f t="shared" si="331"/>
        <v>0</v>
      </c>
      <c r="BR23" s="17">
        <f t="shared" si="332"/>
        <v>0</v>
      </c>
      <c r="BS23" s="17">
        <f t="shared" si="333"/>
        <v>0</v>
      </c>
      <c r="BT23" s="17">
        <f t="shared" si="334"/>
        <v>0</v>
      </c>
      <c r="BU23" s="17">
        <f t="shared" si="335"/>
        <v>0</v>
      </c>
      <c r="BV23" s="17">
        <f t="shared" si="336"/>
        <v>0</v>
      </c>
      <c r="BW23" s="17">
        <f t="shared" si="337"/>
        <v>0</v>
      </c>
      <c r="BX23" s="17">
        <f t="shared" si="338"/>
        <v>0</v>
      </c>
      <c r="BY23" s="17">
        <f t="shared" si="339"/>
        <v>0</v>
      </c>
      <c r="BZ23" s="17">
        <f t="shared" si="340"/>
        <v>0</v>
      </c>
      <c r="CA23" s="17">
        <f t="shared" si="341"/>
        <v>0</v>
      </c>
      <c r="CB23" s="54">
        <f t="shared" si="342"/>
        <v>0</v>
      </c>
      <c r="CC23" s="58">
        <f t="shared" si="208"/>
        <v>0</v>
      </c>
      <c r="CD23" s="58">
        <f t="shared" ca="1" si="103"/>
        <v>0</v>
      </c>
      <c r="JJ23" s="4" t="s">
        <v>13</v>
      </c>
      <c r="JK23" s="152" t="str">
        <f t="shared" si="42"/>
        <v>HYD01-PHR-MIO-00</v>
      </c>
      <c r="JL23" s="163">
        <v>0</v>
      </c>
      <c r="JM23" s="158">
        <v>0</v>
      </c>
      <c r="JN23" s="158">
        <v>0</v>
      </c>
      <c r="JO23" s="159">
        <v>0</v>
      </c>
      <c r="JP23" s="158">
        <v>0</v>
      </c>
      <c r="JQ23" s="158">
        <v>0</v>
      </c>
      <c r="JR23" s="158">
        <v>0</v>
      </c>
      <c r="JS23" s="158">
        <v>0</v>
      </c>
      <c r="JT23" s="158">
        <v>0</v>
      </c>
      <c r="JU23" s="158">
        <v>0</v>
      </c>
      <c r="JV23" s="158">
        <v>0</v>
      </c>
      <c r="JW23" s="159">
        <v>0</v>
      </c>
      <c r="JX23" s="159">
        <v>0</v>
      </c>
      <c r="JY23" s="159">
        <v>0</v>
      </c>
      <c r="JZ23" s="158"/>
      <c r="KA23" s="158"/>
      <c r="KB23" s="158"/>
      <c r="KC23" s="158"/>
      <c r="KD23" s="158"/>
      <c r="KE23" s="158"/>
      <c r="KF23" s="158"/>
      <c r="KG23" s="158"/>
      <c r="KH23" s="159"/>
      <c r="KI23" s="159"/>
      <c r="KJ23" s="158"/>
      <c r="KK23" s="158"/>
      <c r="KL23" s="158"/>
      <c r="KM23" s="158"/>
      <c r="KN23" s="158"/>
      <c r="KO23" s="158"/>
      <c r="KP23" s="164"/>
      <c r="KQ23" s="157">
        <v>0</v>
      </c>
      <c r="KR23" s="157">
        <v>0</v>
      </c>
      <c r="KS23" s="157">
        <v>0</v>
      </c>
      <c r="KT23" s="157">
        <v>0</v>
      </c>
      <c r="KU23" s="157">
        <v>0</v>
      </c>
      <c r="KV23" s="157">
        <v>0</v>
      </c>
      <c r="KW23" s="157">
        <v>0</v>
      </c>
      <c r="KX23" s="157">
        <v>0</v>
      </c>
      <c r="KY23" s="157">
        <v>0</v>
      </c>
      <c r="KZ23" s="157">
        <v>0</v>
      </c>
      <c r="LA23" s="157">
        <v>0</v>
      </c>
      <c r="LB23" s="157">
        <v>0</v>
      </c>
      <c r="LC23" s="157">
        <v>0</v>
      </c>
      <c r="LD23" s="157">
        <v>0</v>
      </c>
      <c r="LE23" s="157"/>
      <c r="LF23" s="157"/>
      <c r="LG23" s="157"/>
      <c r="LH23" s="157"/>
      <c r="LI23" s="157"/>
      <c r="LJ23" s="157"/>
      <c r="LK23" s="157"/>
      <c r="LL23" s="157"/>
      <c r="LM23" s="157"/>
      <c r="LN23" s="157"/>
      <c r="LO23" s="157"/>
      <c r="LP23" s="157"/>
      <c r="LQ23" s="157"/>
      <c r="LR23" s="157"/>
      <c r="LS23" s="157"/>
      <c r="LT23" s="5"/>
      <c r="LU23" s="8"/>
    </row>
    <row r="24" spans="1:333" ht="16.2" customHeight="1">
      <c r="A24" s="37" t="s">
        <v>19</v>
      </c>
      <c r="B24" s="18" t="s">
        <v>10</v>
      </c>
      <c r="C24" s="19" t="s">
        <v>381</v>
      </c>
      <c r="D24" s="20" t="s">
        <v>208</v>
      </c>
      <c r="E24" s="21" t="s">
        <v>39</v>
      </c>
      <c r="F24" s="18" t="s">
        <v>448</v>
      </c>
      <c r="G24" s="18" t="s">
        <v>207</v>
      </c>
      <c r="H24" s="22">
        <v>45171</v>
      </c>
      <c r="I24" s="20" t="s">
        <v>30</v>
      </c>
      <c r="J24" s="23">
        <v>6</v>
      </c>
      <c r="K24" s="97">
        <f t="shared" ref="K24:L24" si="343">SUM(K17:K23)</f>
        <v>1</v>
      </c>
      <c r="L24" s="97">
        <f t="shared" si="343"/>
        <v>5</v>
      </c>
      <c r="M24" s="97">
        <f t="shared" ref="M24" si="344">SUM(M17:M23)</f>
        <v>5</v>
      </c>
      <c r="N24" s="97">
        <f t="shared" ref="N24" si="345">SUM(N17:N23)</f>
        <v>1</v>
      </c>
      <c r="O24" s="97">
        <f t="shared" ref="O24" si="346">SUM(O17:O23)</f>
        <v>5</v>
      </c>
      <c r="P24" s="47">
        <f t="shared" ref="P24:AU24" si="347">SUM(P17:P23)</f>
        <v>5</v>
      </c>
      <c r="Q24" s="51">
        <f t="shared" si="347"/>
        <v>5</v>
      </c>
      <c r="R24" s="24">
        <f t="shared" si="347"/>
        <v>5</v>
      </c>
      <c r="S24" s="24">
        <f t="shared" si="347"/>
        <v>4</v>
      </c>
      <c r="T24" s="24">
        <f t="shared" si="347"/>
        <v>0</v>
      </c>
      <c r="U24" s="24">
        <f t="shared" si="347"/>
        <v>5</v>
      </c>
      <c r="V24" s="24">
        <f t="shared" si="347"/>
        <v>5</v>
      </c>
      <c r="W24" s="24">
        <f t="shared" si="347"/>
        <v>5</v>
      </c>
      <c r="X24" s="24">
        <f t="shared" si="347"/>
        <v>5</v>
      </c>
      <c r="Y24" s="24">
        <f t="shared" si="347"/>
        <v>5</v>
      </c>
      <c r="Z24" s="24">
        <f t="shared" si="347"/>
        <v>5</v>
      </c>
      <c r="AA24" s="24">
        <f t="shared" si="347"/>
        <v>0</v>
      </c>
      <c r="AB24" s="24">
        <f t="shared" si="347"/>
        <v>5</v>
      </c>
      <c r="AC24" s="24">
        <f t="shared" si="347"/>
        <v>5</v>
      </c>
      <c r="AD24" s="24">
        <f t="shared" si="347"/>
        <v>5</v>
      </c>
      <c r="AE24" s="24">
        <f t="shared" si="347"/>
        <v>0</v>
      </c>
      <c r="AF24" s="24">
        <f t="shared" si="347"/>
        <v>0</v>
      </c>
      <c r="AG24" s="24">
        <f t="shared" si="347"/>
        <v>0</v>
      </c>
      <c r="AH24" s="24">
        <f t="shared" si="347"/>
        <v>0</v>
      </c>
      <c r="AI24" s="24">
        <f t="shared" si="347"/>
        <v>0</v>
      </c>
      <c r="AJ24" s="24">
        <f t="shared" si="347"/>
        <v>0</v>
      </c>
      <c r="AK24" s="24">
        <f t="shared" si="347"/>
        <v>0</v>
      </c>
      <c r="AL24" s="24">
        <f t="shared" si="347"/>
        <v>0</v>
      </c>
      <c r="AM24" s="24">
        <f t="shared" si="347"/>
        <v>0</v>
      </c>
      <c r="AN24" s="24">
        <f t="shared" si="347"/>
        <v>0</v>
      </c>
      <c r="AO24" s="24">
        <f t="shared" si="347"/>
        <v>0</v>
      </c>
      <c r="AP24" s="24">
        <f t="shared" si="347"/>
        <v>0</v>
      </c>
      <c r="AQ24" s="24">
        <f t="shared" si="347"/>
        <v>0</v>
      </c>
      <c r="AR24" s="24">
        <f t="shared" si="347"/>
        <v>0</v>
      </c>
      <c r="AS24" s="24">
        <f t="shared" si="347"/>
        <v>0</v>
      </c>
      <c r="AT24" s="24">
        <f t="shared" si="347"/>
        <v>0</v>
      </c>
      <c r="AU24" s="55">
        <f t="shared" si="347"/>
        <v>0</v>
      </c>
      <c r="AV24" s="59">
        <f t="shared" si="40"/>
        <v>59</v>
      </c>
      <c r="AW24" s="59">
        <f t="shared" ca="1" si="73"/>
        <v>0.90769230769230769</v>
      </c>
      <c r="AX24" s="51">
        <f t="shared" ref="AX24" si="348">SUM(AX17:AX23)</f>
        <v>35</v>
      </c>
      <c r="AY24" s="24">
        <f t="shared" ref="AY24" si="349">SUM(AY17:AY23)</f>
        <v>57</v>
      </c>
      <c r="AZ24" s="24">
        <f t="shared" ref="AZ24" si="350">SUM(AZ17:AZ23)</f>
        <v>31</v>
      </c>
      <c r="BA24" s="24">
        <f t="shared" ref="BA24" si="351">SUM(BA17:BA23)</f>
        <v>0</v>
      </c>
      <c r="BB24" s="24">
        <f t="shared" ref="BB24" si="352">SUM(BB17:BB23)</f>
        <v>51</v>
      </c>
      <c r="BC24" s="24">
        <f t="shared" ref="BC24" si="353">SUM(BC17:BC23)</f>
        <v>56</v>
      </c>
      <c r="BD24" s="24">
        <f t="shared" ref="BD24" si="354">SUM(BD17:BD23)</f>
        <v>45</v>
      </c>
      <c r="BE24" s="24">
        <f t="shared" ref="BE24" si="355">SUM(BE17:BE23)</f>
        <v>44</v>
      </c>
      <c r="BF24" s="24">
        <f t="shared" ref="BF24" si="356">SUM(BF17:BF23)</f>
        <v>54</v>
      </c>
      <c r="BG24" s="24">
        <f t="shared" ref="BG24" si="357">SUM(BG17:BG23)</f>
        <v>24</v>
      </c>
      <c r="BH24" s="24">
        <f t="shared" ref="BH24" si="358">SUM(BH17:BH23)</f>
        <v>0</v>
      </c>
      <c r="BI24" s="24">
        <f t="shared" ref="BI24" si="359">SUM(BI17:BI23)</f>
        <v>38</v>
      </c>
      <c r="BJ24" s="24">
        <f t="shared" ref="BJ24" si="360">SUM(BJ17:BJ23)</f>
        <v>34</v>
      </c>
      <c r="BK24" s="24">
        <f t="shared" ref="BK24" si="361">SUM(BK17:BK23)</f>
        <v>3</v>
      </c>
      <c r="BL24" s="24">
        <f t="shared" ref="BL24" si="362">SUM(BL17:BL23)</f>
        <v>0</v>
      </c>
      <c r="BM24" s="24">
        <f t="shared" ref="BM24" si="363">SUM(BM17:BM23)</f>
        <v>0</v>
      </c>
      <c r="BN24" s="24">
        <f t="shared" ref="BN24" si="364">SUM(BN17:BN23)</f>
        <v>0</v>
      </c>
      <c r="BO24" s="24">
        <f t="shared" ref="BO24" si="365">SUM(BO17:BO23)</f>
        <v>0</v>
      </c>
      <c r="BP24" s="24">
        <f t="shared" ref="BP24" si="366">SUM(BP17:BP23)</f>
        <v>0</v>
      </c>
      <c r="BQ24" s="24">
        <f t="shared" ref="BQ24" si="367">SUM(BQ17:BQ23)</f>
        <v>0</v>
      </c>
      <c r="BR24" s="24">
        <f t="shared" ref="BR24" si="368">SUM(BR17:BR23)</f>
        <v>0</v>
      </c>
      <c r="BS24" s="24">
        <f t="shared" ref="BS24" si="369">SUM(BS17:BS23)</f>
        <v>0</v>
      </c>
      <c r="BT24" s="24">
        <f t="shared" ref="BT24" si="370">SUM(BT17:BT23)</f>
        <v>0</v>
      </c>
      <c r="BU24" s="24">
        <f t="shared" ref="BU24" si="371">SUM(BU17:BU23)</f>
        <v>0</v>
      </c>
      <c r="BV24" s="24">
        <f t="shared" ref="BV24" si="372">SUM(BV17:BV23)</f>
        <v>0</v>
      </c>
      <c r="BW24" s="24">
        <f t="shared" ref="BW24" si="373">SUM(BW17:BW23)</f>
        <v>0</v>
      </c>
      <c r="BX24" s="24">
        <f t="shared" ref="BX24" si="374">SUM(BX17:BX23)</f>
        <v>0</v>
      </c>
      <c r="BY24" s="24">
        <f t="shared" ref="BY24" si="375">SUM(BY17:BY23)</f>
        <v>0</v>
      </c>
      <c r="BZ24" s="24">
        <f t="shared" ref="BZ24" si="376">SUM(BZ17:BZ23)</f>
        <v>0</v>
      </c>
      <c r="CA24" s="24">
        <f t="shared" ref="CA24" si="377">SUM(CA17:CA23)</f>
        <v>0</v>
      </c>
      <c r="CB24" s="55">
        <f t="shared" ref="CB24" si="378">SUM(CB17:CB23)</f>
        <v>0</v>
      </c>
      <c r="CC24" s="59">
        <f t="shared" si="208"/>
        <v>472</v>
      </c>
      <c r="CD24" s="59">
        <f t="shared" ca="1" si="103"/>
        <v>7.2615384615384615</v>
      </c>
      <c r="JJ24" s="4" t="s">
        <v>13</v>
      </c>
      <c r="JK24" s="153" t="str">
        <f t="shared" si="42"/>
        <v>HYD01-PHR-ASM-01</v>
      </c>
      <c r="JL24" s="163">
        <v>0</v>
      </c>
      <c r="JM24" s="158">
        <v>0</v>
      </c>
      <c r="JN24" s="158">
        <v>0</v>
      </c>
      <c r="JO24" s="159">
        <v>0</v>
      </c>
      <c r="JP24" s="158">
        <v>0</v>
      </c>
      <c r="JQ24" s="158">
        <v>0</v>
      </c>
      <c r="JR24" s="158">
        <v>0</v>
      </c>
      <c r="JS24" s="158">
        <v>0</v>
      </c>
      <c r="JT24" s="158">
        <v>0</v>
      </c>
      <c r="JU24" s="158">
        <v>0</v>
      </c>
      <c r="JV24" s="158">
        <v>0</v>
      </c>
      <c r="JW24" s="159">
        <v>0</v>
      </c>
      <c r="JX24" s="159">
        <v>0</v>
      </c>
      <c r="JY24" s="159">
        <v>0</v>
      </c>
      <c r="JZ24" s="158"/>
      <c r="KA24" s="158"/>
      <c r="KB24" s="158"/>
      <c r="KC24" s="158"/>
      <c r="KD24" s="158"/>
      <c r="KE24" s="158"/>
      <c r="KF24" s="158"/>
      <c r="KG24" s="158"/>
      <c r="KH24" s="159"/>
      <c r="KI24" s="159"/>
      <c r="KJ24" s="158"/>
      <c r="KK24" s="158"/>
      <c r="KL24" s="158"/>
      <c r="KM24" s="158"/>
      <c r="KN24" s="158"/>
      <c r="KO24" s="158"/>
      <c r="KP24" s="164"/>
      <c r="KQ24" s="157">
        <v>0</v>
      </c>
      <c r="KR24" s="157">
        <v>0</v>
      </c>
      <c r="KS24" s="157">
        <v>0</v>
      </c>
      <c r="KT24" s="157">
        <v>0</v>
      </c>
      <c r="KU24" s="157">
        <v>0</v>
      </c>
      <c r="KV24" s="157">
        <v>0</v>
      </c>
      <c r="KW24" s="157">
        <v>0</v>
      </c>
      <c r="KX24" s="157">
        <v>0</v>
      </c>
      <c r="KY24" s="157">
        <v>0</v>
      </c>
      <c r="KZ24" s="157">
        <v>0</v>
      </c>
      <c r="LA24" s="157">
        <v>0</v>
      </c>
      <c r="LB24" s="157">
        <v>0</v>
      </c>
      <c r="LC24" s="157">
        <v>0</v>
      </c>
      <c r="LD24" s="157">
        <v>0</v>
      </c>
      <c r="LE24" s="157"/>
      <c r="LF24" s="157"/>
      <c r="LG24" s="157"/>
      <c r="LH24" s="157"/>
      <c r="LI24" s="157"/>
      <c r="LJ24" s="157"/>
      <c r="LK24" s="157"/>
      <c r="LL24" s="157"/>
      <c r="LM24" s="157"/>
      <c r="LN24" s="157"/>
      <c r="LO24" s="157"/>
      <c r="LP24" s="157"/>
      <c r="LQ24" s="157"/>
      <c r="LR24" s="157"/>
      <c r="LS24" s="157"/>
      <c r="LT24" s="5"/>
      <c r="LU24" s="8"/>
    </row>
    <row r="25" spans="1:333" ht="16.2" customHeight="1">
      <c r="A25" s="38" t="s">
        <v>9</v>
      </c>
      <c r="B25" s="25" t="s">
        <v>10</v>
      </c>
      <c r="C25" s="26" t="s">
        <v>382</v>
      </c>
      <c r="D25" s="25" t="s">
        <v>209</v>
      </c>
      <c r="E25" s="27" t="s">
        <v>40</v>
      </c>
      <c r="F25" s="25" t="s">
        <v>531</v>
      </c>
      <c r="G25" s="25" t="s">
        <v>523</v>
      </c>
      <c r="H25" s="28">
        <v>46230</v>
      </c>
      <c r="I25" s="29" t="s">
        <v>210</v>
      </c>
      <c r="J25" s="30">
        <v>1</v>
      </c>
      <c r="K25" s="147">
        <v>0</v>
      </c>
      <c r="L25" s="147">
        <f t="shared" ref="L25:L31" si="379">IFERROR(IF(OR(AD25&gt;0),1,0),0)</f>
        <v>0</v>
      </c>
      <c r="M25" s="147">
        <f t="shared" ref="M25:M31" si="380">IFERROR(IF(OR(AV25&gt;0),1,0),0)</f>
        <v>1</v>
      </c>
      <c r="N25" s="147">
        <f t="shared" ref="N25:N31" si="381">IFERROR(IF(OR(BK25&gt;0),1,0),0)</f>
        <v>0</v>
      </c>
      <c r="O25" s="147">
        <f t="shared" ref="O25:O31" si="382">IFERROR(IF(OR(CC25&gt;0),1,0),0)</f>
        <v>1</v>
      </c>
      <c r="P25" s="148">
        <f t="shared" ref="P25:P31" si="383">IFERROR(IF(OR(AV25&gt;0,CC25&gt;0),1,0),0)</f>
        <v>1</v>
      </c>
      <c r="Q25" s="50">
        <f t="shared" ref="Q25:Q31" si="384">JL25</f>
        <v>1</v>
      </c>
      <c r="R25" s="17">
        <f t="shared" ref="R25:R31" si="385">JM25</f>
        <v>1</v>
      </c>
      <c r="S25" s="17">
        <f t="shared" ref="S25:S31" si="386">JN25</f>
        <v>1</v>
      </c>
      <c r="T25" s="17">
        <f t="shared" ref="T25:T31" si="387">JO25</f>
        <v>0</v>
      </c>
      <c r="U25" s="17">
        <f t="shared" ref="U25:U31" si="388">JP25</f>
        <v>1</v>
      </c>
      <c r="V25" s="17">
        <f t="shared" ref="V25:V31" si="389">JQ25</f>
        <v>1</v>
      </c>
      <c r="W25" s="17">
        <f t="shared" ref="W25:W31" si="390">JR25</f>
        <v>1</v>
      </c>
      <c r="X25" s="17">
        <f t="shared" ref="X25:X31" si="391">JS25</f>
        <v>1</v>
      </c>
      <c r="Y25" s="17">
        <f t="shared" ref="Y25:Y31" si="392">JT25</f>
        <v>1</v>
      </c>
      <c r="Z25" s="17">
        <f t="shared" ref="Z25:Z31" si="393">JU25</f>
        <v>1</v>
      </c>
      <c r="AA25" s="17">
        <f t="shared" ref="AA25:AA31" si="394">JV25</f>
        <v>0</v>
      </c>
      <c r="AB25" s="17">
        <f t="shared" ref="AB25:AB31" si="395">JW25</f>
        <v>1</v>
      </c>
      <c r="AC25" s="17">
        <f t="shared" ref="AC25:AC31" si="396">JX25</f>
        <v>1</v>
      </c>
      <c r="AD25" s="17">
        <f t="shared" ref="AD25:AD31" si="397">JY25</f>
        <v>0</v>
      </c>
      <c r="AE25" s="17">
        <f t="shared" ref="AE25:AE31" si="398">JZ25</f>
        <v>0</v>
      </c>
      <c r="AF25" s="17">
        <f t="shared" ref="AF25:AF31" si="399">KA25</f>
        <v>0</v>
      </c>
      <c r="AG25" s="17">
        <f t="shared" ref="AG25:AG31" si="400">KB25</f>
        <v>0</v>
      </c>
      <c r="AH25" s="17">
        <f t="shared" ref="AH25:AH31" si="401">KC25</f>
        <v>0</v>
      </c>
      <c r="AI25" s="17">
        <f t="shared" ref="AI25:AI31" si="402">KD25</f>
        <v>0</v>
      </c>
      <c r="AJ25" s="17">
        <f t="shared" ref="AJ25:AJ31" si="403">KE25</f>
        <v>0</v>
      </c>
      <c r="AK25" s="17">
        <f t="shared" ref="AK25:AK31" si="404">KF25</f>
        <v>0</v>
      </c>
      <c r="AL25" s="17">
        <f t="shared" ref="AL25:AL31" si="405">KG25</f>
        <v>0</v>
      </c>
      <c r="AM25" s="17">
        <f t="shared" ref="AM25:AM31" si="406">KH25</f>
        <v>0</v>
      </c>
      <c r="AN25" s="17">
        <f t="shared" ref="AN25:AN31" si="407">KI25</f>
        <v>0</v>
      </c>
      <c r="AO25" s="17">
        <f t="shared" ref="AO25:AO31" si="408">KJ25</f>
        <v>0</v>
      </c>
      <c r="AP25" s="17">
        <f t="shared" ref="AP25:AP31" si="409">KK25</f>
        <v>0</v>
      </c>
      <c r="AQ25" s="17">
        <f t="shared" ref="AQ25:AQ31" si="410">KL25</f>
        <v>0</v>
      </c>
      <c r="AR25" s="17">
        <f t="shared" ref="AR25:AR31" si="411">KM25</f>
        <v>0</v>
      </c>
      <c r="AS25" s="17">
        <f t="shared" ref="AS25:AS31" si="412">KN25</f>
        <v>0</v>
      </c>
      <c r="AT25" s="17">
        <f t="shared" ref="AT25:AT31" si="413">KO25</f>
        <v>0</v>
      </c>
      <c r="AU25" s="54">
        <f t="shared" ref="AU25:AU31" si="414">KP25</f>
        <v>0</v>
      </c>
      <c r="AV25" s="58">
        <f t="shared" si="40"/>
        <v>11</v>
      </c>
      <c r="AW25" s="58">
        <f t="shared" ca="1" si="73"/>
        <v>0.84615384615384615</v>
      </c>
      <c r="AX25" s="50">
        <f t="shared" ref="AX25:AX31" si="415">KQ25</f>
        <v>1</v>
      </c>
      <c r="AY25" s="17">
        <f t="shared" ref="AY25:AY31" si="416">KR25</f>
        <v>11</v>
      </c>
      <c r="AZ25" s="17">
        <f t="shared" ref="AZ25:AZ31" si="417">KS25</f>
        <v>0</v>
      </c>
      <c r="BA25" s="17">
        <f t="shared" ref="BA25:BA31" si="418">KT25</f>
        <v>0</v>
      </c>
      <c r="BB25" s="17">
        <f t="shared" ref="BB25:BB31" si="419">KU25</f>
        <v>7</v>
      </c>
      <c r="BC25" s="17">
        <f t="shared" ref="BC25:BC31" si="420">KV25</f>
        <v>7</v>
      </c>
      <c r="BD25" s="17">
        <f t="shared" ref="BD25:BD31" si="421">KW25</f>
        <v>10</v>
      </c>
      <c r="BE25" s="17">
        <f t="shared" ref="BE25:BE31" si="422">KX25</f>
        <v>1</v>
      </c>
      <c r="BF25" s="17">
        <f t="shared" ref="BF25:BF31" si="423">KY25</f>
        <v>9</v>
      </c>
      <c r="BG25" s="17">
        <f t="shared" ref="BG25:BG31" si="424">KZ25</f>
        <v>1</v>
      </c>
      <c r="BH25" s="17">
        <f t="shared" ref="BH25:BH31" si="425">LA25</f>
        <v>0</v>
      </c>
      <c r="BI25" s="17">
        <f t="shared" ref="BI25:BI31" si="426">LB25</f>
        <v>10</v>
      </c>
      <c r="BJ25" s="17">
        <f t="shared" ref="BJ25:BJ31" si="427">LC25</f>
        <v>1</v>
      </c>
      <c r="BK25" s="17">
        <f t="shared" ref="BK25:BK31" si="428">LD25</f>
        <v>0</v>
      </c>
      <c r="BL25" s="17">
        <f t="shared" ref="BL25:BL31" si="429">LE25</f>
        <v>0</v>
      </c>
      <c r="BM25" s="17">
        <f t="shared" ref="BM25:BM31" si="430">LF25</f>
        <v>0</v>
      </c>
      <c r="BN25" s="17">
        <f t="shared" ref="BN25:BN31" si="431">LG25</f>
        <v>0</v>
      </c>
      <c r="BO25" s="17">
        <f t="shared" ref="BO25:BO31" si="432">LH25</f>
        <v>0</v>
      </c>
      <c r="BP25" s="17">
        <f t="shared" ref="BP25:BP31" si="433">LI25</f>
        <v>0</v>
      </c>
      <c r="BQ25" s="17">
        <f t="shared" ref="BQ25:BQ31" si="434">LJ25</f>
        <v>0</v>
      </c>
      <c r="BR25" s="17">
        <f t="shared" ref="BR25:BR31" si="435">LK25</f>
        <v>0</v>
      </c>
      <c r="BS25" s="17">
        <f t="shared" ref="BS25:BS31" si="436">LL25</f>
        <v>0</v>
      </c>
      <c r="BT25" s="17">
        <f t="shared" ref="BT25:BT31" si="437">LM25</f>
        <v>0</v>
      </c>
      <c r="BU25" s="17">
        <f t="shared" ref="BU25:BU31" si="438">LN25</f>
        <v>0</v>
      </c>
      <c r="BV25" s="17">
        <f t="shared" ref="BV25:BV31" si="439">LO25</f>
        <v>0</v>
      </c>
      <c r="BW25" s="17">
        <f t="shared" ref="BW25:BW31" si="440">LP25</f>
        <v>0</v>
      </c>
      <c r="BX25" s="17">
        <f t="shared" ref="BX25:BX31" si="441">LQ25</f>
        <v>0</v>
      </c>
      <c r="BY25" s="17">
        <f t="shared" ref="BY25:BY31" si="442">LR25</f>
        <v>0</v>
      </c>
      <c r="BZ25" s="17">
        <f t="shared" ref="BZ25:BZ31" si="443">LS25</f>
        <v>0</v>
      </c>
      <c r="CA25" s="17">
        <f t="shared" ref="CA25:CA31" si="444">LT25</f>
        <v>0</v>
      </c>
      <c r="CB25" s="54">
        <f t="shared" ref="CB25:CB31" si="445">LU25</f>
        <v>0</v>
      </c>
      <c r="CC25" s="58">
        <f t="shared" si="208"/>
        <v>58</v>
      </c>
      <c r="CD25" s="58">
        <f t="shared" ca="1" si="103"/>
        <v>4.4615384615384617</v>
      </c>
      <c r="JJ25" s="4" t="s">
        <v>13</v>
      </c>
      <c r="JK25" s="152" t="str">
        <f t="shared" si="42"/>
        <v>SUK01-PHR-MIO-01</v>
      </c>
      <c r="JL25" s="163">
        <v>1</v>
      </c>
      <c r="JM25" s="158">
        <v>1</v>
      </c>
      <c r="JN25" s="158">
        <v>1</v>
      </c>
      <c r="JO25" s="159">
        <v>0</v>
      </c>
      <c r="JP25" s="158">
        <v>1</v>
      </c>
      <c r="JQ25" s="158">
        <v>1</v>
      </c>
      <c r="JR25" s="158">
        <v>1</v>
      </c>
      <c r="JS25" s="158">
        <v>1</v>
      </c>
      <c r="JT25" s="158">
        <v>1</v>
      </c>
      <c r="JU25" s="158">
        <v>1</v>
      </c>
      <c r="JV25" s="158">
        <v>0</v>
      </c>
      <c r="JW25" s="159">
        <v>1</v>
      </c>
      <c r="JX25" s="159">
        <v>1</v>
      </c>
      <c r="JY25" s="159">
        <v>0</v>
      </c>
      <c r="JZ25" s="158"/>
      <c r="KA25" s="158"/>
      <c r="KB25" s="158"/>
      <c r="KC25" s="158"/>
      <c r="KD25" s="158"/>
      <c r="KE25" s="158"/>
      <c r="KF25" s="158"/>
      <c r="KG25" s="158"/>
      <c r="KH25" s="159"/>
      <c r="KI25" s="159"/>
      <c r="KJ25" s="158"/>
      <c r="KK25" s="158"/>
      <c r="KL25" s="158"/>
      <c r="KM25" s="158"/>
      <c r="KN25" s="158"/>
      <c r="KO25" s="158"/>
      <c r="KP25" s="164"/>
      <c r="KQ25" s="157">
        <v>1</v>
      </c>
      <c r="KR25" s="157">
        <v>11</v>
      </c>
      <c r="KS25" s="157">
        <v>0</v>
      </c>
      <c r="KT25" s="157">
        <v>0</v>
      </c>
      <c r="KU25" s="157">
        <v>7</v>
      </c>
      <c r="KV25" s="157">
        <v>7</v>
      </c>
      <c r="KW25" s="157">
        <v>10</v>
      </c>
      <c r="KX25" s="157">
        <v>1</v>
      </c>
      <c r="KY25" s="157">
        <v>9</v>
      </c>
      <c r="KZ25" s="157">
        <v>1</v>
      </c>
      <c r="LA25" s="157">
        <v>0</v>
      </c>
      <c r="LB25" s="157">
        <v>10</v>
      </c>
      <c r="LC25" s="157">
        <v>1</v>
      </c>
      <c r="LD25" s="157">
        <v>0</v>
      </c>
      <c r="LE25" s="157"/>
      <c r="LF25" s="157"/>
      <c r="LG25" s="157"/>
      <c r="LH25" s="157"/>
      <c r="LI25" s="157"/>
      <c r="LJ25" s="157"/>
      <c r="LK25" s="157"/>
      <c r="LL25" s="157"/>
      <c r="LM25" s="157"/>
      <c r="LN25" s="157"/>
      <c r="LO25" s="157"/>
      <c r="LP25" s="157"/>
      <c r="LQ25" s="157"/>
      <c r="LR25" s="157"/>
      <c r="LS25" s="157"/>
      <c r="LT25" s="5"/>
      <c r="LU25" s="8"/>
    </row>
    <row r="26" spans="1:333" ht="16.2" customHeight="1">
      <c r="A26" s="38" t="s">
        <v>9</v>
      </c>
      <c r="B26" s="25" t="s">
        <v>10</v>
      </c>
      <c r="C26" s="26" t="s">
        <v>382</v>
      </c>
      <c r="D26" s="25" t="s">
        <v>211</v>
      </c>
      <c r="E26" s="27" t="s">
        <v>41</v>
      </c>
      <c r="F26" s="25" t="s">
        <v>532</v>
      </c>
      <c r="G26" s="25" t="s">
        <v>432</v>
      </c>
      <c r="H26" s="28" t="s">
        <v>433</v>
      </c>
      <c r="I26" s="29" t="s">
        <v>212</v>
      </c>
      <c r="J26" s="30">
        <v>1</v>
      </c>
      <c r="K26" s="147">
        <v>1</v>
      </c>
      <c r="L26" s="147">
        <f t="shared" si="379"/>
        <v>0</v>
      </c>
      <c r="M26" s="147">
        <f t="shared" si="380"/>
        <v>0</v>
      </c>
      <c r="N26" s="147">
        <f t="shared" si="381"/>
        <v>0</v>
      </c>
      <c r="O26" s="147">
        <f t="shared" si="382"/>
        <v>1</v>
      </c>
      <c r="P26" s="148">
        <f t="shared" si="383"/>
        <v>1</v>
      </c>
      <c r="Q26" s="50">
        <f t="shared" si="384"/>
        <v>0</v>
      </c>
      <c r="R26" s="17">
        <f t="shared" si="385"/>
        <v>0</v>
      </c>
      <c r="S26" s="17">
        <f t="shared" si="386"/>
        <v>0</v>
      </c>
      <c r="T26" s="17">
        <f t="shared" si="387"/>
        <v>0</v>
      </c>
      <c r="U26" s="17">
        <f t="shared" si="388"/>
        <v>0</v>
      </c>
      <c r="V26" s="17">
        <f t="shared" si="389"/>
        <v>0</v>
      </c>
      <c r="W26" s="17">
        <f t="shared" si="390"/>
        <v>0</v>
      </c>
      <c r="X26" s="17">
        <f t="shared" si="391"/>
        <v>0</v>
      </c>
      <c r="Y26" s="17">
        <f t="shared" si="392"/>
        <v>0</v>
      </c>
      <c r="Z26" s="17">
        <f t="shared" si="393"/>
        <v>0</v>
      </c>
      <c r="AA26" s="17">
        <f t="shared" si="394"/>
        <v>0</v>
      </c>
      <c r="AB26" s="17">
        <f t="shared" si="395"/>
        <v>0</v>
      </c>
      <c r="AC26" s="17">
        <f t="shared" si="396"/>
        <v>0</v>
      </c>
      <c r="AD26" s="17">
        <f t="shared" si="397"/>
        <v>0</v>
      </c>
      <c r="AE26" s="17">
        <f t="shared" si="398"/>
        <v>0</v>
      </c>
      <c r="AF26" s="17">
        <f t="shared" si="399"/>
        <v>0</v>
      </c>
      <c r="AG26" s="17">
        <f t="shared" si="400"/>
        <v>0</v>
      </c>
      <c r="AH26" s="17">
        <f t="shared" si="401"/>
        <v>0</v>
      </c>
      <c r="AI26" s="17">
        <f t="shared" si="402"/>
        <v>0</v>
      </c>
      <c r="AJ26" s="17">
        <f t="shared" si="403"/>
        <v>0</v>
      </c>
      <c r="AK26" s="17">
        <f t="shared" si="404"/>
        <v>0</v>
      </c>
      <c r="AL26" s="17">
        <f t="shared" si="405"/>
        <v>0</v>
      </c>
      <c r="AM26" s="17">
        <f t="shared" si="406"/>
        <v>0</v>
      </c>
      <c r="AN26" s="17">
        <f t="shared" si="407"/>
        <v>0</v>
      </c>
      <c r="AO26" s="17">
        <f t="shared" si="408"/>
        <v>0</v>
      </c>
      <c r="AP26" s="17">
        <f t="shared" si="409"/>
        <v>0</v>
      </c>
      <c r="AQ26" s="17">
        <f t="shared" si="410"/>
        <v>0</v>
      </c>
      <c r="AR26" s="17">
        <f t="shared" si="411"/>
        <v>0</v>
      </c>
      <c r="AS26" s="17">
        <f t="shared" si="412"/>
        <v>0</v>
      </c>
      <c r="AT26" s="17">
        <f t="shared" si="413"/>
        <v>0</v>
      </c>
      <c r="AU26" s="54">
        <f t="shared" si="414"/>
        <v>0</v>
      </c>
      <c r="AV26" s="58">
        <f t="shared" si="40"/>
        <v>0</v>
      </c>
      <c r="AW26" s="58">
        <f t="shared" ca="1" si="73"/>
        <v>0</v>
      </c>
      <c r="AX26" s="50">
        <f t="shared" si="415"/>
        <v>0</v>
      </c>
      <c r="AY26" s="17">
        <f t="shared" si="416"/>
        <v>0</v>
      </c>
      <c r="AZ26" s="17">
        <f t="shared" si="417"/>
        <v>0</v>
      </c>
      <c r="BA26" s="17">
        <f t="shared" si="418"/>
        <v>0</v>
      </c>
      <c r="BB26" s="17">
        <f t="shared" si="419"/>
        <v>0</v>
      </c>
      <c r="BC26" s="17">
        <f t="shared" si="420"/>
        <v>0</v>
      </c>
      <c r="BD26" s="17">
        <f t="shared" si="421"/>
        <v>1</v>
      </c>
      <c r="BE26" s="17">
        <f t="shared" si="422"/>
        <v>0</v>
      </c>
      <c r="BF26" s="17">
        <f t="shared" si="423"/>
        <v>0</v>
      </c>
      <c r="BG26" s="17">
        <f t="shared" si="424"/>
        <v>0</v>
      </c>
      <c r="BH26" s="17">
        <f t="shared" si="425"/>
        <v>0</v>
      </c>
      <c r="BI26" s="17">
        <f t="shared" si="426"/>
        <v>0</v>
      </c>
      <c r="BJ26" s="17">
        <f t="shared" si="427"/>
        <v>0</v>
      </c>
      <c r="BK26" s="17">
        <f t="shared" si="428"/>
        <v>0</v>
      </c>
      <c r="BL26" s="17">
        <f t="shared" si="429"/>
        <v>0</v>
      </c>
      <c r="BM26" s="17">
        <f t="shared" si="430"/>
        <v>0</v>
      </c>
      <c r="BN26" s="17">
        <f t="shared" si="431"/>
        <v>0</v>
      </c>
      <c r="BO26" s="17">
        <f t="shared" si="432"/>
        <v>0</v>
      </c>
      <c r="BP26" s="17">
        <f t="shared" si="433"/>
        <v>0</v>
      </c>
      <c r="BQ26" s="17">
        <f t="shared" si="434"/>
        <v>0</v>
      </c>
      <c r="BR26" s="17">
        <f t="shared" si="435"/>
        <v>0</v>
      </c>
      <c r="BS26" s="17">
        <f t="shared" si="436"/>
        <v>0</v>
      </c>
      <c r="BT26" s="17">
        <f t="shared" si="437"/>
        <v>0</v>
      </c>
      <c r="BU26" s="17">
        <f t="shared" si="438"/>
        <v>0</v>
      </c>
      <c r="BV26" s="17">
        <f t="shared" si="439"/>
        <v>0</v>
      </c>
      <c r="BW26" s="17">
        <f t="shared" si="440"/>
        <v>0</v>
      </c>
      <c r="BX26" s="17">
        <f t="shared" si="441"/>
        <v>0</v>
      </c>
      <c r="BY26" s="17">
        <f t="shared" si="442"/>
        <v>0</v>
      </c>
      <c r="BZ26" s="17">
        <f t="shared" si="443"/>
        <v>0</v>
      </c>
      <c r="CA26" s="17">
        <f t="shared" si="444"/>
        <v>0</v>
      </c>
      <c r="CB26" s="54">
        <f t="shared" si="445"/>
        <v>0</v>
      </c>
      <c r="CC26" s="58">
        <f t="shared" si="208"/>
        <v>1</v>
      </c>
      <c r="CD26" s="58">
        <f t="shared" ca="1" si="103"/>
        <v>0</v>
      </c>
      <c r="JJ26" s="4" t="s">
        <v>13</v>
      </c>
      <c r="JK26" s="152" t="str">
        <f t="shared" si="42"/>
        <v>SUK01-PHR-MIO-02</v>
      </c>
      <c r="JL26" s="163">
        <v>0</v>
      </c>
      <c r="JM26" s="158">
        <v>0</v>
      </c>
      <c r="JN26" s="158">
        <v>0</v>
      </c>
      <c r="JO26" s="159">
        <v>0</v>
      </c>
      <c r="JP26" s="158">
        <v>0</v>
      </c>
      <c r="JQ26" s="158">
        <v>0</v>
      </c>
      <c r="JR26" s="158">
        <v>0</v>
      </c>
      <c r="JS26" s="158">
        <v>0</v>
      </c>
      <c r="JT26" s="158">
        <v>0</v>
      </c>
      <c r="JU26" s="158">
        <v>0</v>
      </c>
      <c r="JV26" s="158">
        <v>0</v>
      </c>
      <c r="JW26" s="159">
        <v>0</v>
      </c>
      <c r="JX26" s="159">
        <v>0</v>
      </c>
      <c r="JY26" s="159">
        <v>0</v>
      </c>
      <c r="JZ26" s="158"/>
      <c r="KA26" s="158"/>
      <c r="KB26" s="158"/>
      <c r="KC26" s="158"/>
      <c r="KD26" s="158"/>
      <c r="KE26" s="158"/>
      <c r="KF26" s="158"/>
      <c r="KG26" s="158"/>
      <c r="KH26" s="159"/>
      <c r="KI26" s="159"/>
      <c r="KJ26" s="158"/>
      <c r="KK26" s="158"/>
      <c r="KL26" s="158"/>
      <c r="KM26" s="158"/>
      <c r="KN26" s="158"/>
      <c r="KO26" s="158"/>
      <c r="KP26" s="164"/>
      <c r="KQ26" s="157">
        <v>0</v>
      </c>
      <c r="KR26" s="157">
        <v>0</v>
      </c>
      <c r="KS26" s="157">
        <v>0</v>
      </c>
      <c r="KT26" s="157">
        <v>0</v>
      </c>
      <c r="KU26" s="157">
        <v>0</v>
      </c>
      <c r="KV26" s="157">
        <v>0</v>
      </c>
      <c r="KW26" s="157">
        <v>1</v>
      </c>
      <c r="KX26" s="157">
        <v>0</v>
      </c>
      <c r="KY26" s="157">
        <v>0</v>
      </c>
      <c r="KZ26" s="157">
        <v>0</v>
      </c>
      <c r="LA26" s="157">
        <v>0</v>
      </c>
      <c r="LB26" s="157">
        <v>0</v>
      </c>
      <c r="LC26" s="157">
        <v>0</v>
      </c>
      <c r="LD26" s="157">
        <v>0</v>
      </c>
      <c r="LE26" s="157"/>
      <c r="LF26" s="157"/>
      <c r="LG26" s="157"/>
      <c r="LH26" s="157"/>
      <c r="LI26" s="157"/>
      <c r="LJ26" s="157"/>
      <c r="LK26" s="157"/>
      <c r="LL26" s="157"/>
      <c r="LM26" s="157"/>
      <c r="LN26" s="157"/>
      <c r="LO26" s="157"/>
      <c r="LP26" s="157"/>
      <c r="LQ26" s="157"/>
      <c r="LR26" s="157"/>
      <c r="LS26" s="157"/>
      <c r="LT26" s="5"/>
      <c r="LU26" s="8"/>
    </row>
    <row r="27" spans="1:333" ht="16.2" customHeight="1">
      <c r="A27" s="38" t="s">
        <v>9</v>
      </c>
      <c r="B27" s="25" t="s">
        <v>10</v>
      </c>
      <c r="C27" s="26" t="s">
        <v>382</v>
      </c>
      <c r="D27" s="25" t="s">
        <v>213</v>
      </c>
      <c r="E27" s="27" t="s">
        <v>42</v>
      </c>
      <c r="F27" s="25" t="s">
        <v>449</v>
      </c>
      <c r="G27" s="25" t="s">
        <v>43</v>
      </c>
      <c r="H27" s="28">
        <v>44566</v>
      </c>
      <c r="I27" s="29" t="s">
        <v>214</v>
      </c>
      <c r="J27" s="30">
        <v>1</v>
      </c>
      <c r="K27" s="147">
        <v>0</v>
      </c>
      <c r="L27" s="147">
        <f t="shared" si="379"/>
        <v>1</v>
      </c>
      <c r="M27" s="147">
        <f t="shared" si="380"/>
        <v>1</v>
      </c>
      <c r="N27" s="147">
        <f t="shared" si="381"/>
        <v>1</v>
      </c>
      <c r="O27" s="147">
        <f t="shared" si="382"/>
        <v>1</v>
      </c>
      <c r="P27" s="148">
        <f t="shared" si="383"/>
        <v>1</v>
      </c>
      <c r="Q27" s="50">
        <f t="shared" si="384"/>
        <v>1</v>
      </c>
      <c r="R27" s="17">
        <f t="shared" si="385"/>
        <v>1</v>
      </c>
      <c r="S27" s="17">
        <f t="shared" si="386"/>
        <v>1</v>
      </c>
      <c r="T27" s="17">
        <f t="shared" si="387"/>
        <v>0</v>
      </c>
      <c r="U27" s="17">
        <f t="shared" si="388"/>
        <v>1</v>
      </c>
      <c r="V27" s="17">
        <f t="shared" si="389"/>
        <v>1</v>
      </c>
      <c r="W27" s="17">
        <f t="shared" si="390"/>
        <v>1</v>
      </c>
      <c r="X27" s="17">
        <f t="shared" si="391"/>
        <v>1</v>
      </c>
      <c r="Y27" s="17">
        <f t="shared" si="392"/>
        <v>1</v>
      </c>
      <c r="Z27" s="17">
        <f t="shared" si="393"/>
        <v>1</v>
      </c>
      <c r="AA27" s="17">
        <f t="shared" si="394"/>
        <v>0</v>
      </c>
      <c r="AB27" s="17">
        <f t="shared" si="395"/>
        <v>1</v>
      </c>
      <c r="AC27" s="17">
        <f t="shared" si="396"/>
        <v>1</v>
      </c>
      <c r="AD27" s="17">
        <f t="shared" si="397"/>
        <v>1</v>
      </c>
      <c r="AE27" s="17">
        <f t="shared" si="398"/>
        <v>0</v>
      </c>
      <c r="AF27" s="17">
        <f t="shared" si="399"/>
        <v>0</v>
      </c>
      <c r="AG27" s="17">
        <f t="shared" si="400"/>
        <v>0</v>
      </c>
      <c r="AH27" s="17">
        <f t="shared" si="401"/>
        <v>0</v>
      </c>
      <c r="AI27" s="17">
        <f t="shared" si="402"/>
        <v>0</v>
      </c>
      <c r="AJ27" s="17">
        <f t="shared" si="403"/>
        <v>0</v>
      </c>
      <c r="AK27" s="17">
        <f t="shared" si="404"/>
        <v>0</v>
      </c>
      <c r="AL27" s="17">
        <f t="shared" si="405"/>
        <v>0</v>
      </c>
      <c r="AM27" s="17">
        <f t="shared" si="406"/>
        <v>0</v>
      </c>
      <c r="AN27" s="17">
        <f t="shared" si="407"/>
        <v>0</v>
      </c>
      <c r="AO27" s="17">
        <f t="shared" si="408"/>
        <v>0</v>
      </c>
      <c r="AP27" s="17">
        <f t="shared" si="409"/>
        <v>0</v>
      </c>
      <c r="AQ27" s="17">
        <f t="shared" si="410"/>
        <v>0</v>
      </c>
      <c r="AR27" s="17">
        <f t="shared" si="411"/>
        <v>0</v>
      </c>
      <c r="AS27" s="17">
        <f t="shared" si="412"/>
        <v>0</v>
      </c>
      <c r="AT27" s="17">
        <f t="shared" si="413"/>
        <v>0</v>
      </c>
      <c r="AU27" s="54">
        <f t="shared" si="414"/>
        <v>0</v>
      </c>
      <c r="AV27" s="58">
        <f t="shared" si="40"/>
        <v>12</v>
      </c>
      <c r="AW27" s="58">
        <f t="shared" ca="1" si="73"/>
        <v>0.92307692307692313</v>
      </c>
      <c r="AX27" s="50">
        <f t="shared" si="415"/>
        <v>10</v>
      </c>
      <c r="AY27" s="17">
        <f t="shared" si="416"/>
        <v>7</v>
      </c>
      <c r="AZ27" s="17">
        <f t="shared" si="417"/>
        <v>8</v>
      </c>
      <c r="BA27" s="17">
        <f t="shared" si="418"/>
        <v>0</v>
      </c>
      <c r="BB27" s="17">
        <f t="shared" si="419"/>
        <v>5</v>
      </c>
      <c r="BC27" s="17">
        <f t="shared" si="420"/>
        <v>10</v>
      </c>
      <c r="BD27" s="17">
        <f t="shared" si="421"/>
        <v>1</v>
      </c>
      <c r="BE27" s="17">
        <f t="shared" si="422"/>
        <v>6</v>
      </c>
      <c r="BF27" s="17">
        <f t="shared" si="423"/>
        <v>4</v>
      </c>
      <c r="BG27" s="17">
        <f t="shared" si="424"/>
        <v>9</v>
      </c>
      <c r="BH27" s="17">
        <f t="shared" si="425"/>
        <v>0</v>
      </c>
      <c r="BI27" s="17">
        <f t="shared" si="426"/>
        <v>7</v>
      </c>
      <c r="BJ27" s="17">
        <f t="shared" si="427"/>
        <v>11</v>
      </c>
      <c r="BK27" s="17">
        <f t="shared" si="428"/>
        <v>3</v>
      </c>
      <c r="BL27" s="17">
        <f t="shared" si="429"/>
        <v>0</v>
      </c>
      <c r="BM27" s="17">
        <f t="shared" si="430"/>
        <v>0</v>
      </c>
      <c r="BN27" s="17">
        <f t="shared" si="431"/>
        <v>0</v>
      </c>
      <c r="BO27" s="17">
        <f t="shared" si="432"/>
        <v>0</v>
      </c>
      <c r="BP27" s="17">
        <f t="shared" si="433"/>
        <v>0</v>
      </c>
      <c r="BQ27" s="17">
        <f t="shared" si="434"/>
        <v>0</v>
      </c>
      <c r="BR27" s="17">
        <f t="shared" si="435"/>
        <v>0</v>
      </c>
      <c r="BS27" s="17">
        <f t="shared" si="436"/>
        <v>0</v>
      </c>
      <c r="BT27" s="17">
        <f t="shared" si="437"/>
        <v>0</v>
      </c>
      <c r="BU27" s="17">
        <f t="shared" si="438"/>
        <v>0</v>
      </c>
      <c r="BV27" s="17">
        <f t="shared" si="439"/>
        <v>0</v>
      </c>
      <c r="BW27" s="17">
        <f t="shared" si="440"/>
        <v>0</v>
      </c>
      <c r="BX27" s="17">
        <f t="shared" si="441"/>
        <v>0</v>
      </c>
      <c r="BY27" s="17">
        <f t="shared" si="442"/>
        <v>0</v>
      </c>
      <c r="BZ27" s="17">
        <f t="shared" si="443"/>
        <v>0</v>
      </c>
      <c r="CA27" s="17">
        <f t="shared" si="444"/>
        <v>0</v>
      </c>
      <c r="CB27" s="54">
        <f t="shared" si="445"/>
        <v>0</v>
      </c>
      <c r="CC27" s="58">
        <f t="shared" si="208"/>
        <v>81</v>
      </c>
      <c r="CD27" s="58">
        <f t="shared" ca="1" si="103"/>
        <v>6.2307692307692308</v>
      </c>
      <c r="JJ27" s="4" t="s">
        <v>13</v>
      </c>
      <c r="JK27" s="152" t="str">
        <f t="shared" si="42"/>
        <v>SUK01-PHR-MIO-03</v>
      </c>
      <c r="JL27" s="163">
        <v>1</v>
      </c>
      <c r="JM27" s="158">
        <v>1</v>
      </c>
      <c r="JN27" s="158">
        <v>1</v>
      </c>
      <c r="JO27" s="159">
        <v>0</v>
      </c>
      <c r="JP27" s="158">
        <v>1</v>
      </c>
      <c r="JQ27" s="158">
        <v>1</v>
      </c>
      <c r="JR27" s="158">
        <v>1</v>
      </c>
      <c r="JS27" s="158">
        <v>1</v>
      </c>
      <c r="JT27" s="158">
        <v>1</v>
      </c>
      <c r="JU27" s="158">
        <v>1</v>
      </c>
      <c r="JV27" s="158">
        <v>0</v>
      </c>
      <c r="JW27" s="159">
        <v>1</v>
      </c>
      <c r="JX27" s="159">
        <v>1</v>
      </c>
      <c r="JY27" s="159">
        <v>1</v>
      </c>
      <c r="JZ27" s="158"/>
      <c r="KA27" s="158"/>
      <c r="KB27" s="158"/>
      <c r="KC27" s="158"/>
      <c r="KD27" s="158"/>
      <c r="KE27" s="158"/>
      <c r="KF27" s="158"/>
      <c r="KG27" s="158"/>
      <c r="KH27" s="159"/>
      <c r="KI27" s="159"/>
      <c r="KJ27" s="158"/>
      <c r="KK27" s="158"/>
      <c r="KL27" s="158"/>
      <c r="KM27" s="158"/>
      <c r="KN27" s="158"/>
      <c r="KO27" s="158"/>
      <c r="KP27" s="164"/>
      <c r="KQ27" s="157">
        <v>10</v>
      </c>
      <c r="KR27" s="157">
        <v>7</v>
      </c>
      <c r="KS27" s="157">
        <v>8</v>
      </c>
      <c r="KT27" s="157">
        <v>0</v>
      </c>
      <c r="KU27" s="157">
        <v>5</v>
      </c>
      <c r="KV27" s="157">
        <v>10</v>
      </c>
      <c r="KW27" s="157">
        <v>1</v>
      </c>
      <c r="KX27" s="157">
        <v>6</v>
      </c>
      <c r="KY27" s="157">
        <v>4</v>
      </c>
      <c r="KZ27" s="157">
        <v>9</v>
      </c>
      <c r="LA27" s="157">
        <v>0</v>
      </c>
      <c r="LB27" s="157">
        <v>7</v>
      </c>
      <c r="LC27" s="157">
        <v>11</v>
      </c>
      <c r="LD27" s="157">
        <v>3</v>
      </c>
      <c r="LE27" s="157"/>
      <c r="LF27" s="157"/>
      <c r="LG27" s="157"/>
      <c r="LH27" s="157"/>
      <c r="LI27" s="157"/>
      <c r="LJ27" s="157"/>
      <c r="LK27" s="157"/>
      <c r="LL27" s="157"/>
      <c r="LM27" s="157"/>
      <c r="LN27" s="157"/>
      <c r="LO27" s="157"/>
      <c r="LP27" s="157"/>
      <c r="LQ27" s="157"/>
      <c r="LR27" s="157"/>
      <c r="LS27" s="157"/>
      <c r="LT27" s="5"/>
      <c r="LU27" s="8"/>
    </row>
    <row r="28" spans="1:333" ht="16.2" customHeight="1">
      <c r="A28" s="38" t="s">
        <v>9</v>
      </c>
      <c r="B28" s="25" t="s">
        <v>10</v>
      </c>
      <c r="C28" s="26" t="s">
        <v>382</v>
      </c>
      <c r="D28" s="25" t="s">
        <v>215</v>
      </c>
      <c r="E28" s="27" t="s">
        <v>44</v>
      </c>
      <c r="F28" s="25" t="s">
        <v>450</v>
      </c>
      <c r="G28" s="25" t="s">
        <v>25</v>
      </c>
      <c r="H28" s="28">
        <v>44776</v>
      </c>
      <c r="I28" s="29" t="s">
        <v>25</v>
      </c>
      <c r="J28" s="30">
        <v>1</v>
      </c>
      <c r="K28" s="147">
        <v>0</v>
      </c>
      <c r="L28" s="147">
        <f t="shared" si="379"/>
        <v>1</v>
      </c>
      <c r="M28" s="147">
        <f t="shared" si="380"/>
        <v>1</v>
      </c>
      <c r="N28" s="147">
        <f t="shared" si="381"/>
        <v>0</v>
      </c>
      <c r="O28" s="147">
        <f t="shared" si="382"/>
        <v>1</v>
      </c>
      <c r="P28" s="148">
        <f t="shared" si="383"/>
        <v>1</v>
      </c>
      <c r="Q28" s="50">
        <f t="shared" si="384"/>
        <v>1</v>
      </c>
      <c r="R28" s="17">
        <f t="shared" si="385"/>
        <v>1</v>
      </c>
      <c r="S28" s="17">
        <f t="shared" si="386"/>
        <v>1</v>
      </c>
      <c r="T28" s="17">
        <f t="shared" si="387"/>
        <v>0</v>
      </c>
      <c r="U28" s="17">
        <f t="shared" si="388"/>
        <v>1</v>
      </c>
      <c r="V28" s="17">
        <f t="shared" si="389"/>
        <v>1</v>
      </c>
      <c r="W28" s="17">
        <f t="shared" si="390"/>
        <v>1</v>
      </c>
      <c r="X28" s="17">
        <f t="shared" si="391"/>
        <v>1</v>
      </c>
      <c r="Y28" s="17">
        <f t="shared" si="392"/>
        <v>1</v>
      </c>
      <c r="Z28" s="17">
        <f t="shared" si="393"/>
        <v>1</v>
      </c>
      <c r="AA28" s="17">
        <f t="shared" si="394"/>
        <v>0</v>
      </c>
      <c r="AB28" s="17">
        <f t="shared" si="395"/>
        <v>1</v>
      </c>
      <c r="AC28" s="17">
        <f t="shared" si="396"/>
        <v>1</v>
      </c>
      <c r="AD28" s="17">
        <f t="shared" si="397"/>
        <v>1</v>
      </c>
      <c r="AE28" s="17">
        <f t="shared" si="398"/>
        <v>0</v>
      </c>
      <c r="AF28" s="17">
        <f t="shared" si="399"/>
        <v>0</v>
      </c>
      <c r="AG28" s="17">
        <f t="shared" si="400"/>
        <v>0</v>
      </c>
      <c r="AH28" s="17">
        <f t="shared" si="401"/>
        <v>0</v>
      </c>
      <c r="AI28" s="17">
        <f t="shared" si="402"/>
        <v>0</v>
      </c>
      <c r="AJ28" s="17">
        <f t="shared" si="403"/>
        <v>0</v>
      </c>
      <c r="AK28" s="17">
        <f t="shared" si="404"/>
        <v>0</v>
      </c>
      <c r="AL28" s="17">
        <f t="shared" si="405"/>
        <v>0</v>
      </c>
      <c r="AM28" s="17">
        <f t="shared" si="406"/>
        <v>0</v>
      </c>
      <c r="AN28" s="17">
        <f t="shared" si="407"/>
        <v>0</v>
      </c>
      <c r="AO28" s="17">
        <f t="shared" si="408"/>
        <v>0</v>
      </c>
      <c r="AP28" s="17">
        <f t="shared" si="409"/>
        <v>0</v>
      </c>
      <c r="AQ28" s="17">
        <f t="shared" si="410"/>
        <v>0</v>
      </c>
      <c r="AR28" s="17">
        <f t="shared" si="411"/>
        <v>0</v>
      </c>
      <c r="AS28" s="17">
        <f t="shared" si="412"/>
        <v>0</v>
      </c>
      <c r="AT28" s="17">
        <f t="shared" si="413"/>
        <v>0</v>
      </c>
      <c r="AU28" s="54">
        <f t="shared" si="414"/>
        <v>0</v>
      </c>
      <c r="AV28" s="58">
        <f t="shared" si="40"/>
        <v>12</v>
      </c>
      <c r="AW28" s="58">
        <f t="shared" ca="1" si="73"/>
        <v>0.92307692307692313</v>
      </c>
      <c r="AX28" s="50">
        <f t="shared" si="415"/>
        <v>11</v>
      </c>
      <c r="AY28" s="17">
        <f t="shared" si="416"/>
        <v>12</v>
      </c>
      <c r="AZ28" s="17">
        <f t="shared" si="417"/>
        <v>8</v>
      </c>
      <c r="BA28" s="17">
        <f t="shared" si="418"/>
        <v>0</v>
      </c>
      <c r="BB28" s="17">
        <f t="shared" si="419"/>
        <v>11</v>
      </c>
      <c r="BC28" s="17">
        <f t="shared" si="420"/>
        <v>12</v>
      </c>
      <c r="BD28" s="17">
        <f t="shared" si="421"/>
        <v>12</v>
      </c>
      <c r="BE28" s="17">
        <f t="shared" si="422"/>
        <v>16</v>
      </c>
      <c r="BF28" s="17">
        <f t="shared" si="423"/>
        <v>12</v>
      </c>
      <c r="BG28" s="17">
        <f t="shared" si="424"/>
        <v>8</v>
      </c>
      <c r="BH28" s="17">
        <f t="shared" si="425"/>
        <v>0</v>
      </c>
      <c r="BI28" s="17">
        <f t="shared" si="426"/>
        <v>12</v>
      </c>
      <c r="BJ28" s="17">
        <f t="shared" si="427"/>
        <v>12</v>
      </c>
      <c r="BK28" s="17">
        <f t="shared" si="428"/>
        <v>0</v>
      </c>
      <c r="BL28" s="17">
        <f t="shared" si="429"/>
        <v>0</v>
      </c>
      <c r="BM28" s="17">
        <f t="shared" si="430"/>
        <v>0</v>
      </c>
      <c r="BN28" s="17">
        <f t="shared" si="431"/>
        <v>0</v>
      </c>
      <c r="BO28" s="17">
        <f t="shared" si="432"/>
        <v>0</v>
      </c>
      <c r="BP28" s="17">
        <f t="shared" si="433"/>
        <v>0</v>
      </c>
      <c r="BQ28" s="17">
        <f t="shared" si="434"/>
        <v>0</v>
      </c>
      <c r="BR28" s="17">
        <f t="shared" si="435"/>
        <v>0</v>
      </c>
      <c r="BS28" s="17">
        <f t="shared" si="436"/>
        <v>0</v>
      </c>
      <c r="BT28" s="17">
        <f t="shared" si="437"/>
        <v>0</v>
      </c>
      <c r="BU28" s="17">
        <f t="shared" si="438"/>
        <v>0</v>
      </c>
      <c r="BV28" s="17">
        <f t="shared" si="439"/>
        <v>0</v>
      </c>
      <c r="BW28" s="17">
        <f t="shared" si="440"/>
        <v>0</v>
      </c>
      <c r="BX28" s="17">
        <f t="shared" si="441"/>
        <v>0</v>
      </c>
      <c r="BY28" s="17">
        <f t="shared" si="442"/>
        <v>0</v>
      </c>
      <c r="BZ28" s="17">
        <f t="shared" si="443"/>
        <v>0</v>
      </c>
      <c r="CA28" s="17">
        <f t="shared" si="444"/>
        <v>0</v>
      </c>
      <c r="CB28" s="54">
        <f t="shared" si="445"/>
        <v>0</v>
      </c>
      <c r="CC28" s="58">
        <f t="shared" si="208"/>
        <v>126</v>
      </c>
      <c r="CD28" s="58">
        <f t="shared" ca="1" si="103"/>
        <v>9.6923076923076916</v>
      </c>
      <c r="JJ28" s="4" t="s">
        <v>13</v>
      </c>
      <c r="JK28" s="152" t="str">
        <f t="shared" si="42"/>
        <v>SUK01-PHR-MIO-04</v>
      </c>
      <c r="JL28" s="163">
        <v>1</v>
      </c>
      <c r="JM28" s="158">
        <v>1</v>
      </c>
      <c r="JN28" s="158">
        <v>1</v>
      </c>
      <c r="JO28" s="159">
        <v>0</v>
      </c>
      <c r="JP28" s="158">
        <v>1</v>
      </c>
      <c r="JQ28" s="158">
        <v>1</v>
      </c>
      <c r="JR28" s="158">
        <v>1</v>
      </c>
      <c r="JS28" s="158">
        <v>1</v>
      </c>
      <c r="JT28" s="158">
        <v>1</v>
      </c>
      <c r="JU28" s="158">
        <v>1</v>
      </c>
      <c r="JV28" s="158">
        <v>0</v>
      </c>
      <c r="JW28" s="159">
        <v>1</v>
      </c>
      <c r="JX28" s="159">
        <v>1</v>
      </c>
      <c r="JY28" s="159">
        <v>1</v>
      </c>
      <c r="JZ28" s="158"/>
      <c r="KA28" s="158"/>
      <c r="KB28" s="158"/>
      <c r="KC28" s="158"/>
      <c r="KD28" s="158"/>
      <c r="KE28" s="158"/>
      <c r="KF28" s="158"/>
      <c r="KG28" s="158"/>
      <c r="KH28" s="159"/>
      <c r="KI28" s="159"/>
      <c r="KJ28" s="158"/>
      <c r="KK28" s="158"/>
      <c r="KL28" s="158"/>
      <c r="KM28" s="158"/>
      <c r="KN28" s="158"/>
      <c r="KO28" s="158"/>
      <c r="KP28" s="164"/>
      <c r="KQ28" s="157">
        <v>11</v>
      </c>
      <c r="KR28" s="157">
        <v>12</v>
      </c>
      <c r="KS28" s="157">
        <v>8</v>
      </c>
      <c r="KT28" s="157">
        <v>0</v>
      </c>
      <c r="KU28" s="157">
        <v>11</v>
      </c>
      <c r="KV28" s="157">
        <v>12</v>
      </c>
      <c r="KW28" s="157">
        <v>12</v>
      </c>
      <c r="KX28" s="157">
        <v>16</v>
      </c>
      <c r="KY28" s="157">
        <v>12</v>
      </c>
      <c r="KZ28" s="157">
        <v>8</v>
      </c>
      <c r="LA28" s="157">
        <v>0</v>
      </c>
      <c r="LB28" s="157">
        <v>12</v>
      </c>
      <c r="LC28" s="157">
        <v>12</v>
      </c>
      <c r="LD28" s="157">
        <v>0</v>
      </c>
      <c r="LE28" s="157"/>
      <c r="LF28" s="157"/>
      <c r="LG28" s="157"/>
      <c r="LH28" s="157"/>
      <c r="LI28" s="157"/>
      <c r="LJ28" s="157"/>
      <c r="LK28" s="157"/>
      <c r="LL28" s="157"/>
      <c r="LM28" s="157"/>
      <c r="LN28" s="157"/>
      <c r="LO28" s="157"/>
      <c r="LP28" s="157"/>
      <c r="LQ28" s="157"/>
      <c r="LR28" s="157"/>
      <c r="LS28" s="157"/>
      <c r="LT28" s="5"/>
      <c r="LU28" s="8"/>
    </row>
    <row r="29" spans="1:333" ht="16.2" customHeight="1">
      <c r="A29" s="38" t="s">
        <v>9</v>
      </c>
      <c r="B29" s="25" t="s">
        <v>10</v>
      </c>
      <c r="C29" s="26" t="s">
        <v>382</v>
      </c>
      <c r="D29" s="25" t="s">
        <v>216</v>
      </c>
      <c r="E29" s="27" t="s">
        <v>45</v>
      </c>
      <c r="F29" s="25" t="s">
        <v>451</v>
      </c>
      <c r="G29" s="25" t="s">
        <v>217</v>
      </c>
      <c r="H29" s="28">
        <v>45173</v>
      </c>
      <c r="I29" s="29" t="s">
        <v>218</v>
      </c>
      <c r="J29" s="30">
        <v>1</v>
      </c>
      <c r="K29" s="147">
        <v>0</v>
      </c>
      <c r="L29" s="147">
        <f t="shared" si="379"/>
        <v>1</v>
      </c>
      <c r="M29" s="147">
        <f t="shared" si="380"/>
        <v>1</v>
      </c>
      <c r="N29" s="147">
        <f t="shared" si="381"/>
        <v>0</v>
      </c>
      <c r="O29" s="147">
        <f t="shared" si="382"/>
        <v>1</v>
      </c>
      <c r="P29" s="148">
        <f t="shared" si="383"/>
        <v>1</v>
      </c>
      <c r="Q29" s="50">
        <f t="shared" si="384"/>
        <v>1</v>
      </c>
      <c r="R29" s="17">
        <f t="shared" si="385"/>
        <v>1</v>
      </c>
      <c r="S29" s="17">
        <f t="shared" si="386"/>
        <v>1</v>
      </c>
      <c r="T29" s="17">
        <f t="shared" si="387"/>
        <v>0</v>
      </c>
      <c r="U29" s="17">
        <f t="shared" si="388"/>
        <v>1</v>
      </c>
      <c r="V29" s="17">
        <f t="shared" si="389"/>
        <v>1</v>
      </c>
      <c r="W29" s="17">
        <f t="shared" si="390"/>
        <v>1</v>
      </c>
      <c r="X29" s="17">
        <f t="shared" si="391"/>
        <v>1</v>
      </c>
      <c r="Y29" s="17">
        <f t="shared" si="392"/>
        <v>0</v>
      </c>
      <c r="Z29" s="17">
        <f t="shared" si="393"/>
        <v>0</v>
      </c>
      <c r="AA29" s="17">
        <f t="shared" si="394"/>
        <v>0</v>
      </c>
      <c r="AB29" s="17">
        <f t="shared" si="395"/>
        <v>1</v>
      </c>
      <c r="AC29" s="17">
        <f t="shared" si="396"/>
        <v>1</v>
      </c>
      <c r="AD29" s="17">
        <f t="shared" si="397"/>
        <v>1</v>
      </c>
      <c r="AE29" s="17">
        <f t="shared" si="398"/>
        <v>0</v>
      </c>
      <c r="AF29" s="17">
        <f t="shared" si="399"/>
        <v>0</v>
      </c>
      <c r="AG29" s="17">
        <f t="shared" si="400"/>
        <v>0</v>
      </c>
      <c r="AH29" s="17">
        <f t="shared" si="401"/>
        <v>0</v>
      </c>
      <c r="AI29" s="17">
        <f t="shared" si="402"/>
        <v>0</v>
      </c>
      <c r="AJ29" s="17">
        <f t="shared" si="403"/>
        <v>0</v>
      </c>
      <c r="AK29" s="17">
        <f t="shared" si="404"/>
        <v>0</v>
      </c>
      <c r="AL29" s="17">
        <f t="shared" si="405"/>
        <v>0</v>
      </c>
      <c r="AM29" s="17">
        <f t="shared" si="406"/>
        <v>0</v>
      </c>
      <c r="AN29" s="17">
        <f t="shared" si="407"/>
        <v>0</v>
      </c>
      <c r="AO29" s="17">
        <f t="shared" si="408"/>
        <v>0</v>
      </c>
      <c r="AP29" s="17">
        <f t="shared" si="409"/>
        <v>0</v>
      </c>
      <c r="AQ29" s="17">
        <f t="shared" si="410"/>
        <v>0</v>
      </c>
      <c r="AR29" s="17">
        <f t="shared" si="411"/>
        <v>0</v>
      </c>
      <c r="AS29" s="17">
        <f t="shared" si="412"/>
        <v>0</v>
      </c>
      <c r="AT29" s="17">
        <f t="shared" si="413"/>
        <v>0</v>
      </c>
      <c r="AU29" s="54">
        <f t="shared" si="414"/>
        <v>0</v>
      </c>
      <c r="AV29" s="58">
        <f t="shared" si="40"/>
        <v>10</v>
      </c>
      <c r="AW29" s="58">
        <f t="shared" ca="1" si="73"/>
        <v>0.76923076923076927</v>
      </c>
      <c r="AX29" s="50">
        <f t="shared" si="415"/>
        <v>1</v>
      </c>
      <c r="AY29" s="17">
        <f t="shared" si="416"/>
        <v>3</v>
      </c>
      <c r="AZ29" s="17">
        <f t="shared" si="417"/>
        <v>0</v>
      </c>
      <c r="BA29" s="17">
        <f t="shared" si="418"/>
        <v>0</v>
      </c>
      <c r="BB29" s="17">
        <f t="shared" si="419"/>
        <v>11</v>
      </c>
      <c r="BC29" s="17">
        <f t="shared" si="420"/>
        <v>0</v>
      </c>
      <c r="BD29" s="17">
        <f t="shared" si="421"/>
        <v>1</v>
      </c>
      <c r="BE29" s="17">
        <f t="shared" si="422"/>
        <v>4</v>
      </c>
      <c r="BF29" s="17">
        <f t="shared" si="423"/>
        <v>0</v>
      </c>
      <c r="BG29" s="17">
        <f t="shared" si="424"/>
        <v>0</v>
      </c>
      <c r="BH29" s="17">
        <f t="shared" si="425"/>
        <v>0</v>
      </c>
      <c r="BI29" s="17">
        <f t="shared" si="426"/>
        <v>2</v>
      </c>
      <c r="BJ29" s="17">
        <f t="shared" si="427"/>
        <v>0</v>
      </c>
      <c r="BK29" s="17">
        <f t="shared" si="428"/>
        <v>0</v>
      </c>
      <c r="BL29" s="17">
        <f t="shared" si="429"/>
        <v>0</v>
      </c>
      <c r="BM29" s="17">
        <f t="shared" si="430"/>
        <v>0</v>
      </c>
      <c r="BN29" s="17">
        <f t="shared" si="431"/>
        <v>0</v>
      </c>
      <c r="BO29" s="17">
        <f t="shared" si="432"/>
        <v>0</v>
      </c>
      <c r="BP29" s="17">
        <f t="shared" si="433"/>
        <v>0</v>
      </c>
      <c r="BQ29" s="17">
        <f t="shared" si="434"/>
        <v>0</v>
      </c>
      <c r="BR29" s="17">
        <f t="shared" si="435"/>
        <v>0</v>
      </c>
      <c r="BS29" s="17">
        <f t="shared" si="436"/>
        <v>0</v>
      </c>
      <c r="BT29" s="17">
        <f t="shared" si="437"/>
        <v>0</v>
      </c>
      <c r="BU29" s="17">
        <f t="shared" si="438"/>
        <v>0</v>
      </c>
      <c r="BV29" s="17">
        <f t="shared" si="439"/>
        <v>0</v>
      </c>
      <c r="BW29" s="17">
        <f t="shared" si="440"/>
        <v>0</v>
      </c>
      <c r="BX29" s="17">
        <f t="shared" si="441"/>
        <v>0</v>
      </c>
      <c r="BY29" s="17">
        <f t="shared" si="442"/>
        <v>0</v>
      </c>
      <c r="BZ29" s="17">
        <f t="shared" si="443"/>
        <v>0</v>
      </c>
      <c r="CA29" s="17">
        <f t="shared" si="444"/>
        <v>0</v>
      </c>
      <c r="CB29" s="54">
        <f t="shared" si="445"/>
        <v>0</v>
      </c>
      <c r="CC29" s="58">
        <f t="shared" si="208"/>
        <v>22</v>
      </c>
      <c r="CD29" s="58">
        <f t="shared" ca="1" si="103"/>
        <v>1.6923076923076923</v>
      </c>
      <c r="JJ29" s="4" t="s">
        <v>13</v>
      </c>
      <c r="JK29" s="152" t="str">
        <f t="shared" si="42"/>
        <v>SUK01-PHR-MIO-05</v>
      </c>
      <c r="JL29" s="163">
        <v>1</v>
      </c>
      <c r="JM29" s="158">
        <v>1</v>
      </c>
      <c r="JN29" s="158">
        <v>1</v>
      </c>
      <c r="JO29" s="159">
        <v>0</v>
      </c>
      <c r="JP29" s="158">
        <v>1</v>
      </c>
      <c r="JQ29" s="158">
        <v>1</v>
      </c>
      <c r="JR29" s="158">
        <v>1</v>
      </c>
      <c r="JS29" s="158">
        <v>1</v>
      </c>
      <c r="JT29" s="158">
        <v>0</v>
      </c>
      <c r="JU29" s="158">
        <v>0</v>
      </c>
      <c r="JV29" s="158">
        <v>0</v>
      </c>
      <c r="JW29" s="159">
        <v>1</v>
      </c>
      <c r="JX29" s="159">
        <v>1</v>
      </c>
      <c r="JY29" s="159">
        <v>1</v>
      </c>
      <c r="JZ29" s="158"/>
      <c r="KA29" s="158"/>
      <c r="KB29" s="158"/>
      <c r="KC29" s="158"/>
      <c r="KD29" s="158"/>
      <c r="KE29" s="158"/>
      <c r="KF29" s="158"/>
      <c r="KG29" s="158"/>
      <c r="KH29" s="159"/>
      <c r="KI29" s="159"/>
      <c r="KJ29" s="158"/>
      <c r="KK29" s="158"/>
      <c r="KL29" s="158"/>
      <c r="KM29" s="158"/>
      <c r="KN29" s="158"/>
      <c r="KO29" s="158"/>
      <c r="KP29" s="164"/>
      <c r="KQ29" s="157">
        <v>1</v>
      </c>
      <c r="KR29" s="157">
        <v>3</v>
      </c>
      <c r="KS29" s="157">
        <v>0</v>
      </c>
      <c r="KT29" s="157">
        <v>0</v>
      </c>
      <c r="KU29" s="157">
        <v>11</v>
      </c>
      <c r="KV29" s="157">
        <v>0</v>
      </c>
      <c r="KW29" s="157">
        <v>1</v>
      </c>
      <c r="KX29" s="157">
        <v>4</v>
      </c>
      <c r="KY29" s="157">
        <v>0</v>
      </c>
      <c r="KZ29" s="157">
        <v>0</v>
      </c>
      <c r="LA29" s="157">
        <v>0</v>
      </c>
      <c r="LB29" s="157">
        <v>2</v>
      </c>
      <c r="LC29" s="157">
        <v>0</v>
      </c>
      <c r="LD29" s="157">
        <v>0</v>
      </c>
      <c r="LE29" s="157"/>
      <c r="LF29" s="157"/>
      <c r="LG29" s="157"/>
      <c r="LH29" s="157"/>
      <c r="LI29" s="157"/>
      <c r="LJ29" s="157"/>
      <c r="LK29" s="157"/>
      <c r="LL29" s="157"/>
      <c r="LM29" s="157"/>
      <c r="LN29" s="157"/>
      <c r="LO29" s="157"/>
      <c r="LP29" s="157"/>
      <c r="LQ29" s="157"/>
      <c r="LR29" s="157"/>
      <c r="LS29" s="157"/>
      <c r="LT29" s="5"/>
      <c r="LU29" s="8"/>
    </row>
    <row r="30" spans="1:333" ht="16.2" customHeight="1">
      <c r="A30" s="38" t="s">
        <v>9</v>
      </c>
      <c r="B30" s="25" t="s">
        <v>10</v>
      </c>
      <c r="C30" s="26" t="s">
        <v>382</v>
      </c>
      <c r="D30" s="25" t="s">
        <v>219</v>
      </c>
      <c r="E30" s="27" t="s">
        <v>46</v>
      </c>
      <c r="F30" s="25" t="s">
        <v>452</v>
      </c>
      <c r="G30" s="25" t="s">
        <v>220</v>
      </c>
      <c r="H30" s="28">
        <v>45208</v>
      </c>
      <c r="I30" s="29" t="s">
        <v>221</v>
      </c>
      <c r="J30" s="30">
        <v>1</v>
      </c>
      <c r="K30" s="147">
        <v>0</v>
      </c>
      <c r="L30" s="147">
        <f t="shared" si="379"/>
        <v>1</v>
      </c>
      <c r="M30" s="147">
        <f t="shared" si="380"/>
        <v>1</v>
      </c>
      <c r="N30" s="147">
        <f t="shared" si="381"/>
        <v>0</v>
      </c>
      <c r="O30" s="147">
        <f t="shared" si="382"/>
        <v>1</v>
      </c>
      <c r="P30" s="148">
        <f t="shared" si="383"/>
        <v>1</v>
      </c>
      <c r="Q30" s="50">
        <f t="shared" si="384"/>
        <v>1</v>
      </c>
      <c r="R30" s="17">
        <f t="shared" si="385"/>
        <v>1</v>
      </c>
      <c r="S30" s="17">
        <f t="shared" si="386"/>
        <v>1</v>
      </c>
      <c r="T30" s="17">
        <f t="shared" si="387"/>
        <v>0</v>
      </c>
      <c r="U30" s="17">
        <f t="shared" si="388"/>
        <v>1</v>
      </c>
      <c r="V30" s="17">
        <f t="shared" si="389"/>
        <v>1</v>
      </c>
      <c r="W30" s="17">
        <f t="shared" si="390"/>
        <v>1</v>
      </c>
      <c r="X30" s="17">
        <f t="shared" si="391"/>
        <v>1</v>
      </c>
      <c r="Y30" s="17">
        <f t="shared" si="392"/>
        <v>1</v>
      </c>
      <c r="Z30" s="17">
        <f t="shared" si="393"/>
        <v>1</v>
      </c>
      <c r="AA30" s="17">
        <f t="shared" si="394"/>
        <v>0</v>
      </c>
      <c r="AB30" s="17">
        <f t="shared" si="395"/>
        <v>1</v>
      </c>
      <c r="AC30" s="17">
        <f t="shared" si="396"/>
        <v>1</v>
      </c>
      <c r="AD30" s="17">
        <f t="shared" si="397"/>
        <v>1</v>
      </c>
      <c r="AE30" s="17">
        <f t="shared" si="398"/>
        <v>0</v>
      </c>
      <c r="AF30" s="17">
        <f t="shared" si="399"/>
        <v>0</v>
      </c>
      <c r="AG30" s="17">
        <f t="shared" si="400"/>
        <v>0</v>
      </c>
      <c r="AH30" s="17">
        <f t="shared" si="401"/>
        <v>0</v>
      </c>
      <c r="AI30" s="17">
        <f t="shared" si="402"/>
        <v>0</v>
      </c>
      <c r="AJ30" s="17">
        <f t="shared" si="403"/>
        <v>0</v>
      </c>
      <c r="AK30" s="17">
        <f t="shared" si="404"/>
        <v>0</v>
      </c>
      <c r="AL30" s="17">
        <f t="shared" si="405"/>
        <v>0</v>
      </c>
      <c r="AM30" s="17">
        <f t="shared" si="406"/>
        <v>0</v>
      </c>
      <c r="AN30" s="17">
        <f t="shared" si="407"/>
        <v>0</v>
      </c>
      <c r="AO30" s="17">
        <f t="shared" si="408"/>
        <v>0</v>
      </c>
      <c r="AP30" s="17">
        <f t="shared" si="409"/>
        <v>0</v>
      </c>
      <c r="AQ30" s="17">
        <f t="shared" si="410"/>
        <v>0</v>
      </c>
      <c r="AR30" s="17">
        <f t="shared" si="411"/>
        <v>0</v>
      </c>
      <c r="AS30" s="17">
        <f t="shared" si="412"/>
        <v>0</v>
      </c>
      <c r="AT30" s="17">
        <f t="shared" si="413"/>
        <v>0</v>
      </c>
      <c r="AU30" s="54">
        <f t="shared" si="414"/>
        <v>0</v>
      </c>
      <c r="AV30" s="58">
        <f t="shared" si="40"/>
        <v>12</v>
      </c>
      <c r="AW30" s="58">
        <f t="shared" ca="1" si="73"/>
        <v>0.92307692307692313</v>
      </c>
      <c r="AX30" s="50">
        <f t="shared" si="415"/>
        <v>9</v>
      </c>
      <c r="AY30" s="17">
        <f t="shared" si="416"/>
        <v>6</v>
      </c>
      <c r="AZ30" s="17">
        <f t="shared" si="417"/>
        <v>2</v>
      </c>
      <c r="BA30" s="17">
        <f t="shared" si="418"/>
        <v>0</v>
      </c>
      <c r="BB30" s="17">
        <f t="shared" si="419"/>
        <v>0</v>
      </c>
      <c r="BC30" s="17">
        <f t="shared" si="420"/>
        <v>4</v>
      </c>
      <c r="BD30" s="17">
        <f t="shared" si="421"/>
        <v>0</v>
      </c>
      <c r="BE30" s="17">
        <f t="shared" si="422"/>
        <v>0</v>
      </c>
      <c r="BF30" s="17">
        <f t="shared" si="423"/>
        <v>2</v>
      </c>
      <c r="BG30" s="17">
        <f t="shared" si="424"/>
        <v>4</v>
      </c>
      <c r="BH30" s="17">
        <f t="shared" si="425"/>
        <v>0</v>
      </c>
      <c r="BI30" s="17">
        <f t="shared" si="426"/>
        <v>11</v>
      </c>
      <c r="BJ30" s="17">
        <f t="shared" si="427"/>
        <v>0</v>
      </c>
      <c r="BK30" s="17">
        <f t="shared" si="428"/>
        <v>0</v>
      </c>
      <c r="BL30" s="17">
        <f t="shared" si="429"/>
        <v>0</v>
      </c>
      <c r="BM30" s="17">
        <f t="shared" si="430"/>
        <v>0</v>
      </c>
      <c r="BN30" s="17">
        <f t="shared" si="431"/>
        <v>0</v>
      </c>
      <c r="BO30" s="17">
        <f t="shared" si="432"/>
        <v>0</v>
      </c>
      <c r="BP30" s="17">
        <f t="shared" si="433"/>
        <v>0</v>
      </c>
      <c r="BQ30" s="17">
        <f t="shared" si="434"/>
        <v>0</v>
      </c>
      <c r="BR30" s="17">
        <f t="shared" si="435"/>
        <v>0</v>
      </c>
      <c r="BS30" s="17">
        <f t="shared" si="436"/>
        <v>0</v>
      </c>
      <c r="BT30" s="17">
        <f t="shared" si="437"/>
        <v>0</v>
      </c>
      <c r="BU30" s="17">
        <f t="shared" si="438"/>
        <v>0</v>
      </c>
      <c r="BV30" s="17">
        <f t="shared" si="439"/>
        <v>0</v>
      </c>
      <c r="BW30" s="17">
        <f t="shared" si="440"/>
        <v>0</v>
      </c>
      <c r="BX30" s="17">
        <f t="shared" si="441"/>
        <v>0</v>
      </c>
      <c r="BY30" s="17">
        <f t="shared" si="442"/>
        <v>0</v>
      </c>
      <c r="BZ30" s="17">
        <f t="shared" si="443"/>
        <v>0</v>
      </c>
      <c r="CA30" s="17">
        <f t="shared" si="444"/>
        <v>0</v>
      </c>
      <c r="CB30" s="54">
        <f t="shared" si="445"/>
        <v>0</v>
      </c>
      <c r="CC30" s="58">
        <f t="shared" si="208"/>
        <v>38</v>
      </c>
      <c r="CD30" s="58">
        <f t="shared" ca="1" si="103"/>
        <v>2.9230769230769229</v>
      </c>
      <c r="JJ30" s="4" t="s">
        <v>13</v>
      </c>
      <c r="JK30" s="152" t="str">
        <f t="shared" si="42"/>
        <v>SUK01-PHR-MIO-06</v>
      </c>
      <c r="JL30" s="163">
        <v>1</v>
      </c>
      <c r="JM30" s="158">
        <v>1</v>
      </c>
      <c r="JN30" s="158">
        <v>1</v>
      </c>
      <c r="JO30" s="159">
        <v>0</v>
      </c>
      <c r="JP30" s="158">
        <v>1</v>
      </c>
      <c r="JQ30" s="158">
        <v>1</v>
      </c>
      <c r="JR30" s="158">
        <v>1</v>
      </c>
      <c r="JS30" s="158">
        <v>1</v>
      </c>
      <c r="JT30" s="158">
        <v>1</v>
      </c>
      <c r="JU30" s="158">
        <v>1</v>
      </c>
      <c r="JV30" s="158">
        <v>0</v>
      </c>
      <c r="JW30" s="159">
        <v>1</v>
      </c>
      <c r="JX30" s="159">
        <v>1</v>
      </c>
      <c r="JY30" s="159">
        <v>1</v>
      </c>
      <c r="JZ30" s="158"/>
      <c r="KA30" s="158"/>
      <c r="KB30" s="158"/>
      <c r="KC30" s="158"/>
      <c r="KD30" s="158"/>
      <c r="KE30" s="158"/>
      <c r="KF30" s="158"/>
      <c r="KG30" s="158"/>
      <c r="KH30" s="159"/>
      <c r="KI30" s="159"/>
      <c r="KJ30" s="158"/>
      <c r="KK30" s="158"/>
      <c r="KL30" s="158"/>
      <c r="KM30" s="158"/>
      <c r="KN30" s="158"/>
      <c r="KO30" s="158"/>
      <c r="KP30" s="164"/>
      <c r="KQ30" s="157">
        <v>9</v>
      </c>
      <c r="KR30" s="157">
        <v>6</v>
      </c>
      <c r="KS30" s="157">
        <v>2</v>
      </c>
      <c r="KT30" s="157">
        <v>0</v>
      </c>
      <c r="KU30" s="157">
        <v>0</v>
      </c>
      <c r="KV30" s="157">
        <v>4</v>
      </c>
      <c r="KW30" s="157">
        <v>0</v>
      </c>
      <c r="KX30" s="157">
        <v>0</v>
      </c>
      <c r="KY30" s="157">
        <v>2</v>
      </c>
      <c r="KZ30" s="157">
        <v>4</v>
      </c>
      <c r="LA30" s="157">
        <v>0</v>
      </c>
      <c r="LB30" s="157">
        <v>11</v>
      </c>
      <c r="LC30" s="157">
        <v>0</v>
      </c>
      <c r="LD30" s="157">
        <v>0</v>
      </c>
      <c r="LE30" s="157"/>
      <c r="LF30" s="157"/>
      <c r="LG30" s="157"/>
      <c r="LH30" s="157"/>
      <c r="LI30" s="157"/>
      <c r="LJ30" s="157"/>
      <c r="LK30" s="157"/>
      <c r="LL30" s="157"/>
      <c r="LM30" s="157"/>
      <c r="LN30" s="157"/>
      <c r="LO30" s="157"/>
      <c r="LP30" s="157"/>
      <c r="LQ30" s="157"/>
      <c r="LR30" s="157"/>
      <c r="LS30" s="157"/>
      <c r="LT30" s="5"/>
      <c r="LU30" s="8"/>
    </row>
    <row r="31" spans="1:333" ht="16.2" customHeight="1">
      <c r="A31" s="38" t="s">
        <v>16</v>
      </c>
      <c r="B31" s="25" t="s">
        <v>10</v>
      </c>
      <c r="C31" s="26" t="s">
        <v>382</v>
      </c>
      <c r="D31" s="25" t="s">
        <v>47</v>
      </c>
      <c r="E31" s="27" t="s">
        <v>48</v>
      </c>
      <c r="F31" s="25" t="s">
        <v>533</v>
      </c>
      <c r="G31" s="25" t="s">
        <v>436</v>
      </c>
      <c r="H31" s="28" t="s">
        <v>436</v>
      </c>
      <c r="I31" s="29" t="s">
        <v>26</v>
      </c>
      <c r="J31" s="30">
        <v>0</v>
      </c>
      <c r="K31" s="147">
        <v>0</v>
      </c>
      <c r="L31" s="147">
        <f t="shared" si="379"/>
        <v>0</v>
      </c>
      <c r="M31" s="147">
        <f t="shared" si="380"/>
        <v>0</v>
      </c>
      <c r="N31" s="147">
        <f t="shared" si="381"/>
        <v>0</v>
      </c>
      <c r="O31" s="147">
        <f t="shared" si="382"/>
        <v>0</v>
      </c>
      <c r="P31" s="148">
        <f t="shared" si="383"/>
        <v>0</v>
      </c>
      <c r="Q31" s="50">
        <f t="shared" si="384"/>
        <v>0</v>
      </c>
      <c r="R31" s="17">
        <f t="shared" si="385"/>
        <v>0</v>
      </c>
      <c r="S31" s="17">
        <f t="shared" si="386"/>
        <v>0</v>
      </c>
      <c r="T31" s="17">
        <f t="shared" si="387"/>
        <v>0</v>
      </c>
      <c r="U31" s="17">
        <f t="shared" si="388"/>
        <v>0</v>
      </c>
      <c r="V31" s="17">
        <f t="shared" si="389"/>
        <v>0</v>
      </c>
      <c r="W31" s="17">
        <f t="shared" si="390"/>
        <v>0</v>
      </c>
      <c r="X31" s="17">
        <f t="shared" si="391"/>
        <v>0</v>
      </c>
      <c r="Y31" s="17">
        <f t="shared" si="392"/>
        <v>0</v>
      </c>
      <c r="Z31" s="17">
        <f t="shared" si="393"/>
        <v>0</v>
      </c>
      <c r="AA31" s="17">
        <f t="shared" si="394"/>
        <v>0</v>
      </c>
      <c r="AB31" s="17">
        <f t="shared" si="395"/>
        <v>0</v>
      </c>
      <c r="AC31" s="17">
        <f t="shared" si="396"/>
        <v>0</v>
      </c>
      <c r="AD31" s="17">
        <f t="shared" si="397"/>
        <v>0</v>
      </c>
      <c r="AE31" s="17">
        <f t="shared" si="398"/>
        <v>0</v>
      </c>
      <c r="AF31" s="17">
        <f t="shared" si="399"/>
        <v>0</v>
      </c>
      <c r="AG31" s="17">
        <f t="shared" si="400"/>
        <v>0</v>
      </c>
      <c r="AH31" s="17">
        <f t="shared" si="401"/>
        <v>0</v>
      </c>
      <c r="AI31" s="17">
        <f t="shared" si="402"/>
        <v>0</v>
      </c>
      <c r="AJ31" s="17">
        <f t="shared" si="403"/>
        <v>0</v>
      </c>
      <c r="AK31" s="17">
        <f t="shared" si="404"/>
        <v>0</v>
      </c>
      <c r="AL31" s="17">
        <f t="shared" si="405"/>
        <v>0</v>
      </c>
      <c r="AM31" s="17">
        <f t="shared" si="406"/>
        <v>0</v>
      </c>
      <c r="AN31" s="17">
        <f t="shared" si="407"/>
        <v>0</v>
      </c>
      <c r="AO31" s="17">
        <f t="shared" si="408"/>
        <v>0</v>
      </c>
      <c r="AP31" s="17">
        <f t="shared" si="409"/>
        <v>0</v>
      </c>
      <c r="AQ31" s="17">
        <f t="shared" si="410"/>
        <v>0</v>
      </c>
      <c r="AR31" s="17">
        <f t="shared" si="411"/>
        <v>0</v>
      </c>
      <c r="AS31" s="17">
        <f t="shared" si="412"/>
        <v>0</v>
      </c>
      <c r="AT31" s="17">
        <f t="shared" si="413"/>
        <v>0</v>
      </c>
      <c r="AU31" s="54">
        <f t="shared" si="414"/>
        <v>0</v>
      </c>
      <c r="AV31" s="58">
        <f t="shared" si="40"/>
        <v>0</v>
      </c>
      <c r="AW31" s="58">
        <f t="shared" ca="1" si="73"/>
        <v>0</v>
      </c>
      <c r="AX31" s="50">
        <f t="shared" si="415"/>
        <v>0</v>
      </c>
      <c r="AY31" s="17">
        <f t="shared" si="416"/>
        <v>0</v>
      </c>
      <c r="AZ31" s="17">
        <f t="shared" si="417"/>
        <v>0</v>
      </c>
      <c r="BA31" s="17">
        <f t="shared" si="418"/>
        <v>0</v>
      </c>
      <c r="BB31" s="17">
        <f t="shared" si="419"/>
        <v>0</v>
      </c>
      <c r="BC31" s="17">
        <f t="shared" si="420"/>
        <v>0</v>
      </c>
      <c r="BD31" s="17">
        <f t="shared" si="421"/>
        <v>0</v>
      </c>
      <c r="BE31" s="17">
        <f t="shared" si="422"/>
        <v>0</v>
      </c>
      <c r="BF31" s="17">
        <f t="shared" si="423"/>
        <v>0</v>
      </c>
      <c r="BG31" s="17">
        <f t="shared" si="424"/>
        <v>0</v>
      </c>
      <c r="BH31" s="17">
        <f t="shared" si="425"/>
        <v>0</v>
      </c>
      <c r="BI31" s="17">
        <f t="shared" si="426"/>
        <v>0</v>
      </c>
      <c r="BJ31" s="17">
        <f t="shared" si="427"/>
        <v>0</v>
      </c>
      <c r="BK31" s="17">
        <f t="shared" si="428"/>
        <v>0</v>
      </c>
      <c r="BL31" s="17">
        <f t="shared" si="429"/>
        <v>0</v>
      </c>
      <c r="BM31" s="17">
        <f t="shared" si="430"/>
        <v>0</v>
      </c>
      <c r="BN31" s="17">
        <f t="shared" si="431"/>
        <v>0</v>
      </c>
      <c r="BO31" s="17">
        <f t="shared" si="432"/>
        <v>0</v>
      </c>
      <c r="BP31" s="17">
        <f t="shared" si="433"/>
        <v>0</v>
      </c>
      <c r="BQ31" s="17">
        <f t="shared" si="434"/>
        <v>0</v>
      </c>
      <c r="BR31" s="17">
        <f t="shared" si="435"/>
        <v>0</v>
      </c>
      <c r="BS31" s="17">
        <f t="shared" si="436"/>
        <v>0</v>
      </c>
      <c r="BT31" s="17">
        <f t="shared" si="437"/>
        <v>0</v>
      </c>
      <c r="BU31" s="17">
        <f t="shared" si="438"/>
        <v>0</v>
      </c>
      <c r="BV31" s="17">
        <f t="shared" si="439"/>
        <v>0</v>
      </c>
      <c r="BW31" s="17">
        <f t="shared" si="440"/>
        <v>0</v>
      </c>
      <c r="BX31" s="17">
        <f t="shared" si="441"/>
        <v>0</v>
      </c>
      <c r="BY31" s="17">
        <f t="shared" si="442"/>
        <v>0</v>
      </c>
      <c r="BZ31" s="17">
        <f t="shared" si="443"/>
        <v>0</v>
      </c>
      <c r="CA31" s="17">
        <f t="shared" si="444"/>
        <v>0</v>
      </c>
      <c r="CB31" s="54">
        <f t="shared" si="445"/>
        <v>0</v>
      </c>
      <c r="CC31" s="58">
        <f t="shared" si="208"/>
        <v>0</v>
      </c>
      <c r="CD31" s="58">
        <f t="shared" ca="1" si="103"/>
        <v>0</v>
      </c>
      <c r="JJ31" s="4" t="s">
        <v>13</v>
      </c>
      <c r="JK31" s="152" t="str">
        <f t="shared" si="42"/>
        <v>SUK01-PHR-MIO-00</v>
      </c>
      <c r="JL31" s="163">
        <v>0</v>
      </c>
      <c r="JM31" s="158">
        <v>0</v>
      </c>
      <c r="JN31" s="158">
        <v>0</v>
      </c>
      <c r="JO31" s="159">
        <v>0</v>
      </c>
      <c r="JP31" s="158">
        <v>0</v>
      </c>
      <c r="JQ31" s="158">
        <v>0</v>
      </c>
      <c r="JR31" s="158">
        <v>0</v>
      </c>
      <c r="JS31" s="158">
        <v>0</v>
      </c>
      <c r="JT31" s="158">
        <v>0</v>
      </c>
      <c r="JU31" s="158">
        <v>0</v>
      </c>
      <c r="JV31" s="158">
        <v>0</v>
      </c>
      <c r="JW31" s="159">
        <v>0</v>
      </c>
      <c r="JX31" s="159">
        <v>0</v>
      </c>
      <c r="JY31" s="159">
        <v>0</v>
      </c>
      <c r="JZ31" s="158"/>
      <c r="KA31" s="158"/>
      <c r="KB31" s="158"/>
      <c r="KC31" s="158"/>
      <c r="KD31" s="158"/>
      <c r="KE31" s="158"/>
      <c r="KF31" s="158"/>
      <c r="KG31" s="158"/>
      <c r="KH31" s="159"/>
      <c r="KI31" s="159"/>
      <c r="KJ31" s="158"/>
      <c r="KK31" s="158"/>
      <c r="KL31" s="158"/>
      <c r="KM31" s="158"/>
      <c r="KN31" s="158"/>
      <c r="KO31" s="158"/>
      <c r="KP31" s="164"/>
      <c r="KQ31" s="157">
        <v>0</v>
      </c>
      <c r="KR31" s="157">
        <v>0</v>
      </c>
      <c r="KS31" s="157">
        <v>0</v>
      </c>
      <c r="KT31" s="157">
        <v>0</v>
      </c>
      <c r="KU31" s="157">
        <v>0</v>
      </c>
      <c r="KV31" s="157">
        <v>0</v>
      </c>
      <c r="KW31" s="157">
        <v>0</v>
      </c>
      <c r="KX31" s="157">
        <v>0</v>
      </c>
      <c r="KY31" s="157">
        <v>0</v>
      </c>
      <c r="KZ31" s="157">
        <v>0</v>
      </c>
      <c r="LA31" s="157">
        <v>0</v>
      </c>
      <c r="LB31" s="157">
        <v>0</v>
      </c>
      <c r="LC31" s="157">
        <v>0</v>
      </c>
      <c r="LD31" s="157">
        <v>0</v>
      </c>
      <c r="LE31" s="157"/>
      <c r="LF31" s="157"/>
      <c r="LG31" s="157"/>
      <c r="LH31" s="157"/>
      <c r="LI31" s="157"/>
      <c r="LJ31" s="157"/>
      <c r="LK31" s="157"/>
      <c r="LL31" s="157"/>
      <c r="LM31" s="157"/>
      <c r="LN31" s="157"/>
      <c r="LO31" s="157"/>
      <c r="LP31" s="157"/>
      <c r="LQ31" s="157"/>
      <c r="LR31" s="157"/>
      <c r="LS31" s="157"/>
      <c r="LT31" s="5"/>
      <c r="LU31" s="8"/>
    </row>
    <row r="32" spans="1:333" ht="16.2" customHeight="1">
      <c r="A32" s="37" t="s">
        <v>19</v>
      </c>
      <c r="B32" s="18" t="s">
        <v>10</v>
      </c>
      <c r="C32" s="19" t="s">
        <v>382</v>
      </c>
      <c r="D32" s="20" t="s">
        <v>222</v>
      </c>
      <c r="E32" s="21" t="s">
        <v>50</v>
      </c>
      <c r="F32" s="18" t="s">
        <v>453</v>
      </c>
      <c r="G32" s="18" t="s">
        <v>49</v>
      </c>
      <c r="H32" s="22">
        <v>45112</v>
      </c>
      <c r="I32" s="20" t="s">
        <v>26</v>
      </c>
      <c r="J32" s="23">
        <v>6</v>
      </c>
      <c r="K32" s="97">
        <f t="shared" ref="K32:L32" si="446">SUM(K25:K31)</f>
        <v>1</v>
      </c>
      <c r="L32" s="97">
        <f t="shared" si="446"/>
        <v>4</v>
      </c>
      <c r="M32" s="97">
        <f t="shared" ref="M32" si="447">SUM(M25:M31)</f>
        <v>5</v>
      </c>
      <c r="N32" s="97">
        <f t="shared" ref="N32" si="448">SUM(N25:N31)</f>
        <v>1</v>
      </c>
      <c r="O32" s="97">
        <f t="shared" ref="O32" si="449">SUM(O25:O31)</f>
        <v>6</v>
      </c>
      <c r="P32" s="47">
        <f t="shared" ref="P32:AU32" si="450">SUM(P25:P31)</f>
        <v>6</v>
      </c>
      <c r="Q32" s="51">
        <f t="shared" si="450"/>
        <v>5</v>
      </c>
      <c r="R32" s="24">
        <f t="shared" si="450"/>
        <v>5</v>
      </c>
      <c r="S32" s="24">
        <f t="shared" si="450"/>
        <v>5</v>
      </c>
      <c r="T32" s="24">
        <f t="shared" si="450"/>
        <v>0</v>
      </c>
      <c r="U32" s="24">
        <f t="shared" si="450"/>
        <v>5</v>
      </c>
      <c r="V32" s="24">
        <f t="shared" si="450"/>
        <v>5</v>
      </c>
      <c r="W32" s="24">
        <f t="shared" si="450"/>
        <v>5</v>
      </c>
      <c r="X32" s="24">
        <f t="shared" si="450"/>
        <v>5</v>
      </c>
      <c r="Y32" s="24">
        <f t="shared" si="450"/>
        <v>4</v>
      </c>
      <c r="Z32" s="24">
        <f t="shared" si="450"/>
        <v>4</v>
      </c>
      <c r="AA32" s="24">
        <f t="shared" si="450"/>
        <v>0</v>
      </c>
      <c r="AB32" s="24">
        <f t="shared" si="450"/>
        <v>5</v>
      </c>
      <c r="AC32" s="24">
        <f t="shared" si="450"/>
        <v>5</v>
      </c>
      <c r="AD32" s="24">
        <f t="shared" si="450"/>
        <v>4</v>
      </c>
      <c r="AE32" s="24">
        <f t="shared" si="450"/>
        <v>0</v>
      </c>
      <c r="AF32" s="24">
        <f t="shared" si="450"/>
        <v>0</v>
      </c>
      <c r="AG32" s="24">
        <f t="shared" si="450"/>
        <v>0</v>
      </c>
      <c r="AH32" s="24">
        <f t="shared" si="450"/>
        <v>0</v>
      </c>
      <c r="AI32" s="24">
        <f t="shared" si="450"/>
        <v>0</v>
      </c>
      <c r="AJ32" s="24">
        <f t="shared" si="450"/>
        <v>0</v>
      </c>
      <c r="AK32" s="24">
        <f t="shared" si="450"/>
        <v>0</v>
      </c>
      <c r="AL32" s="24">
        <f t="shared" si="450"/>
        <v>0</v>
      </c>
      <c r="AM32" s="24">
        <f t="shared" si="450"/>
        <v>0</v>
      </c>
      <c r="AN32" s="24">
        <f t="shared" si="450"/>
        <v>0</v>
      </c>
      <c r="AO32" s="24">
        <f t="shared" si="450"/>
        <v>0</v>
      </c>
      <c r="AP32" s="24">
        <f t="shared" si="450"/>
        <v>0</v>
      </c>
      <c r="AQ32" s="24">
        <f t="shared" si="450"/>
        <v>0</v>
      </c>
      <c r="AR32" s="24">
        <f t="shared" si="450"/>
        <v>0</v>
      </c>
      <c r="AS32" s="24">
        <f t="shared" si="450"/>
        <v>0</v>
      </c>
      <c r="AT32" s="24">
        <f t="shared" si="450"/>
        <v>0</v>
      </c>
      <c r="AU32" s="55">
        <f t="shared" si="450"/>
        <v>0</v>
      </c>
      <c r="AV32" s="59">
        <f t="shared" si="40"/>
        <v>57</v>
      </c>
      <c r="AW32" s="59">
        <f t="shared" ca="1" si="73"/>
        <v>0.87692307692307703</v>
      </c>
      <c r="AX32" s="51">
        <f t="shared" ref="AX32" si="451">SUM(AX25:AX31)</f>
        <v>32</v>
      </c>
      <c r="AY32" s="24">
        <f t="shared" ref="AY32" si="452">SUM(AY25:AY31)</f>
        <v>39</v>
      </c>
      <c r="AZ32" s="24">
        <f t="shared" ref="AZ32" si="453">SUM(AZ25:AZ31)</f>
        <v>18</v>
      </c>
      <c r="BA32" s="24">
        <f t="shared" ref="BA32" si="454">SUM(BA25:BA31)</f>
        <v>0</v>
      </c>
      <c r="BB32" s="24">
        <f t="shared" ref="BB32" si="455">SUM(BB25:BB31)</f>
        <v>34</v>
      </c>
      <c r="BC32" s="24">
        <f t="shared" ref="BC32" si="456">SUM(BC25:BC31)</f>
        <v>33</v>
      </c>
      <c r="BD32" s="24">
        <f t="shared" ref="BD32" si="457">SUM(BD25:BD31)</f>
        <v>25</v>
      </c>
      <c r="BE32" s="24">
        <f t="shared" ref="BE32" si="458">SUM(BE25:BE31)</f>
        <v>27</v>
      </c>
      <c r="BF32" s="24">
        <f t="shared" ref="BF32" si="459">SUM(BF25:BF31)</f>
        <v>27</v>
      </c>
      <c r="BG32" s="24">
        <f t="shared" ref="BG32" si="460">SUM(BG25:BG31)</f>
        <v>22</v>
      </c>
      <c r="BH32" s="24">
        <f t="shared" ref="BH32" si="461">SUM(BH25:BH31)</f>
        <v>0</v>
      </c>
      <c r="BI32" s="24">
        <f t="shared" ref="BI32" si="462">SUM(BI25:BI31)</f>
        <v>42</v>
      </c>
      <c r="BJ32" s="24">
        <f t="shared" ref="BJ32" si="463">SUM(BJ25:BJ31)</f>
        <v>24</v>
      </c>
      <c r="BK32" s="24">
        <f t="shared" ref="BK32" si="464">SUM(BK25:BK31)</f>
        <v>3</v>
      </c>
      <c r="BL32" s="24">
        <f t="shared" ref="BL32" si="465">SUM(BL25:BL31)</f>
        <v>0</v>
      </c>
      <c r="BM32" s="24">
        <f t="shared" ref="BM32" si="466">SUM(BM25:BM31)</f>
        <v>0</v>
      </c>
      <c r="BN32" s="24">
        <f t="shared" ref="BN32" si="467">SUM(BN25:BN31)</f>
        <v>0</v>
      </c>
      <c r="BO32" s="24">
        <f t="shared" ref="BO32" si="468">SUM(BO25:BO31)</f>
        <v>0</v>
      </c>
      <c r="BP32" s="24">
        <f t="shared" ref="BP32" si="469">SUM(BP25:BP31)</f>
        <v>0</v>
      </c>
      <c r="BQ32" s="24">
        <f t="shared" ref="BQ32" si="470">SUM(BQ25:BQ31)</f>
        <v>0</v>
      </c>
      <c r="BR32" s="24">
        <f t="shared" ref="BR32" si="471">SUM(BR25:BR31)</f>
        <v>0</v>
      </c>
      <c r="BS32" s="24">
        <f t="shared" ref="BS32" si="472">SUM(BS25:BS31)</f>
        <v>0</v>
      </c>
      <c r="BT32" s="24">
        <f t="shared" ref="BT32" si="473">SUM(BT25:BT31)</f>
        <v>0</v>
      </c>
      <c r="BU32" s="24">
        <f t="shared" ref="BU32" si="474">SUM(BU25:BU31)</f>
        <v>0</v>
      </c>
      <c r="BV32" s="24">
        <f t="shared" ref="BV32" si="475">SUM(BV25:BV31)</f>
        <v>0</v>
      </c>
      <c r="BW32" s="24">
        <f t="shared" ref="BW32" si="476">SUM(BW25:BW31)</f>
        <v>0</v>
      </c>
      <c r="BX32" s="24">
        <f t="shared" ref="BX32" si="477">SUM(BX25:BX31)</f>
        <v>0</v>
      </c>
      <c r="BY32" s="24">
        <f t="shared" ref="BY32" si="478">SUM(BY25:BY31)</f>
        <v>0</v>
      </c>
      <c r="BZ32" s="24">
        <f t="shared" ref="BZ32" si="479">SUM(BZ25:BZ31)</f>
        <v>0</v>
      </c>
      <c r="CA32" s="24">
        <f t="shared" ref="CA32" si="480">SUM(CA25:CA31)</f>
        <v>0</v>
      </c>
      <c r="CB32" s="55">
        <f t="shared" ref="CB32" si="481">SUM(CB25:CB31)</f>
        <v>0</v>
      </c>
      <c r="CC32" s="59">
        <f t="shared" si="208"/>
        <v>326</v>
      </c>
      <c r="CD32" s="59">
        <f t="shared" ca="1" si="103"/>
        <v>5.0153846153846153</v>
      </c>
      <c r="JJ32" s="4" t="s">
        <v>13</v>
      </c>
      <c r="JK32" s="153" t="str">
        <f t="shared" si="42"/>
        <v>SUK01-PHR-ASM-01</v>
      </c>
      <c r="JL32" s="163">
        <v>0</v>
      </c>
      <c r="JM32" s="158">
        <v>0</v>
      </c>
      <c r="JN32" s="158">
        <v>0</v>
      </c>
      <c r="JO32" s="159">
        <v>0</v>
      </c>
      <c r="JP32" s="158">
        <v>0</v>
      </c>
      <c r="JQ32" s="158">
        <v>0</v>
      </c>
      <c r="JR32" s="158">
        <v>0</v>
      </c>
      <c r="JS32" s="158">
        <v>0</v>
      </c>
      <c r="JT32" s="158">
        <v>0</v>
      </c>
      <c r="JU32" s="158">
        <v>0</v>
      </c>
      <c r="JV32" s="158">
        <v>0</v>
      </c>
      <c r="JW32" s="159">
        <v>0</v>
      </c>
      <c r="JX32" s="159">
        <v>0</v>
      </c>
      <c r="JY32" s="159">
        <v>0</v>
      </c>
      <c r="JZ32" s="158"/>
      <c r="KA32" s="158"/>
      <c r="KB32" s="158"/>
      <c r="KC32" s="158"/>
      <c r="KD32" s="158"/>
      <c r="KE32" s="158"/>
      <c r="KF32" s="158"/>
      <c r="KG32" s="158"/>
      <c r="KH32" s="159"/>
      <c r="KI32" s="159"/>
      <c r="KJ32" s="158"/>
      <c r="KK32" s="158"/>
      <c r="KL32" s="158"/>
      <c r="KM32" s="158"/>
      <c r="KN32" s="158"/>
      <c r="KO32" s="158"/>
      <c r="KP32" s="164"/>
      <c r="KQ32" s="157">
        <v>0</v>
      </c>
      <c r="KR32" s="157">
        <v>0</v>
      </c>
      <c r="KS32" s="157">
        <v>0</v>
      </c>
      <c r="KT32" s="157">
        <v>0</v>
      </c>
      <c r="KU32" s="157">
        <v>0</v>
      </c>
      <c r="KV32" s="157">
        <v>0</v>
      </c>
      <c r="KW32" s="157">
        <v>0</v>
      </c>
      <c r="KX32" s="157">
        <v>0</v>
      </c>
      <c r="KY32" s="157">
        <v>0</v>
      </c>
      <c r="KZ32" s="157">
        <v>0</v>
      </c>
      <c r="LA32" s="157">
        <v>0</v>
      </c>
      <c r="LB32" s="157">
        <v>0</v>
      </c>
      <c r="LC32" s="157">
        <v>0</v>
      </c>
      <c r="LD32" s="157">
        <v>0</v>
      </c>
      <c r="LE32" s="157"/>
      <c r="LF32" s="157"/>
      <c r="LG32" s="157"/>
      <c r="LH32" s="157"/>
      <c r="LI32" s="157"/>
      <c r="LJ32" s="157"/>
      <c r="LK32" s="157"/>
      <c r="LL32" s="157"/>
      <c r="LM32" s="157"/>
      <c r="LN32" s="157"/>
      <c r="LO32" s="157"/>
      <c r="LP32" s="157"/>
      <c r="LQ32" s="157"/>
      <c r="LR32" s="157"/>
      <c r="LS32" s="157"/>
      <c r="LT32" s="5"/>
      <c r="LU32" s="8"/>
    </row>
    <row r="33" spans="1:333" ht="15.6" customHeight="1">
      <c r="A33" s="39" t="s">
        <v>51</v>
      </c>
      <c r="B33" s="31" t="s">
        <v>10</v>
      </c>
      <c r="C33" s="32" t="s">
        <v>383</v>
      </c>
      <c r="D33" s="31" t="s">
        <v>223</v>
      </c>
      <c r="E33" s="33" t="s">
        <v>52</v>
      </c>
      <c r="F33" s="31" t="s">
        <v>526</v>
      </c>
      <c r="G33" s="31" t="s">
        <v>432</v>
      </c>
      <c r="H33" s="34" t="s">
        <v>433</v>
      </c>
      <c r="I33" s="31" t="s">
        <v>12</v>
      </c>
      <c r="J33" s="35">
        <v>21</v>
      </c>
      <c r="K33" s="98">
        <f t="shared" ref="K33:AU33" si="482">K32+K24+K16+K10</f>
        <v>7</v>
      </c>
      <c r="L33" s="98">
        <f t="shared" si="482"/>
        <v>11</v>
      </c>
      <c r="M33" s="98">
        <f t="shared" si="482"/>
        <v>14</v>
      </c>
      <c r="N33" s="98">
        <f t="shared" si="482"/>
        <v>3</v>
      </c>
      <c r="O33" s="98">
        <f t="shared" si="482"/>
        <v>15</v>
      </c>
      <c r="P33" s="48">
        <f t="shared" si="482"/>
        <v>15</v>
      </c>
      <c r="Q33" s="52">
        <f t="shared" si="482"/>
        <v>14</v>
      </c>
      <c r="R33" s="36">
        <f t="shared" si="482"/>
        <v>14</v>
      </c>
      <c r="S33" s="36">
        <f t="shared" si="482"/>
        <v>13</v>
      </c>
      <c r="T33" s="36">
        <f t="shared" si="482"/>
        <v>0</v>
      </c>
      <c r="U33" s="36">
        <f t="shared" si="482"/>
        <v>14</v>
      </c>
      <c r="V33" s="36">
        <f t="shared" si="482"/>
        <v>13</v>
      </c>
      <c r="W33" s="36">
        <f t="shared" si="482"/>
        <v>14</v>
      </c>
      <c r="X33" s="36">
        <f t="shared" si="482"/>
        <v>13</v>
      </c>
      <c r="Y33" s="36">
        <f t="shared" si="482"/>
        <v>12</v>
      </c>
      <c r="Z33" s="36">
        <f t="shared" si="482"/>
        <v>13</v>
      </c>
      <c r="AA33" s="36">
        <f t="shared" si="482"/>
        <v>0</v>
      </c>
      <c r="AB33" s="36">
        <f t="shared" si="482"/>
        <v>14</v>
      </c>
      <c r="AC33" s="36">
        <f t="shared" si="482"/>
        <v>13</v>
      </c>
      <c r="AD33" s="36">
        <f t="shared" si="482"/>
        <v>11</v>
      </c>
      <c r="AE33" s="36">
        <f t="shared" si="482"/>
        <v>0</v>
      </c>
      <c r="AF33" s="36">
        <f t="shared" si="482"/>
        <v>0</v>
      </c>
      <c r="AG33" s="36">
        <f t="shared" si="482"/>
        <v>0</v>
      </c>
      <c r="AH33" s="36">
        <f t="shared" si="482"/>
        <v>0</v>
      </c>
      <c r="AI33" s="36">
        <f t="shared" si="482"/>
        <v>0</v>
      </c>
      <c r="AJ33" s="36">
        <f t="shared" si="482"/>
        <v>0</v>
      </c>
      <c r="AK33" s="36">
        <f t="shared" si="482"/>
        <v>0</v>
      </c>
      <c r="AL33" s="36">
        <f t="shared" si="482"/>
        <v>0</v>
      </c>
      <c r="AM33" s="36">
        <f t="shared" si="482"/>
        <v>0</v>
      </c>
      <c r="AN33" s="36">
        <f t="shared" si="482"/>
        <v>0</v>
      </c>
      <c r="AO33" s="36">
        <f t="shared" si="482"/>
        <v>0</v>
      </c>
      <c r="AP33" s="36">
        <f t="shared" si="482"/>
        <v>0</v>
      </c>
      <c r="AQ33" s="36">
        <f t="shared" si="482"/>
        <v>0</v>
      </c>
      <c r="AR33" s="36">
        <f t="shared" si="482"/>
        <v>0</v>
      </c>
      <c r="AS33" s="36">
        <f t="shared" si="482"/>
        <v>0</v>
      </c>
      <c r="AT33" s="36">
        <f t="shared" si="482"/>
        <v>0</v>
      </c>
      <c r="AU33" s="56">
        <f t="shared" si="482"/>
        <v>0</v>
      </c>
      <c r="AV33" s="60">
        <f t="shared" si="40"/>
        <v>158</v>
      </c>
      <c r="AW33" s="60">
        <f t="shared" ca="1" si="73"/>
        <v>0.86813186813186805</v>
      </c>
      <c r="AX33" s="52">
        <f t="shared" ref="AX33:CB33" si="483">AX32+AX24+AX16+AX10</f>
        <v>96</v>
      </c>
      <c r="AY33" s="36">
        <f t="shared" si="483"/>
        <v>130</v>
      </c>
      <c r="AZ33" s="36">
        <f t="shared" si="483"/>
        <v>68</v>
      </c>
      <c r="BA33" s="36">
        <f t="shared" si="483"/>
        <v>0</v>
      </c>
      <c r="BB33" s="36">
        <f t="shared" si="483"/>
        <v>113</v>
      </c>
      <c r="BC33" s="36">
        <f t="shared" si="483"/>
        <v>128</v>
      </c>
      <c r="BD33" s="36">
        <f t="shared" si="483"/>
        <v>115</v>
      </c>
      <c r="BE33" s="36">
        <f t="shared" si="483"/>
        <v>91</v>
      </c>
      <c r="BF33" s="36">
        <f t="shared" si="483"/>
        <v>111</v>
      </c>
      <c r="BG33" s="36">
        <f t="shared" si="483"/>
        <v>67</v>
      </c>
      <c r="BH33" s="36">
        <f t="shared" si="483"/>
        <v>0</v>
      </c>
      <c r="BI33" s="36">
        <f t="shared" si="483"/>
        <v>103</v>
      </c>
      <c r="BJ33" s="36">
        <f t="shared" si="483"/>
        <v>90</v>
      </c>
      <c r="BK33" s="36">
        <f t="shared" si="483"/>
        <v>7</v>
      </c>
      <c r="BL33" s="36">
        <f t="shared" si="483"/>
        <v>0</v>
      </c>
      <c r="BM33" s="36">
        <f t="shared" si="483"/>
        <v>0</v>
      </c>
      <c r="BN33" s="36">
        <f t="shared" si="483"/>
        <v>0</v>
      </c>
      <c r="BO33" s="36">
        <f t="shared" si="483"/>
        <v>0</v>
      </c>
      <c r="BP33" s="36">
        <f t="shared" si="483"/>
        <v>0</v>
      </c>
      <c r="BQ33" s="36">
        <f t="shared" si="483"/>
        <v>0</v>
      </c>
      <c r="BR33" s="36">
        <f t="shared" si="483"/>
        <v>0</v>
      </c>
      <c r="BS33" s="36">
        <f t="shared" si="483"/>
        <v>0</v>
      </c>
      <c r="BT33" s="36">
        <f t="shared" si="483"/>
        <v>0</v>
      </c>
      <c r="BU33" s="36">
        <f t="shared" si="483"/>
        <v>0</v>
      </c>
      <c r="BV33" s="36">
        <f t="shared" si="483"/>
        <v>0</v>
      </c>
      <c r="BW33" s="36">
        <f t="shared" si="483"/>
        <v>0</v>
      </c>
      <c r="BX33" s="36">
        <f t="shared" si="483"/>
        <v>0</v>
      </c>
      <c r="BY33" s="36">
        <f t="shared" si="483"/>
        <v>0</v>
      </c>
      <c r="BZ33" s="36">
        <f t="shared" si="483"/>
        <v>0</v>
      </c>
      <c r="CA33" s="36">
        <f t="shared" si="483"/>
        <v>0</v>
      </c>
      <c r="CB33" s="56">
        <f t="shared" si="483"/>
        <v>0</v>
      </c>
      <c r="CC33" s="60">
        <f t="shared" si="208"/>
        <v>1119</v>
      </c>
      <c r="CD33" s="60">
        <f t="shared" ca="1" si="103"/>
        <v>6.1483516483516487</v>
      </c>
      <c r="JJ33" s="4" t="s">
        <v>13</v>
      </c>
      <c r="JK33" s="154" t="str">
        <f t="shared" si="42"/>
        <v>STH-PHR-DGM-01</v>
      </c>
      <c r="JL33" s="163">
        <v>0</v>
      </c>
      <c r="JM33" s="158">
        <v>0</v>
      </c>
      <c r="JN33" s="158">
        <v>0</v>
      </c>
      <c r="JO33" s="159">
        <v>0</v>
      </c>
      <c r="JP33" s="158">
        <v>0</v>
      </c>
      <c r="JQ33" s="158">
        <v>0</v>
      </c>
      <c r="JR33" s="158">
        <v>0</v>
      </c>
      <c r="JS33" s="158">
        <v>0</v>
      </c>
      <c r="JT33" s="158">
        <v>0</v>
      </c>
      <c r="JU33" s="158">
        <v>0</v>
      </c>
      <c r="JV33" s="158">
        <v>0</v>
      </c>
      <c r="JW33" s="159">
        <v>0</v>
      </c>
      <c r="JX33" s="159">
        <v>0</v>
      </c>
      <c r="JY33" s="159">
        <v>0</v>
      </c>
      <c r="JZ33" s="158"/>
      <c r="KA33" s="158"/>
      <c r="KB33" s="158"/>
      <c r="KC33" s="158"/>
      <c r="KD33" s="158"/>
      <c r="KE33" s="158"/>
      <c r="KF33" s="158"/>
      <c r="KG33" s="158"/>
      <c r="KH33" s="159"/>
      <c r="KI33" s="159"/>
      <c r="KJ33" s="158"/>
      <c r="KK33" s="158"/>
      <c r="KL33" s="158"/>
      <c r="KM33" s="158"/>
      <c r="KN33" s="158"/>
      <c r="KO33" s="158"/>
      <c r="KP33" s="164"/>
      <c r="KQ33" s="157">
        <v>0</v>
      </c>
      <c r="KR33" s="157">
        <v>0</v>
      </c>
      <c r="KS33" s="157">
        <v>0</v>
      </c>
      <c r="KT33" s="157">
        <v>0</v>
      </c>
      <c r="KU33" s="157">
        <v>0</v>
      </c>
      <c r="KV33" s="157">
        <v>0</v>
      </c>
      <c r="KW33" s="157">
        <v>0</v>
      </c>
      <c r="KX33" s="157">
        <v>0</v>
      </c>
      <c r="KY33" s="157">
        <v>0</v>
      </c>
      <c r="KZ33" s="157">
        <v>0</v>
      </c>
      <c r="LA33" s="157">
        <v>0</v>
      </c>
      <c r="LB33" s="157">
        <v>0</v>
      </c>
      <c r="LC33" s="157">
        <v>0</v>
      </c>
      <c r="LD33" s="157">
        <v>0</v>
      </c>
      <c r="LE33" s="157"/>
      <c r="LF33" s="157"/>
      <c r="LG33" s="157"/>
      <c r="LH33" s="157"/>
      <c r="LI33" s="157"/>
      <c r="LJ33" s="157"/>
      <c r="LK33" s="157"/>
      <c r="LL33" s="157"/>
      <c r="LM33" s="157"/>
      <c r="LN33" s="157"/>
      <c r="LO33" s="157"/>
      <c r="LP33" s="157"/>
      <c r="LQ33" s="157"/>
      <c r="LR33" s="157"/>
      <c r="LS33" s="157"/>
      <c r="LT33" s="5"/>
      <c r="LU33" s="8"/>
    </row>
    <row r="34" spans="1:333" ht="16.2" customHeight="1">
      <c r="A34" s="38" t="s">
        <v>9</v>
      </c>
      <c r="B34" s="25" t="s">
        <v>53</v>
      </c>
      <c r="C34" s="26" t="s">
        <v>384</v>
      </c>
      <c r="D34" s="25" t="s">
        <v>224</v>
      </c>
      <c r="E34" s="27" t="s">
        <v>54</v>
      </c>
      <c r="F34" s="25" t="s">
        <v>534</v>
      </c>
      <c r="G34" s="25" t="s">
        <v>432</v>
      </c>
      <c r="H34" s="28" t="s">
        <v>433</v>
      </c>
      <c r="I34" s="29" t="s">
        <v>225</v>
      </c>
      <c r="J34" s="30">
        <v>1</v>
      </c>
      <c r="K34" s="147">
        <v>1</v>
      </c>
      <c r="L34" s="147">
        <f t="shared" ref="L34:L39" si="484">IFERROR(IF(OR(AD34&gt;0),1,0),0)</f>
        <v>0</v>
      </c>
      <c r="M34" s="147">
        <f t="shared" ref="M34:M39" si="485">IFERROR(IF(OR(AV34&gt;0),1,0),0)</f>
        <v>0</v>
      </c>
      <c r="N34" s="147">
        <f t="shared" ref="N34:N39" si="486">IFERROR(IF(OR(BK34&gt;0),1,0),0)</f>
        <v>0</v>
      </c>
      <c r="O34" s="147">
        <f t="shared" ref="O34:O39" si="487">IFERROR(IF(OR(CC34&gt;0),1,0),0)</f>
        <v>0</v>
      </c>
      <c r="P34" s="148">
        <f t="shared" ref="P34:P39" si="488">IFERROR(IF(OR(AV34&gt;0,CC34&gt;0),1,0),0)</f>
        <v>0</v>
      </c>
      <c r="Q34" s="50">
        <f t="shared" ref="Q34:Q39" si="489">JL34</f>
        <v>0</v>
      </c>
      <c r="R34" s="17">
        <f t="shared" ref="R34:R39" si="490">JM34</f>
        <v>0</v>
      </c>
      <c r="S34" s="17">
        <f t="shared" ref="S34:S39" si="491">JN34</f>
        <v>0</v>
      </c>
      <c r="T34" s="17">
        <f t="shared" ref="T34:T39" si="492">JO34</f>
        <v>0</v>
      </c>
      <c r="U34" s="17">
        <f t="shared" ref="U34:U39" si="493">JP34</f>
        <v>0</v>
      </c>
      <c r="V34" s="17">
        <f t="shared" ref="V34:V39" si="494">JQ34</f>
        <v>0</v>
      </c>
      <c r="W34" s="17">
        <f t="shared" ref="W34:W39" si="495">JR34</f>
        <v>0</v>
      </c>
      <c r="X34" s="17">
        <f t="shared" ref="X34:X39" si="496">JS34</f>
        <v>0</v>
      </c>
      <c r="Y34" s="17">
        <f t="shared" ref="Y34:Y39" si="497">JT34</f>
        <v>0</v>
      </c>
      <c r="Z34" s="17">
        <f t="shared" ref="Z34:Z39" si="498">JU34</f>
        <v>0</v>
      </c>
      <c r="AA34" s="17">
        <f t="shared" ref="AA34:AA39" si="499">JV34</f>
        <v>0</v>
      </c>
      <c r="AB34" s="17">
        <f t="shared" ref="AB34:AB39" si="500">JW34</f>
        <v>0</v>
      </c>
      <c r="AC34" s="17">
        <f t="shared" ref="AC34:AC39" si="501">JX34</f>
        <v>0</v>
      </c>
      <c r="AD34" s="17">
        <f t="shared" ref="AD34:AD39" si="502">JY34</f>
        <v>0</v>
      </c>
      <c r="AE34" s="17">
        <f t="shared" ref="AE34:AE39" si="503">JZ34</f>
        <v>0</v>
      </c>
      <c r="AF34" s="17">
        <f t="shared" ref="AF34:AF39" si="504">KA34</f>
        <v>0</v>
      </c>
      <c r="AG34" s="17">
        <f t="shared" ref="AG34:AG39" si="505">KB34</f>
        <v>0</v>
      </c>
      <c r="AH34" s="17">
        <f t="shared" ref="AH34:AH39" si="506">KC34</f>
        <v>0</v>
      </c>
      <c r="AI34" s="17">
        <f t="shared" ref="AI34:AI39" si="507">KD34</f>
        <v>0</v>
      </c>
      <c r="AJ34" s="17">
        <f t="shared" ref="AJ34:AJ39" si="508">KE34</f>
        <v>0</v>
      </c>
      <c r="AK34" s="17">
        <f t="shared" ref="AK34:AK39" si="509">KF34</f>
        <v>0</v>
      </c>
      <c r="AL34" s="17">
        <f t="shared" ref="AL34:AL39" si="510">KG34</f>
        <v>0</v>
      </c>
      <c r="AM34" s="17">
        <f t="shared" ref="AM34:AM39" si="511">KH34</f>
        <v>0</v>
      </c>
      <c r="AN34" s="17">
        <f t="shared" ref="AN34:AN39" si="512">KI34</f>
        <v>0</v>
      </c>
      <c r="AO34" s="17">
        <f t="shared" ref="AO34:AO39" si="513">KJ34</f>
        <v>0</v>
      </c>
      <c r="AP34" s="17">
        <f t="shared" ref="AP34:AP39" si="514">KK34</f>
        <v>0</v>
      </c>
      <c r="AQ34" s="17">
        <f t="shared" ref="AQ34:AQ39" si="515">KL34</f>
        <v>0</v>
      </c>
      <c r="AR34" s="17">
        <f t="shared" ref="AR34:AR39" si="516">KM34</f>
        <v>0</v>
      </c>
      <c r="AS34" s="17">
        <f t="shared" ref="AS34:AS39" si="517">KN34</f>
        <v>0</v>
      </c>
      <c r="AT34" s="17">
        <f t="shared" ref="AT34:AT39" si="518">KO34</f>
        <v>0</v>
      </c>
      <c r="AU34" s="54">
        <f t="shared" ref="AU34:AU39" si="519">KP34</f>
        <v>0</v>
      </c>
      <c r="AV34" s="58">
        <f t="shared" si="40"/>
        <v>0</v>
      </c>
      <c r="AW34" s="58">
        <f t="shared" ca="1" si="73"/>
        <v>0</v>
      </c>
      <c r="AX34" s="50">
        <f t="shared" ref="AX34:AX39" si="520">KQ34</f>
        <v>0</v>
      </c>
      <c r="AY34" s="17">
        <f t="shared" ref="AY34:AY39" si="521">KR34</f>
        <v>0</v>
      </c>
      <c r="AZ34" s="17">
        <f t="shared" ref="AZ34:AZ39" si="522">KS34</f>
        <v>0</v>
      </c>
      <c r="BA34" s="17">
        <f t="shared" ref="BA34:BA39" si="523">KT34</f>
        <v>0</v>
      </c>
      <c r="BB34" s="17">
        <f t="shared" ref="BB34:BB39" si="524">KU34</f>
        <v>0</v>
      </c>
      <c r="BC34" s="17">
        <f t="shared" ref="BC34:BC39" si="525">KV34</f>
        <v>0</v>
      </c>
      <c r="BD34" s="17">
        <f t="shared" ref="BD34:BD39" si="526">KW34</f>
        <v>0</v>
      </c>
      <c r="BE34" s="17">
        <f t="shared" ref="BE34:BE39" si="527">KX34</f>
        <v>0</v>
      </c>
      <c r="BF34" s="17">
        <f t="shared" ref="BF34:BF39" si="528">KY34</f>
        <v>0</v>
      </c>
      <c r="BG34" s="17">
        <f t="shared" ref="BG34:BG39" si="529">KZ34</f>
        <v>0</v>
      </c>
      <c r="BH34" s="17">
        <f t="shared" ref="BH34:BH39" si="530">LA34</f>
        <v>0</v>
      </c>
      <c r="BI34" s="17">
        <f t="shared" ref="BI34:BI39" si="531">LB34</f>
        <v>0</v>
      </c>
      <c r="BJ34" s="17">
        <f t="shared" ref="BJ34:BJ39" si="532">LC34</f>
        <v>0</v>
      </c>
      <c r="BK34" s="17">
        <f t="shared" ref="BK34:BK39" si="533">LD34</f>
        <v>0</v>
      </c>
      <c r="BL34" s="17">
        <f t="shared" ref="BL34:BL39" si="534">LE34</f>
        <v>0</v>
      </c>
      <c r="BM34" s="17">
        <f t="shared" ref="BM34:BM39" si="535">LF34</f>
        <v>0</v>
      </c>
      <c r="BN34" s="17">
        <f t="shared" ref="BN34:BN39" si="536">LG34</f>
        <v>0</v>
      </c>
      <c r="BO34" s="17">
        <f t="shared" ref="BO34:BO39" si="537">LH34</f>
        <v>0</v>
      </c>
      <c r="BP34" s="17">
        <f t="shared" ref="BP34:BP39" si="538">LI34</f>
        <v>0</v>
      </c>
      <c r="BQ34" s="17">
        <f t="shared" ref="BQ34:BQ39" si="539">LJ34</f>
        <v>0</v>
      </c>
      <c r="BR34" s="17">
        <f t="shared" ref="BR34:BR39" si="540">LK34</f>
        <v>0</v>
      </c>
      <c r="BS34" s="17">
        <f t="shared" ref="BS34:BS39" si="541">LL34</f>
        <v>0</v>
      </c>
      <c r="BT34" s="17">
        <f t="shared" ref="BT34:BT39" si="542">LM34</f>
        <v>0</v>
      </c>
      <c r="BU34" s="17">
        <f t="shared" ref="BU34:BU39" si="543">LN34</f>
        <v>0</v>
      </c>
      <c r="BV34" s="17">
        <f t="shared" ref="BV34:BV39" si="544">LO34</f>
        <v>0</v>
      </c>
      <c r="BW34" s="17">
        <f t="shared" ref="BW34:BW39" si="545">LP34</f>
        <v>0</v>
      </c>
      <c r="BX34" s="17">
        <f t="shared" ref="BX34:BX39" si="546">LQ34</f>
        <v>0</v>
      </c>
      <c r="BY34" s="17">
        <f t="shared" ref="BY34:BY39" si="547">LR34</f>
        <v>0</v>
      </c>
      <c r="BZ34" s="17">
        <f t="shared" ref="BZ34:BZ39" si="548">LS34</f>
        <v>0</v>
      </c>
      <c r="CA34" s="17">
        <f t="shared" ref="CA34:CA39" si="549">LT34</f>
        <v>0</v>
      </c>
      <c r="CB34" s="54">
        <f t="shared" ref="CB34:CB39" si="550">LU34</f>
        <v>0</v>
      </c>
      <c r="CC34" s="58">
        <f t="shared" si="208"/>
        <v>0</v>
      </c>
      <c r="CD34" s="58">
        <f t="shared" ca="1" si="103"/>
        <v>0</v>
      </c>
      <c r="JJ34" s="4" t="s">
        <v>13</v>
      </c>
      <c r="JK34" s="152" t="str">
        <f t="shared" si="42"/>
        <v>LHR01-PHR-MIO-01</v>
      </c>
      <c r="JL34" s="163">
        <v>0</v>
      </c>
      <c r="JM34" s="158">
        <v>0</v>
      </c>
      <c r="JN34" s="158">
        <v>0</v>
      </c>
      <c r="JO34" s="159">
        <v>0</v>
      </c>
      <c r="JP34" s="158">
        <v>0</v>
      </c>
      <c r="JQ34" s="158">
        <v>0</v>
      </c>
      <c r="JR34" s="158">
        <v>0</v>
      </c>
      <c r="JS34" s="158">
        <v>0</v>
      </c>
      <c r="JT34" s="158">
        <v>0</v>
      </c>
      <c r="JU34" s="158">
        <v>0</v>
      </c>
      <c r="JV34" s="158">
        <v>0</v>
      </c>
      <c r="JW34" s="159">
        <v>0</v>
      </c>
      <c r="JX34" s="159">
        <v>0</v>
      </c>
      <c r="JY34" s="159">
        <v>0</v>
      </c>
      <c r="JZ34" s="158"/>
      <c r="KA34" s="158"/>
      <c r="KB34" s="158"/>
      <c r="KC34" s="158"/>
      <c r="KD34" s="158"/>
      <c r="KE34" s="158"/>
      <c r="KF34" s="158"/>
      <c r="KG34" s="158"/>
      <c r="KH34" s="159"/>
      <c r="KI34" s="159"/>
      <c r="KJ34" s="158"/>
      <c r="KK34" s="158"/>
      <c r="KL34" s="158"/>
      <c r="KM34" s="158"/>
      <c r="KN34" s="158"/>
      <c r="KO34" s="158"/>
      <c r="KP34" s="164"/>
      <c r="KQ34" s="157">
        <v>0</v>
      </c>
      <c r="KR34" s="157">
        <v>0</v>
      </c>
      <c r="KS34" s="157">
        <v>0</v>
      </c>
      <c r="KT34" s="157">
        <v>0</v>
      </c>
      <c r="KU34" s="157">
        <v>0</v>
      </c>
      <c r="KV34" s="157">
        <v>0</v>
      </c>
      <c r="KW34" s="157">
        <v>0</v>
      </c>
      <c r="KX34" s="157">
        <v>0</v>
      </c>
      <c r="KY34" s="157">
        <v>0</v>
      </c>
      <c r="KZ34" s="157">
        <v>0</v>
      </c>
      <c r="LA34" s="157">
        <v>0</v>
      </c>
      <c r="LB34" s="157">
        <v>0</v>
      </c>
      <c r="LC34" s="157">
        <v>0</v>
      </c>
      <c r="LD34" s="157">
        <v>0</v>
      </c>
      <c r="LE34" s="157"/>
      <c r="LF34" s="157"/>
      <c r="LG34" s="157"/>
      <c r="LH34" s="157"/>
      <c r="LI34" s="157"/>
      <c r="LJ34" s="157"/>
      <c r="LK34" s="157"/>
      <c r="LL34" s="157"/>
      <c r="LM34" s="157"/>
      <c r="LN34" s="157"/>
      <c r="LO34" s="157"/>
      <c r="LP34" s="157"/>
      <c r="LQ34" s="157"/>
      <c r="LR34" s="157"/>
      <c r="LS34" s="157"/>
      <c r="LT34" s="5"/>
      <c r="LU34" s="8"/>
    </row>
    <row r="35" spans="1:333" ht="16.2" customHeight="1">
      <c r="A35" s="38" t="s">
        <v>9</v>
      </c>
      <c r="B35" s="25" t="s">
        <v>53</v>
      </c>
      <c r="C35" s="26" t="s">
        <v>384</v>
      </c>
      <c r="D35" s="25" t="s">
        <v>226</v>
      </c>
      <c r="E35" s="27" t="s">
        <v>421</v>
      </c>
      <c r="F35" s="25" t="s">
        <v>454</v>
      </c>
      <c r="G35" s="25" t="s">
        <v>56</v>
      </c>
      <c r="H35" s="28">
        <v>43652</v>
      </c>
      <c r="I35" s="29" t="s">
        <v>227</v>
      </c>
      <c r="J35" s="30">
        <v>1</v>
      </c>
      <c r="K35" s="147">
        <v>0</v>
      </c>
      <c r="L35" s="147">
        <f t="shared" si="484"/>
        <v>1</v>
      </c>
      <c r="M35" s="147">
        <f t="shared" si="485"/>
        <v>1</v>
      </c>
      <c r="N35" s="147">
        <f t="shared" si="486"/>
        <v>1</v>
      </c>
      <c r="O35" s="147">
        <f t="shared" si="487"/>
        <v>1</v>
      </c>
      <c r="P35" s="148">
        <f t="shared" si="488"/>
        <v>1</v>
      </c>
      <c r="Q35" s="50">
        <f t="shared" si="489"/>
        <v>1</v>
      </c>
      <c r="R35" s="17">
        <f t="shared" si="490"/>
        <v>1</v>
      </c>
      <c r="S35" s="17">
        <f t="shared" si="491"/>
        <v>1</v>
      </c>
      <c r="T35" s="17">
        <f t="shared" si="492"/>
        <v>0</v>
      </c>
      <c r="U35" s="17">
        <f t="shared" si="493"/>
        <v>1</v>
      </c>
      <c r="V35" s="17">
        <f t="shared" si="494"/>
        <v>1</v>
      </c>
      <c r="W35" s="17">
        <f t="shared" si="495"/>
        <v>1</v>
      </c>
      <c r="X35" s="17">
        <f t="shared" si="496"/>
        <v>1</v>
      </c>
      <c r="Y35" s="17">
        <f t="shared" si="497"/>
        <v>1</v>
      </c>
      <c r="Z35" s="17">
        <f t="shared" si="498"/>
        <v>1</v>
      </c>
      <c r="AA35" s="17">
        <f t="shared" si="499"/>
        <v>0</v>
      </c>
      <c r="AB35" s="17">
        <f t="shared" si="500"/>
        <v>1</v>
      </c>
      <c r="AC35" s="17">
        <f t="shared" si="501"/>
        <v>1</v>
      </c>
      <c r="AD35" s="17">
        <f t="shared" si="502"/>
        <v>1</v>
      </c>
      <c r="AE35" s="17">
        <f t="shared" si="503"/>
        <v>0</v>
      </c>
      <c r="AF35" s="17">
        <f t="shared" si="504"/>
        <v>0</v>
      </c>
      <c r="AG35" s="17">
        <f t="shared" si="505"/>
        <v>0</v>
      </c>
      <c r="AH35" s="17">
        <f t="shared" si="506"/>
        <v>0</v>
      </c>
      <c r="AI35" s="17">
        <f t="shared" si="507"/>
        <v>0</v>
      </c>
      <c r="AJ35" s="17">
        <f t="shared" si="508"/>
        <v>0</v>
      </c>
      <c r="AK35" s="17">
        <f t="shared" si="509"/>
        <v>0</v>
      </c>
      <c r="AL35" s="17">
        <f t="shared" si="510"/>
        <v>0</v>
      </c>
      <c r="AM35" s="17">
        <f t="shared" si="511"/>
        <v>0</v>
      </c>
      <c r="AN35" s="17">
        <f t="shared" si="512"/>
        <v>0</v>
      </c>
      <c r="AO35" s="17">
        <f t="shared" si="513"/>
        <v>0</v>
      </c>
      <c r="AP35" s="17">
        <f t="shared" si="514"/>
        <v>0</v>
      </c>
      <c r="AQ35" s="17">
        <f t="shared" si="515"/>
        <v>0</v>
      </c>
      <c r="AR35" s="17">
        <f t="shared" si="516"/>
        <v>0</v>
      </c>
      <c r="AS35" s="17">
        <f t="shared" si="517"/>
        <v>0</v>
      </c>
      <c r="AT35" s="17">
        <f t="shared" si="518"/>
        <v>0</v>
      </c>
      <c r="AU35" s="54">
        <f t="shared" si="519"/>
        <v>0</v>
      </c>
      <c r="AV35" s="58">
        <f t="shared" si="40"/>
        <v>12</v>
      </c>
      <c r="AW35" s="58">
        <f t="shared" ca="1" si="73"/>
        <v>0.92307692307692313</v>
      </c>
      <c r="AX35" s="50">
        <f t="shared" si="520"/>
        <v>9</v>
      </c>
      <c r="AY35" s="17">
        <f t="shared" si="521"/>
        <v>9</v>
      </c>
      <c r="AZ35" s="17">
        <f t="shared" si="522"/>
        <v>8</v>
      </c>
      <c r="BA35" s="17">
        <f t="shared" si="523"/>
        <v>0</v>
      </c>
      <c r="BB35" s="17">
        <f t="shared" si="524"/>
        <v>10</v>
      </c>
      <c r="BC35" s="17">
        <f t="shared" si="525"/>
        <v>10</v>
      </c>
      <c r="BD35" s="17">
        <f t="shared" si="526"/>
        <v>10</v>
      </c>
      <c r="BE35" s="17">
        <f t="shared" si="527"/>
        <v>6</v>
      </c>
      <c r="BF35" s="17">
        <f t="shared" si="528"/>
        <v>8</v>
      </c>
      <c r="BG35" s="17">
        <f t="shared" si="529"/>
        <v>8</v>
      </c>
      <c r="BH35" s="17">
        <f t="shared" si="530"/>
        <v>0</v>
      </c>
      <c r="BI35" s="17">
        <f t="shared" si="531"/>
        <v>11</v>
      </c>
      <c r="BJ35" s="17">
        <f t="shared" si="532"/>
        <v>11</v>
      </c>
      <c r="BK35" s="17">
        <f t="shared" si="533"/>
        <v>1</v>
      </c>
      <c r="BL35" s="17">
        <f t="shared" si="534"/>
        <v>0</v>
      </c>
      <c r="BM35" s="17">
        <f t="shared" si="535"/>
        <v>0</v>
      </c>
      <c r="BN35" s="17">
        <f t="shared" si="536"/>
        <v>0</v>
      </c>
      <c r="BO35" s="17">
        <f t="shared" si="537"/>
        <v>0</v>
      </c>
      <c r="BP35" s="17">
        <f t="shared" si="538"/>
        <v>0</v>
      </c>
      <c r="BQ35" s="17">
        <f t="shared" si="539"/>
        <v>0</v>
      </c>
      <c r="BR35" s="17">
        <f t="shared" si="540"/>
        <v>0</v>
      </c>
      <c r="BS35" s="17">
        <f t="shared" si="541"/>
        <v>0</v>
      </c>
      <c r="BT35" s="17">
        <f t="shared" si="542"/>
        <v>0</v>
      </c>
      <c r="BU35" s="17">
        <f t="shared" si="543"/>
        <v>0</v>
      </c>
      <c r="BV35" s="17">
        <f t="shared" si="544"/>
        <v>0</v>
      </c>
      <c r="BW35" s="17">
        <f t="shared" si="545"/>
        <v>0</v>
      </c>
      <c r="BX35" s="17">
        <f t="shared" si="546"/>
        <v>0</v>
      </c>
      <c r="BY35" s="17">
        <f t="shared" si="547"/>
        <v>0</v>
      </c>
      <c r="BZ35" s="17">
        <f t="shared" si="548"/>
        <v>0</v>
      </c>
      <c r="CA35" s="17">
        <f t="shared" si="549"/>
        <v>0</v>
      </c>
      <c r="CB35" s="54">
        <f t="shared" si="550"/>
        <v>0</v>
      </c>
      <c r="CC35" s="58">
        <f t="shared" si="208"/>
        <v>101</v>
      </c>
      <c r="CD35" s="58">
        <f t="shared" ca="1" si="103"/>
        <v>7.7692307692307692</v>
      </c>
      <c r="JJ35" s="4" t="s">
        <v>13</v>
      </c>
      <c r="JK35" s="152" t="str">
        <f t="shared" si="42"/>
        <v>LHR01-PHR-MIO-02</v>
      </c>
      <c r="JL35" s="163">
        <v>1</v>
      </c>
      <c r="JM35" s="158">
        <v>1</v>
      </c>
      <c r="JN35" s="158">
        <v>1</v>
      </c>
      <c r="JO35" s="159">
        <v>0</v>
      </c>
      <c r="JP35" s="158">
        <v>1</v>
      </c>
      <c r="JQ35" s="158">
        <v>1</v>
      </c>
      <c r="JR35" s="158">
        <v>1</v>
      </c>
      <c r="JS35" s="158">
        <v>1</v>
      </c>
      <c r="JT35" s="158">
        <v>1</v>
      </c>
      <c r="JU35" s="158">
        <v>1</v>
      </c>
      <c r="JV35" s="158">
        <v>0</v>
      </c>
      <c r="JW35" s="159">
        <v>1</v>
      </c>
      <c r="JX35" s="159">
        <v>1</v>
      </c>
      <c r="JY35" s="159">
        <v>1</v>
      </c>
      <c r="JZ35" s="158"/>
      <c r="KA35" s="158"/>
      <c r="KB35" s="158"/>
      <c r="KC35" s="158"/>
      <c r="KD35" s="158"/>
      <c r="KE35" s="158"/>
      <c r="KF35" s="158"/>
      <c r="KG35" s="158"/>
      <c r="KH35" s="159"/>
      <c r="KI35" s="159"/>
      <c r="KJ35" s="158"/>
      <c r="KK35" s="158"/>
      <c r="KL35" s="158"/>
      <c r="KM35" s="158"/>
      <c r="KN35" s="158"/>
      <c r="KO35" s="158"/>
      <c r="KP35" s="164"/>
      <c r="KQ35" s="157">
        <v>9</v>
      </c>
      <c r="KR35" s="157">
        <v>9</v>
      </c>
      <c r="KS35" s="157">
        <v>8</v>
      </c>
      <c r="KT35" s="157">
        <v>0</v>
      </c>
      <c r="KU35" s="157">
        <v>10</v>
      </c>
      <c r="KV35" s="157">
        <v>10</v>
      </c>
      <c r="KW35" s="157">
        <v>10</v>
      </c>
      <c r="KX35" s="157">
        <v>6</v>
      </c>
      <c r="KY35" s="157">
        <v>8</v>
      </c>
      <c r="KZ35" s="157">
        <v>8</v>
      </c>
      <c r="LA35" s="157">
        <v>0</v>
      </c>
      <c r="LB35" s="157">
        <v>11</v>
      </c>
      <c r="LC35" s="157">
        <v>11</v>
      </c>
      <c r="LD35" s="157">
        <v>1</v>
      </c>
      <c r="LE35" s="157"/>
      <c r="LF35" s="157"/>
      <c r="LG35" s="157"/>
      <c r="LH35" s="157"/>
      <c r="LI35" s="157"/>
      <c r="LJ35" s="157"/>
      <c r="LK35" s="157"/>
      <c r="LL35" s="157"/>
      <c r="LM35" s="157"/>
      <c r="LN35" s="157"/>
      <c r="LO35" s="157"/>
      <c r="LP35" s="157"/>
      <c r="LQ35" s="157"/>
      <c r="LR35" s="157"/>
      <c r="LS35" s="157"/>
      <c r="LT35" s="5"/>
      <c r="LU35" s="8"/>
    </row>
    <row r="36" spans="1:333" ht="16.2" customHeight="1">
      <c r="A36" s="38" t="s">
        <v>9</v>
      </c>
      <c r="B36" s="25" t="s">
        <v>53</v>
      </c>
      <c r="C36" s="26" t="s">
        <v>384</v>
      </c>
      <c r="D36" s="25" t="s">
        <v>229</v>
      </c>
      <c r="E36" s="27" t="s">
        <v>58</v>
      </c>
      <c r="F36" s="25" t="s">
        <v>455</v>
      </c>
      <c r="G36" s="25" t="s">
        <v>59</v>
      </c>
      <c r="H36" s="28">
        <v>39611</v>
      </c>
      <c r="I36" s="29" t="s">
        <v>230</v>
      </c>
      <c r="J36" s="30">
        <v>1</v>
      </c>
      <c r="K36" s="147">
        <v>0</v>
      </c>
      <c r="L36" s="147">
        <f t="shared" si="484"/>
        <v>1</v>
      </c>
      <c r="M36" s="147">
        <f t="shared" si="485"/>
        <v>1</v>
      </c>
      <c r="N36" s="147">
        <f t="shared" si="486"/>
        <v>1</v>
      </c>
      <c r="O36" s="147">
        <f t="shared" si="487"/>
        <v>1</v>
      </c>
      <c r="P36" s="148">
        <f t="shared" si="488"/>
        <v>1</v>
      </c>
      <c r="Q36" s="50">
        <f t="shared" si="489"/>
        <v>1</v>
      </c>
      <c r="R36" s="17">
        <f t="shared" si="490"/>
        <v>1</v>
      </c>
      <c r="S36" s="17">
        <f t="shared" si="491"/>
        <v>1</v>
      </c>
      <c r="T36" s="17">
        <f t="shared" si="492"/>
        <v>0</v>
      </c>
      <c r="U36" s="17">
        <f t="shared" si="493"/>
        <v>1</v>
      </c>
      <c r="V36" s="17">
        <f t="shared" si="494"/>
        <v>1</v>
      </c>
      <c r="W36" s="17">
        <f t="shared" si="495"/>
        <v>1</v>
      </c>
      <c r="X36" s="17">
        <f t="shared" si="496"/>
        <v>1</v>
      </c>
      <c r="Y36" s="17">
        <f t="shared" si="497"/>
        <v>1</v>
      </c>
      <c r="Z36" s="17">
        <f t="shared" si="498"/>
        <v>1</v>
      </c>
      <c r="AA36" s="17">
        <f t="shared" si="499"/>
        <v>0</v>
      </c>
      <c r="AB36" s="17">
        <f t="shared" si="500"/>
        <v>1</v>
      </c>
      <c r="AC36" s="17">
        <f t="shared" si="501"/>
        <v>1</v>
      </c>
      <c r="AD36" s="17">
        <f t="shared" si="502"/>
        <v>1</v>
      </c>
      <c r="AE36" s="17">
        <f t="shared" si="503"/>
        <v>0</v>
      </c>
      <c r="AF36" s="17">
        <f t="shared" si="504"/>
        <v>0</v>
      </c>
      <c r="AG36" s="17">
        <f t="shared" si="505"/>
        <v>0</v>
      </c>
      <c r="AH36" s="17">
        <f t="shared" si="506"/>
        <v>0</v>
      </c>
      <c r="AI36" s="17">
        <f t="shared" si="507"/>
        <v>0</v>
      </c>
      <c r="AJ36" s="17">
        <f t="shared" si="508"/>
        <v>0</v>
      </c>
      <c r="AK36" s="17">
        <f t="shared" si="509"/>
        <v>0</v>
      </c>
      <c r="AL36" s="17">
        <f t="shared" si="510"/>
        <v>0</v>
      </c>
      <c r="AM36" s="17">
        <f t="shared" si="511"/>
        <v>0</v>
      </c>
      <c r="AN36" s="17">
        <f t="shared" si="512"/>
        <v>0</v>
      </c>
      <c r="AO36" s="17">
        <f t="shared" si="513"/>
        <v>0</v>
      </c>
      <c r="AP36" s="17">
        <f t="shared" si="514"/>
        <v>0</v>
      </c>
      <c r="AQ36" s="17">
        <f t="shared" si="515"/>
        <v>0</v>
      </c>
      <c r="AR36" s="17">
        <f t="shared" si="516"/>
        <v>0</v>
      </c>
      <c r="AS36" s="17">
        <f t="shared" si="517"/>
        <v>0</v>
      </c>
      <c r="AT36" s="17">
        <f t="shared" si="518"/>
        <v>0</v>
      </c>
      <c r="AU36" s="54">
        <f t="shared" si="519"/>
        <v>0</v>
      </c>
      <c r="AV36" s="58">
        <f t="shared" ref="AV36:AV68" si="551">SUM(Q36:AU36)</f>
        <v>12</v>
      </c>
      <c r="AW36" s="58">
        <f t="shared" ca="1" si="73"/>
        <v>0.92307692307692313</v>
      </c>
      <c r="AX36" s="50">
        <f t="shared" si="520"/>
        <v>12</v>
      </c>
      <c r="AY36" s="17">
        <f t="shared" si="521"/>
        <v>11</v>
      </c>
      <c r="AZ36" s="17">
        <f t="shared" si="522"/>
        <v>11</v>
      </c>
      <c r="BA36" s="17">
        <f t="shared" si="523"/>
        <v>0</v>
      </c>
      <c r="BB36" s="17">
        <f t="shared" si="524"/>
        <v>12</v>
      </c>
      <c r="BC36" s="17">
        <f t="shared" si="525"/>
        <v>10</v>
      </c>
      <c r="BD36" s="17">
        <f t="shared" si="526"/>
        <v>12</v>
      </c>
      <c r="BE36" s="17">
        <f t="shared" si="527"/>
        <v>11</v>
      </c>
      <c r="BF36" s="17">
        <f t="shared" si="528"/>
        <v>12</v>
      </c>
      <c r="BG36" s="17">
        <f t="shared" si="529"/>
        <v>10</v>
      </c>
      <c r="BH36" s="17">
        <f t="shared" si="530"/>
        <v>0</v>
      </c>
      <c r="BI36" s="17">
        <f t="shared" si="531"/>
        <v>13</v>
      </c>
      <c r="BJ36" s="17">
        <f t="shared" si="532"/>
        <v>14</v>
      </c>
      <c r="BK36" s="17">
        <f t="shared" si="533"/>
        <v>6</v>
      </c>
      <c r="BL36" s="17">
        <f t="shared" si="534"/>
        <v>0</v>
      </c>
      <c r="BM36" s="17">
        <f t="shared" si="535"/>
        <v>0</v>
      </c>
      <c r="BN36" s="17">
        <f t="shared" si="536"/>
        <v>0</v>
      </c>
      <c r="BO36" s="17">
        <f t="shared" si="537"/>
        <v>0</v>
      </c>
      <c r="BP36" s="17">
        <f t="shared" si="538"/>
        <v>0</v>
      </c>
      <c r="BQ36" s="17">
        <f t="shared" si="539"/>
        <v>0</v>
      </c>
      <c r="BR36" s="17">
        <f t="shared" si="540"/>
        <v>0</v>
      </c>
      <c r="BS36" s="17">
        <f t="shared" si="541"/>
        <v>0</v>
      </c>
      <c r="BT36" s="17">
        <f t="shared" si="542"/>
        <v>0</v>
      </c>
      <c r="BU36" s="17">
        <f t="shared" si="543"/>
        <v>0</v>
      </c>
      <c r="BV36" s="17">
        <f t="shared" si="544"/>
        <v>0</v>
      </c>
      <c r="BW36" s="17">
        <f t="shared" si="545"/>
        <v>0</v>
      </c>
      <c r="BX36" s="17">
        <f t="shared" si="546"/>
        <v>0</v>
      </c>
      <c r="BY36" s="17">
        <f t="shared" si="547"/>
        <v>0</v>
      </c>
      <c r="BZ36" s="17">
        <f t="shared" si="548"/>
        <v>0</v>
      </c>
      <c r="CA36" s="17">
        <f t="shared" si="549"/>
        <v>0</v>
      </c>
      <c r="CB36" s="54">
        <f t="shared" si="550"/>
        <v>0</v>
      </c>
      <c r="CC36" s="58">
        <f t="shared" si="208"/>
        <v>134</v>
      </c>
      <c r="CD36" s="58">
        <f t="shared" ca="1" si="103"/>
        <v>10.307692307692308</v>
      </c>
      <c r="JJ36" s="4" t="s">
        <v>13</v>
      </c>
      <c r="JK36" s="152" t="str">
        <f t="shared" ref="JK36:JK68" si="552">D36</f>
        <v>LHR01-PHR-MIO-04</v>
      </c>
      <c r="JL36" s="163">
        <v>1</v>
      </c>
      <c r="JM36" s="158">
        <v>1</v>
      </c>
      <c r="JN36" s="158">
        <v>1</v>
      </c>
      <c r="JO36" s="159">
        <v>0</v>
      </c>
      <c r="JP36" s="158">
        <v>1</v>
      </c>
      <c r="JQ36" s="158">
        <v>1</v>
      </c>
      <c r="JR36" s="158">
        <v>1</v>
      </c>
      <c r="JS36" s="158">
        <v>1</v>
      </c>
      <c r="JT36" s="158">
        <v>1</v>
      </c>
      <c r="JU36" s="158">
        <v>1</v>
      </c>
      <c r="JV36" s="158">
        <v>0</v>
      </c>
      <c r="JW36" s="159">
        <v>1</v>
      </c>
      <c r="JX36" s="159">
        <v>1</v>
      </c>
      <c r="JY36" s="159">
        <v>1</v>
      </c>
      <c r="JZ36" s="158"/>
      <c r="KA36" s="158"/>
      <c r="KB36" s="158"/>
      <c r="KC36" s="158"/>
      <c r="KD36" s="158"/>
      <c r="KE36" s="158"/>
      <c r="KF36" s="158"/>
      <c r="KG36" s="158"/>
      <c r="KH36" s="159"/>
      <c r="KI36" s="159"/>
      <c r="KJ36" s="158"/>
      <c r="KK36" s="158"/>
      <c r="KL36" s="158"/>
      <c r="KM36" s="158"/>
      <c r="KN36" s="158"/>
      <c r="KO36" s="158"/>
      <c r="KP36" s="164"/>
      <c r="KQ36" s="157">
        <v>12</v>
      </c>
      <c r="KR36" s="157">
        <v>11</v>
      </c>
      <c r="KS36" s="157">
        <v>11</v>
      </c>
      <c r="KT36" s="157">
        <v>0</v>
      </c>
      <c r="KU36" s="157">
        <v>12</v>
      </c>
      <c r="KV36" s="157">
        <v>10</v>
      </c>
      <c r="KW36" s="157">
        <v>12</v>
      </c>
      <c r="KX36" s="157">
        <v>11</v>
      </c>
      <c r="KY36" s="157">
        <v>12</v>
      </c>
      <c r="KZ36" s="157">
        <v>10</v>
      </c>
      <c r="LA36" s="157">
        <v>0</v>
      </c>
      <c r="LB36" s="157">
        <v>13</v>
      </c>
      <c r="LC36" s="157">
        <v>14</v>
      </c>
      <c r="LD36" s="157">
        <v>6</v>
      </c>
      <c r="LE36" s="157"/>
      <c r="LF36" s="157"/>
      <c r="LG36" s="157"/>
      <c r="LH36" s="157"/>
      <c r="LI36" s="157"/>
      <c r="LJ36" s="157"/>
      <c r="LK36" s="157"/>
      <c r="LL36" s="157"/>
      <c r="LM36" s="157"/>
      <c r="LN36" s="157"/>
      <c r="LO36" s="157"/>
      <c r="LP36" s="157"/>
      <c r="LQ36" s="157"/>
      <c r="LR36" s="157"/>
      <c r="LS36" s="157"/>
      <c r="LT36" s="5"/>
      <c r="LU36" s="8"/>
    </row>
    <row r="37" spans="1:333" ht="16.2" customHeight="1">
      <c r="A37" s="38" t="s">
        <v>9</v>
      </c>
      <c r="B37" s="25" t="s">
        <v>53</v>
      </c>
      <c r="C37" s="26" t="s">
        <v>384</v>
      </c>
      <c r="D37" s="25" t="s">
        <v>231</v>
      </c>
      <c r="E37" s="27" t="s">
        <v>61</v>
      </c>
      <c r="F37" s="25" t="s">
        <v>456</v>
      </c>
      <c r="G37" s="25" t="s">
        <v>232</v>
      </c>
      <c r="H37" s="28">
        <v>46059</v>
      </c>
      <c r="I37" s="29" t="s">
        <v>233</v>
      </c>
      <c r="J37" s="30">
        <v>1</v>
      </c>
      <c r="K37" s="147">
        <v>0</v>
      </c>
      <c r="L37" s="147">
        <f t="shared" si="484"/>
        <v>1</v>
      </c>
      <c r="M37" s="147">
        <f t="shared" si="485"/>
        <v>1</v>
      </c>
      <c r="N37" s="147">
        <f t="shared" si="486"/>
        <v>1</v>
      </c>
      <c r="O37" s="147">
        <f t="shared" si="487"/>
        <v>1</v>
      </c>
      <c r="P37" s="148">
        <f t="shared" si="488"/>
        <v>1</v>
      </c>
      <c r="Q37" s="50">
        <f t="shared" si="489"/>
        <v>1</v>
      </c>
      <c r="R37" s="17">
        <f t="shared" si="490"/>
        <v>0</v>
      </c>
      <c r="S37" s="17">
        <f t="shared" si="491"/>
        <v>1</v>
      </c>
      <c r="T37" s="17">
        <f t="shared" si="492"/>
        <v>0</v>
      </c>
      <c r="U37" s="17">
        <f t="shared" si="493"/>
        <v>1</v>
      </c>
      <c r="V37" s="17">
        <f t="shared" si="494"/>
        <v>1</v>
      </c>
      <c r="W37" s="17">
        <f t="shared" si="495"/>
        <v>1</v>
      </c>
      <c r="X37" s="17">
        <f t="shared" si="496"/>
        <v>0</v>
      </c>
      <c r="Y37" s="17">
        <f t="shared" si="497"/>
        <v>1</v>
      </c>
      <c r="Z37" s="17">
        <f t="shared" si="498"/>
        <v>1</v>
      </c>
      <c r="AA37" s="17">
        <f t="shared" si="499"/>
        <v>0</v>
      </c>
      <c r="AB37" s="17">
        <f t="shared" si="500"/>
        <v>1</v>
      </c>
      <c r="AC37" s="17">
        <f t="shared" si="501"/>
        <v>1</v>
      </c>
      <c r="AD37" s="17">
        <f t="shared" si="502"/>
        <v>1</v>
      </c>
      <c r="AE37" s="17">
        <f t="shared" si="503"/>
        <v>0</v>
      </c>
      <c r="AF37" s="17">
        <f t="shared" si="504"/>
        <v>0</v>
      </c>
      <c r="AG37" s="17">
        <f t="shared" si="505"/>
        <v>0</v>
      </c>
      <c r="AH37" s="17">
        <f t="shared" si="506"/>
        <v>0</v>
      </c>
      <c r="AI37" s="17">
        <f t="shared" si="507"/>
        <v>0</v>
      </c>
      <c r="AJ37" s="17">
        <f t="shared" si="508"/>
        <v>0</v>
      </c>
      <c r="AK37" s="17">
        <f t="shared" si="509"/>
        <v>0</v>
      </c>
      <c r="AL37" s="17">
        <f t="shared" si="510"/>
        <v>0</v>
      </c>
      <c r="AM37" s="17">
        <f t="shared" si="511"/>
        <v>0</v>
      </c>
      <c r="AN37" s="17">
        <f t="shared" si="512"/>
        <v>0</v>
      </c>
      <c r="AO37" s="17">
        <f t="shared" si="513"/>
        <v>0</v>
      </c>
      <c r="AP37" s="17">
        <f t="shared" si="514"/>
        <v>0</v>
      </c>
      <c r="AQ37" s="17">
        <f t="shared" si="515"/>
        <v>0</v>
      </c>
      <c r="AR37" s="17">
        <f t="shared" si="516"/>
        <v>0</v>
      </c>
      <c r="AS37" s="17">
        <f t="shared" si="517"/>
        <v>0</v>
      </c>
      <c r="AT37" s="17">
        <f t="shared" si="518"/>
        <v>0</v>
      </c>
      <c r="AU37" s="54">
        <f t="shared" si="519"/>
        <v>0</v>
      </c>
      <c r="AV37" s="58">
        <f t="shared" si="551"/>
        <v>10</v>
      </c>
      <c r="AW37" s="58">
        <f t="shared" ca="1" si="73"/>
        <v>0.76923076923076927</v>
      </c>
      <c r="AX37" s="50">
        <f t="shared" si="520"/>
        <v>11</v>
      </c>
      <c r="AY37" s="17">
        <f t="shared" si="521"/>
        <v>12</v>
      </c>
      <c r="AZ37" s="17">
        <f t="shared" si="522"/>
        <v>7</v>
      </c>
      <c r="BA37" s="17">
        <f t="shared" si="523"/>
        <v>0</v>
      </c>
      <c r="BB37" s="17">
        <f t="shared" si="524"/>
        <v>9</v>
      </c>
      <c r="BC37" s="17">
        <f t="shared" si="525"/>
        <v>13</v>
      </c>
      <c r="BD37" s="17">
        <f t="shared" si="526"/>
        <v>11</v>
      </c>
      <c r="BE37" s="17">
        <f t="shared" si="527"/>
        <v>11</v>
      </c>
      <c r="BF37" s="17">
        <f t="shared" si="528"/>
        <v>11</v>
      </c>
      <c r="BG37" s="17">
        <f t="shared" si="529"/>
        <v>11</v>
      </c>
      <c r="BH37" s="17">
        <f t="shared" si="530"/>
        <v>0</v>
      </c>
      <c r="BI37" s="17">
        <f t="shared" si="531"/>
        <v>12</v>
      </c>
      <c r="BJ37" s="17">
        <f t="shared" si="532"/>
        <v>12</v>
      </c>
      <c r="BK37" s="17">
        <f t="shared" si="533"/>
        <v>6</v>
      </c>
      <c r="BL37" s="17">
        <f t="shared" si="534"/>
        <v>0</v>
      </c>
      <c r="BM37" s="17">
        <f t="shared" si="535"/>
        <v>0</v>
      </c>
      <c r="BN37" s="17">
        <f t="shared" si="536"/>
        <v>0</v>
      </c>
      <c r="BO37" s="17">
        <f t="shared" si="537"/>
        <v>0</v>
      </c>
      <c r="BP37" s="17">
        <f t="shared" si="538"/>
        <v>0</v>
      </c>
      <c r="BQ37" s="17">
        <f t="shared" si="539"/>
        <v>0</v>
      </c>
      <c r="BR37" s="17">
        <f t="shared" si="540"/>
        <v>0</v>
      </c>
      <c r="BS37" s="17">
        <f t="shared" si="541"/>
        <v>0</v>
      </c>
      <c r="BT37" s="17">
        <f t="shared" si="542"/>
        <v>0</v>
      </c>
      <c r="BU37" s="17">
        <f t="shared" si="543"/>
        <v>0</v>
      </c>
      <c r="BV37" s="17">
        <f t="shared" si="544"/>
        <v>0</v>
      </c>
      <c r="BW37" s="17">
        <f t="shared" si="545"/>
        <v>0</v>
      </c>
      <c r="BX37" s="17">
        <f t="shared" si="546"/>
        <v>0</v>
      </c>
      <c r="BY37" s="17">
        <f t="shared" si="547"/>
        <v>0</v>
      </c>
      <c r="BZ37" s="17">
        <f t="shared" si="548"/>
        <v>0</v>
      </c>
      <c r="CA37" s="17">
        <f t="shared" si="549"/>
        <v>0</v>
      </c>
      <c r="CB37" s="54">
        <f t="shared" si="550"/>
        <v>0</v>
      </c>
      <c r="CC37" s="58">
        <f t="shared" si="208"/>
        <v>126</v>
      </c>
      <c r="CD37" s="58">
        <f t="shared" ca="1" si="103"/>
        <v>9.6923076923076916</v>
      </c>
      <c r="JJ37" s="4" t="s">
        <v>13</v>
      </c>
      <c r="JK37" s="152" t="str">
        <f t="shared" si="552"/>
        <v>LHR01-PHR-MIO-05</v>
      </c>
      <c r="JL37" s="163">
        <v>1</v>
      </c>
      <c r="JM37" s="158">
        <v>0</v>
      </c>
      <c r="JN37" s="158">
        <v>1</v>
      </c>
      <c r="JO37" s="159">
        <v>0</v>
      </c>
      <c r="JP37" s="158">
        <v>1</v>
      </c>
      <c r="JQ37" s="158">
        <v>1</v>
      </c>
      <c r="JR37" s="158">
        <v>1</v>
      </c>
      <c r="JS37" s="158">
        <v>0</v>
      </c>
      <c r="JT37" s="158">
        <v>1</v>
      </c>
      <c r="JU37" s="158">
        <v>1</v>
      </c>
      <c r="JV37" s="158">
        <v>0</v>
      </c>
      <c r="JW37" s="159">
        <v>1</v>
      </c>
      <c r="JX37" s="159">
        <v>1</v>
      </c>
      <c r="JY37" s="159">
        <v>1</v>
      </c>
      <c r="JZ37" s="158"/>
      <c r="KA37" s="158"/>
      <c r="KB37" s="158"/>
      <c r="KC37" s="158"/>
      <c r="KD37" s="158"/>
      <c r="KE37" s="158"/>
      <c r="KF37" s="158"/>
      <c r="KG37" s="158"/>
      <c r="KH37" s="159"/>
      <c r="KI37" s="159"/>
      <c r="KJ37" s="158"/>
      <c r="KK37" s="158"/>
      <c r="KL37" s="158"/>
      <c r="KM37" s="158"/>
      <c r="KN37" s="158"/>
      <c r="KO37" s="158"/>
      <c r="KP37" s="164"/>
      <c r="KQ37" s="157">
        <v>11</v>
      </c>
      <c r="KR37" s="157">
        <v>12</v>
      </c>
      <c r="KS37" s="157">
        <v>7</v>
      </c>
      <c r="KT37" s="157">
        <v>0</v>
      </c>
      <c r="KU37" s="157">
        <v>9</v>
      </c>
      <c r="KV37" s="157">
        <v>13</v>
      </c>
      <c r="KW37" s="157">
        <v>11</v>
      </c>
      <c r="KX37" s="157">
        <v>11</v>
      </c>
      <c r="KY37" s="157">
        <v>11</v>
      </c>
      <c r="KZ37" s="157">
        <v>11</v>
      </c>
      <c r="LA37" s="157">
        <v>0</v>
      </c>
      <c r="LB37" s="157">
        <v>12</v>
      </c>
      <c r="LC37" s="157">
        <v>12</v>
      </c>
      <c r="LD37" s="157">
        <v>6</v>
      </c>
      <c r="LE37" s="157"/>
      <c r="LF37" s="157"/>
      <c r="LG37" s="157"/>
      <c r="LH37" s="157"/>
      <c r="LI37" s="157"/>
      <c r="LJ37" s="157"/>
      <c r="LK37" s="157"/>
      <c r="LL37" s="157"/>
      <c r="LM37" s="157"/>
      <c r="LN37" s="157"/>
      <c r="LO37" s="157"/>
      <c r="LP37" s="157"/>
      <c r="LQ37" s="157"/>
      <c r="LR37" s="157"/>
      <c r="LS37" s="157"/>
      <c r="LT37" s="5"/>
      <c r="LU37" s="8"/>
    </row>
    <row r="38" spans="1:333" ht="16.2" customHeight="1">
      <c r="A38" s="38" t="s">
        <v>9</v>
      </c>
      <c r="B38" s="25" t="s">
        <v>53</v>
      </c>
      <c r="C38" s="25" t="s">
        <v>385</v>
      </c>
      <c r="D38" s="25" t="s">
        <v>430</v>
      </c>
      <c r="E38" s="27" t="s">
        <v>68</v>
      </c>
      <c r="F38" s="25" t="s">
        <v>457</v>
      </c>
      <c r="G38" s="25" t="s">
        <v>243</v>
      </c>
      <c r="H38" s="28">
        <v>45216</v>
      </c>
      <c r="I38" s="29" t="s">
        <v>244</v>
      </c>
      <c r="J38" s="30">
        <v>1</v>
      </c>
      <c r="K38" s="147">
        <v>0</v>
      </c>
      <c r="L38" s="147">
        <f t="shared" si="484"/>
        <v>0</v>
      </c>
      <c r="M38" s="147">
        <f>IFERROR(IF(OR(AV38&gt;0),1,0),0)</f>
        <v>1</v>
      </c>
      <c r="N38" s="147">
        <f t="shared" si="486"/>
        <v>0</v>
      </c>
      <c r="O38" s="147">
        <f>IFERROR(IF(OR(CC38&gt;0),1,0),0)</f>
        <v>1</v>
      </c>
      <c r="P38" s="148">
        <f>IFERROR(IF(OR(AV38&gt;0,CC38&gt;0),1,0),0)</f>
        <v>1</v>
      </c>
      <c r="Q38" s="50">
        <f t="shared" ref="Q38:AU38" si="553">JL38</f>
        <v>0</v>
      </c>
      <c r="R38" s="17">
        <f t="shared" si="553"/>
        <v>0</v>
      </c>
      <c r="S38" s="17">
        <f t="shared" si="553"/>
        <v>1</v>
      </c>
      <c r="T38" s="17">
        <f t="shared" si="553"/>
        <v>0</v>
      </c>
      <c r="U38" s="17">
        <f t="shared" si="553"/>
        <v>1</v>
      </c>
      <c r="V38" s="17">
        <f t="shared" si="553"/>
        <v>1</v>
      </c>
      <c r="W38" s="17">
        <f t="shared" si="553"/>
        <v>0</v>
      </c>
      <c r="X38" s="17">
        <f t="shared" si="553"/>
        <v>1</v>
      </c>
      <c r="Y38" s="17">
        <f t="shared" si="553"/>
        <v>1</v>
      </c>
      <c r="Z38" s="17">
        <f t="shared" si="553"/>
        <v>1</v>
      </c>
      <c r="AA38" s="17">
        <f t="shared" si="553"/>
        <v>0</v>
      </c>
      <c r="AB38" s="17">
        <f t="shared" si="553"/>
        <v>1</v>
      </c>
      <c r="AC38" s="17">
        <f t="shared" si="553"/>
        <v>1</v>
      </c>
      <c r="AD38" s="17">
        <f t="shared" si="553"/>
        <v>0</v>
      </c>
      <c r="AE38" s="17">
        <f t="shared" si="553"/>
        <v>0</v>
      </c>
      <c r="AF38" s="17">
        <f t="shared" si="553"/>
        <v>0</v>
      </c>
      <c r="AG38" s="17">
        <f t="shared" si="553"/>
        <v>0</v>
      </c>
      <c r="AH38" s="17">
        <f t="shared" si="553"/>
        <v>0</v>
      </c>
      <c r="AI38" s="17">
        <f t="shared" si="553"/>
        <v>0</v>
      </c>
      <c r="AJ38" s="17">
        <f t="shared" si="553"/>
        <v>0</v>
      </c>
      <c r="AK38" s="17">
        <f t="shared" si="553"/>
        <v>0</v>
      </c>
      <c r="AL38" s="17">
        <f t="shared" si="553"/>
        <v>0</v>
      </c>
      <c r="AM38" s="17">
        <f t="shared" si="553"/>
        <v>0</v>
      </c>
      <c r="AN38" s="17">
        <f t="shared" si="553"/>
        <v>0</v>
      </c>
      <c r="AO38" s="17">
        <f t="shared" si="553"/>
        <v>0</v>
      </c>
      <c r="AP38" s="17">
        <f t="shared" si="553"/>
        <v>0</v>
      </c>
      <c r="AQ38" s="17">
        <f t="shared" si="553"/>
        <v>0</v>
      </c>
      <c r="AR38" s="17">
        <f t="shared" si="553"/>
        <v>0</v>
      </c>
      <c r="AS38" s="17">
        <f t="shared" si="553"/>
        <v>0</v>
      </c>
      <c r="AT38" s="17">
        <f t="shared" si="553"/>
        <v>0</v>
      </c>
      <c r="AU38" s="54">
        <f t="shared" si="553"/>
        <v>0</v>
      </c>
      <c r="AV38" s="58">
        <f>SUM(Q38:AU38)</f>
        <v>8</v>
      </c>
      <c r="AW38" s="58">
        <f t="shared" ca="1" si="73"/>
        <v>0.61538461538461542</v>
      </c>
      <c r="AX38" s="50">
        <f t="shared" ref="AX38:CB38" si="554">KQ38</f>
        <v>10</v>
      </c>
      <c r="AY38" s="17">
        <f t="shared" si="554"/>
        <v>0</v>
      </c>
      <c r="AZ38" s="17">
        <f t="shared" si="554"/>
        <v>8</v>
      </c>
      <c r="BA38" s="17">
        <f t="shared" si="554"/>
        <v>0</v>
      </c>
      <c r="BB38" s="17">
        <f t="shared" si="554"/>
        <v>0</v>
      </c>
      <c r="BC38" s="17">
        <f t="shared" si="554"/>
        <v>9</v>
      </c>
      <c r="BD38" s="17">
        <f t="shared" si="554"/>
        <v>9</v>
      </c>
      <c r="BE38" s="17">
        <f t="shared" si="554"/>
        <v>0</v>
      </c>
      <c r="BF38" s="17">
        <f t="shared" si="554"/>
        <v>9</v>
      </c>
      <c r="BG38" s="17">
        <f t="shared" si="554"/>
        <v>0</v>
      </c>
      <c r="BH38" s="17">
        <f t="shared" si="554"/>
        <v>0</v>
      </c>
      <c r="BI38" s="17">
        <f t="shared" si="554"/>
        <v>12</v>
      </c>
      <c r="BJ38" s="17">
        <f t="shared" si="554"/>
        <v>0</v>
      </c>
      <c r="BK38" s="17">
        <f t="shared" si="554"/>
        <v>0</v>
      </c>
      <c r="BL38" s="17">
        <f t="shared" si="554"/>
        <v>0</v>
      </c>
      <c r="BM38" s="17">
        <f t="shared" si="554"/>
        <v>0</v>
      </c>
      <c r="BN38" s="17">
        <f t="shared" si="554"/>
        <v>0</v>
      </c>
      <c r="BO38" s="17">
        <f t="shared" si="554"/>
        <v>0</v>
      </c>
      <c r="BP38" s="17">
        <f t="shared" si="554"/>
        <v>0</v>
      </c>
      <c r="BQ38" s="17">
        <f t="shared" si="554"/>
        <v>0</v>
      </c>
      <c r="BR38" s="17">
        <f t="shared" si="554"/>
        <v>0</v>
      </c>
      <c r="BS38" s="17">
        <f t="shared" si="554"/>
        <v>0</v>
      </c>
      <c r="BT38" s="17">
        <f t="shared" si="554"/>
        <v>0</v>
      </c>
      <c r="BU38" s="17">
        <f t="shared" si="554"/>
        <v>0</v>
      </c>
      <c r="BV38" s="17">
        <f t="shared" si="554"/>
        <v>0</v>
      </c>
      <c r="BW38" s="17">
        <f t="shared" si="554"/>
        <v>0</v>
      </c>
      <c r="BX38" s="17">
        <f t="shared" si="554"/>
        <v>0</v>
      </c>
      <c r="BY38" s="17">
        <f t="shared" si="554"/>
        <v>0</v>
      </c>
      <c r="BZ38" s="17">
        <f t="shared" si="554"/>
        <v>0</v>
      </c>
      <c r="CA38" s="17">
        <f t="shared" si="554"/>
        <v>0</v>
      </c>
      <c r="CB38" s="54">
        <f t="shared" si="554"/>
        <v>0</v>
      </c>
      <c r="CC38" s="58">
        <f>SUM(AX38:CB38)</f>
        <v>57</v>
      </c>
      <c r="CD38" s="58">
        <f t="shared" ca="1" si="103"/>
        <v>4.384615384615385</v>
      </c>
      <c r="JJ38" s="4" t="s">
        <v>13</v>
      </c>
      <c r="JK38" s="152" t="str">
        <f>D38</f>
        <v>LHR01-PHR-PS-01</v>
      </c>
      <c r="JL38" s="163">
        <v>0</v>
      </c>
      <c r="JM38" s="158">
        <v>0</v>
      </c>
      <c r="JN38" s="158">
        <v>1</v>
      </c>
      <c r="JO38" s="159">
        <v>0</v>
      </c>
      <c r="JP38" s="158">
        <v>1</v>
      </c>
      <c r="JQ38" s="158">
        <v>1</v>
      </c>
      <c r="JR38" s="158">
        <v>0</v>
      </c>
      <c r="JS38" s="158">
        <v>1</v>
      </c>
      <c r="JT38" s="158">
        <v>1</v>
      </c>
      <c r="JU38" s="158">
        <v>1</v>
      </c>
      <c r="JV38" s="158">
        <v>0</v>
      </c>
      <c r="JW38" s="159">
        <v>1</v>
      </c>
      <c r="JX38" s="159">
        <v>1</v>
      </c>
      <c r="JY38" s="159">
        <v>0</v>
      </c>
      <c r="JZ38" s="158"/>
      <c r="KA38" s="158"/>
      <c r="KB38" s="158"/>
      <c r="KC38" s="158"/>
      <c r="KD38" s="158"/>
      <c r="KE38" s="158"/>
      <c r="KF38" s="158"/>
      <c r="KG38" s="158"/>
      <c r="KH38" s="159"/>
      <c r="KI38" s="159"/>
      <c r="KJ38" s="158"/>
      <c r="KK38" s="158"/>
      <c r="KL38" s="158"/>
      <c r="KM38" s="158"/>
      <c r="KN38" s="158"/>
      <c r="KO38" s="158"/>
      <c r="KP38" s="164"/>
      <c r="KQ38" s="157">
        <v>10</v>
      </c>
      <c r="KR38" s="157">
        <v>0</v>
      </c>
      <c r="KS38" s="157">
        <v>8</v>
      </c>
      <c r="KT38" s="157">
        <v>0</v>
      </c>
      <c r="KU38" s="157">
        <v>0</v>
      </c>
      <c r="KV38" s="157">
        <v>9</v>
      </c>
      <c r="KW38" s="157">
        <v>9</v>
      </c>
      <c r="KX38" s="157">
        <v>0</v>
      </c>
      <c r="KY38" s="157">
        <v>9</v>
      </c>
      <c r="KZ38" s="157">
        <v>0</v>
      </c>
      <c r="LA38" s="157">
        <v>0</v>
      </c>
      <c r="LB38" s="157">
        <v>12</v>
      </c>
      <c r="LC38" s="157">
        <v>0</v>
      </c>
      <c r="LD38" s="157">
        <v>0</v>
      </c>
      <c r="LE38" s="157"/>
      <c r="LF38" s="157"/>
      <c r="LG38" s="157"/>
      <c r="LH38" s="157"/>
      <c r="LI38" s="157"/>
      <c r="LJ38" s="157"/>
      <c r="LK38" s="157"/>
      <c r="LL38" s="157"/>
      <c r="LM38" s="157"/>
      <c r="LN38" s="157"/>
      <c r="LO38" s="157"/>
      <c r="LP38" s="157"/>
      <c r="LQ38" s="157"/>
      <c r="LR38" s="157"/>
      <c r="LS38" s="157"/>
      <c r="LT38" s="5"/>
      <c r="LU38" s="8"/>
    </row>
    <row r="39" spans="1:333" ht="16.2" customHeight="1">
      <c r="A39" s="38" t="s">
        <v>16</v>
      </c>
      <c r="B39" s="25" t="s">
        <v>53</v>
      </c>
      <c r="C39" s="26" t="s">
        <v>384</v>
      </c>
      <c r="D39" s="25" t="s">
        <v>62</v>
      </c>
      <c r="E39" s="27" t="s">
        <v>428</v>
      </c>
      <c r="F39" s="25" t="s">
        <v>458</v>
      </c>
      <c r="G39" s="25" t="s">
        <v>436</v>
      </c>
      <c r="H39" s="28" t="s">
        <v>436</v>
      </c>
      <c r="I39" s="29" t="s">
        <v>225</v>
      </c>
      <c r="J39" s="30">
        <v>0</v>
      </c>
      <c r="K39" s="147">
        <v>0</v>
      </c>
      <c r="L39" s="147">
        <f t="shared" si="484"/>
        <v>0</v>
      </c>
      <c r="M39" s="147">
        <f t="shared" si="485"/>
        <v>0</v>
      </c>
      <c r="N39" s="147">
        <f t="shared" si="486"/>
        <v>0</v>
      </c>
      <c r="O39" s="147">
        <f t="shared" si="487"/>
        <v>0</v>
      </c>
      <c r="P39" s="148">
        <f t="shared" si="488"/>
        <v>0</v>
      </c>
      <c r="Q39" s="50">
        <f t="shared" si="489"/>
        <v>0</v>
      </c>
      <c r="R39" s="17">
        <f t="shared" si="490"/>
        <v>0</v>
      </c>
      <c r="S39" s="17">
        <f t="shared" si="491"/>
        <v>0</v>
      </c>
      <c r="T39" s="17">
        <f t="shared" si="492"/>
        <v>0</v>
      </c>
      <c r="U39" s="17">
        <f t="shared" si="493"/>
        <v>0</v>
      </c>
      <c r="V39" s="17">
        <f t="shared" si="494"/>
        <v>0</v>
      </c>
      <c r="W39" s="17">
        <f t="shared" si="495"/>
        <v>0</v>
      </c>
      <c r="X39" s="17">
        <f t="shared" si="496"/>
        <v>0</v>
      </c>
      <c r="Y39" s="17">
        <f t="shared" si="497"/>
        <v>0</v>
      </c>
      <c r="Z39" s="17">
        <f t="shared" si="498"/>
        <v>0</v>
      </c>
      <c r="AA39" s="17">
        <f t="shared" si="499"/>
        <v>0</v>
      </c>
      <c r="AB39" s="17">
        <f t="shared" si="500"/>
        <v>0</v>
      </c>
      <c r="AC39" s="17">
        <f t="shared" si="501"/>
        <v>0</v>
      </c>
      <c r="AD39" s="17">
        <f t="shared" si="502"/>
        <v>0</v>
      </c>
      <c r="AE39" s="17">
        <f t="shared" si="503"/>
        <v>0</v>
      </c>
      <c r="AF39" s="17">
        <f t="shared" si="504"/>
        <v>0</v>
      </c>
      <c r="AG39" s="17">
        <f t="shared" si="505"/>
        <v>0</v>
      </c>
      <c r="AH39" s="17">
        <f t="shared" si="506"/>
        <v>0</v>
      </c>
      <c r="AI39" s="17">
        <f t="shared" si="507"/>
        <v>0</v>
      </c>
      <c r="AJ39" s="17">
        <f t="shared" si="508"/>
        <v>0</v>
      </c>
      <c r="AK39" s="17">
        <f t="shared" si="509"/>
        <v>0</v>
      </c>
      <c r="AL39" s="17">
        <f t="shared" si="510"/>
        <v>0</v>
      </c>
      <c r="AM39" s="17">
        <f t="shared" si="511"/>
        <v>0</v>
      </c>
      <c r="AN39" s="17">
        <f t="shared" si="512"/>
        <v>0</v>
      </c>
      <c r="AO39" s="17">
        <f t="shared" si="513"/>
        <v>0</v>
      </c>
      <c r="AP39" s="17">
        <f t="shared" si="514"/>
        <v>0</v>
      </c>
      <c r="AQ39" s="17">
        <f t="shared" si="515"/>
        <v>0</v>
      </c>
      <c r="AR39" s="17">
        <f t="shared" si="516"/>
        <v>0</v>
      </c>
      <c r="AS39" s="17">
        <f t="shared" si="517"/>
        <v>0</v>
      </c>
      <c r="AT39" s="17">
        <f t="shared" si="518"/>
        <v>0</v>
      </c>
      <c r="AU39" s="54">
        <f t="shared" si="519"/>
        <v>0</v>
      </c>
      <c r="AV39" s="58">
        <f t="shared" si="551"/>
        <v>0</v>
      </c>
      <c r="AW39" s="58">
        <f t="shared" ca="1" si="73"/>
        <v>0</v>
      </c>
      <c r="AX39" s="50">
        <f t="shared" si="520"/>
        <v>0</v>
      </c>
      <c r="AY39" s="17">
        <f t="shared" si="521"/>
        <v>0</v>
      </c>
      <c r="AZ39" s="17">
        <f t="shared" si="522"/>
        <v>0</v>
      </c>
      <c r="BA39" s="17">
        <f t="shared" si="523"/>
        <v>0</v>
      </c>
      <c r="BB39" s="17">
        <f t="shared" si="524"/>
        <v>0</v>
      </c>
      <c r="BC39" s="17">
        <f t="shared" si="525"/>
        <v>0</v>
      </c>
      <c r="BD39" s="17">
        <f t="shared" si="526"/>
        <v>0</v>
      </c>
      <c r="BE39" s="17">
        <f t="shared" si="527"/>
        <v>0</v>
      </c>
      <c r="BF39" s="17">
        <f t="shared" si="528"/>
        <v>0</v>
      </c>
      <c r="BG39" s="17">
        <f t="shared" si="529"/>
        <v>0</v>
      </c>
      <c r="BH39" s="17">
        <f t="shared" si="530"/>
        <v>0</v>
      </c>
      <c r="BI39" s="17">
        <f t="shared" si="531"/>
        <v>0</v>
      </c>
      <c r="BJ39" s="17">
        <f t="shared" si="532"/>
        <v>0</v>
      </c>
      <c r="BK39" s="17">
        <f t="shared" si="533"/>
        <v>0</v>
      </c>
      <c r="BL39" s="17">
        <f t="shared" si="534"/>
        <v>0</v>
      </c>
      <c r="BM39" s="17">
        <f t="shared" si="535"/>
        <v>0</v>
      </c>
      <c r="BN39" s="17">
        <f t="shared" si="536"/>
        <v>0</v>
      </c>
      <c r="BO39" s="17">
        <f t="shared" si="537"/>
        <v>0</v>
      </c>
      <c r="BP39" s="17">
        <f t="shared" si="538"/>
        <v>0</v>
      </c>
      <c r="BQ39" s="17">
        <f t="shared" si="539"/>
        <v>0</v>
      </c>
      <c r="BR39" s="17">
        <f t="shared" si="540"/>
        <v>0</v>
      </c>
      <c r="BS39" s="17">
        <f t="shared" si="541"/>
        <v>0</v>
      </c>
      <c r="BT39" s="17">
        <f t="shared" si="542"/>
        <v>0</v>
      </c>
      <c r="BU39" s="17">
        <f t="shared" si="543"/>
        <v>0</v>
      </c>
      <c r="BV39" s="17">
        <f t="shared" si="544"/>
        <v>0</v>
      </c>
      <c r="BW39" s="17">
        <f t="shared" si="545"/>
        <v>0</v>
      </c>
      <c r="BX39" s="17">
        <f t="shared" si="546"/>
        <v>0</v>
      </c>
      <c r="BY39" s="17">
        <f t="shared" si="547"/>
        <v>0</v>
      </c>
      <c r="BZ39" s="17">
        <f t="shared" si="548"/>
        <v>0</v>
      </c>
      <c r="CA39" s="17">
        <f t="shared" si="549"/>
        <v>0</v>
      </c>
      <c r="CB39" s="54">
        <f t="shared" si="550"/>
        <v>0</v>
      </c>
      <c r="CC39" s="58">
        <f t="shared" si="208"/>
        <v>0</v>
      </c>
      <c r="CD39" s="58">
        <f t="shared" ca="1" si="103"/>
        <v>0</v>
      </c>
      <c r="JJ39" s="4" t="s">
        <v>13</v>
      </c>
      <c r="JK39" s="152" t="str">
        <f t="shared" si="552"/>
        <v>LHR01-PHR-MIO-00</v>
      </c>
      <c r="JL39" s="163">
        <v>0</v>
      </c>
      <c r="JM39" s="158">
        <v>0</v>
      </c>
      <c r="JN39" s="158">
        <v>0</v>
      </c>
      <c r="JO39" s="159">
        <v>0</v>
      </c>
      <c r="JP39" s="158">
        <v>0</v>
      </c>
      <c r="JQ39" s="158">
        <v>0</v>
      </c>
      <c r="JR39" s="158">
        <v>0</v>
      </c>
      <c r="JS39" s="158">
        <v>0</v>
      </c>
      <c r="JT39" s="158">
        <v>0</v>
      </c>
      <c r="JU39" s="158">
        <v>0</v>
      </c>
      <c r="JV39" s="158">
        <v>0</v>
      </c>
      <c r="JW39" s="159">
        <v>0</v>
      </c>
      <c r="JX39" s="159">
        <v>0</v>
      </c>
      <c r="JY39" s="159">
        <v>0</v>
      </c>
      <c r="JZ39" s="158"/>
      <c r="KA39" s="158"/>
      <c r="KB39" s="158"/>
      <c r="KC39" s="158"/>
      <c r="KD39" s="158"/>
      <c r="KE39" s="158"/>
      <c r="KF39" s="158"/>
      <c r="KG39" s="158"/>
      <c r="KH39" s="159"/>
      <c r="KI39" s="159"/>
      <c r="KJ39" s="158"/>
      <c r="KK39" s="158"/>
      <c r="KL39" s="158"/>
      <c r="KM39" s="158"/>
      <c r="KN39" s="158"/>
      <c r="KO39" s="158"/>
      <c r="KP39" s="164"/>
      <c r="KQ39" s="157">
        <v>0</v>
      </c>
      <c r="KR39" s="157">
        <v>0</v>
      </c>
      <c r="KS39" s="157">
        <v>0</v>
      </c>
      <c r="KT39" s="157">
        <v>0</v>
      </c>
      <c r="KU39" s="157">
        <v>0</v>
      </c>
      <c r="KV39" s="157">
        <v>0</v>
      </c>
      <c r="KW39" s="157">
        <v>0</v>
      </c>
      <c r="KX39" s="157">
        <v>0</v>
      </c>
      <c r="KY39" s="157">
        <v>0</v>
      </c>
      <c r="KZ39" s="157">
        <v>0</v>
      </c>
      <c r="LA39" s="157">
        <v>0</v>
      </c>
      <c r="LB39" s="157">
        <v>0</v>
      </c>
      <c r="LC39" s="157">
        <v>0</v>
      </c>
      <c r="LD39" s="157">
        <v>0</v>
      </c>
      <c r="LE39" s="157"/>
      <c r="LF39" s="157"/>
      <c r="LG39" s="157"/>
      <c r="LH39" s="157"/>
      <c r="LI39" s="157"/>
      <c r="LJ39" s="157"/>
      <c r="LK39" s="157"/>
      <c r="LL39" s="157"/>
      <c r="LM39" s="157"/>
      <c r="LN39" s="157"/>
      <c r="LO39" s="157"/>
      <c r="LP39" s="157"/>
      <c r="LQ39" s="157"/>
      <c r="LR39" s="157"/>
      <c r="LS39" s="157"/>
      <c r="LT39" s="5"/>
      <c r="LU39" s="8"/>
    </row>
    <row r="40" spans="1:333" ht="16.2" customHeight="1">
      <c r="A40" s="37" t="s">
        <v>19</v>
      </c>
      <c r="B40" s="18" t="s">
        <v>53</v>
      </c>
      <c r="C40" s="19" t="s">
        <v>384</v>
      </c>
      <c r="D40" s="20" t="s">
        <v>235</v>
      </c>
      <c r="E40" s="21" t="s">
        <v>63</v>
      </c>
      <c r="F40" s="18" t="s">
        <v>459</v>
      </c>
      <c r="G40" s="18" t="s">
        <v>234</v>
      </c>
      <c r="H40" s="22">
        <v>45170</v>
      </c>
      <c r="I40" s="20" t="s">
        <v>225</v>
      </c>
      <c r="J40" s="23">
        <v>5</v>
      </c>
      <c r="K40" s="97">
        <f t="shared" ref="K40:AU40" si="555">SUM(K34:K39)</f>
        <v>1</v>
      </c>
      <c r="L40" s="97">
        <f t="shared" si="555"/>
        <v>3</v>
      </c>
      <c r="M40" s="97">
        <f t="shared" si="555"/>
        <v>4</v>
      </c>
      <c r="N40" s="97">
        <f t="shared" si="555"/>
        <v>3</v>
      </c>
      <c r="O40" s="97">
        <f t="shared" si="555"/>
        <v>4</v>
      </c>
      <c r="P40" s="47">
        <f t="shared" si="555"/>
        <v>4</v>
      </c>
      <c r="Q40" s="51">
        <f t="shared" si="555"/>
        <v>3</v>
      </c>
      <c r="R40" s="24">
        <f t="shared" si="555"/>
        <v>2</v>
      </c>
      <c r="S40" s="24">
        <f t="shared" si="555"/>
        <v>4</v>
      </c>
      <c r="T40" s="24">
        <f t="shared" si="555"/>
        <v>0</v>
      </c>
      <c r="U40" s="24">
        <f t="shared" si="555"/>
        <v>4</v>
      </c>
      <c r="V40" s="24">
        <f t="shared" si="555"/>
        <v>4</v>
      </c>
      <c r="W40" s="24">
        <f t="shared" si="555"/>
        <v>3</v>
      </c>
      <c r="X40" s="24">
        <f t="shared" si="555"/>
        <v>3</v>
      </c>
      <c r="Y40" s="24">
        <f t="shared" si="555"/>
        <v>4</v>
      </c>
      <c r="Z40" s="24">
        <f t="shared" si="555"/>
        <v>4</v>
      </c>
      <c r="AA40" s="24">
        <f t="shared" si="555"/>
        <v>0</v>
      </c>
      <c r="AB40" s="24">
        <f t="shared" si="555"/>
        <v>4</v>
      </c>
      <c r="AC40" s="24">
        <f t="shared" si="555"/>
        <v>4</v>
      </c>
      <c r="AD40" s="24">
        <f t="shared" si="555"/>
        <v>3</v>
      </c>
      <c r="AE40" s="24">
        <f t="shared" si="555"/>
        <v>0</v>
      </c>
      <c r="AF40" s="24">
        <f t="shared" si="555"/>
        <v>0</v>
      </c>
      <c r="AG40" s="24">
        <f t="shared" si="555"/>
        <v>0</v>
      </c>
      <c r="AH40" s="24">
        <f t="shared" si="555"/>
        <v>0</v>
      </c>
      <c r="AI40" s="24">
        <f t="shared" si="555"/>
        <v>0</v>
      </c>
      <c r="AJ40" s="24">
        <f t="shared" si="555"/>
        <v>0</v>
      </c>
      <c r="AK40" s="24">
        <f t="shared" si="555"/>
        <v>0</v>
      </c>
      <c r="AL40" s="24">
        <f t="shared" si="555"/>
        <v>0</v>
      </c>
      <c r="AM40" s="24">
        <f t="shared" si="555"/>
        <v>0</v>
      </c>
      <c r="AN40" s="24">
        <f t="shared" si="555"/>
        <v>0</v>
      </c>
      <c r="AO40" s="24">
        <f t="shared" si="555"/>
        <v>0</v>
      </c>
      <c r="AP40" s="24">
        <f t="shared" si="555"/>
        <v>0</v>
      </c>
      <c r="AQ40" s="24">
        <f t="shared" si="555"/>
        <v>0</v>
      </c>
      <c r="AR40" s="24">
        <f t="shared" si="555"/>
        <v>0</v>
      </c>
      <c r="AS40" s="24">
        <f t="shared" si="555"/>
        <v>0</v>
      </c>
      <c r="AT40" s="24">
        <f t="shared" si="555"/>
        <v>0</v>
      </c>
      <c r="AU40" s="55">
        <f t="shared" si="555"/>
        <v>0</v>
      </c>
      <c r="AV40" s="59">
        <f t="shared" si="551"/>
        <v>42</v>
      </c>
      <c r="AW40" s="59">
        <f t="shared" ca="1" si="73"/>
        <v>0.80769230769230771</v>
      </c>
      <c r="AX40" s="51">
        <f t="shared" ref="AX40:CB40" si="556">SUM(AX34:AX39)</f>
        <v>42</v>
      </c>
      <c r="AY40" s="24">
        <f t="shared" si="556"/>
        <v>32</v>
      </c>
      <c r="AZ40" s="24">
        <f t="shared" si="556"/>
        <v>34</v>
      </c>
      <c r="BA40" s="24">
        <f t="shared" si="556"/>
        <v>0</v>
      </c>
      <c r="BB40" s="24">
        <f t="shared" si="556"/>
        <v>31</v>
      </c>
      <c r="BC40" s="24">
        <f t="shared" si="556"/>
        <v>42</v>
      </c>
      <c r="BD40" s="24">
        <f t="shared" si="556"/>
        <v>42</v>
      </c>
      <c r="BE40" s="24">
        <f t="shared" si="556"/>
        <v>28</v>
      </c>
      <c r="BF40" s="24">
        <f t="shared" si="556"/>
        <v>40</v>
      </c>
      <c r="BG40" s="24">
        <f t="shared" si="556"/>
        <v>29</v>
      </c>
      <c r="BH40" s="24">
        <f t="shared" si="556"/>
        <v>0</v>
      </c>
      <c r="BI40" s="24">
        <f t="shared" si="556"/>
        <v>48</v>
      </c>
      <c r="BJ40" s="24">
        <f t="shared" si="556"/>
        <v>37</v>
      </c>
      <c r="BK40" s="24">
        <f t="shared" si="556"/>
        <v>13</v>
      </c>
      <c r="BL40" s="24">
        <f t="shared" si="556"/>
        <v>0</v>
      </c>
      <c r="BM40" s="24">
        <f t="shared" si="556"/>
        <v>0</v>
      </c>
      <c r="BN40" s="24">
        <f t="shared" si="556"/>
        <v>0</v>
      </c>
      <c r="BO40" s="24">
        <f t="shared" si="556"/>
        <v>0</v>
      </c>
      <c r="BP40" s="24">
        <f t="shared" si="556"/>
        <v>0</v>
      </c>
      <c r="BQ40" s="24">
        <f t="shared" si="556"/>
        <v>0</v>
      </c>
      <c r="BR40" s="24">
        <f t="shared" si="556"/>
        <v>0</v>
      </c>
      <c r="BS40" s="24">
        <f t="shared" si="556"/>
        <v>0</v>
      </c>
      <c r="BT40" s="24">
        <f t="shared" si="556"/>
        <v>0</v>
      </c>
      <c r="BU40" s="24">
        <f t="shared" si="556"/>
        <v>0</v>
      </c>
      <c r="BV40" s="24">
        <f t="shared" si="556"/>
        <v>0</v>
      </c>
      <c r="BW40" s="24">
        <f t="shared" si="556"/>
        <v>0</v>
      </c>
      <c r="BX40" s="24">
        <f t="shared" si="556"/>
        <v>0</v>
      </c>
      <c r="BY40" s="24">
        <f t="shared" si="556"/>
        <v>0</v>
      </c>
      <c r="BZ40" s="24">
        <f t="shared" si="556"/>
        <v>0</v>
      </c>
      <c r="CA40" s="24">
        <f t="shared" si="556"/>
        <v>0</v>
      </c>
      <c r="CB40" s="55">
        <f t="shared" si="556"/>
        <v>0</v>
      </c>
      <c r="CC40" s="59">
        <f t="shared" si="208"/>
        <v>418</v>
      </c>
      <c r="CD40" s="59">
        <f t="shared" ca="1" si="103"/>
        <v>8.0384615384615383</v>
      </c>
      <c r="JJ40" s="4" t="s">
        <v>13</v>
      </c>
      <c r="JK40" s="153" t="str">
        <f t="shared" si="552"/>
        <v>LHR01-PHR-ASM-01</v>
      </c>
      <c r="JL40" s="163">
        <v>0</v>
      </c>
      <c r="JM40" s="158">
        <v>0</v>
      </c>
      <c r="JN40" s="158">
        <v>0</v>
      </c>
      <c r="JO40" s="159">
        <v>0</v>
      </c>
      <c r="JP40" s="158">
        <v>0</v>
      </c>
      <c r="JQ40" s="158">
        <v>0</v>
      </c>
      <c r="JR40" s="158">
        <v>0</v>
      </c>
      <c r="JS40" s="158">
        <v>0</v>
      </c>
      <c r="JT40" s="158">
        <v>0</v>
      </c>
      <c r="JU40" s="158">
        <v>0</v>
      </c>
      <c r="JV40" s="158">
        <v>0</v>
      </c>
      <c r="JW40" s="159">
        <v>0</v>
      </c>
      <c r="JX40" s="159">
        <v>0</v>
      </c>
      <c r="JY40" s="159">
        <v>0</v>
      </c>
      <c r="JZ40" s="158"/>
      <c r="KA40" s="158"/>
      <c r="KB40" s="158"/>
      <c r="KC40" s="158"/>
      <c r="KD40" s="158"/>
      <c r="KE40" s="158"/>
      <c r="KF40" s="158"/>
      <c r="KG40" s="158"/>
      <c r="KH40" s="159"/>
      <c r="KI40" s="159"/>
      <c r="KJ40" s="158"/>
      <c r="KK40" s="158"/>
      <c r="KL40" s="158"/>
      <c r="KM40" s="158"/>
      <c r="KN40" s="158"/>
      <c r="KO40" s="158"/>
      <c r="KP40" s="164"/>
      <c r="KQ40" s="157">
        <v>0</v>
      </c>
      <c r="KR40" s="157">
        <v>0</v>
      </c>
      <c r="KS40" s="157">
        <v>0</v>
      </c>
      <c r="KT40" s="157">
        <v>0</v>
      </c>
      <c r="KU40" s="157">
        <v>0</v>
      </c>
      <c r="KV40" s="157">
        <v>0</v>
      </c>
      <c r="KW40" s="157">
        <v>0</v>
      </c>
      <c r="KX40" s="157">
        <v>0</v>
      </c>
      <c r="KY40" s="157">
        <v>0</v>
      </c>
      <c r="KZ40" s="157">
        <v>0</v>
      </c>
      <c r="LA40" s="157">
        <v>0</v>
      </c>
      <c r="LB40" s="157">
        <v>0</v>
      </c>
      <c r="LC40" s="157">
        <v>0</v>
      </c>
      <c r="LD40" s="157">
        <v>0</v>
      </c>
      <c r="LE40" s="157"/>
      <c r="LF40" s="157"/>
      <c r="LG40" s="157"/>
      <c r="LH40" s="157"/>
      <c r="LI40" s="157"/>
      <c r="LJ40" s="157"/>
      <c r="LK40" s="157"/>
      <c r="LL40" s="157"/>
      <c r="LM40" s="157"/>
      <c r="LN40" s="157"/>
      <c r="LO40" s="157"/>
      <c r="LP40" s="157"/>
      <c r="LQ40" s="157"/>
      <c r="LR40" s="157"/>
      <c r="LS40" s="157"/>
      <c r="LT40" s="5"/>
      <c r="LU40" s="8"/>
    </row>
    <row r="41" spans="1:333" ht="16.2" customHeight="1">
      <c r="A41" s="38" t="s">
        <v>9</v>
      </c>
      <c r="B41" s="25" t="s">
        <v>53</v>
      </c>
      <c r="C41" s="26" t="s">
        <v>385</v>
      </c>
      <c r="D41" s="25" t="s">
        <v>236</v>
      </c>
      <c r="E41" s="27" t="s">
        <v>64</v>
      </c>
      <c r="F41" s="25" t="s">
        <v>460</v>
      </c>
      <c r="G41" s="25" t="s">
        <v>65</v>
      </c>
      <c r="H41" s="28">
        <v>42537</v>
      </c>
      <c r="I41" s="29" t="s">
        <v>237</v>
      </c>
      <c r="J41" s="30">
        <v>1</v>
      </c>
      <c r="K41" s="147">
        <v>0</v>
      </c>
      <c r="L41" s="147">
        <f t="shared" ref="L41:L46" si="557">IFERROR(IF(OR(AD41&gt;0),1,0),0)</f>
        <v>1</v>
      </c>
      <c r="M41" s="147">
        <f t="shared" ref="M41:M46" si="558">IFERROR(IF(OR(AV41&gt;0),1,0),0)</f>
        <v>1</v>
      </c>
      <c r="N41" s="147">
        <f t="shared" ref="N41:N46" si="559">IFERROR(IF(OR(BK41&gt;0),1,0),0)</f>
        <v>0</v>
      </c>
      <c r="O41" s="147">
        <f t="shared" ref="O41:O46" si="560">IFERROR(IF(OR(CC41&gt;0),1,0),0)</f>
        <v>1</v>
      </c>
      <c r="P41" s="148">
        <f t="shared" ref="P41:P46" si="561">IFERROR(IF(OR(AV41&gt;0,CC41&gt;0),1,0),0)</f>
        <v>1</v>
      </c>
      <c r="Q41" s="50">
        <f t="shared" ref="Q41:Q46" si="562">JL41</f>
        <v>1</v>
      </c>
      <c r="R41" s="17">
        <f t="shared" ref="R41:R46" si="563">JM41</f>
        <v>1</v>
      </c>
      <c r="S41" s="17">
        <f t="shared" ref="S41:S46" si="564">JN41</f>
        <v>1</v>
      </c>
      <c r="T41" s="17">
        <f t="shared" ref="T41:T46" si="565">JO41</f>
        <v>0</v>
      </c>
      <c r="U41" s="17">
        <f t="shared" ref="U41:U46" si="566">JP41</f>
        <v>1</v>
      </c>
      <c r="V41" s="17">
        <f t="shared" ref="V41:V46" si="567">JQ41</f>
        <v>1</v>
      </c>
      <c r="W41" s="17">
        <f t="shared" ref="W41:W46" si="568">JR41</f>
        <v>1</v>
      </c>
      <c r="X41" s="17">
        <f t="shared" ref="X41:X46" si="569">JS41</f>
        <v>1</v>
      </c>
      <c r="Y41" s="17">
        <f t="shared" ref="Y41:Y46" si="570">JT41</f>
        <v>1</v>
      </c>
      <c r="Z41" s="17">
        <f t="shared" ref="Z41:Z46" si="571">JU41</f>
        <v>1</v>
      </c>
      <c r="AA41" s="17">
        <f t="shared" ref="AA41:AA46" si="572">JV41</f>
        <v>0</v>
      </c>
      <c r="AB41" s="17">
        <f t="shared" ref="AB41:AB46" si="573">JW41</f>
        <v>1</v>
      </c>
      <c r="AC41" s="17">
        <f t="shared" ref="AC41:AC46" si="574">JX41</f>
        <v>1</v>
      </c>
      <c r="AD41" s="17">
        <f t="shared" ref="AD41:AD46" si="575">JY41</f>
        <v>1</v>
      </c>
      <c r="AE41" s="17">
        <f t="shared" ref="AE41:AE46" si="576">JZ41</f>
        <v>0</v>
      </c>
      <c r="AF41" s="17">
        <f t="shared" ref="AF41:AF46" si="577">KA41</f>
        <v>0</v>
      </c>
      <c r="AG41" s="17">
        <f t="shared" ref="AG41:AG46" si="578">KB41</f>
        <v>0</v>
      </c>
      <c r="AH41" s="17">
        <f t="shared" ref="AH41:AH46" si="579">KC41</f>
        <v>0</v>
      </c>
      <c r="AI41" s="17">
        <f t="shared" ref="AI41:AI46" si="580">KD41</f>
        <v>0</v>
      </c>
      <c r="AJ41" s="17">
        <f t="shared" ref="AJ41:AJ46" si="581">KE41</f>
        <v>0</v>
      </c>
      <c r="AK41" s="17">
        <f t="shared" ref="AK41:AK46" si="582">KF41</f>
        <v>0</v>
      </c>
      <c r="AL41" s="17">
        <f t="shared" ref="AL41:AL46" si="583">KG41</f>
        <v>0</v>
      </c>
      <c r="AM41" s="17">
        <f t="shared" ref="AM41:AM46" si="584">KH41</f>
        <v>0</v>
      </c>
      <c r="AN41" s="17">
        <f t="shared" ref="AN41:AN46" si="585">KI41</f>
        <v>0</v>
      </c>
      <c r="AO41" s="17">
        <f t="shared" ref="AO41:AO46" si="586">KJ41</f>
        <v>0</v>
      </c>
      <c r="AP41" s="17">
        <f t="shared" ref="AP41:AP46" si="587">KK41</f>
        <v>0</v>
      </c>
      <c r="AQ41" s="17">
        <f t="shared" ref="AQ41:AQ46" si="588">KL41</f>
        <v>0</v>
      </c>
      <c r="AR41" s="17">
        <f t="shared" ref="AR41:AR46" si="589">KM41</f>
        <v>0</v>
      </c>
      <c r="AS41" s="17">
        <f t="shared" ref="AS41:AS46" si="590">KN41</f>
        <v>0</v>
      </c>
      <c r="AT41" s="17">
        <f t="shared" ref="AT41:AT46" si="591">KO41</f>
        <v>0</v>
      </c>
      <c r="AU41" s="54">
        <f t="shared" ref="AU41:AU46" si="592">KP41</f>
        <v>0</v>
      </c>
      <c r="AV41" s="58">
        <f t="shared" si="551"/>
        <v>12</v>
      </c>
      <c r="AW41" s="58">
        <f t="shared" ca="1" si="73"/>
        <v>0.92307692307692313</v>
      </c>
      <c r="AX41" s="50">
        <f t="shared" ref="AX41:AX46" si="593">KQ41</f>
        <v>0</v>
      </c>
      <c r="AY41" s="17">
        <f t="shared" ref="AY41:AY46" si="594">KR41</f>
        <v>0</v>
      </c>
      <c r="AZ41" s="17">
        <f t="shared" ref="AZ41:AZ46" si="595">KS41</f>
        <v>0</v>
      </c>
      <c r="BA41" s="17">
        <f t="shared" ref="BA41:BA46" si="596">KT41</f>
        <v>0</v>
      </c>
      <c r="BB41" s="17">
        <f t="shared" ref="BB41:BB46" si="597">KU41</f>
        <v>0</v>
      </c>
      <c r="BC41" s="17">
        <f t="shared" ref="BC41:BC46" si="598">KV41</f>
        <v>10</v>
      </c>
      <c r="BD41" s="17">
        <f t="shared" ref="BD41:BD46" si="599">KW41</f>
        <v>11</v>
      </c>
      <c r="BE41" s="17">
        <f t="shared" ref="BE41:BE46" si="600">KX41</f>
        <v>9</v>
      </c>
      <c r="BF41" s="17">
        <f t="shared" ref="BF41:BF46" si="601">KY41</f>
        <v>12</v>
      </c>
      <c r="BG41" s="17">
        <f t="shared" ref="BG41:BG46" si="602">KZ41</f>
        <v>8</v>
      </c>
      <c r="BH41" s="17">
        <f t="shared" ref="BH41:BH46" si="603">LA41</f>
        <v>0</v>
      </c>
      <c r="BI41" s="17">
        <f t="shared" ref="BI41:BI46" si="604">LB41</f>
        <v>9</v>
      </c>
      <c r="BJ41" s="17">
        <f t="shared" ref="BJ41:BJ46" si="605">LC41</f>
        <v>11</v>
      </c>
      <c r="BK41" s="17">
        <f t="shared" ref="BK41:BK46" si="606">LD41</f>
        <v>0</v>
      </c>
      <c r="BL41" s="17">
        <f t="shared" ref="BL41:BL46" si="607">LE41</f>
        <v>0</v>
      </c>
      <c r="BM41" s="17">
        <f t="shared" ref="BM41:BM46" si="608">LF41</f>
        <v>0</v>
      </c>
      <c r="BN41" s="17">
        <f t="shared" ref="BN41:BN46" si="609">LG41</f>
        <v>0</v>
      </c>
      <c r="BO41" s="17">
        <f t="shared" ref="BO41:BO46" si="610">LH41</f>
        <v>0</v>
      </c>
      <c r="BP41" s="17">
        <f t="shared" ref="BP41:BP46" si="611">LI41</f>
        <v>0</v>
      </c>
      <c r="BQ41" s="17">
        <f t="shared" ref="BQ41:BQ46" si="612">LJ41</f>
        <v>0</v>
      </c>
      <c r="BR41" s="17">
        <f t="shared" ref="BR41:BR46" si="613">LK41</f>
        <v>0</v>
      </c>
      <c r="BS41" s="17">
        <f t="shared" ref="BS41:BS46" si="614">LL41</f>
        <v>0</v>
      </c>
      <c r="BT41" s="17">
        <f t="shared" ref="BT41:BT46" si="615">LM41</f>
        <v>0</v>
      </c>
      <c r="BU41" s="17">
        <f t="shared" ref="BU41:BU46" si="616">LN41</f>
        <v>0</v>
      </c>
      <c r="BV41" s="17">
        <f t="shared" ref="BV41:BV46" si="617">LO41</f>
        <v>0</v>
      </c>
      <c r="BW41" s="17">
        <f t="shared" ref="BW41:BW46" si="618">LP41</f>
        <v>0</v>
      </c>
      <c r="BX41" s="17">
        <f t="shared" ref="BX41:BX46" si="619">LQ41</f>
        <v>0</v>
      </c>
      <c r="BY41" s="17">
        <f t="shared" ref="BY41:BY46" si="620">LR41</f>
        <v>0</v>
      </c>
      <c r="BZ41" s="17">
        <f t="shared" ref="BZ41:BZ46" si="621">LS41</f>
        <v>0</v>
      </c>
      <c r="CA41" s="17">
        <f t="shared" ref="CA41:CA46" si="622">LT41</f>
        <v>0</v>
      </c>
      <c r="CB41" s="54">
        <f t="shared" ref="CB41:CB46" si="623">LU41</f>
        <v>0</v>
      </c>
      <c r="CC41" s="58">
        <f t="shared" si="208"/>
        <v>70</v>
      </c>
      <c r="CD41" s="58">
        <f t="shared" ca="1" si="103"/>
        <v>5.384615384615385</v>
      </c>
      <c r="JJ41" s="4" t="s">
        <v>13</v>
      </c>
      <c r="JK41" s="152" t="str">
        <f t="shared" si="552"/>
        <v>LHR02-PHR-MIO-01</v>
      </c>
      <c r="JL41" s="163">
        <v>1</v>
      </c>
      <c r="JM41" s="158">
        <v>1</v>
      </c>
      <c r="JN41" s="158">
        <v>1</v>
      </c>
      <c r="JO41" s="159">
        <v>0</v>
      </c>
      <c r="JP41" s="158">
        <v>1</v>
      </c>
      <c r="JQ41" s="158">
        <v>1</v>
      </c>
      <c r="JR41" s="158">
        <v>1</v>
      </c>
      <c r="JS41" s="158">
        <v>1</v>
      </c>
      <c r="JT41" s="158">
        <v>1</v>
      </c>
      <c r="JU41" s="158">
        <v>1</v>
      </c>
      <c r="JV41" s="158">
        <v>0</v>
      </c>
      <c r="JW41" s="159">
        <v>1</v>
      </c>
      <c r="JX41" s="159">
        <v>1</v>
      </c>
      <c r="JY41" s="159">
        <v>1</v>
      </c>
      <c r="JZ41" s="158"/>
      <c r="KA41" s="158"/>
      <c r="KB41" s="158"/>
      <c r="KC41" s="158"/>
      <c r="KD41" s="158"/>
      <c r="KE41" s="158"/>
      <c r="KF41" s="158"/>
      <c r="KG41" s="158"/>
      <c r="KH41" s="159"/>
      <c r="KI41" s="159"/>
      <c r="KJ41" s="158"/>
      <c r="KK41" s="158"/>
      <c r="KL41" s="158"/>
      <c r="KM41" s="158"/>
      <c r="KN41" s="158"/>
      <c r="KO41" s="158"/>
      <c r="KP41" s="164"/>
      <c r="KQ41" s="157">
        <v>0</v>
      </c>
      <c r="KR41" s="157">
        <v>0</v>
      </c>
      <c r="KS41" s="157">
        <v>0</v>
      </c>
      <c r="KT41" s="157">
        <v>0</v>
      </c>
      <c r="KU41" s="157">
        <v>0</v>
      </c>
      <c r="KV41" s="157">
        <v>10</v>
      </c>
      <c r="KW41" s="157">
        <v>11</v>
      </c>
      <c r="KX41" s="157">
        <v>9</v>
      </c>
      <c r="KY41" s="157">
        <v>12</v>
      </c>
      <c r="KZ41" s="157">
        <v>8</v>
      </c>
      <c r="LA41" s="157">
        <v>0</v>
      </c>
      <c r="LB41" s="157">
        <v>9</v>
      </c>
      <c r="LC41" s="157">
        <v>11</v>
      </c>
      <c r="LD41" s="157">
        <v>0</v>
      </c>
      <c r="LE41" s="157"/>
      <c r="LF41" s="157"/>
      <c r="LG41" s="157"/>
      <c r="LH41" s="157"/>
      <c r="LI41" s="157"/>
      <c r="LJ41" s="157"/>
      <c r="LK41" s="157"/>
      <c r="LL41" s="157"/>
      <c r="LM41" s="157"/>
      <c r="LN41" s="157"/>
      <c r="LO41" s="157"/>
      <c r="LP41" s="157"/>
      <c r="LQ41" s="157"/>
      <c r="LR41" s="157"/>
      <c r="LS41" s="157"/>
      <c r="LT41" s="5"/>
      <c r="LU41" s="8"/>
    </row>
    <row r="42" spans="1:333" ht="16.2" customHeight="1">
      <c r="A42" s="38" t="s">
        <v>9</v>
      </c>
      <c r="B42" s="25" t="s">
        <v>53</v>
      </c>
      <c r="C42" s="26" t="s">
        <v>385</v>
      </c>
      <c r="D42" s="25" t="s">
        <v>238</v>
      </c>
      <c r="E42" s="27" t="s">
        <v>66</v>
      </c>
      <c r="F42" s="25" t="s">
        <v>541</v>
      </c>
      <c r="G42" s="25" t="s">
        <v>525</v>
      </c>
      <c r="H42" s="28" t="s">
        <v>525</v>
      </c>
      <c r="I42" s="29" t="s">
        <v>239</v>
      </c>
      <c r="J42" s="30">
        <v>1</v>
      </c>
      <c r="K42" s="147">
        <v>1</v>
      </c>
      <c r="L42" s="147">
        <f t="shared" si="557"/>
        <v>0</v>
      </c>
      <c r="M42" s="147">
        <f t="shared" si="558"/>
        <v>0</v>
      </c>
      <c r="N42" s="147">
        <f t="shared" si="559"/>
        <v>0</v>
      </c>
      <c r="O42" s="147">
        <f t="shared" si="560"/>
        <v>0</v>
      </c>
      <c r="P42" s="148">
        <f t="shared" si="561"/>
        <v>0</v>
      </c>
      <c r="Q42" s="50">
        <f t="shared" si="562"/>
        <v>0</v>
      </c>
      <c r="R42" s="17">
        <f t="shared" si="563"/>
        <v>0</v>
      </c>
      <c r="S42" s="17">
        <f t="shared" si="564"/>
        <v>0</v>
      </c>
      <c r="T42" s="17">
        <f t="shared" si="565"/>
        <v>0</v>
      </c>
      <c r="U42" s="17">
        <f t="shared" si="566"/>
        <v>0</v>
      </c>
      <c r="V42" s="17">
        <f t="shared" si="567"/>
        <v>0</v>
      </c>
      <c r="W42" s="17">
        <f t="shared" si="568"/>
        <v>0</v>
      </c>
      <c r="X42" s="17">
        <f t="shared" si="569"/>
        <v>0</v>
      </c>
      <c r="Y42" s="17">
        <f t="shared" si="570"/>
        <v>0</v>
      </c>
      <c r="Z42" s="17">
        <f t="shared" si="571"/>
        <v>0</v>
      </c>
      <c r="AA42" s="17">
        <f t="shared" si="572"/>
        <v>0</v>
      </c>
      <c r="AB42" s="17">
        <f t="shared" si="573"/>
        <v>0</v>
      </c>
      <c r="AC42" s="17">
        <f t="shared" si="574"/>
        <v>0</v>
      </c>
      <c r="AD42" s="17">
        <f t="shared" si="575"/>
        <v>0</v>
      </c>
      <c r="AE42" s="17">
        <f t="shared" si="576"/>
        <v>0</v>
      </c>
      <c r="AF42" s="17">
        <f t="shared" si="577"/>
        <v>0</v>
      </c>
      <c r="AG42" s="17">
        <f t="shared" si="578"/>
        <v>0</v>
      </c>
      <c r="AH42" s="17">
        <f t="shared" si="579"/>
        <v>0</v>
      </c>
      <c r="AI42" s="17">
        <f t="shared" si="580"/>
        <v>0</v>
      </c>
      <c r="AJ42" s="17">
        <f t="shared" si="581"/>
        <v>0</v>
      </c>
      <c r="AK42" s="17">
        <f t="shared" si="582"/>
        <v>0</v>
      </c>
      <c r="AL42" s="17">
        <f t="shared" si="583"/>
        <v>0</v>
      </c>
      <c r="AM42" s="17">
        <f t="shared" si="584"/>
        <v>0</v>
      </c>
      <c r="AN42" s="17">
        <f t="shared" si="585"/>
        <v>0</v>
      </c>
      <c r="AO42" s="17">
        <f t="shared" si="586"/>
        <v>0</v>
      </c>
      <c r="AP42" s="17">
        <f t="shared" si="587"/>
        <v>0</v>
      </c>
      <c r="AQ42" s="17">
        <f t="shared" si="588"/>
        <v>0</v>
      </c>
      <c r="AR42" s="17">
        <f t="shared" si="589"/>
        <v>0</v>
      </c>
      <c r="AS42" s="17">
        <f t="shared" si="590"/>
        <v>0</v>
      </c>
      <c r="AT42" s="17">
        <f t="shared" si="591"/>
        <v>0</v>
      </c>
      <c r="AU42" s="54">
        <f t="shared" si="592"/>
        <v>0</v>
      </c>
      <c r="AV42" s="58">
        <f t="shared" si="551"/>
        <v>0</v>
      </c>
      <c r="AW42" s="58">
        <f t="shared" ca="1" si="73"/>
        <v>0</v>
      </c>
      <c r="AX42" s="50">
        <f t="shared" si="593"/>
        <v>0</v>
      </c>
      <c r="AY42" s="17">
        <f t="shared" si="594"/>
        <v>0</v>
      </c>
      <c r="AZ42" s="17">
        <f t="shared" si="595"/>
        <v>0</v>
      </c>
      <c r="BA42" s="17">
        <f t="shared" si="596"/>
        <v>0</v>
      </c>
      <c r="BB42" s="17">
        <f t="shared" si="597"/>
        <v>0</v>
      </c>
      <c r="BC42" s="17">
        <f t="shared" si="598"/>
        <v>0</v>
      </c>
      <c r="BD42" s="17">
        <f t="shared" si="599"/>
        <v>0</v>
      </c>
      <c r="BE42" s="17">
        <f t="shared" si="600"/>
        <v>0</v>
      </c>
      <c r="BF42" s="17">
        <f t="shared" si="601"/>
        <v>0</v>
      </c>
      <c r="BG42" s="17">
        <f t="shared" si="602"/>
        <v>0</v>
      </c>
      <c r="BH42" s="17">
        <f t="shared" si="603"/>
        <v>0</v>
      </c>
      <c r="BI42" s="17">
        <f t="shared" si="604"/>
        <v>0</v>
      </c>
      <c r="BJ42" s="17">
        <f t="shared" si="605"/>
        <v>0</v>
      </c>
      <c r="BK42" s="17">
        <f t="shared" si="606"/>
        <v>0</v>
      </c>
      <c r="BL42" s="17">
        <f t="shared" si="607"/>
        <v>0</v>
      </c>
      <c r="BM42" s="17">
        <f t="shared" si="608"/>
        <v>0</v>
      </c>
      <c r="BN42" s="17">
        <f t="shared" si="609"/>
        <v>0</v>
      </c>
      <c r="BO42" s="17">
        <f t="shared" si="610"/>
        <v>0</v>
      </c>
      <c r="BP42" s="17">
        <f t="shared" si="611"/>
        <v>0</v>
      </c>
      <c r="BQ42" s="17">
        <f t="shared" si="612"/>
        <v>0</v>
      </c>
      <c r="BR42" s="17">
        <f t="shared" si="613"/>
        <v>0</v>
      </c>
      <c r="BS42" s="17">
        <f t="shared" si="614"/>
        <v>0</v>
      </c>
      <c r="BT42" s="17">
        <f t="shared" si="615"/>
        <v>0</v>
      </c>
      <c r="BU42" s="17">
        <f t="shared" si="616"/>
        <v>0</v>
      </c>
      <c r="BV42" s="17">
        <f t="shared" si="617"/>
        <v>0</v>
      </c>
      <c r="BW42" s="17">
        <f t="shared" si="618"/>
        <v>0</v>
      </c>
      <c r="BX42" s="17">
        <f t="shared" si="619"/>
        <v>0</v>
      </c>
      <c r="BY42" s="17">
        <f t="shared" si="620"/>
        <v>0</v>
      </c>
      <c r="BZ42" s="17">
        <f t="shared" si="621"/>
        <v>0</v>
      </c>
      <c r="CA42" s="17">
        <f t="shared" si="622"/>
        <v>0</v>
      </c>
      <c r="CB42" s="54">
        <f t="shared" si="623"/>
        <v>0</v>
      </c>
      <c r="CC42" s="58">
        <f t="shared" si="208"/>
        <v>0</v>
      </c>
      <c r="CD42" s="58">
        <f t="shared" ca="1" si="103"/>
        <v>0</v>
      </c>
      <c r="JJ42" s="4" t="s">
        <v>13</v>
      </c>
      <c r="JK42" s="152" t="str">
        <f t="shared" si="552"/>
        <v>LHR02-PHR-MIO-02</v>
      </c>
      <c r="JL42" s="163">
        <v>0</v>
      </c>
      <c r="JM42" s="158">
        <v>0</v>
      </c>
      <c r="JN42" s="158">
        <v>0</v>
      </c>
      <c r="JO42" s="159">
        <v>0</v>
      </c>
      <c r="JP42" s="158">
        <v>0</v>
      </c>
      <c r="JQ42" s="158">
        <v>0</v>
      </c>
      <c r="JR42" s="158">
        <v>0</v>
      </c>
      <c r="JS42" s="158">
        <v>0</v>
      </c>
      <c r="JT42" s="158">
        <v>0</v>
      </c>
      <c r="JU42" s="158">
        <v>0</v>
      </c>
      <c r="JV42" s="158">
        <v>0</v>
      </c>
      <c r="JW42" s="159">
        <v>0</v>
      </c>
      <c r="JX42" s="159">
        <v>0</v>
      </c>
      <c r="JY42" s="159">
        <v>0</v>
      </c>
      <c r="JZ42" s="158"/>
      <c r="KA42" s="158"/>
      <c r="KB42" s="158"/>
      <c r="KC42" s="158"/>
      <c r="KD42" s="158"/>
      <c r="KE42" s="158"/>
      <c r="KF42" s="158"/>
      <c r="KG42" s="158"/>
      <c r="KH42" s="159"/>
      <c r="KI42" s="159"/>
      <c r="KJ42" s="158"/>
      <c r="KK42" s="158"/>
      <c r="KL42" s="158"/>
      <c r="KM42" s="158"/>
      <c r="KN42" s="158"/>
      <c r="KO42" s="158"/>
      <c r="KP42" s="164"/>
      <c r="KQ42" s="157">
        <v>0</v>
      </c>
      <c r="KR42" s="157">
        <v>0</v>
      </c>
      <c r="KS42" s="157">
        <v>0</v>
      </c>
      <c r="KT42" s="157">
        <v>0</v>
      </c>
      <c r="KU42" s="157">
        <v>0</v>
      </c>
      <c r="KV42" s="157">
        <v>0</v>
      </c>
      <c r="KW42" s="157">
        <v>0</v>
      </c>
      <c r="KX42" s="157">
        <v>0</v>
      </c>
      <c r="KY42" s="157">
        <v>0</v>
      </c>
      <c r="KZ42" s="157">
        <v>0</v>
      </c>
      <c r="LA42" s="157">
        <v>0</v>
      </c>
      <c r="LB42" s="157">
        <v>0</v>
      </c>
      <c r="LC42" s="157">
        <v>0</v>
      </c>
      <c r="LD42" s="157">
        <v>0</v>
      </c>
      <c r="LE42" s="157"/>
      <c r="LF42" s="157"/>
      <c r="LG42" s="157"/>
      <c r="LH42" s="157"/>
      <c r="LI42" s="157"/>
      <c r="LJ42" s="157"/>
      <c r="LK42" s="157"/>
      <c r="LL42" s="157"/>
      <c r="LM42" s="157"/>
      <c r="LN42" s="157"/>
      <c r="LO42" s="157"/>
      <c r="LP42" s="157"/>
      <c r="LQ42" s="157"/>
      <c r="LR42" s="157"/>
      <c r="LS42" s="157"/>
      <c r="LT42" s="5"/>
      <c r="LU42" s="8"/>
    </row>
    <row r="43" spans="1:333" ht="16.2" customHeight="1">
      <c r="A43" s="38" t="s">
        <v>9</v>
      </c>
      <c r="B43" s="25" t="s">
        <v>53</v>
      </c>
      <c r="C43" s="26" t="s">
        <v>385</v>
      </c>
      <c r="D43" s="25" t="s">
        <v>240</v>
      </c>
      <c r="E43" s="27" t="s">
        <v>67</v>
      </c>
      <c r="F43" s="25" t="s">
        <v>461</v>
      </c>
      <c r="G43" s="25" t="s">
        <v>241</v>
      </c>
      <c r="H43" s="28">
        <v>46078</v>
      </c>
      <c r="I43" s="29" t="s">
        <v>242</v>
      </c>
      <c r="J43" s="30">
        <v>1</v>
      </c>
      <c r="K43" s="147">
        <v>0</v>
      </c>
      <c r="L43" s="147">
        <f t="shared" si="557"/>
        <v>1</v>
      </c>
      <c r="M43" s="147">
        <f t="shared" si="558"/>
        <v>1</v>
      </c>
      <c r="N43" s="147">
        <f t="shared" si="559"/>
        <v>1</v>
      </c>
      <c r="O43" s="147">
        <f t="shared" si="560"/>
        <v>1</v>
      </c>
      <c r="P43" s="148">
        <f t="shared" si="561"/>
        <v>1</v>
      </c>
      <c r="Q43" s="50">
        <f t="shared" si="562"/>
        <v>1</v>
      </c>
      <c r="R43" s="17">
        <f t="shared" si="563"/>
        <v>1</v>
      </c>
      <c r="S43" s="17">
        <f t="shared" si="564"/>
        <v>1</v>
      </c>
      <c r="T43" s="17">
        <f t="shared" si="565"/>
        <v>0</v>
      </c>
      <c r="U43" s="17">
        <f t="shared" si="566"/>
        <v>1</v>
      </c>
      <c r="V43" s="17">
        <f t="shared" si="567"/>
        <v>1</v>
      </c>
      <c r="W43" s="17">
        <f t="shared" si="568"/>
        <v>1</v>
      </c>
      <c r="X43" s="17">
        <f t="shared" si="569"/>
        <v>1</v>
      </c>
      <c r="Y43" s="17">
        <f t="shared" si="570"/>
        <v>1</v>
      </c>
      <c r="Z43" s="17">
        <f t="shared" si="571"/>
        <v>1</v>
      </c>
      <c r="AA43" s="17">
        <f t="shared" si="572"/>
        <v>0</v>
      </c>
      <c r="AB43" s="17">
        <f t="shared" si="573"/>
        <v>1</v>
      </c>
      <c r="AC43" s="17">
        <f t="shared" si="574"/>
        <v>1</v>
      </c>
      <c r="AD43" s="17">
        <f t="shared" si="575"/>
        <v>1</v>
      </c>
      <c r="AE43" s="17">
        <f t="shared" si="576"/>
        <v>0</v>
      </c>
      <c r="AF43" s="17">
        <f t="shared" si="577"/>
        <v>0</v>
      </c>
      <c r="AG43" s="17">
        <f t="shared" si="578"/>
        <v>0</v>
      </c>
      <c r="AH43" s="17">
        <f t="shared" si="579"/>
        <v>0</v>
      </c>
      <c r="AI43" s="17">
        <f t="shared" si="580"/>
        <v>0</v>
      </c>
      <c r="AJ43" s="17">
        <f t="shared" si="581"/>
        <v>0</v>
      </c>
      <c r="AK43" s="17">
        <f t="shared" si="582"/>
        <v>0</v>
      </c>
      <c r="AL43" s="17">
        <f t="shared" si="583"/>
        <v>0</v>
      </c>
      <c r="AM43" s="17">
        <f t="shared" si="584"/>
        <v>0</v>
      </c>
      <c r="AN43" s="17">
        <f t="shared" si="585"/>
        <v>0</v>
      </c>
      <c r="AO43" s="17">
        <f t="shared" si="586"/>
        <v>0</v>
      </c>
      <c r="AP43" s="17">
        <f t="shared" si="587"/>
        <v>0</v>
      </c>
      <c r="AQ43" s="17">
        <f t="shared" si="588"/>
        <v>0</v>
      </c>
      <c r="AR43" s="17">
        <f t="shared" si="589"/>
        <v>0</v>
      </c>
      <c r="AS43" s="17">
        <f t="shared" si="590"/>
        <v>0</v>
      </c>
      <c r="AT43" s="17">
        <f t="shared" si="591"/>
        <v>0</v>
      </c>
      <c r="AU43" s="54">
        <f t="shared" si="592"/>
        <v>0</v>
      </c>
      <c r="AV43" s="58">
        <f t="shared" si="551"/>
        <v>12</v>
      </c>
      <c r="AW43" s="58">
        <f t="shared" ca="1" si="73"/>
        <v>0.92307692307692313</v>
      </c>
      <c r="AX43" s="50">
        <f t="shared" si="593"/>
        <v>11</v>
      </c>
      <c r="AY43" s="17">
        <f t="shared" si="594"/>
        <v>10</v>
      </c>
      <c r="AZ43" s="17">
        <f t="shared" si="595"/>
        <v>4</v>
      </c>
      <c r="BA43" s="17">
        <f t="shared" si="596"/>
        <v>0</v>
      </c>
      <c r="BB43" s="17">
        <f t="shared" si="597"/>
        <v>11</v>
      </c>
      <c r="BC43" s="17">
        <f t="shared" si="598"/>
        <v>11</v>
      </c>
      <c r="BD43" s="17">
        <f t="shared" si="599"/>
        <v>9</v>
      </c>
      <c r="BE43" s="17">
        <f t="shared" si="600"/>
        <v>0</v>
      </c>
      <c r="BF43" s="17">
        <f t="shared" si="601"/>
        <v>2</v>
      </c>
      <c r="BG43" s="17">
        <f t="shared" si="602"/>
        <v>11</v>
      </c>
      <c r="BH43" s="17">
        <f t="shared" si="603"/>
        <v>0</v>
      </c>
      <c r="BI43" s="17">
        <f t="shared" si="604"/>
        <v>10</v>
      </c>
      <c r="BJ43" s="17">
        <f t="shared" si="605"/>
        <v>11</v>
      </c>
      <c r="BK43" s="17">
        <f t="shared" si="606"/>
        <v>1</v>
      </c>
      <c r="BL43" s="17">
        <f t="shared" si="607"/>
        <v>0</v>
      </c>
      <c r="BM43" s="17">
        <f t="shared" si="608"/>
        <v>0</v>
      </c>
      <c r="BN43" s="17">
        <f t="shared" si="609"/>
        <v>0</v>
      </c>
      <c r="BO43" s="17">
        <f t="shared" si="610"/>
        <v>0</v>
      </c>
      <c r="BP43" s="17">
        <f t="shared" si="611"/>
        <v>0</v>
      </c>
      <c r="BQ43" s="17">
        <f t="shared" si="612"/>
        <v>0</v>
      </c>
      <c r="BR43" s="17">
        <f t="shared" si="613"/>
        <v>0</v>
      </c>
      <c r="BS43" s="17">
        <f t="shared" si="614"/>
        <v>0</v>
      </c>
      <c r="BT43" s="17">
        <f t="shared" si="615"/>
        <v>0</v>
      </c>
      <c r="BU43" s="17">
        <f t="shared" si="616"/>
        <v>0</v>
      </c>
      <c r="BV43" s="17">
        <f t="shared" si="617"/>
        <v>0</v>
      </c>
      <c r="BW43" s="17">
        <f t="shared" si="618"/>
        <v>0</v>
      </c>
      <c r="BX43" s="17">
        <f t="shared" si="619"/>
        <v>0</v>
      </c>
      <c r="BY43" s="17">
        <f t="shared" si="620"/>
        <v>0</v>
      </c>
      <c r="BZ43" s="17">
        <f t="shared" si="621"/>
        <v>0</v>
      </c>
      <c r="CA43" s="17">
        <f t="shared" si="622"/>
        <v>0</v>
      </c>
      <c r="CB43" s="54">
        <f t="shared" si="623"/>
        <v>0</v>
      </c>
      <c r="CC43" s="58">
        <f t="shared" si="208"/>
        <v>91</v>
      </c>
      <c r="CD43" s="58">
        <f t="shared" ca="1" si="103"/>
        <v>7</v>
      </c>
      <c r="JJ43" s="4" t="s">
        <v>13</v>
      </c>
      <c r="JK43" s="152" t="str">
        <f t="shared" si="552"/>
        <v>LHR02-PHR-MIO-03</v>
      </c>
      <c r="JL43" s="163">
        <v>1</v>
      </c>
      <c r="JM43" s="158">
        <v>1</v>
      </c>
      <c r="JN43" s="158">
        <v>1</v>
      </c>
      <c r="JO43" s="159">
        <v>0</v>
      </c>
      <c r="JP43" s="158">
        <v>1</v>
      </c>
      <c r="JQ43" s="158">
        <v>1</v>
      </c>
      <c r="JR43" s="158">
        <v>1</v>
      </c>
      <c r="JS43" s="158">
        <v>1</v>
      </c>
      <c r="JT43" s="158">
        <v>1</v>
      </c>
      <c r="JU43" s="158">
        <v>1</v>
      </c>
      <c r="JV43" s="158">
        <v>0</v>
      </c>
      <c r="JW43" s="159">
        <v>1</v>
      </c>
      <c r="JX43" s="159">
        <v>1</v>
      </c>
      <c r="JY43" s="159">
        <v>1</v>
      </c>
      <c r="JZ43" s="158"/>
      <c r="KA43" s="158"/>
      <c r="KB43" s="158"/>
      <c r="KC43" s="158"/>
      <c r="KD43" s="158"/>
      <c r="KE43" s="158"/>
      <c r="KF43" s="158"/>
      <c r="KG43" s="158"/>
      <c r="KH43" s="159"/>
      <c r="KI43" s="159"/>
      <c r="KJ43" s="158"/>
      <c r="KK43" s="158"/>
      <c r="KL43" s="158"/>
      <c r="KM43" s="158"/>
      <c r="KN43" s="158"/>
      <c r="KO43" s="158"/>
      <c r="KP43" s="164"/>
      <c r="KQ43" s="157">
        <v>11</v>
      </c>
      <c r="KR43" s="157">
        <v>10</v>
      </c>
      <c r="KS43" s="157">
        <v>4</v>
      </c>
      <c r="KT43" s="157">
        <v>0</v>
      </c>
      <c r="KU43" s="157">
        <v>11</v>
      </c>
      <c r="KV43" s="157">
        <v>11</v>
      </c>
      <c r="KW43" s="157">
        <v>9</v>
      </c>
      <c r="KX43" s="157">
        <v>0</v>
      </c>
      <c r="KY43" s="157">
        <v>2</v>
      </c>
      <c r="KZ43" s="157">
        <v>11</v>
      </c>
      <c r="LA43" s="157">
        <v>0</v>
      </c>
      <c r="LB43" s="157">
        <v>10</v>
      </c>
      <c r="LC43" s="157">
        <v>11</v>
      </c>
      <c r="LD43" s="157">
        <v>1</v>
      </c>
      <c r="LE43" s="157"/>
      <c r="LF43" s="157"/>
      <c r="LG43" s="157"/>
      <c r="LH43" s="157"/>
      <c r="LI43" s="157"/>
      <c r="LJ43" s="157"/>
      <c r="LK43" s="157"/>
      <c r="LL43" s="157"/>
      <c r="LM43" s="157"/>
      <c r="LN43" s="157"/>
      <c r="LO43" s="157"/>
      <c r="LP43" s="157"/>
      <c r="LQ43" s="157"/>
      <c r="LR43" s="157"/>
      <c r="LS43" s="157"/>
      <c r="LT43" s="5"/>
      <c r="LU43" s="8"/>
    </row>
    <row r="44" spans="1:333" ht="16.2" customHeight="1">
      <c r="A44" s="38" t="s">
        <v>9</v>
      </c>
      <c r="B44" s="25" t="s">
        <v>53</v>
      </c>
      <c r="C44" s="25" t="s">
        <v>385</v>
      </c>
      <c r="D44" s="25" t="s">
        <v>245</v>
      </c>
      <c r="E44" s="27" t="s">
        <v>69</v>
      </c>
      <c r="F44" s="25" t="s">
        <v>535</v>
      </c>
      <c r="G44" s="25" t="s">
        <v>246</v>
      </c>
      <c r="H44" s="28">
        <v>46100</v>
      </c>
      <c r="I44" s="29" t="s">
        <v>247</v>
      </c>
      <c r="J44" s="30">
        <v>1</v>
      </c>
      <c r="K44" s="147">
        <v>0</v>
      </c>
      <c r="L44" s="147">
        <f t="shared" si="557"/>
        <v>0</v>
      </c>
      <c r="M44" s="147">
        <f t="shared" si="558"/>
        <v>1</v>
      </c>
      <c r="N44" s="147">
        <f t="shared" si="559"/>
        <v>0</v>
      </c>
      <c r="O44" s="147">
        <f t="shared" si="560"/>
        <v>1</v>
      </c>
      <c r="P44" s="148">
        <f t="shared" si="561"/>
        <v>1</v>
      </c>
      <c r="Q44" s="50">
        <f t="shared" si="562"/>
        <v>1</v>
      </c>
      <c r="R44" s="17">
        <f t="shared" si="563"/>
        <v>1</v>
      </c>
      <c r="S44" s="17">
        <f t="shared" si="564"/>
        <v>1</v>
      </c>
      <c r="T44" s="17">
        <f t="shared" si="565"/>
        <v>0</v>
      </c>
      <c r="U44" s="17">
        <f t="shared" si="566"/>
        <v>1</v>
      </c>
      <c r="V44" s="17">
        <f t="shared" si="567"/>
        <v>1</v>
      </c>
      <c r="W44" s="17">
        <f t="shared" si="568"/>
        <v>0</v>
      </c>
      <c r="X44" s="17">
        <f t="shared" si="569"/>
        <v>0</v>
      </c>
      <c r="Y44" s="17">
        <f t="shared" si="570"/>
        <v>0</v>
      </c>
      <c r="Z44" s="17">
        <f t="shared" si="571"/>
        <v>0</v>
      </c>
      <c r="AA44" s="17">
        <f t="shared" si="572"/>
        <v>0</v>
      </c>
      <c r="AB44" s="17">
        <f t="shared" si="573"/>
        <v>0</v>
      </c>
      <c r="AC44" s="17">
        <f t="shared" si="574"/>
        <v>0</v>
      </c>
      <c r="AD44" s="17">
        <f t="shared" si="575"/>
        <v>0</v>
      </c>
      <c r="AE44" s="17">
        <f t="shared" si="576"/>
        <v>0</v>
      </c>
      <c r="AF44" s="17">
        <f t="shared" si="577"/>
        <v>0</v>
      </c>
      <c r="AG44" s="17">
        <f t="shared" si="578"/>
        <v>0</v>
      </c>
      <c r="AH44" s="17">
        <f t="shared" si="579"/>
        <v>0</v>
      </c>
      <c r="AI44" s="17">
        <f t="shared" si="580"/>
        <v>0</v>
      </c>
      <c r="AJ44" s="17">
        <f t="shared" si="581"/>
        <v>0</v>
      </c>
      <c r="AK44" s="17">
        <f t="shared" si="582"/>
        <v>0</v>
      </c>
      <c r="AL44" s="17">
        <f t="shared" si="583"/>
        <v>0</v>
      </c>
      <c r="AM44" s="17">
        <f t="shared" si="584"/>
        <v>0</v>
      </c>
      <c r="AN44" s="17">
        <f t="shared" si="585"/>
        <v>0</v>
      </c>
      <c r="AO44" s="17">
        <f t="shared" si="586"/>
        <v>0</v>
      </c>
      <c r="AP44" s="17">
        <f t="shared" si="587"/>
        <v>0</v>
      </c>
      <c r="AQ44" s="17">
        <f t="shared" si="588"/>
        <v>0</v>
      </c>
      <c r="AR44" s="17">
        <f t="shared" si="589"/>
        <v>0</v>
      </c>
      <c r="AS44" s="17">
        <f t="shared" si="590"/>
        <v>0</v>
      </c>
      <c r="AT44" s="17">
        <f t="shared" si="591"/>
        <v>0</v>
      </c>
      <c r="AU44" s="54">
        <f t="shared" si="592"/>
        <v>0</v>
      </c>
      <c r="AV44" s="58">
        <f t="shared" si="551"/>
        <v>5</v>
      </c>
      <c r="AW44" s="58">
        <f t="shared" ca="1" si="73"/>
        <v>0.38461538461538464</v>
      </c>
      <c r="AX44" s="50">
        <f t="shared" si="593"/>
        <v>10</v>
      </c>
      <c r="AY44" s="17">
        <f t="shared" si="594"/>
        <v>11</v>
      </c>
      <c r="AZ44" s="17">
        <f t="shared" si="595"/>
        <v>0</v>
      </c>
      <c r="BA44" s="17">
        <f t="shared" si="596"/>
        <v>0</v>
      </c>
      <c r="BB44" s="17">
        <f t="shared" si="597"/>
        <v>0</v>
      </c>
      <c r="BC44" s="17">
        <f t="shared" si="598"/>
        <v>10</v>
      </c>
      <c r="BD44" s="17">
        <f t="shared" si="599"/>
        <v>0</v>
      </c>
      <c r="BE44" s="17">
        <f t="shared" si="600"/>
        <v>0</v>
      </c>
      <c r="BF44" s="17">
        <f t="shared" si="601"/>
        <v>0</v>
      </c>
      <c r="BG44" s="17">
        <f t="shared" si="602"/>
        <v>0</v>
      </c>
      <c r="BH44" s="17">
        <f t="shared" si="603"/>
        <v>0</v>
      </c>
      <c r="BI44" s="17">
        <f t="shared" si="604"/>
        <v>0</v>
      </c>
      <c r="BJ44" s="17">
        <f t="shared" si="605"/>
        <v>0</v>
      </c>
      <c r="BK44" s="17">
        <f t="shared" si="606"/>
        <v>0</v>
      </c>
      <c r="BL44" s="17">
        <f t="shared" si="607"/>
        <v>0</v>
      </c>
      <c r="BM44" s="17">
        <f t="shared" si="608"/>
        <v>0</v>
      </c>
      <c r="BN44" s="17">
        <f t="shared" si="609"/>
        <v>0</v>
      </c>
      <c r="BO44" s="17">
        <f t="shared" si="610"/>
        <v>0</v>
      </c>
      <c r="BP44" s="17">
        <f t="shared" si="611"/>
        <v>0</v>
      </c>
      <c r="BQ44" s="17">
        <f t="shared" si="612"/>
        <v>0</v>
      </c>
      <c r="BR44" s="17">
        <f t="shared" si="613"/>
        <v>0</v>
      </c>
      <c r="BS44" s="17">
        <f t="shared" si="614"/>
        <v>0</v>
      </c>
      <c r="BT44" s="17">
        <f t="shared" si="615"/>
        <v>0</v>
      </c>
      <c r="BU44" s="17">
        <f t="shared" si="616"/>
        <v>0</v>
      </c>
      <c r="BV44" s="17">
        <f t="shared" si="617"/>
        <v>0</v>
      </c>
      <c r="BW44" s="17">
        <f t="shared" si="618"/>
        <v>0</v>
      </c>
      <c r="BX44" s="17">
        <f t="shared" si="619"/>
        <v>0</v>
      </c>
      <c r="BY44" s="17">
        <f t="shared" si="620"/>
        <v>0</v>
      </c>
      <c r="BZ44" s="17">
        <f t="shared" si="621"/>
        <v>0</v>
      </c>
      <c r="CA44" s="17">
        <f t="shared" si="622"/>
        <v>0</v>
      </c>
      <c r="CB44" s="54">
        <f t="shared" si="623"/>
        <v>0</v>
      </c>
      <c r="CC44" s="58">
        <f t="shared" si="208"/>
        <v>31</v>
      </c>
      <c r="CD44" s="58">
        <f t="shared" ca="1" si="103"/>
        <v>2.3846153846153846</v>
      </c>
      <c r="JJ44" s="4" t="s">
        <v>13</v>
      </c>
      <c r="JK44" s="152" t="str">
        <f t="shared" si="552"/>
        <v>LHR02-PHR-PS-02</v>
      </c>
      <c r="JL44" s="163">
        <v>1</v>
      </c>
      <c r="JM44" s="158">
        <v>1</v>
      </c>
      <c r="JN44" s="158">
        <v>1</v>
      </c>
      <c r="JO44" s="159">
        <v>0</v>
      </c>
      <c r="JP44" s="158">
        <v>1</v>
      </c>
      <c r="JQ44" s="158">
        <v>1</v>
      </c>
      <c r="JR44" s="158">
        <v>0</v>
      </c>
      <c r="JS44" s="158">
        <v>0</v>
      </c>
      <c r="JT44" s="158">
        <v>0</v>
      </c>
      <c r="JU44" s="158">
        <v>0</v>
      </c>
      <c r="JV44" s="158">
        <v>0</v>
      </c>
      <c r="JW44" s="159">
        <v>0</v>
      </c>
      <c r="JX44" s="159">
        <v>0</v>
      </c>
      <c r="JY44" s="159">
        <v>0</v>
      </c>
      <c r="JZ44" s="158"/>
      <c r="KA44" s="158"/>
      <c r="KB44" s="158"/>
      <c r="KC44" s="158"/>
      <c r="KD44" s="158"/>
      <c r="KE44" s="158"/>
      <c r="KF44" s="158"/>
      <c r="KG44" s="158"/>
      <c r="KH44" s="159"/>
      <c r="KI44" s="159"/>
      <c r="KJ44" s="158"/>
      <c r="KK44" s="158"/>
      <c r="KL44" s="158"/>
      <c r="KM44" s="158"/>
      <c r="KN44" s="158"/>
      <c r="KO44" s="158"/>
      <c r="KP44" s="164"/>
      <c r="KQ44" s="157">
        <v>10</v>
      </c>
      <c r="KR44" s="157">
        <v>11</v>
      </c>
      <c r="KS44" s="157">
        <v>0</v>
      </c>
      <c r="KT44" s="157">
        <v>0</v>
      </c>
      <c r="KU44" s="157">
        <v>0</v>
      </c>
      <c r="KV44" s="157">
        <v>10</v>
      </c>
      <c r="KW44" s="157">
        <v>0</v>
      </c>
      <c r="KX44" s="157">
        <v>0</v>
      </c>
      <c r="KY44" s="157">
        <v>0</v>
      </c>
      <c r="KZ44" s="157">
        <v>0</v>
      </c>
      <c r="LA44" s="157">
        <v>0</v>
      </c>
      <c r="LB44" s="157">
        <v>0</v>
      </c>
      <c r="LC44" s="157">
        <v>0</v>
      </c>
      <c r="LD44" s="157">
        <v>0</v>
      </c>
      <c r="LE44" s="157"/>
      <c r="LF44" s="157"/>
      <c r="LG44" s="157"/>
      <c r="LH44" s="157"/>
      <c r="LI44" s="157"/>
      <c r="LJ44" s="157"/>
      <c r="LK44" s="157"/>
      <c r="LL44" s="157"/>
      <c r="LM44" s="157"/>
      <c r="LN44" s="157"/>
      <c r="LO44" s="157"/>
      <c r="LP44" s="157"/>
      <c r="LQ44" s="157"/>
      <c r="LR44" s="157"/>
      <c r="LS44" s="157"/>
      <c r="LT44" s="5"/>
      <c r="LU44" s="8"/>
    </row>
    <row r="45" spans="1:333" ht="16.2" customHeight="1">
      <c r="A45" s="38" t="s">
        <v>9</v>
      </c>
      <c r="B45" s="25" t="s">
        <v>53</v>
      </c>
      <c r="C45" s="26" t="s">
        <v>384</v>
      </c>
      <c r="D45" s="25" t="s">
        <v>431</v>
      </c>
      <c r="E45" s="27" t="s">
        <v>57</v>
      </c>
      <c r="F45" s="25" t="s">
        <v>462</v>
      </c>
      <c r="G45" s="25" t="s">
        <v>228</v>
      </c>
      <c r="H45" s="28">
        <v>45931</v>
      </c>
      <c r="I45" s="29" t="s">
        <v>225</v>
      </c>
      <c r="J45" s="30">
        <v>1</v>
      </c>
      <c r="K45" s="147">
        <v>0</v>
      </c>
      <c r="L45" s="147">
        <f t="shared" si="557"/>
        <v>1</v>
      </c>
      <c r="M45" s="147">
        <f>IFERROR(IF(OR(AV45&gt;0),1,0),0)</f>
        <v>1</v>
      </c>
      <c r="N45" s="147">
        <f t="shared" si="559"/>
        <v>0</v>
      </c>
      <c r="O45" s="147">
        <f>IFERROR(IF(OR(CC45&gt;0),1,0),0)</f>
        <v>1</v>
      </c>
      <c r="P45" s="148">
        <f>IFERROR(IF(OR(AV45&gt;0,CC45&gt;0),1,0),0)</f>
        <v>1</v>
      </c>
      <c r="Q45" s="50">
        <f t="shared" ref="Q45:AU45" si="624">JL45</f>
        <v>1</v>
      </c>
      <c r="R45" s="17">
        <f t="shared" si="624"/>
        <v>1</v>
      </c>
      <c r="S45" s="17">
        <f t="shared" si="624"/>
        <v>1</v>
      </c>
      <c r="T45" s="17">
        <f t="shared" si="624"/>
        <v>0</v>
      </c>
      <c r="U45" s="17">
        <f t="shared" si="624"/>
        <v>1</v>
      </c>
      <c r="V45" s="17">
        <f t="shared" si="624"/>
        <v>1</v>
      </c>
      <c r="W45" s="17">
        <f t="shared" si="624"/>
        <v>1</v>
      </c>
      <c r="X45" s="17">
        <f t="shared" si="624"/>
        <v>1</v>
      </c>
      <c r="Y45" s="17">
        <f t="shared" si="624"/>
        <v>1</v>
      </c>
      <c r="Z45" s="17">
        <f t="shared" si="624"/>
        <v>1</v>
      </c>
      <c r="AA45" s="17">
        <f t="shared" si="624"/>
        <v>0</v>
      </c>
      <c r="AB45" s="17">
        <f t="shared" si="624"/>
        <v>1</v>
      </c>
      <c r="AC45" s="17">
        <f t="shared" si="624"/>
        <v>1</v>
      </c>
      <c r="AD45" s="17">
        <f t="shared" si="624"/>
        <v>1</v>
      </c>
      <c r="AE45" s="17">
        <f t="shared" si="624"/>
        <v>0</v>
      </c>
      <c r="AF45" s="17">
        <f t="shared" si="624"/>
        <v>0</v>
      </c>
      <c r="AG45" s="17">
        <f t="shared" si="624"/>
        <v>0</v>
      </c>
      <c r="AH45" s="17">
        <f t="shared" si="624"/>
        <v>0</v>
      </c>
      <c r="AI45" s="17">
        <f t="shared" si="624"/>
        <v>0</v>
      </c>
      <c r="AJ45" s="17">
        <f t="shared" si="624"/>
        <v>0</v>
      </c>
      <c r="AK45" s="17">
        <f t="shared" si="624"/>
        <v>0</v>
      </c>
      <c r="AL45" s="17">
        <f t="shared" si="624"/>
        <v>0</v>
      </c>
      <c r="AM45" s="17">
        <f t="shared" si="624"/>
        <v>0</v>
      </c>
      <c r="AN45" s="17">
        <f t="shared" si="624"/>
        <v>0</v>
      </c>
      <c r="AO45" s="17">
        <f t="shared" si="624"/>
        <v>0</v>
      </c>
      <c r="AP45" s="17">
        <f t="shared" si="624"/>
        <v>0</v>
      </c>
      <c r="AQ45" s="17">
        <f t="shared" si="624"/>
        <v>0</v>
      </c>
      <c r="AR45" s="17">
        <f t="shared" si="624"/>
        <v>0</v>
      </c>
      <c r="AS45" s="17">
        <f t="shared" si="624"/>
        <v>0</v>
      </c>
      <c r="AT45" s="17">
        <f t="shared" si="624"/>
        <v>0</v>
      </c>
      <c r="AU45" s="54">
        <f t="shared" si="624"/>
        <v>0</v>
      </c>
      <c r="AV45" s="58">
        <f>SUM(Q45:AU45)</f>
        <v>12</v>
      </c>
      <c r="AW45" s="58">
        <f t="shared" ca="1" si="73"/>
        <v>0.92307692307692313</v>
      </c>
      <c r="AX45" s="50">
        <f t="shared" ref="AX45:CB45" si="625">KQ45</f>
        <v>11</v>
      </c>
      <c r="AY45" s="17">
        <f t="shared" si="625"/>
        <v>9</v>
      </c>
      <c r="AZ45" s="17">
        <f t="shared" si="625"/>
        <v>11</v>
      </c>
      <c r="BA45" s="17">
        <f t="shared" si="625"/>
        <v>0</v>
      </c>
      <c r="BB45" s="17">
        <f t="shared" si="625"/>
        <v>8</v>
      </c>
      <c r="BC45" s="17">
        <f t="shared" si="625"/>
        <v>11</v>
      </c>
      <c r="BD45" s="17">
        <f t="shared" si="625"/>
        <v>12</v>
      </c>
      <c r="BE45" s="17">
        <f t="shared" si="625"/>
        <v>11</v>
      </c>
      <c r="BF45" s="17">
        <f t="shared" si="625"/>
        <v>9</v>
      </c>
      <c r="BG45" s="17">
        <f t="shared" si="625"/>
        <v>11</v>
      </c>
      <c r="BH45" s="17">
        <f t="shared" si="625"/>
        <v>0</v>
      </c>
      <c r="BI45" s="17">
        <f t="shared" si="625"/>
        <v>13</v>
      </c>
      <c r="BJ45" s="17">
        <f t="shared" si="625"/>
        <v>11</v>
      </c>
      <c r="BK45" s="17">
        <f t="shared" si="625"/>
        <v>0</v>
      </c>
      <c r="BL45" s="17">
        <f t="shared" si="625"/>
        <v>0</v>
      </c>
      <c r="BM45" s="17">
        <f t="shared" si="625"/>
        <v>0</v>
      </c>
      <c r="BN45" s="17">
        <f t="shared" si="625"/>
        <v>0</v>
      </c>
      <c r="BO45" s="17">
        <f t="shared" si="625"/>
        <v>0</v>
      </c>
      <c r="BP45" s="17">
        <f t="shared" si="625"/>
        <v>0</v>
      </c>
      <c r="BQ45" s="17">
        <f t="shared" si="625"/>
        <v>0</v>
      </c>
      <c r="BR45" s="17">
        <f t="shared" si="625"/>
        <v>0</v>
      </c>
      <c r="BS45" s="17">
        <f t="shared" si="625"/>
        <v>0</v>
      </c>
      <c r="BT45" s="17">
        <f t="shared" si="625"/>
        <v>0</v>
      </c>
      <c r="BU45" s="17">
        <f t="shared" si="625"/>
        <v>0</v>
      </c>
      <c r="BV45" s="17">
        <f t="shared" si="625"/>
        <v>0</v>
      </c>
      <c r="BW45" s="17">
        <f t="shared" si="625"/>
        <v>0</v>
      </c>
      <c r="BX45" s="17">
        <f t="shared" si="625"/>
        <v>0</v>
      </c>
      <c r="BY45" s="17">
        <f t="shared" si="625"/>
        <v>0</v>
      </c>
      <c r="BZ45" s="17">
        <f t="shared" si="625"/>
        <v>0</v>
      </c>
      <c r="CA45" s="17">
        <f t="shared" si="625"/>
        <v>0</v>
      </c>
      <c r="CB45" s="54">
        <f t="shared" si="625"/>
        <v>0</v>
      </c>
      <c r="CC45" s="58">
        <f>SUM(AX45:CB45)</f>
        <v>117</v>
      </c>
      <c r="CD45" s="58">
        <f t="shared" ca="1" si="103"/>
        <v>9</v>
      </c>
      <c r="JJ45" s="4" t="s">
        <v>13</v>
      </c>
      <c r="JK45" s="152" t="str">
        <f>D45</f>
        <v>LHR02-PHR-MIO-04</v>
      </c>
      <c r="JL45" s="163">
        <v>1</v>
      </c>
      <c r="JM45" s="158">
        <v>1</v>
      </c>
      <c r="JN45" s="158">
        <v>1</v>
      </c>
      <c r="JO45" s="159">
        <v>0</v>
      </c>
      <c r="JP45" s="158">
        <v>1</v>
      </c>
      <c r="JQ45" s="158">
        <v>1</v>
      </c>
      <c r="JR45" s="158">
        <v>1</v>
      </c>
      <c r="JS45" s="158">
        <v>1</v>
      </c>
      <c r="JT45" s="158">
        <v>1</v>
      </c>
      <c r="JU45" s="158">
        <v>1</v>
      </c>
      <c r="JV45" s="158">
        <v>0</v>
      </c>
      <c r="JW45" s="159">
        <v>1</v>
      </c>
      <c r="JX45" s="159">
        <v>1</v>
      </c>
      <c r="JY45" s="159">
        <v>1</v>
      </c>
      <c r="JZ45" s="158"/>
      <c r="KA45" s="158"/>
      <c r="KB45" s="158"/>
      <c r="KC45" s="158"/>
      <c r="KD45" s="158"/>
      <c r="KE45" s="158"/>
      <c r="KF45" s="158"/>
      <c r="KG45" s="158"/>
      <c r="KH45" s="159"/>
      <c r="KI45" s="159"/>
      <c r="KJ45" s="158"/>
      <c r="KK45" s="158"/>
      <c r="KL45" s="158"/>
      <c r="KM45" s="158"/>
      <c r="KN45" s="158"/>
      <c r="KO45" s="158"/>
      <c r="KP45" s="164"/>
      <c r="KQ45" s="157">
        <v>11</v>
      </c>
      <c r="KR45" s="157">
        <v>9</v>
      </c>
      <c r="KS45" s="157">
        <v>11</v>
      </c>
      <c r="KT45" s="157">
        <v>0</v>
      </c>
      <c r="KU45" s="157">
        <v>8</v>
      </c>
      <c r="KV45" s="157">
        <v>11</v>
      </c>
      <c r="KW45" s="157">
        <v>12</v>
      </c>
      <c r="KX45" s="157">
        <v>11</v>
      </c>
      <c r="KY45" s="157">
        <v>9</v>
      </c>
      <c r="KZ45" s="157">
        <v>11</v>
      </c>
      <c r="LA45" s="157">
        <v>0</v>
      </c>
      <c r="LB45" s="157">
        <v>13</v>
      </c>
      <c r="LC45" s="157">
        <v>11</v>
      </c>
      <c r="LD45" s="157">
        <v>0</v>
      </c>
      <c r="LE45" s="157"/>
      <c r="LF45" s="157"/>
      <c r="LG45" s="157"/>
      <c r="LH45" s="157"/>
      <c r="LI45" s="157"/>
      <c r="LJ45" s="157"/>
      <c r="LK45" s="157"/>
      <c r="LL45" s="157"/>
      <c r="LM45" s="157"/>
      <c r="LN45" s="157"/>
      <c r="LO45" s="157"/>
      <c r="LP45" s="157"/>
      <c r="LQ45" s="157"/>
      <c r="LR45" s="157"/>
      <c r="LS45" s="157"/>
      <c r="LT45" s="5"/>
      <c r="LU45" s="8"/>
    </row>
    <row r="46" spans="1:333" ht="16.2" customHeight="1">
      <c r="A46" s="38" t="s">
        <v>16</v>
      </c>
      <c r="B46" s="25" t="s">
        <v>53</v>
      </c>
      <c r="C46" s="26" t="s">
        <v>385</v>
      </c>
      <c r="D46" s="25" t="s">
        <v>70</v>
      </c>
      <c r="E46" s="27" t="s">
        <v>71</v>
      </c>
      <c r="F46" s="25" t="s">
        <v>463</v>
      </c>
      <c r="G46" s="25" t="s">
        <v>436</v>
      </c>
      <c r="H46" s="28" t="s">
        <v>436</v>
      </c>
      <c r="I46" s="29" t="s">
        <v>242</v>
      </c>
      <c r="J46" s="30">
        <v>0</v>
      </c>
      <c r="K46" s="147">
        <v>0</v>
      </c>
      <c r="L46" s="147">
        <f t="shared" si="557"/>
        <v>0</v>
      </c>
      <c r="M46" s="147">
        <f t="shared" si="558"/>
        <v>0</v>
      </c>
      <c r="N46" s="147">
        <f t="shared" si="559"/>
        <v>0</v>
      </c>
      <c r="O46" s="147">
        <f t="shared" si="560"/>
        <v>0</v>
      </c>
      <c r="P46" s="148">
        <f t="shared" si="561"/>
        <v>0</v>
      </c>
      <c r="Q46" s="50">
        <f t="shared" si="562"/>
        <v>0</v>
      </c>
      <c r="R46" s="17">
        <f t="shared" si="563"/>
        <v>0</v>
      </c>
      <c r="S46" s="17">
        <f t="shared" si="564"/>
        <v>0</v>
      </c>
      <c r="T46" s="17">
        <f t="shared" si="565"/>
        <v>0</v>
      </c>
      <c r="U46" s="17">
        <f t="shared" si="566"/>
        <v>0</v>
      </c>
      <c r="V46" s="17">
        <f t="shared" si="567"/>
        <v>0</v>
      </c>
      <c r="W46" s="17">
        <f t="shared" si="568"/>
        <v>0</v>
      </c>
      <c r="X46" s="17">
        <f t="shared" si="569"/>
        <v>0</v>
      </c>
      <c r="Y46" s="17">
        <f t="shared" si="570"/>
        <v>0</v>
      </c>
      <c r="Z46" s="17">
        <f t="shared" si="571"/>
        <v>0</v>
      </c>
      <c r="AA46" s="17">
        <f t="shared" si="572"/>
        <v>0</v>
      </c>
      <c r="AB46" s="17">
        <f t="shared" si="573"/>
        <v>0</v>
      </c>
      <c r="AC46" s="17">
        <f t="shared" si="574"/>
        <v>0</v>
      </c>
      <c r="AD46" s="17">
        <f t="shared" si="575"/>
        <v>0</v>
      </c>
      <c r="AE46" s="17">
        <f t="shared" si="576"/>
        <v>0</v>
      </c>
      <c r="AF46" s="17">
        <f t="shared" si="577"/>
        <v>0</v>
      </c>
      <c r="AG46" s="17">
        <f t="shared" si="578"/>
        <v>0</v>
      </c>
      <c r="AH46" s="17">
        <f t="shared" si="579"/>
        <v>0</v>
      </c>
      <c r="AI46" s="17">
        <f t="shared" si="580"/>
        <v>0</v>
      </c>
      <c r="AJ46" s="17">
        <f t="shared" si="581"/>
        <v>0</v>
      </c>
      <c r="AK46" s="17">
        <f t="shared" si="582"/>
        <v>0</v>
      </c>
      <c r="AL46" s="17">
        <f t="shared" si="583"/>
        <v>0</v>
      </c>
      <c r="AM46" s="17">
        <f t="shared" si="584"/>
        <v>0</v>
      </c>
      <c r="AN46" s="17">
        <f t="shared" si="585"/>
        <v>0</v>
      </c>
      <c r="AO46" s="17">
        <f t="shared" si="586"/>
        <v>0</v>
      </c>
      <c r="AP46" s="17">
        <f t="shared" si="587"/>
        <v>0</v>
      </c>
      <c r="AQ46" s="17">
        <f t="shared" si="588"/>
        <v>0</v>
      </c>
      <c r="AR46" s="17">
        <f t="shared" si="589"/>
        <v>0</v>
      </c>
      <c r="AS46" s="17">
        <f t="shared" si="590"/>
        <v>0</v>
      </c>
      <c r="AT46" s="17">
        <f t="shared" si="591"/>
        <v>0</v>
      </c>
      <c r="AU46" s="54">
        <f t="shared" si="592"/>
        <v>0</v>
      </c>
      <c r="AV46" s="58">
        <f t="shared" si="551"/>
        <v>0</v>
      </c>
      <c r="AW46" s="58">
        <f t="shared" ca="1" si="73"/>
        <v>0</v>
      </c>
      <c r="AX46" s="50">
        <f t="shared" si="593"/>
        <v>0</v>
      </c>
      <c r="AY46" s="17">
        <f t="shared" si="594"/>
        <v>0</v>
      </c>
      <c r="AZ46" s="17">
        <f t="shared" si="595"/>
        <v>0</v>
      </c>
      <c r="BA46" s="17">
        <f t="shared" si="596"/>
        <v>0</v>
      </c>
      <c r="BB46" s="17">
        <f t="shared" si="597"/>
        <v>0</v>
      </c>
      <c r="BC46" s="17">
        <f t="shared" si="598"/>
        <v>0</v>
      </c>
      <c r="BD46" s="17">
        <f t="shared" si="599"/>
        <v>0</v>
      </c>
      <c r="BE46" s="17">
        <f t="shared" si="600"/>
        <v>0</v>
      </c>
      <c r="BF46" s="17">
        <f t="shared" si="601"/>
        <v>0</v>
      </c>
      <c r="BG46" s="17">
        <f t="shared" si="602"/>
        <v>0</v>
      </c>
      <c r="BH46" s="17">
        <f t="shared" si="603"/>
        <v>0</v>
      </c>
      <c r="BI46" s="17">
        <f t="shared" si="604"/>
        <v>0</v>
      </c>
      <c r="BJ46" s="17">
        <f t="shared" si="605"/>
        <v>0</v>
      </c>
      <c r="BK46" s="17">
        <f t="shared" si="606"/>
        <v>0</v>
      </c>
      <c r="BL46" s="17">
        <f t="shared" si="607"/>
        <v>0</v>
      </c>
      <c r="BM46" s="17">
        <f t="shared" si="608"/>
        <v>0</v>
      </c>
      <c r="BN46" s="17">
        <f t="shared" si="609"/>
        <v>0</v>
      </c>
      <c r="BO46" s="17">
        <f t="shared" si="610"/>
        <v>0</v>
      </c>
      <c r="BP46" s="17">
        <f t="shared" si="611"/>
        <v>0</v>
      </c>
      <c r="BQ46" s="17">
        <f t="shared" si="612"/>
        <v>0</v>
      </c>
      <c r="BR46" s="17">
        <f t="shared" si="613"/>
        <v>0</v>
      </c>
      <c r="BS46" s="17">
        <f t="shared" si="614"/>
        <v>0</v>
      </c>
      <c r="BT46" s="17">
        <f t="shared" si="615"/>
        <v>0</v>
      </c>
      <c r="BU46" s="17">
        <f t="shared" si="616"/>
        <v>0</v>
      </c>
      <c r="BV46" s="17">
        <f t="shared" si="617"/>
        <v>0</v>
      </c>
      <c r="BW46" s="17">
        <f t="shared" si="618"/>
        <v>0</v>
      </c>
      <c r="BX46" s="17">
        <f t="shared" si="619"/>
        <v>0</v>
      </c>
      <c r="BY46" s="17">
        <f t="shared" si="620"/>
        <v>0</v>
      </c>
      <c r="BZ46" s="17">
        <f t="shared" si="621"/>
        <v>0</v>
      </c>
      <c r="CA46" s="17">
        <f t="shared" si="622"/>
        <v>0</v>
      </c>
      <c r="CB46" s="54">
        <f t="shared" si="623"/>
        <v>0</v>
      </c>
      <c r="CC46" s="58">
        <f t="shared" si="208"/>
        <v>0</v>
      </c>
      <c r="CD46" s="58">
        <f t="shared" ca="1" si="103"/>
        <v>0</v>
      </c>
      <c r="JJ46" s="4" t="s">
        <v>13</v>
      </c>
      <c r="JK46" s="152" t="str">
        <f t="shared" si="552"/>
        <v>LHR02-PHR-MIO-00</v>
      </c>
      <c r="JL46" s="163">
        <v>0</v>
      </c>
      <c r="JM46" s="158">
        <v>0</v>
      </c>
      <c r="JN46" s="158">
        <v>0</v>
      </c>
      <c r="JO46" s="159">
        <v>0</v>
      </c>
      <c r="JP46" s="158">
        <v>0</v>
      </c>
      <c r="JQ46" s="158">
        <v>0</v>
      </c>
      <c r="JR46" s="158">
        <v>0</v>
      </c>
      <c r="JS46" s="158">
        <v>0</v>
      </c>
      <c r="JT46" s="158">
        <v>0</v>
      </c>
      <c r="JU46" s="158">
        <v>0</v>
      </c>
      <c r="JV46" s="158">
        <v>0</v>
      </c>
      <c r="JW46" s="159">
        <v>0</v>
      </c>
      <c r="JX46" s="159">
        <v>0</v>
      </c>
      <c r="JY46" s="159">
        <v>0</v>
      </c>
      <c r="JZ46" s="158"/>
      <c r="KA46" s="158"/>
      <c r="KB46" s="158"/>
      <c r="KC46" s="158"/>
      <c r="KD46" s="158"/>
      <c r="KE46" s="158"/>
      <c r="KF46" s="158"/>
      <c r="KG46" s="158"/>
      <c r="KH46" s="159"/>
      <c r="KI46" s="159"/>
      <c r="KJ46" s="158"/>
      <c r="KK46" s="158"/>
      <c r="KL46" s="158"/>
      <c r="KM46" s="158"/>
      <c r="KN46" s="158"/>
      <c r="KO46" s="158"/>
      <c r="KP46" s="164"/>
      <c r="KQ46" s="157">
        <v>0</v>
      </c>
      <c r="KR46" s="157">
        <v>0</v>
      </c>
      <c r="KS46" s="157">
        <v>0</v>
      </c>
      <c r="KT46" s="157">
        <v>0</v>
      </c>
      <c r="KU46" s="157">
        <v>0</v>
      </c>
      <c r="KV46" s="157">
        <v>0</v>
      </c>
      <c r="KW46" s="157">
        <v>0</v>
      </c>
      <c r="KX46" s="157">
        <v>0</v>
      </c>
      <c r="KY46" s="157">
        <v>0</v>
      </c>
      <c r="KZ46" s="157">
        <v>0</v>
      </c>
      <c r="LA46" s="157">
        <v>0</v>
      </c>
      <c r="LB46" s="157">
        <v>0</v>
      </c>
      <c r="LC46" s="157">
        <v>0</v>
      </c>
      <c r="LD46" s="157">
        <v>0</v>
      </c>
      <c r="LE46" s="157"/>
      <c r="LF46" s="157"/>
      <c r="LG46" s="157"/>
      <c r="LH46" s="157"/>
      <c r="LI46" s="157"/>
      <c r="LJ46" s="157"/>
      <c r="LK46" s="157"/>
      <c r="LL46" s="157"/>
      <c r="LM46" s="157"/>
      <c r="LN46" s="157"/>
      <c r="LO46" s="157"/>
      <c r="LP46" s="157"/>
      <c r="LQ46" s="157"/>
      <c r="LR46" s="157"/>
      <c r="LS46" s="157"/>
      <c r="LT46" s="5"/>
      <c r="LU46" s="8"/>
    </row>
    <row r="47" spans="1:333" ht="16.2" customHeight="1">
      <c r="A47" s="37" t="s">
        <v>19</v>
      </c>
      <c r="B47" s="18" t="s">
        <v>53</v>
      </c>
      <c r="C47" s="19" t="s">
        <v>385</v>
      </c>
      <c r="D47" s="20" t="s">
        <v>249</v>
      </c>
      <c r="E47" s="21" t="s">
        <v>72</v>
      </c>
      <c r="F47" s="18" t="s">
        <v>464</v>
      </c>
      <c r="G47" s="18" t="s">
        <v>248</v>
      </c>
      <c r="H47" s="22">
        <v>46066</v>
      </c>
      <c r="I47" s="20" t="s">
        <v>242</v>
      </c>
      <c r="J47" s="23">
        <v>5</v>
      </c>
      <c r="K47" s="97">
        <f t="shared" ref="K47:AU47" si="626">SUM(K41:K46)</f>
        <v>1</v>
      </c>
      <c r="L47" s="97">
        <f t="shared" si="626"/>
        <v>3</v>
      </c>
      <c r="M47" s="97">
        <f t="shared" si="626"/>
        <v>4</v>
      </c>
      <c r="N47" s="97">
        <f t="shared" si="626"/>
        <v>1</v>
      </c>
      <c r="O47" s="97">
        <f t="shared" si="626"/>
        <v>4</v>
      </c>
      <c r="P47" s="47">
        <f t="shared" si="626"/>
        <v>4</v>
      </c>
      <c r="Q47" s="51">
        <f t="shared" si="626"/>
        <v>4</v>
      </c>
      <c r="R47" s="24">
        <f t="shared" si="626"/>
        <v>4</v>
      </c>
      <c r="S47" s="24">
        <f t="shared" si="626"/>
        <v>4</v>
      </c>
      <c r="T47" s="24">
        <f t="shared" si="626"/>
        <v>0</v>
      </c>
      <c r="U47" s="24">
        <f t="shared" si="626"/>
        <v>4</v>
      </c>
      <c r="V47" s="24">
        <f t="shared" si="626"/>
        <v>4</v>
      </c>
      <c r="W47" s="24">
        <f t="shared" si="626"/>
        <v>3</v>
      </c>
      <c r="X47" s="24">
        <f t="shared" si="626"/>
        <v>3</v>
      </c>
      <c r="Y47" s="24">
        <f t="shared" si="626"/>
        <v>3</v>
      </c>
      <c r="Z47" s="24">
        <f t="shared" si="626"/>
        <v>3</v>
      </c>
      <c r="AA47" s="24">
        <f t="shared" si="626"/>
        <v>0</v>
      </c>
      <c r="AB47" s="24">
        <f t="shared" si="626"/>
        <v>3</v>
      </c>
      <c r="AC47" s="24">
        <f t="shared" si="626"/>
        <v>3</v>
      </c>
      <c r="AD47" s="24">
        <f t="shared" si="626"/>
        <v>3</v>
      </c>
      <c r="AE47" s="24">
        <f t="shared" si="626"/>
        <v>0</v>
      </c>
      <c r="AF47" s="24">
        <f t="shared" si="626"/>
        <v>0</v>
      </c>
      <c r="AG47" s="24">
        <f t="shared" si="626"/>
        <v>0</v>
      </c>
      <c r="AH47" s="24">
        <f t="shared" si="626"/>
        <v>0</v>
      </c>
      <c r="AI47" s="24">
        <f t="shared" si="626"/>
        <v>0</v>
      </c>
      <c r="AJ47" s="24">
        <f t="shared" si="626"/>
        <v>0</v>
      </c>
      <c r="AK47" s="24">
        <f t="shared" si="626"/>
        <v>0</v>
      </c>
      <c r="AL47" s="24">
        <f t="shared" si="626"/>
        <v>0</v>
      </c>
      <c r="AM47" s="24">
        <f t="shared" si="626"/>
        <v>0</v>
      </c>
      <c r="AN47" s="24">
        <f t="shared" si="626"/>
        <v>0</v>
      </c>
      <c r="AO47" s="24">
        <f t="shared" si="626"/>
        <v>0</v>
      </c>
      <c r="AP47" s="24">
        <f t="shared" si="626"/>
        <v>0</v>
      </c>
      <c r="AQ47" s="24">
        <f t="shared" si="626"/>
        <v>0</v>
      </c>
      <c r="AR47" s="24">
        <f t="shared" si="626"/>
        <v>0</v>
      </c>
      <c r="AS47" s="24">
        <f t="shared" si="626"/>
        <v>0</v>
      </c>
      <c r="AT47" s="24">
        <f t="shared" si="626"/>
        <v>0</v>
      </c>
      <c r="AU47" s="55">
        <f t="shared" si="626"/>
        <v>0</v>
      </c>
      <c r="AV47" s="59">
        <f t="shared" si="551"/>
        <v>41</v>
      </c>
      <c r="AW47" s="59">
        <f t="shared" ca="1" si="73"/>
        <v>0.78846153846153844</v>
      </c>
      <c r="AX47" s="51">
        <f t="shared" ref="AX47:CB47" si="627">SUM(AX41:AX46)</f>
        <v>32</v>
      </c>
      <c r="AY47" s="24">
        <f t="shared" si="627"/>
        <v>30</v>
      </c>
      <c r="AZ47" s="24">
        <f t="shared" si="627"/>
        <v>15</v>
      </c>
      <c r="BA47" s="24">
        <f t="shared" si="627"/>
        <v>0</v>
      </c>
      <c r="BB47" s="24">
        <f t="shared" si="627"/>
        <v>19</v>
      </c>
      <c r="BC47" s="24">
        <f t="shared" si="627"/>
        <v>42</v>
      </c>
      <c r="BD47" s="24">
        <f t="shared" si="627"/>
        <v>32</v>
      </c>
      <c r="BE47" s="24">
        <f t="shared" si="627"/>
        <v>20</v>
      </c>
      <c r="BF47" s="24">
        <f t="shared" si="627"/>
        <v>23</v>
      </c>
      <c r="BG47" s="24">
        <f t="shared" si="627"/>
        <v>30</v>
      </c>
      <c r="BH47" s="24">
        <f t="shared" si="627"/>
        <v>0</v>
      </c>
      <c r="BI47" s="24">
        <f t="shared" si="627"/>
        <v>32</v>
      </c>
      <c r="BJ47" s="24">
        <f t="shared" si="627"/>
        <v>33</v>
      </c>
      <c r="BK47" s="24">
        <f t="shared" si="627"/>
        <v>1</v>
      </c>
      <c r="BL47" s="24">
        <f t="shared" si="627"/>
        <v>0</v>
      </c>
      <c r="BM47" s="24">
        <f t="shared" si="627"/>
        <v>0</v>
      </c>
      <c r="BN47" s="24">
        <f t="shared" si="627"/>
        <v>0</v>
      </c>
      <c r="BO47" s="24">
        <f t="shared" si="627"/>
        <v>0</v>
      </c>
      <c r="BP47" s="24">
        <f t="shared" si="627"/>
        <v>0</v>
      </c>
      <c r="BQ47" s="24">
        <f t="shared" si="627"/>
        <v>0</v>
      </c>
      <c r="BR47" s="24">
        <f t="shared" si="627"/>
        <v>0</v>
      </c>
      <c r="BS47" s="24">
        <f t="shared" si="627"/>
        <v>0</v>
      </c>
      <c r="BT47" s="24">
        <f t="shared" si="627"/>
        <v>0</v>
      </c>
      <c r="BU47" s="24">
        <f t="shared" si="627"/>
        <v>0</v>
      </c>
      <c r="BV47" s="24">
        <f t="shared" si="627"/>
        <v>0</v>
      </c>
      <c r="BW47" s="24">
        <f t="shared" si="627"/>
        <v>0</v>
      </c>
      <c r="BX47" s="24">
        <f t="shared" si="627"/>
        <v>0</v>
      </c>
      <c r="BY47" s="24">
        <f t="shared" si="627"/>
        <v>0</v>
      </c>
      <c r="BZ47" s="24">
        <f t="shared" si="627"/>
        <v>0</v>
      </c>
      <c r="CA47" s="24">
        <f t="shared" si="627"/>
        <v>0</v>
      </c>
      <c r="CB47" s="55">
        <f t="shared" si="627"/>
        <v>0</v>
      </c>
      <c r="CC47" s="59">
        <f t="shared" si="208"/>
        <v>309</v>
      </c>
      <c r="CD47" s="59">
        <f t="shared" ca="1" si="103"/>
        <v>5.9423076923076925</v>
      </c>
      <c r="JJ47" s="4" t="s">
        <v>13</v>
      </c>
      <c r="JK47" s="153" t="str">
        <f t="shared" si="552"/>
        <v>LHR02-PHR-ASM-01</v>
      </c>
      <c r="JL47" s="163">
        <v>0</v>
      </c>
      <c r="JM47" s="158">
        <v>0</v>
      </c>
      <c r="JN47" s="158">
        <v>0</v>
      </c>
      <c r="JO47" s="159">
        <v>0</v>
      </c>
      <c r="JP47" s="158">
        <v>0</v>
      </c>
      <c r="JQ47" s="158">
        <v>0</v>
      </c>
      <c r="JR47" s="158">
        <v>0</v>
      </c>
      <c r="JS47" s="158">
        <v>0</v>
      </c>
      <c r="JT47" s="158">
        <v>0</v>
      </c>
      <c r="JU47" s="158">
        <v>0</v>
      </c>
      <c r="JV47" s="158">
        <v>0</v>
      </c>
      <c r="JW47" s="159">
        <v>0</v>
      </c>
      <c r="JX47" s="159">
        <v>0</v>
      </c>
      <c r="JY47" s="159">
        <v>0</v>
      </c>
      <c r="JZ47" s="158"/>
      <c r="KA47" s="158"/>
      <c r="KB47" s="158"/>
      <c r="KC47" s="158"/>
      <c r="KD47" s="158"/>
      <c r="KE47" s="158"/>
      <c r="KF47" s="158"/>
      <c r="KG47" s="158"/>
      <c r="KH47" s="159"/>
      <c r="KI47" s="159"/>
      <c r="KJ47" s="158"/>
      <c r="KK47" s="158"/>
      <c r="KL47" s="158"/>
      <c r="KM47" s="158"/>
      <c r="KN47" s="158"/>
      <c r="KO47" s="158"/>
      <c r="KP47" s="164"/>
      <c r="KQ47" s="157">
        <v>0</v>
      </c>
      <c r="KR47" s="157">
        <v>0</v>
      </c>
      <c r="KS47" s="157">
        <v>0</v>
      </c>
      <c r="KT47" s="157">
        <v>0</v>
      </c>
      <c r="KU47" s="157">
        <v>0</v>
      </c>
      <c r="KV47" s="157">
        <v>0</v>
      </c>
      <c r="KW47" s="157">
        <v>0</v>
      </c>
      <c r="KX47" s="157">
        <v>0</v>
      </c>
      <c r="KY47" s="157">
        <v>0</v>
      </c>
      <c r="KZ47" s="157">
        <v>0</v>
      </c>
      <c r="LA47" s="157">
        <v>0</v>
      </c>
      <c r="LB47" s="157">
        <v>0</v>
      </c>
      <c r="LC47" s="157">
        <v>0</v>
      </c>
      <c r="LD47" s="157">
        <v>0</v>
      </c>
      <c r="LE47" s="157"/>
      <c r="LF47" s="157"/>
      <c r="LG47" s="157"/>
      <c r="LH47" s="157"/>
      <c r="LI47" s="157"/>
      <c r="LJ47" s="157"/>
      <c r="LK47" s="157"/>
      <c r="LL47" s="157"/>
      <c r="LM47" s="157"/>
      <c r="LN47" s="157"/>
      <c r="LO47" s="157"/>
      <c r="LP47" s="157"/>
      <c r="LQ47" s="157"/>
      <c r="LR47" s="157"/>
      <c r="LS47" s="157"/>
      <c r="LT47" s="5"/>
      <c r="LU47" s="8"/>
    </row>
    <row r="48" spans="1:333" ht="16.2" customHeight="1">
      <c r="A48" s="38" t="s">
        <v>9</v>
      </c>
      <c r="B48" s="25" t="s">
        <v>53</v>
      </c>
      <c r="C48" s="26" t="s">
        <v>386</v>
      </c>
      <c r="D48" s="25" t="s">
        <v>250</v>
      </c>
      <c r="E48" s="27" t="s">
        <v>73</v>
      </c>
      <c r="F48" s="25" t="s">
        <v>546</v>
      </c>
      <c r="G48" s="25" t="s">
        <v>74</v>
      </c>
      <c r="H48" s="28">
        <v>41617</v>
      </c>
      <c r="I48" s="29" t="s">
        <v>251</v>
      </c>
      <c r="J48" s="30">
        <v>1</v>
      </c>
      <c r="K48" s="147">
        <v>0</v>
      </c>
      <c r="L48" s="147">
        <f t="shared" ref="L48:L53" si="628">IFERROR(IF(OR(AD48&gt;0),1,0),0)</f>
        <v>1</v>
      </c>
      <c r="M48" s="147">
        <f t="shared" ref="M48:M53" si="629">IFERROR(IF(OR(AV48&gt;0),1,0),0)</f>
        <v>1</v>
      </c>
      <c r="N48" s="147">
        <f t="shared" ref="N48:N53" si="630">IFERROR(IF(OR(BK48&gt;0),1,0),0)</f>
        <v>0</v>
      </c>
      <c r="O48" s="147">
        <f t="shared" ref="O48:O53" si="631">IFERROR(IF(OR(CC48&gt;0),1,0),0)</f>
        <v>1</v>
      </c>
      <c r="P48" s="148">
        <f t="shared" ref="P48:P53" si="632">IFERROR(IF(OR(AV48&gt;0,CC48&gt;0),1,0),0)</f>
        <v>1</v>
      </c>
      <c r="Q48" s="50">
        <f t="shared" ref="Q48:Q53" si="633">JL48</f>
        <v>1</v>
      </c>
      <c r="R48" s="17">
        <f t="shared" ref="R48:R53" si="634">JM48</f>
        <v>1</v>
      </c>
      <c r="S48" s="17">
        <f t="shared" ref="S48:S53" si="635">JN48</f>
        <v>1</v>
      </c>
      <c r="T48" s="17">
        <f t="shared" ref="T48:T53" si="636">JO48</f>
        <v>0</v>
      </c>
      <c r="U48" s="17">
        <f t="shared" ref="U48:U53" si="637">JP48</f>
        <v>1</v>
      </c>
      <c r="V48" s="17">
        <f t="shared" ref="V48:V53" si="638">JQ48</f>
        <v>1</v>
      </c>
      <c r="W48" s="17">
        <f t="shared" ref="W48:W53" si="639">JR48</f>
        <v>1</v>
      </c>
      <c r="X48" s="17">
        <f t="shared" ref="X48:X53" si="640">JS48</f>
        <v>1</v>
      </c>
      <c r="Y48" s="17">
        <f t="shared" ref="Y48:Y53" si="641">JT48</f>
        <v>1</v>
      </c>
      <c r="Z48" s="17">
        <f t="shared" ref="Z48:Z53" si="642">JU48</f>
        <v>1</v>
      </c>
      <c r="AA48" s="17">
        <f t="shared" ref="AA48:AA53" si="643">JV48</f>
        <v>0</v>
      </c>
      <c r="AB48" s="17">
        <f t="shared" ref="AB48:AB53" si="644">JW48</f>
        <v>1</v>
      </c>
      <c r="AC48" s="17">
        <f t="shared" ref="AC48:AC53" si="645">JX48</f>
        <v>1</v>
      </c>
      <c r="AD48" s="17">
        <f t="shared" ref="AD48:AD53" si="646">JY48</f>
        <v>1</v>
      </c>
      <c r="AE48" s="17">
        <f t="shared" ref="AE48:AE53" si="647">JZ48</f>
        <v>0</v>
      </c>
      <c r="AF48" s="17">
        <f t="shared" ref="AF48:AF53" si="648">KA48</f>
        <v>0</v>
      </c>
      <c r="AG48" s="17">
        <f t="shared" ref="AG48:AG53" si="649">KB48</f>
        <v>0</v>
      </c>
      <c r="AH48" s="17">
        <f t="shared" ref="AH48:AH53" si="650">KC48</f>
        <v>0</v>
      </c>
      <c r="AI48" s="17">
        <f t="shared" ref="AI48:AI53" si="651">KD48</f>
        <v>0</v>
      </c>
      <c r="AJ48" s="17">
        <f t="shared" ref="AJ48:AJ53" si="652">KE48</f>
        <v>0</v>
      </c>
      <c r="AK48" s="17">
        <f t="shared" ref="AK48:AK53" si="653">KF48</f>
        <v>0</v>
      </c>
      <c r="AL48" s="17">
        <f t="shared" ref="AL48:AL53" si="654">KG48</f>
        <v>0</v>
      </c>
      <c r="AM48" s="17">
        <f t="shared" ref="AM48:AM53" si="655">KH48</f>
        <v>0</v>
      </c>
      <c r="AN48" s="17">
        <f t="shared" ref="AN48:AN53" si="656">KI48</f>
        <v>0</v>
      </c>
      <c r="AO48" s="17">
        <f t="shared" ref="AO48:AO53" si="657">KJ48</f>
        <v>0</v>
      </c>
      <c r="AP48" s="17">
        <f t="shared" ref="AP48:AP53" si="658">KK48</f>
        <v>0</v>
      </c>
      <c r="AQ48" s="17">
        <f t="shared" ref="AQ48:AQ53" si="659">KL48</f>
        <v>0</v>
      </c>
      <c r="AR48" s="17">
        <f t="shared" ref="AR48:AR53" si="660">KM48</f>
        <v>0</v>
      </c>
      <c r="AS48" s="17">
        <f t="shared" ref="AS48:AS53" si="661">KN48</f>
        <v>0</v>
      </c>
      <c r="AT48" s="17">
        <f t="shared" ref="AT48:AT53" si="662">KO48</f>
        <v>0</v>
      </c>
      <c r="AU48" s="54">
        <f t="shared" ref="AU48:AU53" si="663">KP48</f>
        <v>0</v>
      </c>
      <c r="AV48" s="58">
        <f t="shared" si="551"/>
        <v>12</v>
      </c>
      <c r="AW48" s="58">
        <f t="shared" ca="1" si="73"/>
        <v>0.92307692307692313</v>
      </c>
      <c r="AX48" s="50">
        <f t="shared" ref="AX48:AX53" si="664">KQ48</f>
        <v>12</v>
      </c>
      <c r="AY48" s="17">
        <f t="shared" ref="AY48:AY53" si="665">KR48</f>
        <v>11</v>
      </c>
      <c r="AZ48" s="17">
        <f t="shared" ref="AZ48:AZ53" si="666">KS48</f>
        <v>0</v>
      </c>
      <c r="BA48" s="17">
        <f t="shared" ref="BA48:BA53" si="667">KT48</f>
        <v>0</v>
      </c>
      <c r="BB48" s="17">
        <f t="shared" ref="BB48:BB53" si="668">KU48</f>
        <v>0</v>
      </c>
      <c r="BC48" s="17">
        <f t="shared" ref="BC48:BC53" si="669">KV48</f>
        <v>11</v>
      </c>
      <c r="BD48" s="17">
        <f t="shared" ref="BD48:BD53" si="670">KW48</f>
        <v>0</v>
      </c>
      <c r="BE48" s="17">
        <f t="shared" ref="BE48:BE53" si="671">KX48</f>
        <v>10</v>
      </c>
      <c r="BF48" s="17">
        <f t="shared" ref="BF48:BF53" si="672">KY48</f>
        <v>11</v>
      </c>
      <c r="BG48" s="17">
        <f t="shared" ref="BG48:BG53" si="673">KZ48</f>
        <v>13</v>
      </c>
      <c r="BH48" s="17">
        <f t="shared" ref="BH48:BH53" si="674">LA48</f>
        <v>0</v>
      </c>
      <c r="BI48" s="17">
        <f t="shared" ref="BI48:BI53" si="675">LB48</f>
        <v>16</v>
      </c>
      <c r="BJ48" s="17">
        <f t="shared" ref="BJ48:BJ53" si="676">LC48</f>
        <v>11</v>
      </c>
      <c r="BK48" s="17">
        <f t="shared" ref="BK48:BK53" si="677">LD48</f>
        <v>0</v>
      </c>
      <c r="BL48" s="17">
        <f t="shared" ref="BL48:BL53" si="678">LE48</f>
        <v>0</v>
      </c>
      <c r="BM48" s="17">
        <f t="shared" ref="BM48:BM53" si="679">LF48</f>
        <v>0</v>
      </c>
      <c r="BN48" s="17">
        <f t="shared" ref="BN48:BN53" si="680">LG48</f>
        <v>0</v>
      </c>
      <c r="BO48" s="17">
        <f t="shared" ref="BO48:BO53" si="681">LH48</f>
        <v>0</v>
      </c>
      <c r="BP48" s="17">
        <f t="shared" ref="BP48:BP53" si="682">LI48</f>
        <v>0</v>
      </c>
      <c r="BQ48" s="17">
        <f t="shared" ref="BQ48:BQ53" si="683">LJ48</f>
        <v>0</v>
      </c>
      <c r="BR48" s="17">
        <f t="shared" ref="BR48:BR53" si="684">LK48</f>
        <v>0</v>
      </c>
      <c r="BS48" s="17">
        <f t="shared" ref="BS48:BS53" si="685">LL48</f>
        <v>0</v>
      </c>
      <c r="BT48" s="17">
        <f t="shared" ref="BT48:BT53" si="686">LM48</f>
        <v>0</v>
      </c>
      <c r="BU48" s="17">
        <f t="shared" ref="BU48:BU53" si="687">LN48</f>
        <v>0</v>
      </c>
      <c r="BV48" s="17">
        <f t="shared" ref="BV48:BV53" si="688">LO48</f>
        <v>0</v>
      </c>
      <c r="BW48" s="17">
        <f t="shared" ref="BW48:BW53" si="689">LP48</f>
        <v>0</v>
      </c>
      <c r="BX48" s="17">
        <f t="shared" ref="BX48:BX53" si="690">LQ48</f>
        <v>0</v>
      </c>
      <c r="BY48" s="17">
        <f t="shared" ref="BY48:BY53" si="691">LR48</f>
        <v>0</v>
      </c>
      <c r="BZ48" s="17">
        <f t="shared" ref="BZ48:BZ53" si="692">LS48</f>
        <v>0</v>
      </c>
      <c r="CA48" s="17">
        <f t="shared" ref="CA48:CA53" si="693">LT48</f>
        <v>0</v>
      </c>
      <c r="CB48" s="54">
        <f t="shared" ref="CB48:CB53" si="694">LU48</f>
        <v>0</v>
      </c>
      <c r="CC48" s="58">
        <f t="shared" si="208"/>
        <v>95</v>
      </c>
      <c r="CD48" s="58">
        <f t="shared" ca="1" si="103"/>
        <v>7.3076923076923075</v>
      </c>
      <c r="JJ48" s="4" t="s">
        <v>13</v>
      </c>
      <c r="JK48" s="152" t="str">
        <f t="shared" si="552"/>
        <v>GUJ01-PHR-MIO-01</v>
      </c>
      <c r="JL48" s="163">
        <v>1</v>
      </c>
      <c r="JM48" s="158">
        <v>1</v>
      </c>
      <c r="JN48" s="158">
        <v>1</v>
      </c>
      <c r="JO48" s="159">
        <v>0</v>
      </c>
      <c r="JP48" s="158">
        <v>1</v>
      </c>
      <c r="JQ48" s="158">
        <v>1</v>
      </c>
      <c r="JR48" s="158">
        <v>1</v>
      </c>
      <c r="JS48" s="158">
        <v>1</v>
      </c>
      <c r="JT48" s="158">
        <v>1</v>
      </c>
      <c r="JU48" s="158">
        <v>1</v>
      </c>
      <c r="JV48" s="158">
        <v>0</v>
      </c>
      <c r="JW48" s="159">
        <v>1</v>
      </c>
      <c r="JX48" s="159">
        <v>1</v>
      </c>
      <c r="JY48" s="159">
        <v>1</v>
      </c>
      <c r="JZ48" s="158"/>
      <c r="KA48" s="158"/>
      <c r="KB48" s="158"/>
      <c r="KC48" s="158"/>
      <c r="KD48" s="158"/>
      <c r="KE48" s="158"/>
      <c r="KF48" s="158"/>
      <c r="KG48" s="158"/>
      <c r="KH48" s="159"/>
      <c r="KI48" s="159"/>
      <c r="KJ48" s="158"/>
      <c r="KK48" s="158"/>
      <c r="KL48" s="158"/>
      <c r="KM48" s="158"/>
      <c r="KN48" s="158"/>
      <c r="KO48" s="158"/>
      <c r="KP48" s="164"/>
      <c r="KQ48" s="157">
        <v>12</v>
      </c>
      <c r="KR48" s="157">
        <v>11</v>
      </c>
      <c r="KS48" s="157">
        <v>0</v>
      </c>
      <c r="KT48" s="157">
        <v>0</v>
      </c>
      <c r="KU48" s="157">
        <v>0</v>
      </c>
      <c r="KV48" s="157">
        <v>11</v>
      </c>
      <c r="KW48" s="157">
        <v>0</v>
      </c>
      <c r="KX48" s="157">
        <v>10</v>
      </c>
      <c r="KY48" s="157">
        <v>11</v>
      </c>
      <c r="KZ48" s="157">
        <v>13</v>
      </c>
      <c r="LA48" s="157">
        <v>0</v>
      </c>
      <c r="LB48" s="157">
        <v>16</v>
      </c>
      <c r="LC48" s="157">
        <v>11</v>
      </c>
      <c r="LD48" s="157">
        <v>0</v>
      </c>
      <c r="LE48" s="157"/>
      <c r="LF48" s="157"/>
      <c r="LG48" s="157"/>
      <c r="LH48" s="157"/>
      <c r="LI48" s="157"/>
      <c r="LJ48" s="157"/>
      <c r="LK48" s="157"/>
      <c r="LL48" s="157"/>
      <c r="LM48" s="157"/>
      <c r="LN48" s="157"/>
      <c r="LO48" s="157"/>
      <c r="LP48" s="157"/>
      <c r="LQ48" s="157"/>
      <c r="LR48" s="157"/>
      <c r="LS48" s="157"/>
      <c r="LT48" s="5"/>
      <c r="LU48" s="8"/>
    </row>
    <row r="49" spans="1:333" ht="16.2" customHeight="1">
      <c r="A49" s="38" t="s">
        <v>9</v>
      </c>
      <c r="B49" s="25" t="s">
        <v>53</v>
      </c>
      <c r="C49" s="26" t="s">
        <v>386</v>
      </c>
      <c r="D49" s="25" t="s">
        <v>252</v>
      </c>
      <c r="E49" s="27" t="s">
        <v>76</v>
      </c>
      <c r="F49" s="25" t="s">
        <v>465</v>
      </c>
      <c r="G49" s="25" t="s">
        <v>77</v>
      </c>
      <c r="H49" s="28">
        <v>45145</v>
      </c>
      <c r="I49" s="29" t="s">
        <v>253</v>
      </c>
      <c r="J49" s="30">
        <v>1</v>
      </c>
      <c r="K49" s="147">
        <v>0</v>
      </c>
      <c r="L49" s="147">
        <f t="shared" si="628"/>
        <v>0</v>
      </c>
      <c r="M49" s="147">
        <f t="shared" si="629"/>
        <v>1</v>
      </c>
      <c r="N49" s="147">
        <f t="shared" si="630"/>
        <v>0</v>
      </c>
      <c r="O49" s="147">
        <f t="shared" si="631"/>
        <v>1</v>
      </c>
      <c r="P49" s="148">
        <f t="shared" si="632"/>
        <v>1</v>
      </c>
      <c r="Q49" s="50">
        <f t="shared" si="633"/>
        <v>1</v>
      </c>
      <c r="R49" s="17">
        <f t="shared" si="634"/>
        <v>1</v>
      </c>
      <c r="S49" s="17">
        <f t="shared" si="635"/>
        <v>1</v>
      </c>
      <c r="T49" s="17">
        <f t="shared" si="636"/>
        <v>0</v>
      </c>
      <c r="U49" s="17">
        <f t="shared" si="637"/>
        <v>1</v>
      </c>
      <c r="V49" s="17">
        <f t="shared" si="638"/>
        <v>1</v>
      </c>
      <c r="W49" s="17">
        <f t="shared" si="639"/>
        <v>1</v>
      </c>
      <c r="X49" s="17">
        <f t="shared" si="640"/>
        <v>1</v>
      </c>
      <c r="Y49" s="17">
        <f t="shared" si="641"/>
        <v>1</v>
      </c>
      <c r="Z49" s="17">
        <f t="shared" si="642"/>
        <v>1</v>
      </c>
      <c r="AA49" s="17">
        <f t="shared" si="643"/>
        <v>0</v>
      </c>
      <c r="AB49" s="17">
        <f t="shared" si="644"/>
        <v>1</v>
      </c>
      <c r="AC49" s="17">
        <f t="shared" si="645"/>
        <v>1</v>
      </c>
      <c r="AD49" s="17">
        <f t="shared" si="646"/>
        <v>0</v>
      </c>
      <c r="AE49" s="17">
        <f t="shared" si="647"/>
        <v>0</v>
      </c>
      <c r="AF49" s="17">
        <f t="shared" si="648"/>
        <v>0</v>
      </c>
      <c r="AG49" s="17">
        <f t="shared" si="649"/>
        <v>0</v>
      </c>
      <c r="AH49" s="17">
        <f t="shared" si="650"/>
        <v>0</v>
      </c>
      <c r="AI49" s="17">
        <f t="shared" si="651"/>
        <v>0</v>
      </c>
      <c r="AJ49" s="17">
        <f t="shared" si="652"/>
        <v>0</v>
      </c>
      <c r="AK49" s="17">
        <f t="shared" si="653"/>
        <v>0</v>
      </c>
      <c r="AL49" s="17">
        <f t="shared" si="654"/>
        <v>0</v>
      </c>
      <c r="AM49" s="17">
        <f t="shared" si="655"/>
        <v>0</v>
      </c>
      <c r="AN49" s="17">
        <f t="shared" si="656"/>
        <v>0</v>
      </c>
      <c r="AO49" s="17">
        <f t="shared" si="657"/>
        <v>0</v>
      </c>
      <c r="AP49" s="17">
        <f t="shared" si="658"/>
        <v>0</v>
      </c>
      <c r="AQ49" s="17">
        <f t="shared" si="659"/>
        <v>0</v>
      </c>
      <c r="AR49" s="17">
        <f t="shared" si="660"/>
        <v>0</v>
      </c>
      <c r="AS49" s="17">
        <f t="shared" si="661"/>
        <v>0</v>
      </c>
      <c r="AT49" s="17">
        <f t="shared" si="662"/>
        <v>0</v>
      </c>
      <c r="AU49" s="54">
        <f t="shared" si="663"/>
        <v>0</v>
      </c>
      <c r="AV49" s="58">
        <f t="shared" si="551"/>
        <v>11</v>
      </c>
      <c r="AW49" s="58">
        <f t="shared" ca="1" si="73"/>
        <v>0.84615384615384615</v>
      </c>
      <c r="AX49" s="50">
        <f t="shared" si="664"/>
        <v>8</v>
      </c>
      <c r="AY49" s="17">
        <f t="shared" si="665"/>
        <v>10</v>
      </c>
      <c r="AZ49" s="17">
        <f t="shared" si="666"/>
        <v>8</v>
      </c>
      <c r="BA49" s="17">
        <f t="shared" si="667"/>
        <v>0</v>
      </c>
      <c r="BB49" s="17">
        <f t="shared" si="668"/>
        <v>6</v>
      </c>
      <c r="BC49" s="17">
        <f t="shared" si="669"/>
        <v>12</v>
      </c>
      <c r="BD49" s="17">
        <f t="shared" si="670"/>
        <v>7</v>
      </c>
      <c r="BE49" s="17">
        <f t="shared" si="671"/>
        <v>9</v>
      </c>
      <c r="BF49" s="17">
        <f t="shared" si="672"/>
        <v>8</v>
      </c>
      <c r="BG49" s="17">
        <f t="shared" si="673"/>
        <v>13</v>
      </c>
      <c r="BH49" s="17">
        <f t="shared" si="674"/>
        <v>0</v>
      </c>
      <c r="BI49" s="17">
        <f t="shared" si="675"/>
        <v>8</v>
      </c>
      <c r="BJ49" s="17">
        <f t="shared" si="676"/>
        <v>12</v>
      </c>
      <c r="BK49" s="17">
        <f t="shared" si="677"/>
        <v>0</v>
      </c>
      <c r="BL49" s="17">
        <f t="shared" si="678"/>
        <v>0</v>
      </c>
      <c r="BM49" s="17">
        <f t="shared" si="679"/>
        <v>0</v>
      </c>
      <c r="BN49" s="17">
        <f t="shared" si="680"/>
        <v>0</v>
      </c>
      <c r="BO49" s="17">
        <f t="shared" si="681"/>
        <v>0</v>
      </c>
      <c r="BP49" s="17">
        <f t="shared" si="682"/>
        <v>0</v>
      </c>
      <c r="BQ49" s="17">
        <f t="shared" si="683"/>
        <v>0</v>
      </c>
      <c r="BR49" s="17">
        <f t="shared" si="684"/>
        <v>0</v>
      </c>
      <c r="BS49" s="17">
        <f t="shared" si="685"/>
        <v>0</v>
      </c>
      <c r="BT49" s="17">
        <f t="shared" si="686"/>
        <v>0</v>
      </c>
      <c r="BU49" s="17">
        <f t="shared" si="687"/>
        <v>0</v>
      </c>
      <c r="BV49" s="17">
        <f t="shared" si="688"/>
        <v>0</v>
      </c>
      <c r="BW49" s="17">
        <f t="shared" si="689"/>
        <v>0</v>
      </c>
      <c r="BX49" s="17">
        <f t="shared" si="690"/>
        <v>0</v>
      </c>
      <c r="BY49" s="17">
        <f t="shared" si="691"/>
        <v>0</v>
      </c>
      <c r="BZ49" s="17">
        <f t="shared" si="692"/>
        <v>0</v>
      </c>
      <c r="CA49" s="17">
        <f t="shared" si="693"/>
        <v>0</v>
      </c>
      <c r="CB49" s="54">
        <f t="shared" si="694"/>
        <v>0</v>
      </c>
      <c r="CC49" s="58">
        <f t="shared" si="208"/>
        <v>101</v>
      </c>
      <c r="CD49" s="58">
        <f t="shared" ca="1" si="103"/>
        <v>7.7692307692307692</v>
      </c>
      <c r="JJ49" s="4" t="s">
        <v>13</v>
      </c>
      <c r="JK49" s="152" t="str">
        <f t="shared" si="552"/>
        <v>GUJ01-PHR-MIO-02</v>
      </c>
      <c r="JL49" s="163">
        <v>1</v>
      </c>
      <c r="JM49" s="158">
        <v>1</v>
      </c>
      <c r="JN49" s="158">
        <v>1</v>
      </c>
      <c r="JO49" s="159">
        <v>0</v>
      </c>
      <c r="JP49" s="158">
        <v>1</v>
      </c>
      <c r="JQ49" s="158">
        <v>1</v>
      </c>
      <c r="JR49" s="158">
        <v>1</v>
      </c>
      <c r="JS49" s="158">
        <v>1</v>
      </c>
      <c r="JT49" s="158">
        <v>1</v>
      </c>
      <c r="JU49" s="158">
        <v>1</v>
      </c>
      <c r="JV49" s="158">
        <v>0</v>
      </c>
      <c r="JW49" s="159">
        <v>1</v>
      </c>
      <c r="JX49" s="159">
        <v>1</v>
      </c>
      <c r="JY49" s="159">
        <v>0</v>
      </c>
      <c r="JZ49" s="158"/>
      <c r="KA49" s="158"/>
      <c r="KB49" s="158"/>
      <c r="KC49" s="158"/>
      <c r="KD49" s="158"/>
      <c r="KE49" s="158"/>
      <c r="KF49" s="158"/>
      <c r="KG49" s="158"/>
      <c r="KH49" s="159"/>
      <c r="KI49" s="159"/>
      <c r="KJ49" s="158"/>
      <c r="KK49" s="158"/>
      <c r="KL49" s="158"/>
      <c r="KM49" s="158"/>
      <c r="KN49" s="158"/>
      <c r="KO49" s="158"/>
      <c r="KP49" s="164"/>
      <c r="KQ49" s="157">
        <v>8</v>
      </c>
      <c r="KR49" s="157">
        <v>10</v>
      </c>
      <c r="KS49" s="157">
        <v>8</v>
      </c>
      <c r="KT49" s="157">
        <v>0</v>
      </c>
      <c r="KU49" s="157">
        <v>6</v>
      </c>
      <c r="KV49" s="157">
        <v>12</v>
      </c>
      <c r="KW49" s="157">
        <v>7</v>
      </c>
      <c r="KX49" s="157">
        <v>9</v>
      </c>
      <c r="KY49" s="157">
        <v>8</v>
      </c>
      <c r="KZ49" s="157">
        <v>13</v>
      </c>
      <c r="LA49" s="157">
        <v>0</v>
      </c>
      <c r="LB49" s="157">
        <v>8</v>
      </c>
      <c r="LC49" s="157">
        <v>12</v>
      </c>
      <c r="LD49" s="157">
        <v>0</v>
      </c>
      <c r="LE49" s="157"/>
      <c r="LF49" s="157"/>
      <c r="LG49" s="157"/>
      <c r="LH49" s="157"/>
      <c r="LI49" s="157"/>
      <c r="LJ49" s="157"/>
      <c r="LK49" s="157"/>
      <c r="LL49" s="157"/>
      <c r="LM49" s="157"/>
      <c r="LN49" s="157"/>
      <c r="LO49" s="157"/>
      <c r="LP49" s="157"/>
      <c r="LQ49" s="157"/>
      <c r="LR49" s="157"/>
      <c r="LS49" s="157"/>
      <c r="LT49" s="5"/>
      <c r="LU49" s="8"/>
    </row>
    <row r="50" spans="1:333" ht="16.2" customHeight="1">
      <c r="A50" s="38" t="s">
        <v>9</v>
      </c>
      <c r="B50" s="25" t="s">
        <v>53</v>
      </c>
      <c r="C50" s="26" t="s">
        <v>386</v>
      </c>
      <c r="D50" s="25" t="s">
        <v>254</v>
      </c>
      <c r="E50" s="27" t="s">
        <v>78</v>
      </c>
      <c r="F50" s="25" t="s">
        <v>536</v>
      </c>
      <c r="G50" s="25" t="s">
        <v>255</v>
      </c>
      <c r="H50" s="28">
        <v>46106</v>
      </c>
      <c r="I50" s="29" t="s">
        <v>256</v>
      </c>
      <c r="J50" s="30">
        <v>1</v>
      </c>
      <c r="K50" s="147">
        <v>1</v>
      </c>
      <c r="L50" s="147">
        <f t="shared" si="628"/>
        <v>0</v>
      </c>
      <c r="M50" s="147">
        <f t="shared" si="629"/>
        <v>0</v>
      </c>
      <c r="N50" s="147">
        <f t="shared" si="630"/>
        <v>0</v>
      </c>
      <c r="O50" s="147">
        <f t="shared" si="631"/>
        <v>0</v>
      </c>
      <c r="P50" s="148">
        <f t="shared" si="632"/>
        <v>0</v>
      </c>
      <c r="Q50" s="50">
        <f t="shared" si="633"/>
        <v>0</v>
      </c>
      <c r="R50" s="17">
        <f t="shared" si="634"/>
        <v>0</v>
      </c>
      <c r="S50" s="17">
        <f t="shared" si="635"/>
        <v>0</v>
      </c>
      <c r="T50" s="17">
        <f t="shared" si="636"/>
        <v>0</v>
      </c>
      <c r="U50" s="17">
        <f t="shared" si="637"/>
        <v>0</v>
      </c>
      <c r="V50" s="17">
        <f t="shared" si="638"/>
        <v>0</v>
      </c>
      <c r="W50" s="17">
        <f t="shared" si="639"/>
        <v>0</v>
      </c>
      <c r="X50" s="17">
        <f t="shared" si="640"/>
        <v>0</v>
      </c>
      <c r="Y50" s="17">
        <f t="shared" si="641"/>
        <v>0</v>
      </c>
      <c r="Z50" s="17">
        <f t="shared" si="642"/>
        <v>0</v>
      </c>
      <c r="AA50" s="17">
        <f t="shared" si="643"/>
        <v>0</v>
      </c>
      <c r="AB50" s="17">
        <f t="shared" si="644"/>
        <v>0</v>
      </c>
      <c r="AC50" s="17">
        <f t="shared" si="645"/>
        <v>0</v>
      </c>
      <c r="AD50" s="17">
        <f t="shared" si="646"/>
        <v>0</v>
      </c>
      <c r="AE50" s="17">
        <f t="shared" si="647"/>
        <v>0</v>
      </c>
      <c r="AF50" s="17">
        <f t="shared" si="648"/>
        <v>0</v>
      </c>
      <c r="AG50" s="17">
        <f t="shared" si="649"/>
        <v>0</v>
      </c>
      <c r="AH50" s="17">
        <f t="shared" si="650"/>
        <v>0</v>
      </c>
      <c r="AI50" s="17">
        <f t="shared" si="651"/>
        <v>0</v>
      </c>
      <c r="AJ50" s="17">
        <f t="shared" si="652"/>
        <v>0</v>
      </c>
      <c r="AK50" s="17">
        <f t="shared" si="653"/>
        <v>0</v>
      </c>
      <c r="AL50" s="17">
        <f t="shared" si="654"/>
        <v>0</v>
      </c>
      <c r="AM50" s="17">
        <f t="shared" si="655"/>
        <v>0</v>
      </c>
      <c r="AN50" s="17">
        <f t="shared" si="656"/>
        <v>0</v>
      </c>
      <c r="AO50" s="17">
        <f t="shared" si="657"/>
        <v>0</v>
      </c>
      <c r="AP50" s="17">
        <f t="shared" si="658"/>
        <v>0</v>
      </c>
      <c r="AQ50" s="17">
        <f t="shared" si="659"/>
        <v>0</v>
      </c>
      <c r="AR50" s="17">
        <f t="shared" si="660"/>
        <v>0</v>
      </c>
      <c r="AS50" s="17">
        <f t="shared" si="661"/>
        <v>0</v>
      </c>
      <c r="AT50" s="17">
        <f t="shared" si="662"/>
        <v>0</v>
      </c>
      <c r="AU50" s="54">
        <f t="shared" si="663"/>
        <v>0</v>
      </c>
      <c r="AV50" s="58">
        <f t="shared" si="551"/>
        <v>0</v>
      </c>
      <c r="AW50" s="58">
        <f t="shared" ca="1" si="73"/>
        <v>0</v>
      </c>
      <c r="AX50" s="50">
        <f t="shared" si="664"/>
        <v>0</v>
      </c>
      <c r="AY50" s="17">
        <f t="shared" si="665"/>
        <v>0</v>
      </c>
      <c r="AZ50" s="17">
        <f t="shared" si="666"/>
        <v>0</v>
      </c>
      <c r="BA50" s="17">
        <f t="shared" si="667"/>
        <v>0</v>
      </c>
      <c r="BB50" s="17">
        <f t="shared" si="668"/>
        <v>0</v>
      </c>
      <c r="BC50" s="17">
        <f t="shared" si="669"/>
        <v>0</v>
      </c>
      <c r="BD50" s="17">
        <f t="shared" si="670"/>
        <v>0</v>
      </c>
      <c r="BE50" s="17">
        <f t="shared" si="671"/>
        <v>0</v>
      </c>
      <c r="BF50" s="17">
        <f t="shared" si="672"/>
        <v>0</v>
      </c>
      <c r="BG50" s="17">
        <f t="shared" si="673"/>
        <v>0</v>
      </c>
      <c r="BH50" s="17">
        <f t="shared" si="674"/>
        <v>0</v>
      </c>
      <c r="BI50" s="17">
        <f t="shared" si="675"/>
        <v>0</v>
      </c>
      <c r="BJ50" s="17">
        <f t="shared" si="676"/>
        <v>0</v>
      </c>
      <c r="BK50" s="17">
        <f t="shared" si="677"/>
        <v>0</v>
      </c>
      <c r="BL50" s="17">
        <f t="shared" si="678"/>
        <v>0</v>
      </c>
      <c r="BM50" s="17">
        <f t="shared" si="679"/>
        <v>0</v>
      </c>
      <c r="BN50" s="17">
        <f t="shared" si="680"/>
        <v>0</v>
      </c>
      <c r="BO50" s="17">
        <f t="shared" si="681"/>
        <v>0</v>
      </c>
      <c r="BP50" s="17">
        <f t="shared" si="682"/>
        <v>0</v>
      </c>
      <c r="BQ50" s="17">
        <f t="shared" si="683"/>
        <v>0</v>
      </c>
      <c r="BR50" s="17">
        <f t="shared" si="684"/>
        <v>0</v>
      </c>
      <c r="BS50" s="17">
        <f t="shared" si="685"/>
        <v>0</v>
      </c>
      <c r="BT50" s="17">
        <f t="shared" si="686"/>
        <v>0</v>
      </c>
      <c r="BU50" s="17">
        <f t="shared" si="687"/>
        <v>0</v>
      </c>
      <c r="BV50" s="17">
        <f t="shared" si="688"/>
        <v>0</v>
      </c>
      <c r="BW50" s="17">
        <f t="shared" si="689"/>
        <v>0</v>
      </c>
      <c r="BX50" s="17">
        <f t="shared" si="690"/>
        <v>0</v>
      </c>
      <c r="BY50" s="17">
        <f t="shared" si="691"/>
        <v>0</v>
      </c>
      <c r="BZ50" s="17">
        <f t="shared" si="692"/>
        <v>0</v>
      </c>
      <c r="CA50" s="17">
        <f t="shared" si="693"/>
        <v>0</v>
      </c>
      <c r="CB50" s="54">
        <f t="shared" si="694"/>
        <v>0</v>
      </c>
      <c r="CC50" s="58">
        <f t="shared" si="208"/>
        <v>0</v>
      </c>
      <c r="CD50" s="58">
        <f t="shared" ca="1" si="103"/>
        <v>0</v>
      </c>
      <c r="JJ50" s="4" t="s">
        <v>13</v>
      </c>
      <c r="JK50" s="152" t="str">
        <f t="shared" si="552"/>
        <v>GUJ01-PHR-MIO-03</v>
      </c>
      <c r="JL50" s="163">
        <v>0</v>
      </c>
      <c r="JM50" s="158">
        <v>0</v>
      </c>
      <c r="JN50" s="158">
        <v>0</v>
      </c>
      <c r="JO50" s="159">
        <v>0</v>
      </c>
      <c r="JP50" s="158">
        <v>0</v>
      </c>
      <c r="JQ50" s="158">
        <v>0</v>
      </c>
      <c r="JR50" s="158">
        <v>0</v>
      </c>
      <c r="JS50" s="158">
        <v>0</v>
      </c>
      <c r="JT50" s="158">
        <v>0</v>
      </c>
      <c r="JU50" s="158">
        <v>0</v>
      </c>
      <c r="JV50" s="158">
        <v>0</v>
      </c>
      <c r="JW50" s="159">
        <v>0</v>
      </c>
      <c r="JX50" s="159">
        <v>0</v>
      </c>
      <c r="JY50" s="159">
        <v>0</v>
      </c>
      <c r="JZ50" s="158"/>
      <c r="KA50" s="158"/>
      <c r="KB50" s="158"/>
      <c r="KC50" s="158"/>
      <c r="KD50" s="158"/>
      <c r="KE50" s="158"/>
      <c r="KF50" s="158"/>
      <c r="KG50" s="158"/>
      <c r="KH50" s="159"/>
      <c r="KI50" s="159"/>
      <c r="KJ50" s="158"/>
      <c r="KK50" s="158"/>
      <c r="KL50" s="158"/>
      <c r="KM50" s="158"/>
      <c r="KN50" s="158"/>
      <c r="KO50" s="158"/>
      <c r="KP50" s="164"/>
      <c r="KQ50" s="157">
        <v>0</v>
      </c>
      <c r="KR50" s="157">
        <v>0</v>
      </c>
      <c r="KS50" s="157">
        <v>0</v>
      </c>
      <c r="KT50" s="157">
        <v>0</v>
      </c>
      <c r="KU50" s="157">
        <v>0</v>
      </c>
      <c r="KV50" s="157">
        <v>0</v>
      </c>
      <c r="KW50" s="157">
        <v>0</v>
      </c>
      <c r="KX50" s="157">
        <v>0</v>
      </c>
      <c r="KY50" s="157">
        <v>0</v>
      </c>
      <c r="KZ50" s="157">
        <v>0</v>
      </c>
      <c r="LA50" s="157">
        <v>0</v>
      </c>
      <c r="LB50" s="157">
        <v>0</v>
      </c>
      <c r="LC50" s="157">
        <v>0</v>
      </c>
      <c r="LD50" s="157">
        <v>0</v>
      </c>
      <c r="LE50" s="157"/>
      <c r="LF50" s="157"/>
      <c r="LG50" s="157"/>
      <c r="LH50" s="157"/>
      <c r="LI50" s="157"/>
      <c r="LJ50" s="157"/>
      <c r="LK50" s="157"/>
      <c r="LL50" s="157"/>
      <c r="LM50" s="157"/>
      <c r="LN50" s="157"/>
      <c r="LO50" s="157"/>
      <c r="LP50" s="157"/>
      <c r="LQ50" s="157"/>
      <c r="LR50" s="157"/>
      <c r="LS50" s="157"/>
      <c r="LT50" s="5"/>
      <c r="LU50" s="8"/>
    </row>
    <row r="51" spans="1:333" ht="16.2" customHeight="1">
      <c r="A51" s="38" t="s">
        <v>9</v>
      </c>
      <c r="B51" s="25" t="s">
        <v>53</v>
      </c>
      <c r="C51" s="26" t="s">
        <v>386</v>
      </c>
      <c r="D51" s="25" t="s">
        <v>257</v>
      </c>
      <c r="E51" s="27" t="s">
        <v>79</v>
      </c>
      <c r="F51" s="25" t="s">
        <v>466</v>
      </c>
      <c r="G51" s="25" t="s">
        <v>258</v>
      </c>
      <c r="H51" s="28">
        <v>46109</v>
      </c>
      <c r="I51" s="29" t="s">
        <v>259</v>
      </c>
      <c r="J51" s="30">
        <v>1</v>
      </c>
      <c r="K51" s="147">
        <v>0</v>
      </c>
      <c r="L51" s="147">
        <f t="shared" si="628"/>
        <v>1</v>
      </c>
      <c r="M51" s="147">
        <f t="shared" si="629"/>
        <v>1</v>
      </c>
      <c r="N51" s="147">
        <f t="shared" si="630"/>
        <v>0</v>
      </c>
      <c r="O51" s="147">
        <f t="shared" si="631"/>
        <v>1</v>
      </c>
      <c r="P51" s="148">
        <f t="shared" si="632"/>
        <v>1</v>
      </c>
      <c r="Q51" s="50">
        <f t="shared" si="633"/>
        <v>1</v>
      </c>
      <c r="R51" s="17">
        <f t="shared" si="634"/>
        <v>1</v>
      </c>
      <c r="S51" s="17">
        <f t="shared" si="635"/>
        <v>1</v>
      </c>
      <c r="T51" s="17">
        <f t="shared" si="636"/>
        <v>0</v>
      </c>
      <c r="U51" s="17">
        <f t="shared" si="637"/>
        <v>1</v>
      </c>
      <c r="V51" s="17">
        <f t="shared" si="638"/>
        <v>1</v>
      </c>
      <c r="W51" s="17">
        <f t="shared" si="639"/>
        <v>1</v>
      </c>
      <c r="X51" s="17">
        <f t="shared" si="640"/>
        <v>1</v>
      </c>
      <c r="Y51" s="17">
        <f t="shared" si="641"/>
        <v>1</v>
      </c>
      <c r="Z51" s="17">
        <f t="shared" si="642"/>
        <v>1</v>
      </c>
      <c r="AA51" s="17">
        <f t="shared" si="643"/>
        <v>0</v>
      </c>
      <c r="AB51" s="17">
        <f t="shared" si="644"/>
        <v>1</v>
      </c>
      <c r="AC51" s="17">
        <f t="shared" si="645"/>
        <v>1</v>
      </c>
      <c r="AD51" s="17">
        <f t="shared" si="646"/>
        <v>1</v>
      </c>
      <c r="AE51" s="17">
        <f t="shared" si="647"/>
        <v>0</v>
      </c>
      <c r="AF51" s="17">
        <f t="shared" si="648"/>
        <v>0</v>
      </c>
      <c r="AG51" s="17">
        <f t="shared" si="649"/>
        <v>0</v>
      </c>
      <c r="AH51" s="17">
        <f t="shared" si="650"/>
        <v>0</v>
      </c>
      <c r="AI51" s="17">
        <f t="shared" si="651"/>
        <v>0</v>
      </c>
      <c r="AJ51" s="17">
        <f t="shared" si="652"/>
        <v>0</v>
      </c>
      <c r="AK51" s="17">
        <f t="shared" si="653"/>
        <v>0</v>
      </c>
      <c r="AL51" s="17">
        <f t="shared" si="654"/>
        <v>0</v>
      </c>
      <c r="AM51" s="17">
        <f t="shared" si="655"/>
        <v>0</v>
      </c>
      <c r="AN51" s="17">
        <f t="shared" si="656"/>
        <v>0</v>
      </c>
      <c r="AO51" s="17">
        <f t="shared" si="657"/>
        <v>0</v>
      </c>
      <c r="AP51" s="17">
        <f t="shared" si="658"/>
        <v>0</v>
      </c>
      <c r="AQ51" s="17">
        <f t="shared" si="659"/>
        <v>0</v>
      </c>
      <c r="AR51" s="17">
        <f t="shared" si="660"/>
        <v>0</v>
      </c>
      <c r="AS51" s="17">
        <f t="shared" si="661"/>
        <v>0</v>
      </c>
      <c r="AT51" s="17">
        <f t="shared" si="662"/>
        <v>0</v>
      </c>
      <c r="AU51" s="54">
        <f t="shared" si="663"/>
        <v>0</v>
      </c>
      <c r="AV51" s="58">
        <f t="shared" si="551"/>
        <v>12</v>
      </c>
      <c r="AW51" s="58">
        <f t="shared" ca="1" si="73"/>
        <v>0.92307692307692313</v>
      </c>
      <c r="AX51" s="50">
        <f t="shared" si="664"/>
        <v>14</v>
      </c>
      <c r="AY51" s="17">
        <f t="shared" si="665"/>
        <v>14</v>
      </c>
      <c r="AZ51" s="17">
        <f t="shared" si="666"/>
        <v>11</v>
      </c>
      <c r="BA51" s="17">
        <f t="shared" si="667"/>
        <v>0</v>
      </c>
      <c r="BB51" s="17">
        <f t="shared" si="668"/>
        <v>14</v>
      </c>
      <c r="BC51" s="17">
        <f t="shared" si="669"/>
        <v>14</v>
      </c>
      <c r="BD51" s="17">
        <f t="shared" si="670"/>
        <v>14</v>
      </c>
      <c r="BE51" s="17">
        <f t="shared" si="671"/>
        <v>0</v>
      </c>
      <c r="BF51" s="17">
        <f t="shared" si="672"/>
        <v>14</v>
      </c>
      <c r="BG51" s="17">
        <f t="shared" si="673"/>
        <v>16</v>
      </c>
      <c r="BH51" s="17">
        <f t="shared" si="674"/>
        <v>0</v>
      </c>
      <c r="BI51" s="17">
        <f t="shared" si="675"/>
        <v>17</v>
      </c>
      <c r="BJ51" s="17">
        <f t="shared" si="676"/>
        <v>16</v>
      </c>
      <c r="BK51" s="17">
        <f t="shared" si="677"/>
        <v>0</v>
      </c>
      <c r="BL51" s="17">
        <f t="shared" si="678"/>
        <v>0</v>
      </c>
      <c r="BM51" s="17">
        <f t="shared" si="679"/>
        <v>0</v>
      </c>
      <c r="BN51" s="17">
        <f t="shared" si="680"/>
        <v>0</v>
      </c>
      <c r="BO51" s="17">
        <f t="shared" si="681"/>
        <v>0</v>
      </c>
      <c r="BP51" s="17">
        <f t="shared" si="682"/>
        <v>0</v>
      </c>
      <c r="BQ51" s="17">
        <f t="shared" si="683"/>
        <v>0</v>
      </c>
      <c r="BR51" s="17">
        <f t="shared" si="684"/>
        <v>0</v>
      </c>
      <c r="BS51" s="17">
        <f t="shared" si="685"/>
        <v>0</v>
      </c>
      <c r="BT51" s="17">
        <f t="shared" si="686"/>
        <v>0</v>
      </c>
      <c r="BU51" s="17">
        <f t="shared" si="687"/>
        <v>0</v>
      </c>
      <c r="BV51" s="17">
        <f t="shared" si="688"/>
        <v>0</v>
      </c>
      <c r="BW51" s="17">
        <f t="shared" si="689"/>
        <v>0</v>
      </c>
      <c r="BX51" s="17">
        <f t="shared" si="690"/>
        <v>0</v>
      </c>
      <c r="BY51" s="17">
        <f t="shared" si="691"/>
        <v>0</v>
      </c>
      <c r="BZ51" s="17">
        <f t="shared" si="692"/>
        <v>0</v>
      </c>
      <c r="CA51" s="17">
        <f t="shared" si="693"/>
        <v>0</v>
      </c>
      <c r="CB51" s="54">
        <f t="shared" si="694"/>
        <v>0</v>
      </c>
      <c r="CC51" s="58">
        <f t="shared" si="208"/>
        <v>144</v>
      </c>
      <c r="CD51" s="58">
        <f t="shared" ca="1" si="103"/>
        <v>11.076923076923077</v>
      </c>
      <c r="JJ51" s="4" t="s">
        <v>13</v>
      </c>
      <c r="JK51" s="152" t="str">
        <f t="shared" si="552"/>
        <v>GUJ01-PHR-MIO-04</v>
      </c>
      <c r="JL51" s="163">
        <v>1</v>
      </c>
      <c r="JM51" s="158">
        <v>1</v>
      </c>
      <c r="JN51" s="158">
        <v>1</v>
      </c>
      <c r="JO51" s="159">
        <v>0</v>
      </c>
      <c r="JP51" s="158">
        <v>1</v>
      </c>
      <c r="JQ51" s="158">
        <v>1</v>
      </c>
      <c r="JR51" s="158">
        <v>1</v>
      </c>
      <c r="JS51" s="158">
        <v>1</v>
      </c>
      <c r="JT51" s="158">
        <v>1</v>
      </c>
      <c r="JU51" s="158">
        <v>1</v>
      </c>
      <c r="JV51" s="158">
        <v>0</v>
      </c>
      <c r="JW51" s="159">
        <v>1</v>
      </c>
      <c r="JX51" s="159">
        <v>1</v>
      </c>
      <c r="JY51" s="159">
        <v>1</v>
      </c>
      <c r="JZ51" s="158"/>
      <c r="KA51" s="158"/>
      <c r="KB51" s="158"/>
      <c r="KC51" s="158"/>
      <c r="KD51" s="158"/>
      <c r="KE51" s="158"/>
      <c r="KF51" s="158"/>
      <c r="KG51" s="158"/>
      <c r="KH51" s="159"/>
      <c r="KI51" s="159"/>
      <c r="KJ51" s="158"/>
      <c r="KK51" s="158"/>
      <c r="KL51" s="158"/>
      <c r="KM51" s="158"/>
      <c r="KN51" s="158"/>
      <c r="KO51" s="158"/>
      <c r="KP51" s="164"/>
      <c r="KQ51" s="157">
        <v>14</v>
      </c>
      <c r="KR51" s="157">
        <v>14</v>
      </c>
      <c r="KS51" s="157">
        <v>11</v>
      </c>
      <c r="KT51" s="157">
        <v>0</v>
      </c>
      <c r="KU51" s="157">
        <v>14</v>
      </c>
      <c r="KV51" s="157">
        <v>14</v>
      </c>
      <c r="KW51" s="157">
        <v>14</v>
      </c>
      <c r="KX51" s="157">
        <v>0</v>
      </c>
      <c r="KY51" s="157">
        <v>14</v>
      </c>
      <c r="KZ51" s="157">
        <v>16</v>
      </c>
      <c r="LA51" s="157">
        <v>0</v>
      </c>
      <c r="LB51" s="157">
        <v>17</v>
      </c>
      <c r="LC51" s="157">
        <v>16</v>
      </c>
      <c r="LD51" s="157">
        <v>0</v>
      </c>
      <c r="LE51" s="157"/>
      <c r="LF51" s="157"/>
      <c r="LG51" s="157"/>
      <c r="LH51" s="157"/>
      <c r="LI51" s="157"/>
      <c r="LJ51" s="157"/>
      <c r="LK51" s="157"/>
      <c r="LL51" s="157"/>
      <c r="LM51" s="157"/>
      <c r="LN51" s="157"/>
      <c r="LO51" s="157"/>
      <c r="LP51" s="157"/>
      <c r="LQ51" s="157"/>
      <c r="LR51" s="157"/>
      <c r="LS51" s="157"/>
      <c r="LT51" s="5"/>
      <c r="LU51" s="8"/>
    </row>
    <row r="52" spans="1:333" ht="16.2" customHeight="1">
      <c r="A52" s="38" t="s">
        <v>9</v>
      </c>
      <c r="B52" s="25" t="s">
        <v>53</v>
      </c>
      <c r="C52" s="26" t="s">
        <v>386</v>
      </c>
      <c r="D52" s="25" t="s">
        <v>260</v>
      </c>
      <c r="E52" s="27" t="s">
        <v>80</v>
      </c>
      <c r="F52" s="25" t="s">
        <v>467</v>
      </c>
      <c r="G52" s="25" t="s">
        <v>81</v>
      </c>
      <c r="H52" s="28">
        <v>44746</v>
      </c>
      <c r="I52" s="29" t="s">
        <v>261</v>
      </c>
      <c r="J52" s="30">
        <v>1</v>
      </c>
      <c r="K52" s="147">
        <v>0</v>
      </c>
      <c r="L52" s="147">
        <f t="shared" si="628"/>
        <v>1</v>
      </c>
      <c r="M52" s="147">
        <f t="shared" si="629"/>
        <v>1</v>
      </c>
      <c r="N52" s="147">
        <f t="shared" si="630"/>
        <v>1</v>
      </c>
      <c r="O52" s="147">
        <f t="shared" si="631"/>
        <v>1</v>
      </c>
      <c r="P52" s="148">
        <f t="shared" si="632"/>
        <v>1</v>
      </c>
      <c r="Q52" s="50">
        <f t="shared" si="633"/>
        <v>1</v>
      </c>
      <c r="R52" s="17">
        <f t="shared" si="634"/>
        <v>1</v>
      </c>
      <c r="S52" s="17">
        <f t="shared" si="635"/>
        <v>1</v>
      </c>
      <c r="T52" s="17">
        <f t="shared" si="636"/>
        <v>0</v>
      </c>
      <c r="U52" s="17">
        <f t="shared" si="637"/>
        <v>1</v>
      </c>
      <c r="V52" s="17">
        <f t="shared" si="638"/>
        <v>1</v>
      </c>
      <c r="W52" s="17">
        <f t="shared" si="639"/>
        <v>1</v>
      </c>
      <c r="X52" s="17">
        <f t="shared" si="640"/>
        <v>1</v>
      </c>
      <c r="Y52" s="17">
        <f t="shared" si="641"/>
        <v>1</v>
      </c>
      <c r="Z52" s="17">
        <f t="shared" si="642"/>
        <v>1</v>
      </c>
      <c r="AA52" s="17">
        <f t="shared" si="643"/>
        <v>0</v>
      </c>
      <c r="AB52" s="17">
        <f t="shared" si="644"/>
        <v>1</v>
      </c>
      <c r="AC52" s="17">
        <f t="shared" si="645"/>
        <v>1</v>
      </c>
      <c r="AD52" s="17">
        <f t="shared" si="646"/>
        <v>1</v>
      </c>
      <c r="AE52" s="17">
        <f t="shared" si="647"/>
        <v>0</v>
      </c>
      <c r="AF52" s="17">
        <f t="shared" si="648"/>
        <v>0</v>
      </c>
      <c r="AG52" s="17">
        <f t="shared" si="649"/>
        <v>0</v>
      </c>
      <c r="AH52" s="17">
        <f t="shared" si="650"/>
        <v>0</v>
      </c>
      <c r="AI52" s="17">
        <f t="shared" si="651"/>
        <v>0</v>
      </c>
      <c r="AJ52" s="17">
        <f t="shared" si="652"/>
        <v>0</v>
      </c>
      <c r="AK52" s="17">
        <f t="shared" si="653"/>
        <v>0</v>
      </c>
      <c r="AL52" s="17">
        <f t="shared" si="654"/>
        <v>0</v>
      </c>
      <c r="AM52" s="17">
        <f t="shared" si="655"/>
        <v>0</v>
      </c>
      <c r="AN52" s="17">
        <f t="shared" si="656"/>
        <v>0</v>
      </c>
      <c r="AO52" s="17">
        <f t="shared" si="657"/>
        <v>0</v>
      </c>
      <c r="AP52" s="17">
        <f t="shared" si="658"/>
        <v>0</v>
      </c>
      <c r="AQ52" s="17">
        <f t="shared" si="659"/>
        <v>0</v>
      </c>
      <c r="AR52" s="17">
        <f t="shared" si="660"/>
        <v>0</v>
      </c>
      <c r="AS52" s="17">
        <f t="shared" si="661"/>
        <v>0</v>
      </c>
      <c r="AT52" s="17">
        <f t="shared" si="662"/>
        <v>0</v>
      </c>
      <c r="AU52" s="54">
        <f t="shared" si="663"/>
        <v>0</v>
      </c>
      <c r="AV52" s="58">
        <f t="shared" si="551"/>
        <v>12</v>
      </c>
      <c r="AW52" s="58">
        <f t="shared" ca="1" si="73"/>
        <v>0.92307692307692313</v>
      </c>
      <c r="AX52" s="50">
        <f t="shared" si="664"/>
        <v>14</v>
      </c>
      <c r="AY52" s="17">
        <f t="shared" si="665"/>
        <v>12</v>
      </c>
      <c r="AZ52" s="17">
        <f t="shared" si="666"/>
        <v>12</v>
      </c>
      <c r="BA52" s="17">
        <f t="shared" si="667"/>
        <v>0</v>
      </c>
      <c r="BB52" s="17">
        <f t="shared" si="668"/>
        <v>11</v>
      </c>
      <c r="BC52" s="17">
        <f t="shared" si="669"/>
        <v>12</v>
      </c>
      <c r="BD52" s="17">
        <f t="shared" si="670"/>
        <v>12</v>
      </c>
      <c r="BE52" s="17">
        <f t="shared" si="671"/>
        <v>13</v>
      </c>
      <c r="BF52" s="17">
        <f t="shared" si="672"/>
        <v>12</v>
      </c>
      <c r="BG52" s="17">
        <f t="shared" si="673"/>
        <v>12</v>
      </c>
      <c r="BH52" s="17">
        <f t="shared" si="674"/>
        <v>0</v>
      </c>
      <c r="BI52" s="17">
        <f t="shared" si="675"/>
        <v>13</v>
      </c>
      <c r="BJ52" s="17">
        <f t="shared" si="676"/>
        <v>15</v>
      </c>
      <c r="BK52" s="17">
        <f t="shared" si="677"/>
        <v>8</v>
      </c>
      <c r="BL52" s="17">
        <f t="shared" si="678"/>
        <v>0</v>
      </c>
      <c r="BM52" s="17">
        <f t="shared" si="679"/>
        <v>0</v>
      </c>
      <c r="BN52" s="17">
        <f t="shared" si="680"/>
        <v>0</v>
      </c>
      <c r="BO52" s="17">
        <f t="shared" si="681"/>
        <v>0</v>
      </c>
      <c r="BP52" s="17">
        <f t="shared" si="682"/>
        <v>0</v>
      </c>
      <c r="BQ52" s="17">
        <f t="shared" si="683"/>
        <v>0</v>
      </c>
      <c r="BR52" s="17">
        <f t="shared" si="684"/>
        <v>0</v>
      </c>
      <c r="BS52" s="17">
        <f t="shared" si="685"/>
        <v>0</v>
      </c>
      <c r="BT52" s="17">
        <f t="shared" si="686"/>
        <v>0</v>
      </c>
      <c r="BU52" s="17">
        <f t="shared" si="687"/>
        <v>0</v>
      </c>
      <c r="BV52" s="17">
        <f t="shared" si="688"/>
        <v>0</v>
      </c>
      <c r="BW52" s="17">
        <f t="shared" si="689"/>
        <v>0</v>
      </c>
      <c r="BX52" s="17">
        <f t="shared" si="690"/>
        <v>0</v>
      </c>
      <c r="BY52" s="17">
        <f t="shared" si="691"/>
        <v>0</v>
      </c>
      <c r="BZ52" s="17">
        <f t="shared" si="692"/>
        <v>0</v>
      </c>
      <c r="CA52" s="17">
        <f t="shared" si="693"/>
        <v>0</v>
      </c>
      <c r="CB52" s="54">
        <f t="shared" si="694"/>
        <v>0</v>
      </c>
      <c r="CC52" s="58">
        <f t="shared" si="208"/>
        <v>146</v>
      </c>
      <c r="CD52" s="58">
        <f t="shared" ca="1" si="103"/>
        <v>11.23076923076923</v>
      </c>
      <c r="JJ52" s="4" t="s">
        <v>13</v>
      </c>
      <c r="JK52" s="152" t="str">
        <f t="shared" si="552"/>
        <v>GUJ01-PHR-MIO-05</v>
      </c>
      <c r="JL52" s="163">
        <v>1</v>
      </c>
      <c r="JM52" s="158">
        <v>1</v>
      </c>
      <c r="JN52" s="158">
        <v>1</v>
      </c>
      <c r="JO52" s="159">
        <v>0</v>
      </c>
      <c r="JP52" s="158">
        <v>1</v>
      </c>
      <c r="JQ52" s="158">
        <v>1</v>
      </c>
      <c r="JR52" s="158">
        <v>1</v>
      </c>
      <c r="JS52" s="158">
        <v>1</v>
      </c>
      <c r="JT52" s="158">
        <v>1</v>
      </c>
      <c r="JU52" s="158">
        <v>1</v>
      </c>
      <c r="JV52" s="158">
        <v>0</v>
      </c>
      <c r="JW52" s="159">
        <v>1</v>
      </c>
      <c r="JX52" s="159">
        <v>1</v>
      </c>
      <c r="JY52" s="159">
        <v>1</v>
      </c>
      <c r="JZ52" s="158"/>
      <c r="KA52" s="158"/>
      <c r="KB52" s="158"/>
      <c r="KC52" s="158"/>
      <c r="KD52" s="158"/>
      <c r="KE52" s="158"/>
      <c r="KF52" s="158"/>
      <c r="KG52" s="158"/>
      <c r="KH52" s="159"/>
      <c r="KI52" s="159"/>
      <c r="KJ52" s="158"/>
      <c r="KK52" s="158"/>
      <c r="KL52" s="158"/>
      <c r="KM52" s="158"/>
      <c r="KN52" s="158"/>
      <c r="KO52" s="158"/>
      <c r="KP52" s="164"/>
      <c r="KQ52" s="157">
        <v>14</v>
      </c>
      <c r="KR52" s="157">
        <v>12</v>
      </c>
      <c r="KS52" s="157">
        <v>12</v>
      </c>
      <c r="KT52" s="157">
        <v>0</v>
      </c>
      <c r="KU52" s="157">
        <v>11</v>
      </c>
      <c r="KV52" s="157">
        <v>12</v>
      </c>
      <c r="KW52" s="157">
        <v>12</v>
      </c>
      <c r="KX52" s="157">
        <v>13</v>
      </c>
      <c r="KY52" s="157">
        <v>12</v>
      </c>
      <c r="KZ52" s="157">
        <v>12</v>
      </c>
      <c r="LA52" s="157">
        <v>0</v>
      </c>
      <c r="LB52" s="157">
        <v>13</v>
      </c>
      <c r="LC52" s="157">
        <v>15</v>
      </c>
      <c r="LD52" s="157">
        <v>8</v>
      </c>
      <c r="LE52" s="157"/>
      <c r="LF52" s="157"/>
      <c r="LG52" s="157"/>
      <c r="LH52" s="157"/>
      <c r="LI52" s="157"/>
      <c r="LJ52" s="157"/>
      <c r="LK52" s="157"/>
      <c r="LL52" s="157"/>
      <c r="LM52" s="157"/>
      <c r="LN52" s="157"/>
      <c r="LO52" s="157"/>
      <c r="LP52" s="157"/>
      <c r="LQ52" s="157"/>
      <c r="LR52" s="157"/>
      <c r="LS52" s="157"/>
      <c r="LT52" s="5"/>
      <c r="LU52" s="8"/>
    </row>
    <row r="53" spans="1:333" ht="16.2" customHeight="1">
      <c r="A53" s="38" t="s">
        <v>16</v>
      </c>
      <c r="B53" s="25" t="s">
        <v>53</v>
      </c>
      <c r="C53" s="26" t="s">
        <v>386</v>
      </c>
      <c r="D53" s="25" t="s">
        <v>82</v>
      </c>
      <c r="E53" s="27" t="s">
        <v>83</v>
      </c>
      <c r="F53" s="25" t="s">
        <v>468</v>
      </c>
      <c r="G53" s="25" t="s">
        <v>436</v>
      </c>
      <c r="H53" s="28" t="s">
        <v>436</v>
      </c>
      <c r="I53" s="29" t="s">
        <v>75</v>
      </c>
      <c r="J53" s="30">
        <v>0</v>
      </c>
      <c r="K53" s="147">
        <v>0</v>
      </c>
      <c r="L53" s="147">
        <f t="shared" si="628"/>
        <v>0</v>
      </c>
      <c r="M53" s="147">
        <f t="shared" si="629"/>
        <v>0</v>
      </c>
      <c r="N53" s="147">
        <f t="shared" si="630"/>
        <v>0</v>
      </c>
      <c r="O53" s="147">
        <f t="shared" si="631"/>
        <v>0</v>
      </c>
      <c r="P53" s="148">
        <f t="shared" si="632"/>
        <v>0</v>
      </c>
      <c r="Q53" s="50">
        <f t="shared" si="633"/>
        <v>0</v>
      </c>
      <c r="R53" s="17">
        <f t="shared" si="634"/>
        <v>0</v>
      </c>
      <c r="S53" s="17">
        <f t="shared" si="635"/>
        <v>0</v>
      </c>
      <c r="T53" s="17">
        <f t="shared" si="636"/>
        <v>0</v>
      </c>
      <c r="U53" s="17">
        <f t="shared" si="637"/>
        <v>0</v>
      </c>
      <c r="V53" s="17">
        <f t="shared" si="638"/>
        <v>0</v>
      </c>
      <c r="W53" s="17">
        <f t="shared" si="639"/>
        <v>0</v>
      </c>
      <c r="X53" s="17">
        <f t="shared" si="640"/>
        <v>0</v>
      </c>
      <c r="Y53" s="17">
        <f t="shared" si="641"/>
        <v>0</v>
      </c>
      <c r="Z53" s="17">
        <f t="shared" si="642"/>
        <v>0</v>
      </c>
      <c r="AA53" s="17">
        <f t="shared" si="643"/>
        <v>0</v>
      </c>
      <c r="AB53" s="17">
        <f t="shared" si="644"/>
        <v>0</v>
      </c>
      <c r="AC53" s="17">
        <f t="shared" si="645"/>
        <v>0</v>
      </c>
      <c r="AD53" s="17">
        <f t="shared" si="646"/>
        <v>0</v>
      </c>
      <c r="AE53" s="17">
        <f t="shared" si="647"/>
        <v>0</v>
      </c>
      <c r="AF53" s="17">
        <f t="shared" si="648"/>
        <v>0</v>
      </c>
      <c r="AG53" s="17">
        <f t="shared" si="649"/>
        <v>0</v>
      </c>
      <c r="AH53" s="17">
        <f t="shared" si="650"/>
        <v>0</v>
      </c>
      <c r="AI53" s="17">
        <f t="shared" si="651"/>
        <v>0</v>
      </c>
      <c r="AJ53" s="17">
        <f t="shared" si="652"/>
        <v>0</v>
      </c>
      <c r="AK53" s="17">
        <f t="shared" si="653"/>
        <v>0</v>
      </c>
      <c r="AL53" s="17">
        <f t="shared" si="654"/>
        <v>0</v>
      </c>
      <c r="AM53" s="17">
        <f t="shared" si="655"/>
        <v>0</v>
      </c>
      <c r="AN53" s="17">
        <f t="shared" si="656"/>
        <v>0</v>
      </c>
      <c r="AO53" s="17">
        <f t="shared" si="657"/>
        <v>0</v>
      </c>
      <c r="AP53" s="17">
        <f t="shared" si="658"/>
        <v>0</v>
      </c>
      <c r="AQ53" s="17">
        <f t="shared" si="659"/>
        <v>0</v>
      </c>
      <c r="AR53" s="17">
        <f t="shared" si="660"/>
        <v>0</v>
      </c>
      <c r="AS53" s="17">
        <f t="shared" si="661"/>
        <v>0</v>
      </c>
      <c r="AT53" s="17">
        <f t="shared" si="662"/>
        <v>0</v>
      </c>
      <c r="AU53" s="54">
        <f t="shared" si="663"/>
        <v>0</v>
      </c>
      <c r="AV53" s="58">
        <f t="shared" si="551"/>
        <v>0</v>
      </c>
      <c r="AW53" s="58">
        <f t="shared" ca="1" si="73"/>
        <v>0</v>
      </c>
      <c r="AX53" s="50">
        <f t="shared" si="664"/>
        <v>0</v>
      </c>
      <c r="AY53" s="17">
        <f t="shared" si="665"/>
        <v>0</v>
      </c>
      <c r="AZ53" s="17">
        <f t="shared" si="666"/>
        <v>0</v>
      </c>
      <c r="BA53" s="17">
        <f t="shared" si="667"/>
        <v>0</v>
      </c>
      <c r="BB53" s="17">
        <f t="shared" si="668"/>
        <v>0</v>
      </c>
      <c r="BC53" s="17">
        <f t="shared" si="669"/>
        <v>0</v>
      </c>
      <c r="BD53" s="17">
        <f t="shared" si="670"/>
        <v>0</v>
      </c>
      <c r="BE53" s="17">
        <f t="shared" si="671"/>
        <v>0</v>
      </c>
      <c r="BF53" s="17">
        <f t="shared" si="672"/>
        <v>0</v>
      </c>
      <c r="BG53" s="17">
        <f t="shared" si="673"/>
        <v>0</v>
      </c>
      <c r="BH53" s="17">
        <f t="shared" si="674"/>
        <v>0</v>
      </c>
      <c r="BI53" s="17">
        <f t="shared" si="675"/>
        <v>0</v>
      </c>
      <c r="BJ53" s="17">
        <f t="shared" si="676"/>
        <v>0</v>
      </c>
      <c r="BK53" s="17">
        <f t="shared" si="677"/>
        <v>0</v>
      </c>
      <c r="BL53" s="17">
        <f t="shared" si="678"/>
        <v>0</v>
      </c>
      <c r="BM53" s="17">
        <f t="shared" si="679"/>
        <v>0</v>
      </c>
      <c r="BN53" s="17">
        <f t="shared" si="680"/>
        <v>0</v>
      </c>
      <c r="BO53" s="17">
        <f t="shared" si="681"/>
        <v>0</v>
      </c>
      <c r="BP53" s="17">
        <f t="shared" si="682"/>
        <v>0</v>
      </c>
      <c r="BQ53" s="17">
        <f t="shared" si="683"/>
        <v>0</v>
      </c>
      <c r="BR53" s="17">
        <f t="shared" si="684"/>
        <v>0</v>
      </c>
      <c r="BS53" s="17">
        <f t="shared" si="685"/>
        <v>0</v>
      </c>
      <c r="BT53" s="17">
        <f t="shared" si="686"/>
        <v>0</v>
      </c>
      <c r="BU53" s="17">
        <f t="shared" si="687"/>
        <v>0</v>
      </c>
      <c r="BV53" s="17">
        <f t="shared" si="688"/>
        <v>0</v>
      </c>
      <c r="BW53" s="17">
        <f t="shared" si="689"/>
        <v>0</v>
      </c>
      <c r="BX53" s="17">
        <f t="shared" si="690"/>
        <v>0</v>
      </c>
      <c r="BY53" s="17">
        <f t="shared" si="691"/>
        <v>0</v>
      </c>
      <c r="BZ53" s="17">
        <f t="shared" si="692"/>
        <v>0</v>
      </c>
      <c r="CA53" s="17">
        <f t="shared" si="693"/>
        <v>0</v>
      </c>
      <c r="CB53" s="54">
        <f t="shared" si="694"/>
        <v>0</v>
      </c>
      <c r="CC53" s="58">
        <f t="shared" si="208"/>
        <v>0</v>
      </c>
      <c r="CD53" s="58">
        <f t="shared" ca="1" si="103"/>
        <v>0</v>
      </c>
      <c r="JJ53" s="4" t="s">
        <v>13</v>
      </c>
      <c r="JK53" s="152" t="str">
        <f t="shared" si="552"/>
        <v>GUJ01-PHR-MIO-00</v>
      </c>
      <c r="JL53" s="163">
        <v>0</v>
      </c>
      <c r="JM53" s="158">
        <v>0</v>
      </c>
      <c r="JN53" s="158">
        <v>0</v>
      </c>
      <c r="JO53" s="159">
        <v>0</v>
      </c>
      <c r="JP53" s="158">
        <v>0</v>
      </c>
      <c r="JQ53" s="158">
        <v>0</v>
      </c>
      <c r="JR53" s="158">
        <v>0</v>
      </c>
      <c r="JS53" s="158">
        <v>0</v>
      </c>
      <c r="JT53" s="158">
        <v>0</v>
      </c>
      <c r="JU53" s="158">
        <v>0</v>
      </c>
      <c r="JV53" s="158">
        <v>0</v>
      </c>
      <c r="JW53" s="159">
        <v>0</v>
      </c>
      <c r="JX53" s="159">
        <v>0</v>
      </c>
      <c r="JY53" s="159">
        <v>0</v>
      </c>
      <c r="JZ53" s="158"/>
      <c r="KA53" s="158"/>
      <c r="KB53" s="158"/>
      <c r="KC53" s="158"/>
      <c r="KD53" s="158"/>
      <c r="KE53" s="158"/>
      <c r="KF53" s="158"/>
      <c r="KG53" s="158"/>
      <c r="KH53" s="159"/>
      <c r="KI53" s="159"/>
      <c r="KJ53" s="158"/>
      <c r="KK53" s="158"/>
      <c r="KL53" s="158"/>
      <c r="KM53" s="158"/>
      <c r="KN53" s="158"/>
      <c r="KO53" s="158"/>
      <c r="KP53" s="164"/>
      <c r="KQ53" s="157">
        <v>0</v>
      </c>
      <c r="KR53" s="157">
        <v>0</v>
      </c>
      <c r="KS53" s="157">
        <v>0</v>
      </c>
      <c r="KT53" s="157">
        <v>0</v>
      </c>
      <c r="KU53" s="157">
        <v>0</v>
      </c>
      <c r="KV53" s="157">
        <v>0</v>
      </c>
      <c r="KW53" s="157">
        <v>0</v>
      </c>
      <c r="KX53" s="157">
        <v>0</v>
      </c>
      <c r="KY53" s="157">
        <v>0</v>
      </c>
      <c r="KZ53" s="157">
        <v>0</v>
      </c>
      <c r="LA53" s="157">
        <v>0</v>
      </c>
      <c r="LB53" s="157">
        <v>0</v>
      </c>
      <c r="LC53" s="157">
        <v>0</v>
      </c>
      <c r="LD53" s="157">
        <v>0</v>
      </c>
      <c r="LE53" s="157"/>
      <c r="LF53" s="157"/>
      <c r="LG53" s="157"/>
      <c r="LH53" s="157"/>
      <c r="LI53" s="157"/>
      <c r="LJ53" s="157"/>
      <c r="LK53" s="157"/>
      <c r="LL53" s="157"/>
      <c r="LM53" s="157"/>
      <c r="LN53" s="157"/>
      <c r="LO53" s="157"/>
      <c r="LP53" s="157"/>
      <c r="LQ53" s="157"/>
      <c r="LR53" s="157"/>
      <c r="LS53" s="157"/>
      <c r="LT53" s="5"/>
      <c r="LU53" s="8"/>
    </row>
    <row r="54" spans="1:333" ht="16.2" customHeight="1">
      <c r="A54" s="37" t="s">
        <v>19</v>
      </c>
      <c r="B54" s="18" t="s">
        <v>53</v>
      </c>
      <c r="C54" s="19" t="s">
        <v>386</v>
      </c>
      <c r="D54" s="20" t="s">
        <v>263</v>
      </c>
      <c r="E54" s="21" t="s">
        <v>84</v>
      </c>
      <c r="F54" s="18" t="s">
        <v>469</v>
      </c>
      <c r="G54" s="18" t="s">
        <v>262</v>
      </c>
      <c r="H54" s="22">
        <v>46020</v>
      </c>
      <c r="I54" s="20" t="s">
        <v>75</v>
      </c>
      <c r="J54" s="23">
        <v>5</v>
      </c>
      <c r="K54" s="97">
        <f t="shared" ref="K54:L54" si="695">SUM(K48:K53)</f>
        <v>1</v>
      </c>
      <c r="L54" s="97">
        <f t="shared" si="695"/>
        <v>3</v>
      </c>
      <c r="M54" s="97">
        <f t="shared" ref="M54" si="696">SUM(M48:M53)</f>
        <v>4</v>
      </c>
      <c r="N54" s="97">
        <f t="shared" ref="N54" si="697">SUM(N48:N53)</f>
        <v>1</v>
      </c>
      <c r="O54" s="97">
        <f t="shared" ref="O54" si="698">SUM(O48:O53)</f>
        <v>4</v>
      </c>
      <c r="P54" s="47">
        <f t="shared" ref="P54:AU54" si="699">SUM(P48:P53)</f>
        <v>4</v>
      </c>
      <c r="Q54" s="51">
        <f t="shared" si="699"/>
        <v>4</v>
      </c>
      <c r="R54" s="24">
        <f t="shared" si="699"/>
        <v>4</v>
      </c>
      <c r="S54" s="24">
        <f t="shared" si="699"/>
        <v>4</v>
      </c>
      <c r="T54" s="24">
        <f t="shared" si="699"/>
        <v>0</v>
      </c>
      <c r="U54" s="24">
        <f t="shared" si="699"/>
        <v>4</v>
      </c>
      <c r="V54" s="24">
        <f t="shared" si="699"/>
        <v>4</v>
      </c>
      <c r="W54" s="24">
        <f t="shared" si="699"/>
        <v>4</v>
      </c>
      <c r="X54" s="24">
        <f t="shared" si="699"/>
        <v>4</v>
      </c>
      <c r="Y54" s="24">
        <f t="shared" si="699"/>
        <v>4</v>
      </c>
      <c r="Z54" s="24">
        <f t="shared" si="699"/>
        <v>4</v>
      </c>
      <c r="AA54" s="24">
        <f t="shared" si="699"/>
        <v>0</v>
      </c>
      <c r="AB54" s="24">
        <f t="shared" si="699"/>
        <v>4</v>
      </c>
      <c r="AC54" s="24">
        <f t="shared" si="699"/>
        <v>4</v>
      </c>
      <c r="AD54" s="24">
        <f t="shared" si="699"/>
        <v>3</v>
      </c>
      <c r="AE54" s="24">
        <f t="shared" si="699"/>
        <v>0</v>
      </c>
      <c r="AF54" s="24">
        <f t="shared" si="699"/>
        <v>0</v>
      </c>
      <c r="AG54" s="24">
        <f t="shared" si="699"/>
        <v>0</v>
      </c>
      <c r="AH54" s="24">
        <f t="shared" si="699"/>
        <v>0</v>
      </c>
      <c r="AI54" s="24">
        <f t="shared" si="699"/>
        <v>0</v>
      </c>
      <c r="AJ54" s="24">
        <f t="shared" si="699"/>
        <v>0</v>
      </c>
      <c r="AK54" s="24">
        <f t="shared" si="699"/>
        <v>0</v>
      </c>
      <c r="AL54" s="24">
        <f t="shared" si="699"/>
        <v>0</v>
      </c>
      <c r="AM54" s="24">
        <f t="shared" si="699"/>
        <v>0</v>
      </c>
      <c r="AN54" s="24">
        <f t="shared" si="699"/>
        <v>0</v>
      </c>
      <c r="AO54" s="24">
        <f t="shared" si="699"/>
        <v>0</v>
      </c>
      <c r="AP54" s="24">
        <f t="shared" si="699"/>
        <v>0</v>
      </c>
      <c r="AQ54" s="24">
        <f t="shared" si="699"/>
        <v>0</v>
      </c>
      <c r="AR54" s="24">
        <f t="shared" si="699"/>
        <v>0</v>
      </c>
      <c r="AS54" s="24">
        <f t="shared" si="699"/>
        <v>0</v>
      </c>
      <c r="AT54" s="24">
        <f t="shared" si="699"/>
        <v>0</v>
      </c>
      <c r="AU54" s="55">
        <f t="shared" si="699"/>
        <v>0</v>
      </c>
      <c r="AV54" s="59">
        <f t="shared" si="551"/>
        <v>47</v>
      </c>
      <c r="AW54" s="59">
        <f t="shared" ca="1" si="73"/>
        <v>0.90384615384615385</v>
      </c>
      <c r="AX54" s="51">
        <f t="shared" ref="AX54" si="700">SUM(AX48:AX53)</f>
        <v>48</v>
      </c>
      <c r="AY54" s="24">
        <f t="shared" ref="AY54" si="701">SUM(AY48:AY53)</f>
        <v>47</v>
      </c>
      <c r="AZ54" s="24">
        <f t="shared" ref="AZ54" si="702">SUM(AZ48:AZ53)</f>
        <v>31</v>
      </c>
      <c r="BA54" s="24">
        <f t="shared" ref="BA54" si="703">SUM(BA48:BA53)</f>
        <v>0</v>
      </c>
      <c r="BB54" s="24">
        <f t="shared" ref="BB54" si="704">SUM(BB48:BB53)</f>
        <v>31</v>
      </c>
      <c r="BC54" s="24">
        <f t="shared" ref="BC54" si="705">SUM(BC48:BC53)</f>
        <v>49</v>
      </c>
      <c r="BD54" s="24">
        <f t="shared" ref="BD54" si="706">SUM(BD48:BD53)</f>
        <v>33</v>
      </c>
      <c r="BE54" s="24">
        <f t="shared" ref="BE54" si="707">SUM(BE48:BE53)</f>
        <v>32</v>
      </c>
      <c r="BF54" s="24">
        <f t="shared" ref="BF54" si="708">SUM(BF48:BF53)</f>
        <v>45</v>
      </c>
      <c r="BG54" s="24">
        <f t="shared" ref="BG54" si="709">SUM(BG48:BG53)</f>
        <v>54</v>
      </c>
      <c r="BH54" s="24">
        <f t="shared" ref="BH54" si="710">SUM(BH48:BH53)</f>
        <v>0</v>
      </c>
      <c r="BI54" s="24">
        <f t="shared" ref="BI54" si="711">SUM(BI48:BI53)</f>
        <v>54</v>
      </c>
      <c r="BJ54" s="24">
        <f t="shared" ref="BJ54" si="712">SUM(BJ48:BJ53)</f>
        <v>54</v>
      </c>
      <c r="BK54" s="24">
        <f t="shared" ref="BK54" si="713">SUM(BK48:BK53)</f>
        <v>8</v>
      </c>
      <c r="BL54" s="24">
        <f t="shared" ref="BL54" si="714">SUM(BL48:BL53)</f>
        <v>0</v>
      </c>
      <c r="BM54" s="24">
        <f t="shared" ref="BM54" si="715">SUM(BM48:BM53)</f>
        <v>0</v>
      </c>
      <c r="BN54" s="24">
        <f t="shared" ref="BN54" si="716">SUM(BN48:BN53)</f>
        <v>0</v>
      </c>
      <c r="BO54" s="24">
        <f t="shared" ref="BO54" si="717">SUM(BO48:BO53)</f>
        <v>0</v>
      </c>
      <c r="BP54" s="24">
        <f t="shared" ref="BP54" si="718">SUM(BP48:BP53)</f>
        <v>0</v>
      </c>
      <c r="BQ54" s="24">
        <f t="shared" ref="BQ54" si="719">SUM(BQ48:BQ53)</f>
        <v>0</v>
      </c>
      <c r="BR54" s="24">
        <f t="shared" ref="BR54" si="720">SUM(BR48:BR53)</f>
        <v>0</v>
      </c>
      <c r="BS54" s="24">
        <f t="shared" ref="BS54" si="721">SUM(BS48:BS53)</f>
        <v>0</v>
      </c>
      <c r="BT54" s="24">
        <f t="shared" ref="BT54" si="722">SUM(BT48:BT53)</f>
        <v>0</v>
      </c>
      <c r="BU54" s="24">
        <f t="shared" ref="BU54" si="723">SUM(BU48:BU53)</f>
        <v>0</v>
      </c>
      <c r="BV54" s="24">
        <f t="shared" ref="BV54" si="724">SUM(BV48:BV53)</f>
        <v>0</v>
      </c>
      <c r="BW54" s="24">
        <f t="shared" ref="BW54" si="725">SUM(BW48:BW53)</f>
        <v>0</v>
      </c>
      <c r="BX54" s="24">
        <f t="shared" ref="BX54" si="726">SUM(BX48:BX53)</f>
        <v>0</v>
      </c>
      <c r="BY54" s="24">
        <f t="shared" ref="BY54" si="727">SUM(BY48:BY53)</f>
        <v>0</v>
      </c>
      <c r="BZ54" s="24">
        <f t="shared" ref="BZ54" si="728">SUM(BZ48:BZ53)</f>
        <v>0</v>
      </c>
      <c r="CA54" s="24">
        <f t="shared" ref="CA54" si="729">SUM(CA48:CA53)</f>
        <v>0</v>
      </c>
      <c r="CB54" s="55">
        <f t="shared" ref="CB54" si="730">SUM(CB48:CB53)</f>
        <v>0</v>
      </c>
      <c r="CC54" s="59">
        <f t="shared" si="208"/>
        <v>486</v>
      </c>
      <c r="CD54" s="59">
        <f t="shared" ca="1" si="103"/>
        <v>9.3461538461538467</v>
      </c>
      <c r="JJ54" s="4" t="s">
        <v>13</v>
      </c>
      <c r="JK54" s="153" t="str">
        <f t="shared" si="552"/>
        <v>GUJ01-PHR-ASM-01</v>
      </c>
      <c r="JL54" s="163">
        <v>0</v>
      </c>
      <c r="JM54" s="158">
        <v>0</v>
      </c>
      <c r="JN54" s="158">
        <v>0</v>
      </c>
      <c r="JO54" s="159">
        <v>0</v>
      </c>
      <c r="JP54" s="158">
        <v>0</v>
      </c>
      <c r="JQ54" s="158">
        <v>0</v>
      </c>
      <c r="JR54" s="158">
        <v>0</v>
      </c>
      <c r="JS54" s="158">
        <v>0</v>
      </c>
      <c r="JT54" s="158">
        <v>0</v>
      </c>
      <c r="JU54" s="158">
        <v>0</v>
      </c>
      <c r="JV54" s="158">
        <v>0</v>
      </c>
      <c r="JW54" s="159">
        <v>0</v>
      </c>
      <c r="JX54" s="159">
        <v>0</v>
      </c>
      <c r="JY54" s="159">
        <v>0</v>
      </c>
      <c r="JZ54" s="158"/>
      <c r="KA54" s="158"/>
      <c r="KB54" s="158"/>
      <c r="KC54" s="158"/>
      <c r="KD54" s="158"/>
      <c r="KE54" s="158"/>
      <c r="KF54" s="158"/>
      <c r="KG54" s="158"/>
      <c r="KH54" s="159"/>
      <c r="KI54" s="159"/>
      <c r="KJ54" s="158"/>
      <c r="KK54" s="158"/>
      <c r="KL54" s="158"/>
      <c r="KM54" s="158"/>
      <c r="KN54" s="158"/>
      <c r="KO54" s="158"/>
      <c r="KP54" s="164"/>
      <c r="KQ54" s="157">
        <v>0</v>
      </c>
      <c r="KR54" s="157">
        <v>0</v>
      </c>
      <c r="KS54" s="157">
        <v>0</v>
      </c>
      <c r="KT54" s="157">
        <v>0</v>
      </c>
      <c r="KU54" s="157">
        <v>0</v>
      </c>
      <c r="KV54" s="157">
        <v>0</v>
      </c>
      <c r="KW54" s="157">
        <v>0</v>
      </c>
      <c r="KX54" s="157">
        <v>0</v>
      </c>
      <c r="KY54" s="157">
        <v>0</v>
      </c>
      <c r="KZ54" s="157">
        <v>0</v>
      </c>
      <c r="LA54" s="157">
        <v>0</v>
      </c>
      <c r="LB54" s="157">
        <v>0</v>
      </c>
      <c r="LC54" s="157">
        <v>0</v>
      </c>
      <c r="LD54" s="157">
        <v>0</v>
      </c>
      <c r="LE54" s="157"/>
      <c r="LF54" s="157"/>
      <c r="LG54" s="157"/>
      <c r="LH54" s="157"/>
      <c r="LI54" s="157"/>
      <c r="LJ54" s="157"/>
      <c r="LK54" s="157"/>
      <c r="LL54" s="157"/>
      <c r="LM54" s="157"/>
      <c r="LN54" s="157"/>
      <c r="LO54" s="157"/>
      <c r="LP54" s="157"/>
      <c r="LQ54" s="157"/>
      <c r="LR54" s="157"/>
      <c r="LS54" s="157"/>
      <c r="LT54" s="5"/>
      <c r="LU54" s="8"/>
    </row>
    <row r="55" spans="1:333" ht="16.2" customHeight="1">
      <c r="A55" s="38" t="s">
        <v>9</v>
      </c>
      <c r="B55" s="25" t="s">
        <v>53</v>
      </c>
      <c r="C55" s="26" t="s">
        <v>387</v>
      </c>
      <c r="D55" s="25" t="s">
        <v>264</v>
      </c>
      <c r="E55" s="27" t="s">
        <v>86</v>
      </c>
      <c r="F55" s="25" t="s">
        <v>470</v>
      </c>
      <c r="G55" s="25" t="s">
        <v>265</v>
      </c>
      <c r="H55" s="28">
        <v>45482</v>
      </c>
      <c r="I55" s="29" t="s">
        <v>266</v>
      </c>
      <c r="J55" s="30">
        <v>1</v>
      </c>
      <c r="K55" s="147">
        <v>0</v>
      </c>
      <c r="L55" s="147">
        <f t="shared" ref="L55:L60" si="731">IFERROR(IF(OR(AD55&gt;0),1,0),0)</f>
        <v>1</v>
      </c>
      <c r="M55" s="147">
        <f t="shared" ref="M55:M60" si="732">IFERROR(IF(OR(AV55&gt;0),1,0),0)</f>
        <v>1</v>
      </c>
      <c r="N55" s="147">
        <f t="shared" ref="N55:N60" si="733">IFERROR(IF(OR(BK55&gt;0),1,0),0)</f>
        <v>1</v>
      </c>
      <c r="O55" s="147">
        <f t="shared" ref="O55:O60" si="734">IFERROR(IF(OR(CC55&gt;0),1,0),0)</f>
        <v>1</v>
      </c>
      <c r="P55" s="148">
        <f t="shared" ref="P55:P60" si="735">IFERROR(IF(OR(AV55&gt;0,CC55&gt;0),1,0),0)</f>
        <v>1</v>
      </c>
      <c r="Q55" s="50">
        <f t="shared" ref="Q55:Q60" si="736">JL55</f>
        <v>1</v>
      </c>
      <c r="R55" s="17">
        <f t="shared" ref="R55:R60" si="737">JM55</f>
        <v>1</v>
      </c>
      <c r="S55" s="17">
        <f t="shared" ref="S55:S60" si="738">JN55</f>
        <v>1</v>
      </c>
      <c r="T55" s="17">
        <f t="shared" ref="T55:T60" si="739">JO55</f>
        <v>0</v>
      </c>
      <c r="U55" s="17">
        <f t="shared" ref="U55:U60" si="740">JP55</f>
        <v>1</v>
      </c>
      <c r="V55" s="17">
        <f t="shared" ref="V55:V60" si="741">JQ55</f>
        <v>1</v>
      </c>
      <c r="W55" s="17">
        <f t="shared" ref="W55:W60" si="742">JR55</f>
        <v>1</v>
      </c>
      <c r="X55" s="17">
        <f t="shared" ref="X55:X60" si="743">JS55</f>
        <v>1</v>
      </c>
      <c r="Y55" s="17">
        <f t="shared" ref="Y55:Y60" si="744">JT55</f>
        <v>1</v>
      </c>
      <c r="Z55" s="17">
        <f t="shared" ref="Z55:Z60" si="745">JU55</f>
        <v>1</v>
      </c>
      <c r="AA55" s="17">
        <f t="shared" ref="AA55:AA60" si="746">JV55</f>
        <v>0</v>
      </c>
      <c r="AB55" s="17">
        <f t="shared" ref="AB55:AB60" si="747">JW55</f>
        <v>1</v>
      </c>
      <c r="AC55" s="17">
        <f t="shared" ref="AC55:AC60" si="748">JX55</f>
        <v>1</v>
      </c>
      <c r="AD55" s="17">
        <f t="shared" ref="AD55:AD60" si="749">JY55</f>
        <v>1</v>
      </c>
      <c r="AE55" s="17">
        <f t="shared" ref="AE55:AE60" si="750">JZ55</f>
        <v>0</v>
      </c>
      <c r="AF55" s="17">
        <f t="shared" ref="AF55:AF60" si="751">KA55</f>
        <v>0</v>
      </c>
      <c r="AG55" s="17">
        <f t="shared" ref="AG55:AG60" si="752">KB55</f>
        <v>0</v>
      </c>
      <c r="AH55" s="17">
        <f t="shared" ref="AH55:AH60" si="753">KC55</f>
        <v>0</v>
      </c>
      <c r="AI55" s="17">
        <f t="shared" ref="AI55:AI60" si="754">KD55</f>
        <v>0</v>
      </c>
      <c r="AJ55" s="17">
        <f t="shared" ref="AJ55:AJ60" si="755">KE55</f>
        <v>0</v>
      </c>
      <c r="AK55" s="17">
        <f t="shared" ref="AK55:AK60" si="756">KF55</f>
        <v>0</v>
      </c>
      <c r="AL55" s="17">
        <f t="shared" ref="AL55:AL60" si="757">KG55</f>
        <v>0</v>
      </c>
      <c r="AM55" s="17">
        <f t="shared" ref="AM55:AM60" si="758">KH55</f>
        <v>0</v>
      </c>
      <c r="AN55" s="17">
        <f t="shared" ref="AN55:AN60" si="759">KI55</f>
        <v>0</v>
      </c>
      <c r="AO55" s="17">
        <f t="shared" ref="AO55:AO60" si="760">KJ55</f>
        <v>0</v>
      </c>
      <c r="AP55" s="17">
        <f t="shared" ref="AP55:AP60" si="761">KK55</f>
        <v>0</v>
      </c>
      <c r="AQ55" s="17">
        <f t="shared" ref="AQ55:AQ60" si="762">KL55</f>
        <v>0</v>
      </c>
      <c r="AR55" s="17">
        <f t="shared" ref="AR55:AR60" si="763">KM55</f>
        <v>0</v>
      </c>
      <c r="AS55" s="17">
        <f t="shared" ref="AS55:AS60" si="764">KN55</f>
        <v>0</v>
      </c>
      <c r="AT55" s="17">
        <f t="shared" ref="AT55:AT60" si="765">KO55</f>
        <v>0</v>
      </c>
      <c r="AU55" s="54">
        <f t="shared" ref="AU55:AU60" si="766">KP55</f>
        <v>0</v>
      </c>
      <c r="AV55" s="58">
        <f t="shared" si="551"/>
        <v>12</v>
      </c>
      <c r="AW55" s="58">
        <f t="shared" ca="1" si="73"/>
        <v>0.92307692307692313</v>
      </c>
      <c r="AX55" s="50">
        <f t="shared" ref="AX55:AX60" si="767">KQ55</f>
        <v>12</v>
      </c>
      <c r="AY55" s="17">
        <f t="shared" ref="AY55:AY60" si="768">KR55</f>
        <v>14</v>
      </c>
      <c r="AZ55" s="17">
        <f t="shared" ref="AZ55:AZ60" si="769">KS55</f>
        <v>13</v>
      </c>
      <c r="BA55" s="17">
        <f t="shared" ref="BA55:BA60" si="770">KT55</f>
        <v>0</v>
      </c>
      <c r="BB55" s="17">
        <f t="shared" ref="BB55:BB60" si="771">KU55</f>
        <v>13</v>
      </c>
      <c r="BC55" s="17">
        <f t="shared" ref="BC55:BC60" si="772">KV55</f>
        <v>12</v>
      </c>
      <c r="BD55" s="17">
        <f t="shared" ref="BD55:BD60" si="773">KW55</f>
        <v>12</v>
      </c>
      <c r="BE55" s="17">
        <f t="shared" ref="BE55:BE60" si="774">KX55</f>
        <v>13</v>
      </c>
      <c r="BF55" s="17">
        <f t="shared" ref="BF55:BF60" si="775">KY55</f>
        <v>14</v>
      </c>
      <c r="BG55" s="17">
        <f t="shared" ref="BG55:BG60" si="776">KZ55</f>
        <v>11</v>
      </c>
      <c r="BH55" s="17">
        <f t="shared" ref="BH55:BH60" si="777">LA55</f>
        <v>0</v>
      </c>
      <c r="BI55" s="17">
        <f t="shared" ref="BI55:BI60" si="778">LB55</f>
        <v>12</v>
      </c>
      <c r="BJ55" s="17">
        <f t="shared" ref="BJ55:BJ60" si="779">LC55</f>
        <v>12</v>
      </c>
      <c r="BK55" s="17">
        <f t="shared" ref="BK55:BK60" si="780">LD55</f>
        <v>1</v>
      </c>
      <c r="BL55" s="17">
        <f t="shared" ref="BL55:BL60" si="781">LE55</f>
        <v>0</v>
      </c>
      <c r="BM55" s="17">
        <f t="shared" ref="BM55:BM60" si="782">LF55</f>
        <v>0</v>
      </c>
      <c r="BN55" s="17">
        <f t="shared" ref="BN55:BN60" si="783">LG55</f>
        <v>0</v>
      </c>
      <c r="BO55" s="17">
        <f t="shared" ref="BO55:BO60" si="784">LH55</f>
        <v>0</v>
      </c>
      <c r="BP55" s="17">
        <f t="shared" ref="BP55:BP60" si="785">LI55</f>
        <v>0</v>
      </c>
      <c r="BQ55" s="17">
        <f t="shared" ref="BQ55:BQ60" si="786">LJ55</f>
        <v>0</v>
      </c>
      <c r="BR55" s="17">
        <f t="shared" ref="BR55:BR60" si="787">LK55</f>
        <v>0</v>
      </c>
      <c r="BS55" s="17">
        <f t="shared" ref="BS55:BS60" si="788">LL55</f>
        <v>0</v>
      </c>
      <c r="BT55" s="17">
        <f t="shared" ref="BT55:BT60" si="789">LM55</f>
        <v>0</v>
      </c>
      <c r="BU55" s="17">
        <f t="shared" ref="BU55:BU60" si="790">LN55</f>
        <v>0</v>
      </c>
      <c r="BV55" s="17">
        <f t="shared" ref="BV55:BV60" si="791">LO55</f>
        <v>0</v>
      </c>
      <c r="BW55" s="17">
        <f t="shared" ref="BW55:BW60" si="792">LP55</f>
        <v>0</v>
      </c>
      <c r="BX55" s="17">
        <f t="shared" ref="BX55:BX60" si="793">LQ55</f>
        <v>0</v>
      </c>
      <c r="BY55" s="17">
        <f t="shared" ref="BY55:BY60" si="794">LR55</f>
        <v>0</v>
      </c>
      <c r="BZ55" s="17">
        <f t="shared" ref="BZ55:BZ60" si="795">LS55</f>
        <v>0</v>
      </c>
      <c r="CA55" s="17">
        <f t="shared" ref="CA55:CA60" si="796">LT55</f>
        <v>0</v>
      </c>
      <c r="CB55" s="54">
        <f t="shared" ref="CB55:CB60" si="797">LU55</f>
        <v>0</v>
      </c>
      <c r="CC55" s="58">
        <f t="shared" si="208"/>
        <v>139</v>
      </c>
      <c r="CD55" s="58">
        <f t="shared" ca="1" si="103"/>
        <v>10.692307692307692</v>
      </c>
      <c r="JJ55" s="4" t="s">
        <v>13</v>
      </c>
      <c r="JK55" s="152" t="str">
        <f t="shared" si="552"/>
        <v>BWP01-PHR-MIO-01</v>
      </c>
      <c r="JL55" s="163">
        <v>1</v>
      </c>
      <c r="JM55" s="158">
        <v>1</v>
      </c>
      <c r="JN55" s="158">
        <v>1</v>
      </c>
      <c r="JO55" s="159">
        <v>0</v>
      </c>
      <c r="JP55" s="158">
        <v>1</v>
      </c>
      <c r="JQ55" s="158">
        <v>1</v>
      </c>
      <c r="JR55" s="158">
        <v>1</v>
      </c>
      <c r="JS55" s="158">
        <v>1</v>
      </c>
      <c r="JT55" s="158">
        <v>1</v>
      </c>
      <c r="JU55" s="158">
        <v>1</v>
      </c>
      <c r="JV55" s="158">
        <v>0</v>
      </c>
      <c r="JW55" s="159">
        <v>1</v>
      </c>
      <c r="JX55" s="159">
        <v>1</v>
      </c>
      <c r="JY55" s="159">
        <v>1</v>
      </c>
      <c r="JZ55" s="158"/>
      <c r="KA55" s="158"/>
      <c r="KB55" s="158"/>
      <c r="KC55" s="158"/>
      <c r="KD55" s="158"/>
      <c r="KE55" s="158"/>
      <c r="KF55" s="158"/>
      <c r="KG55" s="158"/>
      <c r="KH55" s="159"/>
      <c r="KI55" s="159"/>
      <c r="KJ55" s="158"/>
      <c r="KK55" s="158"/>
      <c r="KL55" s="158"/>
      <c r="KM55" s="158"/>
      <c r="KN55" s="158"/>
      <c r="KO55" s="158"/>
      <c r="KP55" s="164"/>
      <c r="KQ55" s="157">
        <v>12</v>
      </c>
      <c r="KR55" s="157">
        <v>14</v>
      </c>
      <c r="KS55" s="157">
        <v>13</v>
      </c>
      <c r="KT55" s="157">
        <v>0</v>
      </c>
      <c r="KU55" s="157">
        <v>13</v>
      </c>
      <c r="KV55" s="157">
        <v>12</v>
      </c>
      <c r="KW55" s="157">
        <v>12</v>
      </c>
      <c r="KX55" s="157">
        <v>13</v>
      </c>
      <c r="KY55" s="157">
        <v>14</v>
      </c>
      <c r="KZ55" s="157">
        <v>11</v>
      </c>
      <c r="LA55" s="157">
        <v>0</v>
      </c>
      <c r="LB55" s="157">
        <v>12</v>
      </c>
      <c r="LC55" s="157">
        <v>12</v>
      </c>
      <c r="LD55" s="157">
        <v>1</v>
      </c>
      <c r="LE55" s="157"/>
      <c r="LF55" s="157"/>
      <c r="LG55" s="157"/>
      <c r="LH55" s="157"/>
      <c r="LI55" s="157"/>
      <c r="LJ55" s="157"/>
      <c r="LK55" s="157"/>
      <c r="LL55" s="157"/>
      <c r="LM55" s="157"/>
      <c r="LN55" s="157"/>
      <c r="LO55" s="157"/>
      <c r="LP55" s="157"/>
      <c r="LQ55" s="157"/>
      <c r="LR55" s="157"/>
      <c r="LS55" s="157"/>
      <c r="LT55" s="5"/>
      <c r="LU55" s="8"/>
    </row>
    <row r="56" spans="1:333" ht="16.2" customHeight="1">
      <c r="A56" s="38" t="s">
        <v>9</v>
      </c>
      <c r="B56" s="25" t="s">
        <v>53</v>
      </c>
      <c r="C56" s="26" t="s">
        <v>387</v>
      </c>
      <c r="D56" s="25" t="s">
        <v>267</v>
      </c>
      <c r="E56" s="27" t="s">
        <v>87</v>
      </c>
      <c r="F56" s="25" t="s">
        <v>471</v>
      </c>
      <c r="G56" s="25" t="s">
        <v>88</v>
      </c>
      <c r="H56" s="28">
        <v>43701</v>
      </c>
      <c r="I56" s="29" t="s">
        <v>268</v>
      </c>
      <c r="J56" s="30">
        <v>1</v>
      </c>
      <c r="K56" s="147">
        <v>0</v>
      </c>
      <c r="L56" s="147">
        <f t="shared" si="731"/>
        <v>1</v>
      </c>
      <c r="M56" s="147">
        <f t="shared" si="732"/>
        <v>1</v>
      </c>
      <c r="N56" s="147">
        <f t="shared" si="733"/>
        <v>1</v>
      </c>
      <c r="O56" s="147">
        <f t="shared" si="734"/>
        <v>1</v>
      </c>
      <c r="P56" s="148">
        <f t="shared" si="735"/>
        <v>1</v>
      </c>
      <c r="Q56" s="50">
        <f t="shared" si="736"/>
        <v>1</v>
      </c>
      <c r="R56" s="17">
        <f t="shared" si="737"/>
        <v>1</v>
      </c>
      <c r="S56" s="17">
        <f t="shared" si="738"/>
        <v>1</v>
      </c>
      <c r="T56" s="17">
        <f t="shared" si="739"/>
        <v>0</v>
      </c>
      <c r="U56" s="17">
        <f t="shared" si="740"/>
        <v>1</v>
      </c>
      <c r="V56" s="17">
        <f t="shared" si="741"/>
        <v>1</v>
      </c>
      <c r="W56" s="17">
        <f t="shared" si="742"/>
        <v>1</v>
      </c>
      <c r="X56" s="17">
        <f t="shared" si="743"/>
        <v>1</v>
      </c>
      <c r="Y56" s="17">
        <f t="shared" si="744"/>
        <v>1</v>
      </c>
      <c r="Z56" s="17">
        <f t="shared" si="745"/>
        <v>1</v>
      </c>
      <c r="AA56" s="17">
        <f t="shared" si="746"/>
        <v>0</v>
      </c>
      <c r="AB56" s="17">
        <f t="shared" si="747"/>
        <v>1</v>
      </c>
      <c r="AC56" s="17">
        <f t="shared" si="748"/>
        <v>1</v>
      </c>
      <c r="AD56" s="17">
        <f t="shared" si="749"/>
        <v>1</v>
      </c>
      <c r="AE56" s="17">
        <f t="shared" si="750"/>
        <v>0</v>
      </c>
      <c r="AF56" s="17">
        <f t="shared" si="751"/>
        <v>0</v>
      </c>
      <c r="AG56" s="17">
        <f t="shared" si="752"/>
        <v>0</v>
      </c>
      <c r="AH56" s="17">
        <f t="shared" si="753"/>
        <v>0</v>
      </c>
      <c r="AI56" s="17">
        <f t="shared" si="754"/>
        <v>0</v>
      </c>
      <c r="AJ56" s="17">
        <f t="shared" si="755"/>
        <v>0</v>
      </c>
      <c r="AK56" s="17">
        <f t="shared" si="756"/>
        <v>0</v>
      </c>
      <c r="AL56" s="17">
        <f t="shared" si="757"/>
        <v>0</v>
      </c>
      <c r="AM56" s="17">
        <f t="shared" si="758"/>
        <v>0</v>
      </c>
      <c r="AN56" s="17">
        <f t="shared" si="759"/>
        <v>0</v>
      </c>
      <c r="AO56" s="17">
        <f t="shared" si="760"/>
        <v>0</v>
      </c>
      <c r="AP56" s="17">
        <f t="shared" si="761"/>
        <v>0</v>
      </c>
      <c r="AQ56" s="17">
        <f t="shared" si="762"/>
        <v>0</v>
      </c>
      <c r="AR56" s="17">
        <f t="shared" si="763"/>
        <v>0</v>
      </c>
      <c r="AS56" s="17">
        <f t="shared" si="764"/>
        <v>0</v>
      </c>
      <c r="AT56" s="17">
        <f t="shared" si="765"/>
        <v>0</v>
      </c>
      <c r="AU56" s="54">
        <f t="shared" si="766"/>
        <v>0</v>
      </c>
      <c r="AV56" s="58">
        <f t="shared" si="551"/>
        <v>12</v>
      </c>
      <c r="AW56" s="58">
        <f t="shared" ca="1" si="73"/>
        <v>0.92307692307692313</v>
      </c>
      <c r="AX56" s="50">
        <f t="shared" si="767"/>
        <v>12</v>
      </c>
      <c r="AY56" s="17">
        <f t="shared" si="768"/>
        <v>12</v>
      </c>
      <c r="AZ56" s="17">
        <f t="shared" si="769"/>
        <v>12</v>
      </c>
      <c r="BA56" s="17">
        <f t="shared" si="770"/>
        <v>0</v>
      </c>
      <c r="BB56" s="17">
        <f t="shared" si="771"/>
        <v>12</v>
      </c>
      <c r="BC56" s="17">
        <f t="shared" si="772"/>
        <v>12</v>
      </c>
      <c r="BD56" s="17">
        <f t="shared" si="773"/>
        <v>12</v>
      </c>
      <c r="BE56" s="17">
        <f t="shared" si="774"/>
        <v>12</v>
      </c>
      <c r="BF56" s="17">
        <f t="shared" si="775"/>
        <v>12</v>
      </c>
      <c r="BG56" s="17">
        <f t="shared" si="776"/>
        <v>12</v>
      </c>
      <c r="BH56" s="17">
        <f t="shared" si="777"/>
        <v>0</v>
      </c>
      <c r="BI56" s="17">
        <f t="shared" si="778"/>
        <v>12</v>
      </c>
      <c r="BJ56" s="17">
        <f t="shared" si="779"/>
        <v>12</v>
      </c>
      <c r="BK56" s="17">
        <f t="shared" si="780"/>
        <v>2</v>
      </c>
      <c r="BL56" s="17">
        <f t="shared" si="781"/>
        <v>0</v>
      </c>
      <c r="BM56" s="17">
        <f t="shared" si="782"/>
        <v>0</v>
      </c>
      <c r="BN56" s="17">
        <f t="shared" si="783"/>
        <v>0</v>
      </c>
      <c r="BO56" s="17">
        <f t="shared" si="784"/>
        <v>0</v>
      </c>
      <c r="BP56" s="17">
        <f t="shared" si="785"/>
        <v>0</v>
      </c>
      <c r="BQ56" s="17">
        <f t="shared" si="786"/>
        <v>0</v>
      </c>
      <c r="BR56" s="17">
        <f t="shared" si="787"/>
        <v>0</v>
      </c>
      <c r="BS56" s="17">
        <f t="shared" si="788"/>
        <v>0</v>
      </c>
      <c r="BT56" s="17">
        <f t="shared" si="789"/>
        <v>0</v>
      </c>
      <c r="BU56" s="17">
        <f t="shared" si="790"/>
        <v>0</v>
      </c>
      <c r="BV56" s="17">
        <f t="shared" si="791"/>
        <v>0</v>
      </c>
      <c r="BW56" s="17">
        <f t="shared" si="792"/>
        <v>0</v>
      </c>
      <c r="BX56" s="17">
        <f t="shared" si="793"/>
        <v>0</v>
      </c>
      <c r="BY56" s="17">
        <f t="shared" si="794"/>
        <v>0</v>
      </c>
      <c r="BZ56" s="17">
        <f t="shared" si="795"/>
        <v>0</v>
      </c>
      <c r="CA56" s="17">
        <f t="shared" si="796"/>
        <v>0</v>
      </c>
      <c r="CB56" s="54">
        <f t="shared" si="797"/>
        <v>0</v>
      </c>
      <c r="CC56" s="58">
        <f t="shared" si="208"/>
        <v>134</v>
      </c>
      <c r="CD56" s="58">
        <f t="shared" ca="1" si="103"/>
        <v>10.307692307692308</v>
      </c>
      <c r="JJ56" s="4" t="s">
        <v>13</v>
      </c>
      <c r="JK56" s="152" t="str">
        <f t="shared" si="552"/>
        <v>BWP01-PHR-MIO-03</v>
      </c>
      <c r="JL56" s="163">
        <v>1</v>
      </c>
      <c r="JM56" s="158">
        <v>1</v>
      </c>
      <c r="JN56" s="158">
        <v>1</v>
      </c>
      <c r="JO56" s="159">
        <v>0</v>
      </c>
      <c r="JP56" s="158">
        <v>1</v>
      </c>
      <c r="JQ56" s="158">
        <v>1</v>
      </c>
      <c r="JR56" s="158">
        <v>1</v>
      </c>
      <c r="JS56" s="158">
        <v>1</v>
      </c>
      <c r="JT56" s="158">
        <v>1</v>
      </c>
      <c r="JU56" s="158">
        <v>1</v>
      </c>
      <c r="JV56" s="158">
        <v>0</v>
      </c>
      <c r="JW56" s="159">
        <v>1</v>
      </c>
      <c r="JX56" s="159">
        <v>1</v>
      </c>
      <c r="JY56" s="159">
        <v>1</v>
      </c>
      <c r="JZ56" s="158"/>
      <c r="KA56" s="158"/>
      <c r="KB56" s="158"/>
      <c r="KC56" s="158"/>
      <c r="KD56" s="158"/>
      <c r="KE56" s="158"/>
      <c r="KF56" s="158"/>
      <c r="KG56" s="158"/>
      <c r="KH56" s="159"/>
      <c r="KI56" s="159"/>
      <c r="KJ56" s="158"/>
      <c r="KK56" s="158"/>
      <c r="KL56" s="158"/>
      <c r="KM56" s="158"/>
      <c r="KN56" s="158"/>
      <c r="KO56" s="158"/>
      <c r="KP56" s="164"/>
      <c r="KQ56" s="157">
        <v>12</v>
      </c>
      <c r="KR56" s="157">
        <v>12</v>
      </c>
      <c r="KS56" s="157">
        <v>12</v>
      </c>
      <c r="KT56" s="157">
        <v>0</v>
      </c>
      <c r="KU56" s="157">
        <v>12</v>
      </c>
      <c r="KV56" s="157">
        <v>12</v>
      </c>
      <c r="KW56" s="157">
        <v>12</v>
      </c>
      <c r="KX56" s="157">
        <v>12</v>
      </c>
      <c r="KY56" s="157">
        <v>12</v>
      </c>
      <c r="KZ56" s="157">
        <v>12</v>
      </c>
      <c r="LA56" s="157">
        <v>0</v>
      </c>
      <c r="LB56" s="157">
        <v>12</v>
      </c>
      <c r="LC56" s="157">
        <v>12</v>
      </c>
      <c r="LD56" s="157">
        <v>2</v>
      </c>
      <c r="LE56" s="157"/>
      <c r="LF56" s="157"/>
      <c r="LG56" s="157"/>
      <c r="LH56" s="157"/>
      <c r="LI56" s="157"/>
      <c r="LJ56" s="157"/>
      <c r="LK56" s="157"/>
      <c r="LL56" s="157"/>
      <c r="LM56" s="157"/>
      <c r="LN56" s="157"/>
      <c r="LO56" s="157"/>
      <c r="LP56" s="157"/>
      <c r="LQ56" s="157"/>
      <c r="LR56" s="157"/>
      <c r="LS56" s="157"/>
      <c r="LT56" s="5"/>
      <c r="LU56" s="8"/>
    </row>
    <row r="57" spans="1:333" ht="16.2" customHeight="1">
      <c r="A57" s="38" t="s">
        <v>9</v>
      </c>
      <c r="B57" s="25" t="s">
        <v>53</v>
      </c>
      <c r="C57" s="26" t="s">
        <v>387</v>
      </c>
      <c r="D57" s="25" t="s">
        <v>269</v>
      </c>
      <c r="E57" s="27" t="s">
        <v>89</v>
      </c>
      <c r="F57" s="25" t="s">
        <v>472</v>
      </c>
      <c r="G57" s="25" t="s">
        <v>270</v>
      </c>
      <c r="H57" s="28">
        <v>45967</v>
      </c>
      <c r="I57" s="29" t="s">
        <v>271</v>
      </c>
      <c r="J57" s="30">
        <v>1</v>
      </c>
      <c r="K57" s="147">
        <v>0</v>
      </c>
      <c r="L57" s="147">
        <f t="shared" si="731"/>
        <v>1</v>
      </c>
      <c r="M57" s="147">
        <f t="shared" si="732"/>
        <v>1</v>
      </c>
      <c r="N57" s="147">
        <f t="shared" si="733"/>
        <v>0</v>
      </c>
      <c r="O57" s="147">
        <f t="shared" si="734"/>
        <v>1</v>
      </c>
      <c r="P57" s="148">
        <f t="shared" si="735"/>
        <v>1</v>
      </c>
      <c r="Q57" s="50">
        <f t="shared" si="736"/>
        <v>1</v>
      </c>
      <c r="R57" s="17">
        <f t="shared" si="737"/>
        <v>1</v>
      </c>
      <c r="S57" s="17">
        <f t="shared" si="738"/>
        <v>1</v>
      </c>
      <c r="T57" s="17">
        <f t="shared" si="739"/>
        <v>0</v>
      </c>
      <c r="U57" s="17">
        <f t="shared" si="740"/>
        <v>1</v>
      </c>
      <c r="V57" s="17">
        <f t="shared" si="741"/>
        <v>1</v>
      </c>
      <c r="W57" s="17">
        <f t="shared" si="742"/>
        <v>1</v>
      </c>
      <c r="X57" s="17">
        <f t="shared" si="743"/>
        <v>1</v>
      </c>
      <c r="Y57" s="17">
        <f t="shared" si="744"/>
        <v>1</v>
      </c>
      <c r="Z57" s="17">
        <f t="shared" si="745"/>
        <v>1</v>
      </c>
      <c r="AA57" s="17">
        <f t="shared" si="746"/>
        <v>0</v>
      </c>
      <c r="AB57" s="17">
        <f t="shared" si="747"/>
        <v>1</v>
      </c>
      <c r="AC57" s="17">
        <f t="shared" si="748"/>
        <v>1</v>
      </c>
      <c r="AD57" s="17">
        <f t="shared" si="749"/>
        <v>1</v>
      </c>
      <c r="AE57" s="17">
        <f t="shared" si="750"/>
        <v>0</v>
      </c>
      <c r="AF57" s="17">
        <f t="shared" si="751"/>
        <v>0</v>
      </c>
      <c r="AG57" s="17">
        <f t="shared" si="752"/>
        <v>0</v>
      </c>
      <c r="AH57" s="17">
        <f t="shared" si="753"/>
        <v>0</v>
      </c>
      <c r="AI57" s="17">
        <f t="shared" si="754"/>
        <v>0</v>
      </c>
      <c r="AJ57" s="17">
        <f t="shared" si="755"/>
        <v>0</v>
      </c>
      <c r="AK57" s="17">
        <f t="shared" si="756"/>
        <v>0</v>
      </c>
      <c r="AL57" s="17">
        <f t="shared" si="757"/>
        <v>0</v>
      </c>
      <c r="AM57" s="17">
        <f t="shared" si="758"/>
        <v>0</v>
      </c>
      <c r="AN57" s="17">
        <f t="shared" si="759"/>
        <v>0</v>
      </c>
      <c r="AO57" s="17">
        <f t="shared" si="760"/>
        <v>0</v>
      </c>
      <c r="AP57" s="17">
        <f t="shared" si="761"/>
        <v>0</v>
      </c>
      <c r="AQ57" s="17">
        <f t="shared" si="762"/>
        <v>0</v>
      </c>
      <c r="AR57" s="17">
        <f t="shared" si="763"/>
        <v>0</v>
      </c>
      <c r="AS57" s="17">
        <f t="shared" si="764"/>
        <v>0</v>
      </c>
      <c r="AT57" s="17">
        <f t="shared" si="765"/>
        <v>0</v>
      </c>
      <c r="AU57" s="54">
        <f t="shared" si="766"/>
        <v>0</v>
      </c>
      <c r="AV57" s="58">
        <f t="shared" si="551"/>
        <v>12</v>
      </c>
      <c r="AW57" s="58">
        <f t="shared" ca="1" si="73"/>
        <v>0.92307692307692313</v>
      </c>
      <c r="AX57" s="50">
        <f t="shared" si="767"/>
        <v>14</v>
      </c>
      <c r="AY57" s="17">
        <f t="shared" si="768"/>
        <v>12</v>
      </c>
      <c r="AZ57" s="17">
        <f t="shared" si="769"/>
        <v>13</v>
      </c>
      <c r="BA57" s="17">
        <f t="shared" si="770"/>
        <v>0</v>
      </c>
      <c r="BB57" s="17">
        <f t="shared" si="771"/>
        <v>13</v>
      </c>
      <c r="BC57" s="17">
        <f t="shared" si="772"/>
        <v>12</v>
      </c>
      <c r="BD57" s="17">
        <f t="shared" si="773"/>
        <v>12</v>
      </c>
      <c r="BE57" s="17">
        <f t="shared" si="774"/>
        <v>12</v>
      </c>
      <c r="BF57" s="17">
        <f t="shared" si="775"/>
        <v>12</v>
      </c>
      <c r="BG57" s="17">
        <f t="shared" si="776"/>
        <v>12</v>
      </c>
      <c r="BH57" s="17">
        <f t="shared" si="777"/>
        <v>0</v>
      </c>
      <c r="BI57" s="17">
        <f t="shared" si="778"/>
        <v>12</v>
      </c>
      <c r="BJ57" s="17">
        <f t="shared" si="779"/>
        <v>12</v>
      </c>
      <c r="BK57" s="17">
        <f t="shared" si="780"/>
        <v>0</v>
      </c>
      <c r="BL57" s="17">
        <f t="shared" si="781"/>
        <v>0</v>
      </c>
      <c r="BM57" s="17">
        <f t="shared" si="782"/>
        <v>0</v>
      </c>
      <c r="BN57" s="17">
        <f t="shared" si="783"/>
        <v>0</v>
      </c>
      <c r="BO57" s="17">
        <f t="shared" si="784"/>
        <v>0</v>
      </c>
      <c r="BP57" s="17">
        <f t="shared" si="785"/>
        <v>0</v>
      </c>
      <c r="BQ57" s="17">
        <f t="shared" si="786"/>
        <v>0</v>
      </c>
      <c r="BR57" s="17">
        <f t="shared" si="787"/>
        <v>0</v>
      </c>
      <c r="BS57" s="17">
        <f t="shared" si="788"/>
        <v>0</v>
      </c>
      <c r="BT57" s="17">
        <f t="shared" si="789"/>
        <v>0</v>
      </c>
      <c r="BU57" s="17">
        <f t="shared" si="790"/>
        <v>0</v>
      </c>
      <c r="BV57" s="17">
        <f t="shared" si="791"/>
        <v>0</v>
      </c>
      <c r="BW57" s="17">
        <f t="shared" si="792"/>
        <v>0</v>
      </c>
      <c r="BX57" s="17">
        <f t="shared" si="793"/>
        <v>0</v>
      </c>
      <c r="BY57" s="17">
        <f t="shared" si="794"/>
        <v>0</v>
      </c>
      <c r="BZ57" s="17">
        <f t="shared" si="795"/>
        <v>0</v>
      </c>
      <c r="CA57" s="17">
        <f t="shared" si="796"/>
        <v>0</v>
      </c>
      <c r="CB57" s="54">
        <f t="shared" si="797"/>
        <v>0</v>
      </c>
      <c r="CC57" s="58">
        <f t="shared" si="208"/>
        <v>136</v>
      </c>
      <c r="CD57" s="58">
        <f t="shared" ca="1" si="103"/>
        <v>10.461538461538462</v>
      </c>
      <c r="JJ57" s="4" t="s">
        <v>13</v>
      </c>
      <c r="JK57" s="152" t="str">
        <f t="shared" si="552"/>
        <v>BWP01-PHR-MIO-02</v>
      </c>
      <c r="JL57" s="163">
        <v>1</v>
      </c>
      <c r="JM57" s="158">
        <v>1</v>
      </c>
      <c r="JN57" s="158">
        <v>1</v>
      </c>
      <c r="JO57" s="159">
        <v>0</v>
      </c>
      <c r="JP57" s="158">
        <v>1</v>
      </c>
      <c r="JQ57" s="158">
        <v>1</v>
      </c>
      <c r="JR57" s="158">
        <v>1</v>
      </c>
      <c r="JS57" s="158">
        <v>1</v>
      </c>
      <c r="JT57" s="158">
        <v>1</v>
      </c>
      <c r="JU57" s="158">
        <v>1</v>
      </c>
      <c r="JV57" s="158">
        <v>0</v>
      </c>
      <c r="JW57" s="159">
        <v>1</v>
      </c>
      <c r="JX57" s="159">
        <v>1</v>
      </c>
      <c r="JY57" s="159">
        <v>1</v>
      </c>
      <c r="JZ57" s="158"/>
      <c r="KA57" s="158"/>
      <c r="KB57" s="158"/>
      <c r="KC57" s="158"/>
      <c r="KD57" s="158"/>
      <c r="KE57" s="158"/>
      <c r="KF57" s="158"/>
      <c r="KG57" s="158"/>
      <c r="KH57" s="159"/>
      <c r="KI57" s="159"/>
      <c r="KJ57" s="158"/>
      <c r="KK57" s="158"/>
      <c r="KL57" s="158"/>
      <c r="KM57" s="158"/>
      <c r="KN57" s="158"/>
      <c r="KO57" s="158"/>
      <c r="KP57" s="164"/>
      <c r="KQ57" s="157">
        <v>14</v>
      </c>
      <c r="KR57" s="157">
        <v>12</v>
      </c>
      <c r="KS57" s="157">
        <v>13</v>
      </c>
      <c r="KT57" s="157">
        <v>0</v>
      </c>
      <c r="KU57" s="157">
        <v>13</v>
      </c>
      <c r="KV57" s="157">
        <v>12</v>
      </c>
      <c r="KW57" s="157">
        <v>12</v>
      </c>
      <c r="KX57" s="157">
        <v>12</v>
      </c>
      <c r="KY57" s="157">
        <v>12</v>
      </c>
      <c r="KZ57" s="157">
        <v>12</v>
      </c>
      <c r="LA57" s="157">
        <v>0</v>
      </c>
      <c r="LB57" s="157">
        <v>12</v>
      </c>
      <c r="LC57" s="157">
        <v>12</v>
      </c>
      <c r="LD57" s="157">
        <v>0</v>
      </c>
      <c r="LE57" s="157"/>
      <c r="LF57" s="157"/>
      <c r="LG57" s="157"/>
      <c r="LH57" s="157"/>
      <c r="LI57" s="157"/>
      <c r="LJ57" s="157"/>
      <c r="LK57" s="157"/>
      <c r="LL57" s="157"/>
      <c r="LM57" s="157"/>
      <c r="LN57" s="157"/>
      <c r="LO57" s="157"/>
      <c r="LP57" s="157"/>
      <c r="LQ57" s="157"/>
      <c r="LR57" s="157"/>
      <c r="LS57" s="157"/>
      <c r="LT57" s="5"/>
      <c r="LU57" s="8"/>
    </row>
    <row r="58" spans="1:333" ht="16.2" customHeight="1">
      <c r="A58" s="38" t="s">
        <v>9</v>
      </c>
      <c r="B58" s="25" t="s">
        <v>53</v>
      </c>
      <c r="C58" s="25" t="s">
        <v>387</v>
      </c>
      <c r="D58" s="25" t="s">
        <v>272</v>
      </c>
      <c r="E58" s="27" t="s">
        <v>90</v>
      </c>
      <c r="F58" s="25" t="s">
        <v>473</v>
      </c>
      <c r="G58" s="25" t="s">
        <v>273</v>
      </c>
      <c r="H58" s="28">
        <v>45302</v>
      </c>
      <c r="I58" s="29" t="s">
        <v>85</v>
      </c>
      <c r="J58" s="30">
        <v>1</v>
      </c>
      <c r="K58" s="147">
        <v>0</v>
      </c>
      <c r="L58" s="147">
        <f t="shared" si="731"/>
        <v>1</v>
      </c>
      <c r="M58" s="147">
        <f t="shared" si="732"/>
        <v>1</v>
      </c>
      <c r="N58" s="147">
        <f t="shared" si="733"/>
        <v>1</v>
      </c>
      <c r="O58" s="147">
        <f t="shared" si="734"/>
        <v>1</v>
      </c>
      <c r="P58" s="148">
        <f t="shared" si="735"/>
        <v>1</v>
      </c>
      <c r="Q58" s="50">
        <f t="shared" si="736"/>
        <v>1</v>
      </c>
      <c r="R58" s="17">
        <f t="shared" si="737"/>
        <v>1</v>
      </c>
      <c r="S58" s="17">
        <f t="shared" si="738"/>
        <v>1</v>
      </c>
      <c r="T58" s="17">
        <f t="shared" si="739"/>
        <v>0</v>
      </c>
      <c r="U58" s="17">
        <f t="shared" si="740"/>
        <v>1</v>
      </c>
      <c r="V58" s="17">
        <f t="shared" si="741"/>
        <v>1</v>
      </c>
      <c r="W58" s="17">
        <f t="shared" si="742"/>
        <v>1</v>
      </c>
      <c r="X58" s="17">
        <f t="shared" si="743"/>
        <v>1</v>
      </c>
      <c r="Y58" s="17">
        <f t="shared" si="744"/>
        <v>1</v>
      </c>
      <c r="Z58" s="17">
        <f t="shared" si="745"/>
        <v>1</v>
      </c>
      <c r="AA58" s="17">
        <f t="shared" si="746"/>
        <v>0</v>
      </c>
      <c r="AB58" s="17">
        <f t="shared" si="747"/>
        <v>1</v>
      </c>
      <c r="AC58" s="17">
        <f t="shared" si="748"/>
        <v>1</v>
      </c>
      <c r="AD58" s="17">
        <f t="shared" si="749"/>
        <v>1</v>
      </c>
      <c r="AE58" s="17">
        <f t="shared" si="750"/>
        <v>0</v>
      </c>
      <c r="AF58" s="17">
        <f t="shared" si="751"/>
        <v>0</v>
      </c>
      <c r="AG58" s="17">
        <f t="shared" si="752"/>
        <v>0</v>
      </c>
      <c r="AH58" s="17">
        <f t="shared" si="753"/>
        <v>0</v>
      </c>
      <c r="AI58" s="17">
        <f t="shared" si="754"/>
        <v>0</v>
      </c>
      <c r="AJ58" s="17">
        <f t="shared" si="755"/>
        <v>0</v>
      </c>
      <c r="AK58" s="17">
        <f t="shared" si="756"/>
        <v>0</v>
      </c>
      <c r="AL58" s="17">
        <f t="shared" si="757"/>
        <v>0</v>
      </c>
      <c r="AM58" s="17">
        <f t="shared" si="758"/>
        <v>0</v>
      </c>
      <c r="AN58" s="17">
        <f t="shared" si="759"/>
        <v>0</v>
      </c>
      <c r="AO58" s="17">
        <f t="shared" si="760"/>
        <v>0</v>
      </c>
      <c r="AP58" s="17">
        <f t="shared" si="761"/>
        <v>0</v>
      </c>
      <c r="AQ58" s="17">
        <f t="shared" si="762"/>
        <v>0</v>
      </c>
      <c r="AR58" s="17">
        <f t="shared" si="763"/>
        <v>0</v>
      </c>
      <c r="AS58" s="17">
        <f t="shared" si="764"/>
        <v>0</v>
      </c>
      <c r="AT58" s="17">
        <f t="shared" si="765"/>
        <v>0</v>
      </c>
      <c r="AU58" s="54">
        <f t="shared" si="766"/>
        <v>0</v>
      </c>
      <c r="AV58" s="58">
        <f t="shared" si="551"/>
        <v>12</v>
      </c>
      <c r="AW58" s="58">
        <f t="shared" ca="1" si="73"/>
        <v>0.92307692307692313</v>
      </c>
      <c r="AX58" s="50">
        <f t="shared" si="767"/>
        <v>12</v>
      </c>
      <c r="AY58" s="17">
        <f t="shared" si="768"/>
        <v>14</v>
      </c>
      <c r="AZ58" s="17">
        <f t="shared" si="769"/>
        <v>15</v>
      </c>
      <c r="BA58" s="17">
        <f t="shared" si="770"/>
        <v>0</v>
      </c>
      <c r="BB58" s="17">
        <f t="shared" si="771"/>
        <v>12</v>
      </c>
      <c r="BC58" s="17">
        <f t="shared" si="772"/>
        <v>17</v>
      </c>
      <c r="BD58" s="17">
        <f t="shared" si="773"/>
        <v>16</v>
      </c>
      <c r="BE58" s="17">
        <f t="shared" si="774"/>
        <v>17</v>
      </c>
      <c r="BF58" s="17">
        <f t="shared" si="775"/>
        <v>14</v>
      </c>
      <c r="BG58" s="17">
        <f t="shared" si="776"/>
        <v>15</v>
      </c>
      <c r="BH58" s="17">
        <f t="shared" si="777"/>
        <v>0</v>
      </c>
      <c r="BI58" s="17">
        <f t="shared" si="778"/>
        <v>12</v>
      </c>
      <c r="BJ58" s="17">
        <f t="shared" si="779"/>
        <v>16</v>
      </c>
      <c r="BK58" s="17">
        <f t="shared" si="780"/>
        <v>2</v>
      </c>
      <c r="BL58" s="17">
        <f t="shared" si="781"/>
        <v>0</v>
      </c>
      <c r="BM58" s="17">
        <f t="shared" si="782"/>
        <v>0</v>
      </c>
      <c r="BN58" s="17">
        <f t="shared" si="783"/>
        <v>0</v>
      </c>
      <c r="BO58" s="17">
        <f t="shared" si="784"/>
        <v>0</v>
      </c>
      <c r="BP58" s="17">
        <f t="shared" si="785"/>
        <v>0</v>
      </c>
      <c r="BQ58" s="17">
        <f t="shared" si="786"/>
        <v>0</v>
      </c>
      <c r="BR58" s="17">
        <f t="shared" si="787"/>
        <v>0</v>
      </c>
      <c r="BS58" s="17">
        <f t="shared" si="788"/>
        <v>0</v>
      </c>
      <c r="BT58" s="17">
        <f t="shared" si="789"/>
        <v>0</v>
      </c>
      <c r="BU58" s="17">
        <f t="shared" si="790"/>
        <v>0</v>
      </c>
      <c r="BV58" s="17">
        <f t="shared" si="791"/>
        <v>0</v>
      </c>
      <c r="BW58" s="17">
        <f t="shared" si="792"/>
        <v>0</v>
      </c>
      <c r="BX58" s="17">
        <f t="shared" si="793"/>
        <v>0</v>
      </c>
      <c r="BY58" s="17">
        <f t="shared" si="794"/>
        <v>0</v>
      </c>
      <c r="BZ58" s="17">
        <f t="shared" si="795"/>
        <v>0</v>
      </c>
      <c r="CA58" s="17">
        <f t="shared" si="796"/>
        <v>0</v>
      </c>
      <c r="CB58" s="54">
        <f t="shared" si="797"/>
        <v>0</v>
      </c>
      <c r="CC58" s="58">
        <f t="shared" si="208"/>
        <v>162</v>
      </c>
      <c r="CD58" s="58">
        <f t="shared" ca="1" si="103"/>
        <v>12.461538461538462</v>
      </c>
      <c r="JJ58" s="4" t="s">
        <v>13</v>
      </c>
      <c r="JK58" s="152" t="str">
        <f t="shared" si="552"/>
        <v>BWP01-PHR-PS-01</v>
      </c>
      <c r="JL58" s="163">
        <v>1</v>
      </c>
      <c r="JM58" s="158">
        <v>1</v>
      </c>
      <c r="JN58" s="158">
        <v>1</v>
      </c>
      <c r="JO58" s="159">
        <v>0</v>
      </c>
      <c r="JP58" s="158">
        <v>1</v>
      </c>
      <c r="JQ58" s="158">
        <v>1</v>
      </c>
      <c r="JR58" s="158">
        <v>1</v>
      </c>
      <c r="JS58" s="158">
        <v>1</v>
      </c>
      <c r="JT58" s="158">
        <v>1</v>
      </c>
      <c r="JU58" s="158">
        <v>1</v>
      </c>
      <c r="JV58" s="158">
        <v>0</v>
      </c>
      <c r="JW58" s="159">
        <v>1</v>
      </c>
      <c r="JX58" s="159">
        <v>1</v>
      </c>
      <c r="JY58" s="159">
        <v>1</v>
      </c>
      <c r="JZ58" s="158"/>
      <c r="KA58" s="158"/>
      <c r="KB58" s="158"/>
      <c r="KC58" s="158"/>
      <c r="KD58" s="158"/>
      <c r="KE58" s="158"/>
      <c r="KF58" s="158"/>
      <c r="KG58" s="158"/>
      <c r="KH58" s="159"/>
      <c r="KI58" s="159"/>
      <c r="KJ58" s="158"/>
      <c r="KK58" s="158"/>
      <c r="KL58" s="158"/>
      <c r="KM58" s="158"/>
      <c r="KN58" s="158"/>
      <c r="KO58" s="158"/>
      <c r="KP58" s="164"/>
      <c r="KQ58" s="157">
        <v>12</v>
      </c>
      <c r="KR58" s="157">
        <v>14</v>
      </c>
      <c r="KS58" s="157">
        <v>15</v>
      </c>
      <c r="KT58" s="157">
        <v>0</v>
      </c>
      <c r="KU58" s="157">
        <v>12</v>
      </c>
      <c r="KV58" s="157">
        <v>17</v>
      </c>
      <c r="KW58" s="157">
        <v>16</v>
      </c>
      <c r="KX58" s="157">
        <v>17</v>
      </c>
      <c r="KY58" s="157">
        <v>14</v>
      </c>
      <c r="KZ58" s="157">
        <v>15</v>
      </c>
      <c r="LA58" s="157">
        <v>0</v>
      </c>
      <c r="LB58" s="157">
        <v>12</v>
      </c>
      <c r="LC58" s="157">
        <v>16</v>
      </c>
      <c r="LD58" s="157">
        <v>2</v>
      </c>
      <c r="LE58" s="157"/>
      <c r="LF58" s="157"/>
      <c r="LG58" s="157"/>
      <c r="LH58" s="157"/>
      <c r="LI58" s="157"/>
      <c r="LJ58" s="157"/>
      <c r="LK58" s="157"/>
      <c r="LL58" s="157"/>
      <c r="LM58" s="157"/>
      <c r="LN58" s="157"/>
      <c r="LO58" s="157"/>
      <c r="LP58" s="157"/>
      <c r="LQ58" s="157"/>
      <c r="LR58" s="157"/>
      <c r="LS58" s="157"/>
      <c r="LT58" s="5"/>
      <c r="LU58" s="8"/>
    </row>
    <row r="59" spans="1:333" ht="16.2" customHeight="1">
      <c r="A59" s="38" t="s">
        <v>9</v>
      </c>
      <c r="B59" s="25" t="s">
        <v>53</v>
      </c>
      <c r="C59" s="25" t="s">
        <v>387</v>
      </c>
      <c r="D59" s="25" t="s">
        <v>413</v>
      </c>
      <c r="E59" s="27" t="s">
        <v>414</v>
      </c>
      <c r="F59" s="25" t="s">
        <v>474</v>
      </c>
      <c r="G59" s="25" t="s">
        <v>415</v>
      </c>
      <c r="H59" s="28">
        <v>45968</v>
      </c>
      <c r="I59" s="29" t="s">
        <v>85</v>
      </c>
      <c r="J59" s="30">
        <v>1</v>
      </c>
      <c r="K59" s="147">
        <v>0</v>
      </c>
      <c r="L59" s="147">
        <f t="shared" si="731"/>
        <v>1</v>
      </c>
      <c r="M59" s="147">
        <f t="shared" ref="M59" si="798">IFERROR(IF(OR(AV59&gt;0),1,0),0)</f>
        <v>1</v>
      </c>
      <c r="N59" s="147">
        <f t="shared" si="733"/>
        <v>0</v>
      </c>
      <c r="O59" s="147">
        <f t="shared" ref="O59" si="799">IFERROR(IF(OR(CC59&gt;0),1,0),0)</f>
        <v>1</v>
      </c>
      <c r="P59" s="148">
        <f t="shared" ref="P59" si="800">IFERROR(IF(OR(AV59&gt;0,CC59&gt;0),1,0),0)</f>
        <v>1</v>
      </c>
      <c r="Q59" s="50">
        <f t="shared" ref="Q59" si="801">JL59</f>
        <v>1</v>
      </c>
      <c r="R59" s="17">
        <f t="shared" ref="R59" si="802">JM59</f>
        <v>1</v>
      </c>
      <c r="S59" s="17">
        <f t="shared" ref="S59" si="803">JN59</f>
        <v>1</v>
      </c>
      <c r="T59" s="17">
        <f t="shared" ref="T59" si="804">JO59</f>
        <v>0</v>
      </c>
      <c r="U59" s="17">
        <f t="shared" ref="U59" si="805">JP59</f>
        <v>1</v>
      </c>
      <c r="V59" s="17">
        <f t="shared" ref="V59" si="806">JQ59</f>
        <v>1</v>
      </c>
      <c r="W59" s="17">
        <f t="shared" ref="W59" si="807">JR59</f>
        <v>1</v>
      </c>
      <c r="X59" s="17">
        <f t="shared" ref="X59" si="808">JS59</f>
        <v>1</v>
      </c>
      <c r="Y59" s="17">
        <f t="shared" ref="Y59" si="809">JT59</f>
        <v>1</v>
      </c>
      <c r="Z59" s="17">
        <f t="shared" ref="Z59" si="810">JU59</f>
        <v>1</v>
      </c>
      <c r="AA59" s="17">
        <f t="shared" ref="AA59" si="811">JV59</f>
        <v>0</v>
      </c>
      <c r="AB59" s="17">
        <f t="shared" ref="AB59" si="812">JW59</f>
        <v>1</v>
      </c>
      <c r="AC59" s="17">
        <f t="shared" ref="AC59" si="813">JX59</f>
        <v>1</v>
      </c>
      <c r="AD59" s="17">
        <f t="shared" ref="AD59" si="814">JY59</f>
        <v>1</v>
      </c>
      <c r="AE59" s="17">
        <f t="shared" ref="AE59" si="815">JZ59</f>
        <v>0</v>
      </c>
      <c r="AF59" s="17">
        <f t="shared" ref="AF59" si="816">KA59</f>
        <v>0</v>
      </c>
      <c r="AG59" s="17">
        <f t="shared" ref="AG59" si="817">KB59</f>
        <v>0</v>
      </c>
      <c r="AH59" s="17">
        <f t="shared" ref="AH59" si="818">KC59</f>
        <v>0</v>
      </c>
      <c r="AI59" s="17">
        <f t="shared" ref="AI59" si="819">KD59</f>
        <v>0</v>
      </c>
      <c r="AJ59" s="17">
        <f t="shared" ref="AJ59" si="820">KE59</f>
        <v>0</v>
      </c>
      <c r="AK59" s="17">
        <f t="shared" ref="AK59" si="821">KF59</f>
        <v>0</v>
      </c>
      <c r="AL59" s="17">
        <f t="shared" ref="AL59" si="822">KG59</f>
        <v>0</v>
      </c>
      <c r="AM59" s="17">
        <f t="shared" ref="AM59" si="823">KH59</f>
        <v>0</v>
      </c>
      <c r="AN59" s="17">
        <f t="shared" ref="AN59" si="824">KI59</f>
        <v>0</v>
      </c>
      <c r="AO59" s="17">
        <f t="shared" ref="AO59" si="825">KJ59</f>
        <v>0</v>
      </c>
      <c r="AP59" s="17">
        <f t="shared" ref="AP59" si="826">KK59</f>
        <v>0</v>
      </c>
      <c r="AQ59" s="17">
        <f t="shared" ref="AQ59" si="827">KL59</f>
        <v>0</v>
      </c>
      <c r="AR59" s="17">
        <f t="shared" ref="AR59" si="828">KM59</f>
        <v>0</v>
      </c>
      <c r="AS59" s="17">
        <f t="shared" ref="AS59" si="829">KN59</f>
        <v>0</v>
      </c>
      <c r="AT59" s="17">
        <f t="shared" ref="AT59" si="830">KO59</f>
        <v>0</v>
      </c>
      <c r="AU59" s="54">
        <f t="shared" ref="AU59" si="831">KP59</f>
        <v>0</v>
      </c>
      <c r="AV59" s="58">
        <f t="shared" ref="AV59" si="832">SUM(Q59:AU59)</f>
        <v>12</v>
      </c>
      <c r="AW59" s="58">
        <f t="shared" ca="1" si="73"/>
        <v>0.92307692307692313</v>
      </c>
      <c r="AX59" s="50">
        <f t="shared" ref="AX59" si="833">KQ59</f>
        <v>14</v>
      </c>
      <c r="AY59" s="17">
        <f t="shared" ref="AY59" si="834">KR59</f>
        <v>14</v>
      </c>
      <c r="AZ59" s="17">
        <f t="shared" ref="AZ59" si="835">KS59</f>
        <v>12</v>
      </c>
      <c r="BA59" s="17">
        <f t="shared" ref="BA59" si="836">KT59</f>
        <v>0</v>
      </c>
      <c r="BB59" s="17">
        <f t="shared" ref="BB59" si="837">KU59</f>
        <v>12</v>
      </c>
      <c r="BC59" s="17">
        <f t="shared" ref="BC59" si="838">KV59</f>
        <v>13</v>
      </c>
      <c r="BD59" s="17">
        <f t="shared" ref="BD59" si="839">KW59</f>
        <v>13</v>
      </c>
      <c r="BE59" s="17">
        <f t="shared" ref="BE59" si="840">KX59</f>
        <v>14</v>
      </c>
      <c r="BF59" s="17">
        <f t="shared" ref="BF59" si="841">KY59</f>
        <v>14</v>
      </c>
      <c r="BG59" s="17">
        <f t="shared" ref="BG59" si="842">KZ59</f>
        <v>8</v>
      </c>
      <c r="BH59" s="17">
        <f t="shared" ref="BH59" si="843">LA59</f>
        <v>0</v>
      </c>
      <c r="BI59" s="17">
        <f t="shared" ref="BI59" si="844">LB59</f>
        <v>13</v>
      </c>
      <c r="BJ59" s="17">
        <f t="shared" ref="BJ59" si="845">LC59</f>
        <v>13</v>
      </c>
      <c r="BK59" s="17">
        <f t="shared" ref="BK59" si="846">LD59</f>
        <v>0</v>
      </c>
      <c r="BL59" s="17">
        <f t="shared" ref="BL59" si="847">LE59</f>
        <v>0</v>
      </c>
      <c r="BM59" s="17">
        <f t="shared" ref="BM59" si="848">LF59</f>
        <v>0</v>
      </c>
      <c r="BN59" s="17">
        <f t="shared" ref="BN59" si="849">LG59</f>
        <v>0</v>
      </c>
      <c r="BO59" s="17">
        <f t="shared" ref="BO59" si="850">LH59</f>
        <v>0</v>
      </c>
      <c r="BP59" s="17">
        <f t="shared" ref="BP59" si="851">LI59</f>
        <v>0</v>
      </c>
      <c r="BQ59" s="17">
        <f t="shared" ref="BQ59" si="852">LJ59</f>
        <v>0</v>
      </c>
      <c r="BR59" s="17">
        <f t="shared" ref="BR59" si="853">LK59</f>
        <v>0</v>
      </c>
      <c r="BS59" s="17">
        <f t="shared" ref="BS59" si="854">LL59</f>
        <v>0</v>
      </c>
      <c r="BT59" s="17">
        <f t="shared" ref="BT59" si="855">LM59</f>
        <v>0</v>
      </c>
      <c r="BU59" s="17">
        <f t="shared" ref="BU59" si="856">LN59</f>
        <v>0</v>
      </c>
      <c r="BV59" s="17">
        <f t="shared" ref="BV59" si="857">LO59</f>
        <v>0</v>
      </c>
      <c r="BW59" s="17">
        <f t="shared" ref="BW59" si="858">LP59</f>
        <v>0</v>
      </c>
      <c r="BX59" s="17">
        <f t="shared" ref="BX59" si="859">LQ59</f>
        <v>0</v>
      </c>
      <c r="BY59" s="17">
        <f t="shared" ref="BY59" si="860">LR59</f>
        <v>0</v>
      </c>
      <c r="BZ59" s="17">
        <f t="shared" ref="BZ59" si="861">LS59</f>
        <v>0</v>
      </c>
      <c r="CA59" s="17">
        <f t="shared" ref="CA59" si="862">LT59</f>
        <v>0</v>
      </c>
      <c r="CB59" s="54">
        <f t="shared" ref="CB59" si="863">LU59</f>
        <v>0</v>
      </c>
      <c r="CC59" s="58">
        <f t="shared" ref="CC59" si="864">SUM(AX59:CB59)</f>
        <v>140</v>
      </c>
      <c r="CD59" s="58">
        <f t="shared" ca="1" si="103"/>
        <v>10.76923076923077</v>
      </c>
      <c r="JJ59" s="4" t="s">
        <v>13</v>
      </c>
      <c r="JK59" s="152" t="str">
        <f t="shared" ref="JK59" si="865">D59</f>
        <v>BWP01-PHR-MIO-04</v>
      </c>
      <c r="JL59" s="163">
        <v>1</v>
      </c>
      <c r="JM59" s="158">
        <v>1</v>
      </c>
      <c r="JN59" s="158">
        <v>1</v>
      </c>
      <c r="JO59" s="159">
        <v>0</v>
      </c>
      <c r="JP59" s="158">
        <v>1</v>
      </c>
      <c r="JQ59" s="158">
        <v>1</v>
      </c>
      <c r="JR59" s="158">
        <v>1</v>
      </c>
      <c r="JS59" s="158">
        <v>1</v>
      </c>
      <c r="JT59" s="158">
        <v>1</v>
      </c>
      <c r="JU59" s="158">
        <v>1</v>
      </c>
      <c r="JV59" s="158">
        <v>0</v>
      </c>
      <c r="JW59" s="159">
        <v>1</v>
      </c>
      <c r="JX59" s="159">
        <v>1</v>
      </c>
      <c r="JY59" s="159">
        <v>1</v>
      </c>
      <c r="JZ59" s="158"/>
      <c r="KA59" s="158"/>
      <c r="KB59" s="158"/>
      <c r="KC59" s="158"/>
      <c r="KD59" s="158"/>
      <c r="KE59" s="158"/>
      <c r="KF59" s="158"/>
      <c r="KG59" s="158"/>
      <c r="KH59" s="159"/>
      <c r="KI59" s="159"/>
      <c r="KJ59" s="158"/>
      <c r="KK59" s="158"/>
      <c r="KL59" s="158"/>
      <c r="KM59" s="158"/>
      <c r="KN59" s="158"/>
      <c r="KO59" s="158"/>
      <c r="KP59" s="164"/>
      <c r="KQ59" s="157">
        <v>14</v>
      </c>
      <c r="KR59" s="157">
        <v>14</v>
      </c>
      <c r="KS59" s="157">
        <v>12</v>
      </c>
      <c r="KT59" s="157">
        <v>0</v>
      </c>
      <c r="KU59" s="157">
        <v>12</v>
      </c>
      <c r="KV59" s="157">
        <v>13</v>
      </c>
      <c r="KW59" s="157">
        <v>13</v>
      </c>
      <c r="KX59" s="157">
        <v>14</v>
      </c>
      <c r="KY59" s="157">
        <v>14</v>
      </c>
      <c r="KZ59" s="157">
        <v>8</v>
      </c>
      <c r="LA59" s="157">
        <v>0</v>
      </c>
      <c r="LB59" s="157">
        <v>13</v>
      </c>
      <c r="LC59" s="157">
        <v>13</v>
      </c>
      <c r="LD59" s="157">
        <v>0</v>
      </c>
      <c r="LE59" s="157"/>
      <c r="LF59" s="157"/>
      <c r="LG59" s="157"/>
      <c r="LH59" s="157"/>
      <c r="LI59" s="157"/>
      <c r="LJ59" s="157"/>
      <c r="LK59" s="157"/>
      <c r="LL59" s="157"/>
      <c r="LM59" s="157"/>
      <c r="LN59" s="157"/>
      <c r="LO59" s="157"/>
      <c r="LP59" s="157"/>
      <c r="LQ59" s="157"/>
      <c r="LR59" s="157"/>
      <c r="LS59" s="157"/>
      <c r="LT59" s="5"/>
      <c r="LU59" s="8"/>
    </row>
    <row r="60" spans="1:333" ht="16.2" customHeight="1">
      <c r="A60" s="38" t="s">
        <v>16</v>
      </c>
      <c r="B60" s="25" t="s">
        <v>53</v>
      </c>
      <c r="C60" s="26" t="s">
        <v>387</v>
      </c>
      <c r="D60" s="25" t="s">
        <v>91</v>
      </c>
      <c r="E60" s="27" t="s">
        <v>92</v>
      </c>
      <c r="F60" s="25" t="s">
        <v>475</v>
      </c>
      <c r="G60" s="25" t="s">
        <v>436</v>
      </c>
      <c r="H60" s="28" t="s">
        <v>436</v>
      </c>
      <c r="I60" s="29" t="s">
        <v>85</v>
      </c>
      <c r="J60" s="30">
        <v>0</v>
      </c>
      <c r="K60" s="147">
        <v>0</v>
      </c>
      <c r="L60" s="147">
        <f t="shared" si="731"/>
        <v>0</v>
      </c>
      <c r="M60" s="147">
        <f t="shared" si="732"/>
        <v>0</v>
      </c>
      <c r="N60" s="147">
        <f t="shared" si="733"/>
        <v>0</v>
      </c>
      <c r="O60" s="147">
        <f t="shared" si="734"/>
        <v>0</v>
      </c>
      <c r="P60" s="148">
        <f t="shared" si="735"/>
        <v>0</v>
      </c>
      <c r="Q60" s="50">
        <f t="shared" si="736"/>
        <v>0</v>
      </c>
      <c r="R60" s="17">
        <f t="shared" si="737"/>
        <v>0</v>
      </c>
      <c r="S60" s="17">
        <f t="shared" si="738"/>
        <v>0</v>
      </c>
      <c r="T60" s="17">
        <f t="shared" si="739"/>
        <v>0</v>
      </c>
      <c r="U60" s="17">
        <f t="shared" si="740"/>
        <v>0</v>
      </c>
      <c r="V60" s="17">
        <f t="shared" si="741"/>
        <v>0</v>
      </c>
      <c r="W60" s="17">
        <f t="shared" si="742"/>
        <v>0</v>
      </c>
      <c r="X60" s="17">
        <f t="shared" si="743"/>
        <v>0</v>
      </c>
      <c r="Y60" s="17">
        <f t="shared" si="744"/>
        <v>0</v>
      </c>
      <c r="Z60" s="17">
        <f t="shared" si="745"/>
        <v>0</v>
      </c>
      <c r="AA60" s="17">
        <f t="shared" si="746"/>
        <v>0</v>
      </c>
      <c r="AB60" s="17">
        <f t="shared" si="747"/>
        <v>0</v>
      </c>
      <c r="AC60" s="17">
        <f t="shared" si="748"/>
        <v>0</v>
      </c>
      <c r="AD60" s="17">
        <f t="shared" si="749"/>
        <v>0</v>
      </c>
      <c r="AE60" s="17">
        <f t="shared" si="750"/>
        <v>0</v>
      </c>
      <c r="AF60" s="17">
        <f t="shared" si="751"/>
        <v>0</v>
      </c>
      <c r="AG60" s="17">
        <f t="shared" si="752"/>
        <v>0</v>
      </c>
      <c r="AH60" s="17">
        <f t="shared" si="753"/>
        <v>0</v>
      </c>
      <c r="AI60" s="17">
        <f t="shared" si="754"/>
        <v>0</v>
      </c>
      <c r="AJ60" s="17">
        <f t="shared" si="755"/>
        <v>0</v>
      </c>
      <c r="AK60" s="17">
        <f t="shared" si="756"/>
        <v>0</v>
      </c>
      <c r="AL60" s="17">
        <f t="shared" si="757"/>
        <v>0</v>
      </c>
      <c r="AM60" s="17">
        <f t="shared" si="758"/>
        <v>0</v>
      </c>
      <c r="AN60" s="17">
        <f t="shared" si="759"/>
        <v>0</v>
      </c>
      <c r="AO60" s="17">
        <f t="shared" si="760"/>
        <v>0</v>
      </c>
      <c r="AP60" s="17">
        <f t="shared" si="761"/>
        <v>0</v>
      </c>
      <c r="AQ60" s="17">
        <f t="shared" si="762"/>
        <v>0</v>
      </c>
      <c r="AR60" s="17">
        <f t="shared" si="763"/>
        <v>0</v>
      </c>
      <c r="AS60" s="17">
        <f t="shared" si="764"/>
        <v>0</v>
      </c>
      <c r="AT60" s="17">
        <f t="shared" si="765"/>
        <v>0</v>
      </c>
      <c r="AU60" s="54">
        <f t="shared" si="766"/>
        <v>0</v>
      </c>
      <c r="AV60" s="58">
        <f t="shared" si="551"/>
        <v>0</v>
      </c>
      <c r="AW60" s="58">
        <f t="shared" ca="1" si="73"/>
        <v>0</v>
      </c>
      <c r="AX60" s="50">
        <f t="shared" si="767"/>
        <v>0</v>
      </c>
      <c r="AY60" s="17">
        <f t="shared" si="768"/>
        <v>0</v>
      </c>
      <c r="AZ60" s="17">
        <f t="shared" si="769"/>
        <v>0</v>
      </c>
      <c r="BA60" s="17">
        <f t="shared" si="770"/>
        <v>0</v>
      </c>
      <c r="BB60" s="17">
        <f t="shared" si="771"/>
        <v>0</v>
      </c>
      <c r="BC60" s="17">
        <f t="shared" si="772"/>
        <v>0</v>
      </c>
      <c r="BD60" s="17">
        <f t="shared" si="773"/>
        <v>0</v>
      </c>
      <c r="BE60" s="17">
        <f t="shared" si="774"/>
        <v>0</v>
      </c>
      <c r="BF60" s="17">
        <f t="shared" si="775"/>
        <v>0</v>
      </c>
      <c r="BG60" s="17">
        <f t="shared" si="776"/>
        <v>0</v>
      </c>
      <c r="BH60" s="17">
        <f t="shared" si="777"/>
        <v>0</v>
      </c>
      <c r="BI60" s="17">
        <f t="shared" si="778"/>
        <v>0</v>
      </c>
      <c r="BJ60" s="17">
        <f t="shared" si="779"/>
        <v>0</v>
      </c>
      <c r="BK60" s="17">
        <f t="shared" si="780"/>
        <v>0</v>
      </c>
      <c r="BL60" s="17">
        <f t="shared" si="781"/>
        <v>0</v>
      </c>
      <c r="BM60" s="17">
        <f t="shared" si="782"/>
        <v>0</v>
      </c>
      <c r="BN60" s="17">
        <f t="shared" si="783"/>
        <v>0</v>
      </c>
      <c r="BO60" s="17">
        <f t="shared" si="784"/>
        <v>0</v>
      </c>
      <c r="BP60" s="17">
        <f t="shared" si="785"/>
        <v>0</v>
      </c>
      <c r="BQ60" s="17">
        <f t="shared" si="786"/>
        <v>0</v>
      </c>
      <c r="BR60" s="17">
        <f t="shared" si="787"/>
        <v>0</v>
      </c>
      <c r="BS60" s="17">
        <f t="shared" si="788"/>
        <v>0</v>
      </c>
      <c r="BT60" s="17">
        <f t="shared" si="789"/>
        <v>0</v>
      </c>
      <c r="BU60" s="17">
        <f t="shared" si="790"/>
        <v>0</v>
      </c>
      <c r="BV60" s="17">
        <f t="shared" si="791"/>
        <v>0</v>
      </c>
      <c r="BW60" s="17">
        <f t="shared" si="792"/>
        <v>0</v>
      </c>
      <c r="BX60" s="17">
        <f t="shared" si="793"/>
        <v>0</v>
      </c>
      <c r="BY60" s="17">
        <f t="shared" si="794"/>
        <v>0</v>
      </c>
      <c r="BZ60" s="17">
        <f t="shared" si="795"/>
        <v>0</v>
      </c>
      <c r="CA60" s="17">
        <f t="shared" si="796"/>
        <v>0</v>
      </c>
      <c r="CB60" s="54">
        <f t="shared" si="797"/>
        <v>0</v>
      </c>
      <c r="CC60" s="58">
        <f t="shared" si="208"/>
        <v>0</v>
      </c>
      <c r="CD60" s="58">
        <f t="shared" ca="1" si="103"/>
        <v>0</v>
      </c>
      <c r="JJ60" s="4" t="s">
        <v>13</v>
      </c>
      <c r="JK60" s="152" t="str">
        <f t="shared" si="552"/>
        <v>BWP01-PHR-MIO-00</v>
      </c>
      <c r="JL60" s="163">
        <v>0</v>
      </c>
      <c r="JM60" s="158">
        <v>0</v>
      </c>
      <c r="JN60" s="158">
        <v>0</v>
      </c>
      <c r="JO60" s="159">
        <v>0</v>
      </c>
      <c r="JP60" s="158">
        <v>0</v>
      </c>
      <c r="JQ60" s="158">
        <v>0</v>
      </c>
      <c r="JR60" s="158">
        <v>0</v>
      </c>
      <c r="JS60" s="158">
        <v>0</v>
      </c>
      <c r="JT60" s="158">
        <v>0</v>
      </c>
      <c r="JU60" s="158">
        <v>0</v>
      </c>
      <c r="JV60" s="158">
        <v>0</v>
      </c>
      <c r="JW60" s="159">
        <v>0</v>
      </c>
      <c r="JX60" s="159">
        <v>0</v>
      </c>
      <c r="JY60" s="159">
        <v>0</v>
      </c>
      <c r="JZ60" s="158"/>
      <c r="KA60" s="158"/>
      <c r="KB60" s="158"/>
      <c r="KC60" s="158"/>
      <c r="KD60" s="158"/>
      <c r="KE60" s="158"/>
      <c r="KF60" s="158"/>
      <c r="KG60" s="158"/>
      <c r="KH60" s="159"/>
      <c r="KI60" s="159"/>
      <c r="KJ60" s="158"/>
      <c r="KK60" s="158"/>
      <c r="KL60" s="158"/>
      <c r="KM60" s="158"/>
      <c r="KN60" s="158"/>
      <c r="KO60" s="158"/>
      <c r="KP60" s="164"/>
      <c r="KQ60" s="157">
        <v>0</v>
      </c>
      <c r="KR60" s="157">
        <v>0</v>
      </c>
      <c r="KS60" s="157">
        <v>0</v>
      </c>
      <c r="KT60" s="157">
        <v>0</v>
      </c>
      <c r="KU60" s="157">
        <v>0</v>
      </c>
      <c r="KV60" s="157">
        <v>0</v>
      </c>
      <c r="KW60" s="157">
        <v>0</v>
      </c>
      <c r="KX60" s="157">
        <v>0</v>
      </c>
      <c r="KY60" s="157">
        <v>0</v>
      </c>
      <c r="KZ60" s="157">
        <v>0</v>
      </c>
      <c r="LA60" s="157">
        <v>0</v>
      </c>
      <c r="LB60" s="157">
        <v>0</v>
      </c>
      <c r="LC60" s="157">
        <v>0</v>
      </c>
      <c r="LD60" s="157">
        <v>0</v>
      </c>
      <c r="LE60" s="157"/>
      <c r="LF60" s="157"/>
      <c r="LG60" s="157"/>
      <c r="LH60" s="157"/>
      <c r="LI60" s="157"/>
      <c r="LJ60" s="157"/>
      <c r="LK60" s="157"/>
      <c r="LL60" s="157"/>
      <c r="LM60" s="157"/>
      <c r="LN60" s="157"/>
      <c r="LO60" s="157"/>
      <c r="LP60" s="157"/>
      <c r="LQ60" s="157"/>
      <c r="LR60" s="157"/>
      <c r="LS60" s="157"/>
      <c r="LT60" s="5"/>
      <c r="LU60" s="8"/>
    </row>
    <row r="61" spans="1:333" ht="16.2" customHeight="1">
      <c r="A61" s="37" t="s">
        <v>19</v>
      </c>
      <c r="B61" s="18" t="s">
        <v>53</v>
      </c>
      <c r="C61" s="19" t="s">
        <v>387</v>
      </c>
      <c r="D61" s="20" t="s">
        <v>275</v>
      </c>
      <c r="E61" s="21" t="s">
        <v>93</v>
      </c>
      <c r="F61" s="18" t="s">
        <v>476</v>
      </c>
      <c r="G61" s="18" t="s">
        <v>274</v>
      </c>
      <c r="H61" s="22">
        <v>45201</v>
      </c>
      <c r="I61" s="20" t="s">
        <v>85</v>
      </c>
      <c r="J61" s="23">
        <v>5</v>
      </c>
      <c r="K61" s="97">
        <f t="shared" ref="K61:L61" si="866">SUM(K55:K60)</f>
        <v>0</v>
      </c>
      <c r="L61" s="97">
        <f t="shared" si="866"/>
        <v>5</v>
      </c>
      <c r="M61" s="97">
        <f t="shared" ref="M61" si="867">SUM(M55:M60)</f>
        <v>5</v>
      </c>
      <c r="N61" s="97">
        <f t="shared" ref="N61" si="868">SUM(N55:N60)</f>
        <v>3</v>
      </c>
      <c r="O61" s="97">
        <f t="shared" ref="O61" si="869">SUM(O55:O60)</f>
        <v>5</v>
      </c>
      <c r="P61" s="47">
        <f t="shared" ref="P61:AU61" si="870">SUM(P55:P60)</f>
        <v>5</v>
      </c>
      <c r="Q61" s="51">
        <f t="shared" si="870"/>
        <v>5</v>
      </c>
      <c r="R61" s="24">
        <f t="shared" si="870"/>
        <v>5</v>
      </c>
      <c r="S61" s="24">
        <f t="shared" si="870"/>
        <v>5</v>
      </c>
      <c r="T61" s="24">
        <f t="shared" si="870"/>
        <v>0</v>
      </c>
      <c r="U61" s="24">
        <f t="shared" si="870"/>
        <v>5</v>
      </c>
      <c r="V61" s="24">
        <f t="shared" si="870"/>
        <v>5</v>
      </c>
      <c r="W61" s="24">
        <f t="shared" si="870"/>
        <v>5</v>
      </c>
      <c r="X61" s="24">
        <f t="shared" si="870"/>
        <v>5</v>
      </c>
      <c r="Y61" s="24">
        <f t="shared" si="870"/>
        <v>5</v>
      </c>
      <c r="Z61" s="24">
        <f t="shared" si="870"/>
        <v>5</v>
      </c>
      <c r="AA61" s="24">
        <f t="shared" si="870"/>
        <v>0</v>
      </c>
      <c r="AB61" s="24">
        <f t="shared" si="870"/>
        <v>5</v>
      </c>
      <c r="AC61" s="24">
        <f t="shared" si="870"/>
        <v>5</v>
      </c>
      <c r="AD61" s="24">
        <f t="shared" si="870"/>
        <v>5</v>
      </c>
      <c r="AE61" s="24">
        <f t="shared" si="870"/>
        <v>0</v>
      </c>
      <c r="AF61" s="24">
        <f t="shared" si="870"/>
        <v>0</v>
      </c>
      <c r="AG61" s="24">
        <f t="shared" si="870"/>
        <v>0</v>
      </c>
      <c r="AH61" s="24">
        <f t="shared" si="870"/>
        <v>0</v>
      </c>
      <c r="AI61" s="24">
        <f t="shared" si="870"/>
        <v>0</v>
      </c>
      <c r="AJ61" s="24">
        <f t="shared" si="870"/>
        <v>0</v>
      </c>
      <c r="AK61" s="24">
        <f t="shared" si="870"/>
        <v>0</v>
      </c>
      <c r="AL61" s="24">
        <f t="shared" si="870"/>
        <v>0</v>
      </c>
      <c r="AM61" s="24">
        <f t="shared" si="870"/>
        <v>0</v>
      </c>
      <c r="AN61" s="24">
        <f t="shared" si="870"/>
        <v>0</v>
      </c>
      <c r="AO61" s="24">
        <f t="shared" si="870"/>
        <v>0</v>
      </c>
      <c r="AP61" s="24">
        <f t="shared" si="870"/>
        <v>0</v>
      </c>
      <c r="AQ61" s="24">
        <f t="shared" si="870"/>
        <v>0</v>
      </c>
      <c r="AR61" s="24">
        <f t="shared" si="870"/>
        <v>0</v>
      </c>
      <c r="AS61" s="24">
        <f t="shared" si="870"/>
        <v>0</v>
      </c>
      <c r="AT61" s="24">
        <f t="shared" si="870"/>
        <v>0</v>
      </c>
      <c r="AU61" s="55">
        <f t="shared" si="870"/>
        <v>0</v>
      </c>
      <c r="AV61" s="59">
        <f t="shared" si="551"/>
        <v>60</v>
      </c>
      <c r="AW61" s="59">
        <f t="shared" ca="1" si="73"/>
        <v>0.92307692307692302</v>
      </c>
      <c r="AX61" s="51">
        <f t="shared" ref="AX61" si="871">SUM(AX55:AX60)</f>
        <v>64</v>
      </c>
      <c r="AY61" s="24">
        <f t="shared" ref="AY61" si="872">SUM(AY55:AY60)</f>
        <v>66</v>
      </c>
      <c r="AZ61" s="24">
        <f t="shared" ref="AZ61" si="873">SUM(AZ55:AZ60)</f>
        <v>65</v>
      </c>
      <c r="BA61" s="24">
        <f t="shared" ref="BA61" si="874">SUM(BA55:BA60)</f>
        <v>0</v>
      </c>
      <c r="BB61" s="24">
        <f t="shared" ref="BB61" si="875">SUM(BB55:BB60)</f>
        <v>62</v>
      </c>
      <c r="BC61" s="24">
        <f t="shared" ref="BC61" si="876">SUM(BC55:BC60)</f>
        <v>66</v>
      </c>
      <c r="BD61" s="24">
        <f t="shared" ref="BD61" si="877">SUM(BD55:BD60)</f>
        <v>65</v>
      </c>
      <c r="BE61" s="24">
        <f t="shared" ref="BE61" si="878">SUM(BE55:BE60)</f>
        <v>68</v>
      </c>
      <c r="BF61" s="24">
        <f t="shared" ref="BF61" si="879">SUM(BF55:BF60)</f>
        <v>66</v>
      </c>
      <c r="BG61" s="24">
        <f t="shared" ref="BG61" si="880">SUM(BG55:BG60)</f>
        <v>58</v>
      </c>
      <c r="BH61" s="24">
        <f t="shared" ref="BH61" si="881">SUM(BH55:BH60)</f>
        <v>0</v>
      </c>
      <c r="BI61" s="24">
        <f t="shared" ref="BI61" si="882">SUM(BI55:BI60)</f>
        <v>61</v>
      </c>
      <c r="BJ61" s="24">
        <f t="shared" ref="BJ61" si="883">SUM(BJ55:BJ60)</f>
        <v>65</v>
      </c>
      <c r="BK61" s="24">
        <f t="shared" ref="BK61" si="884">SUM(BK55:BK60)</f>
        <v>5</v>
      </c>
      <c r="BL61" s="24">
        <f t="shared" ref="BL61" si="885">SUM(BL55:BL60)</f>
        <v>0</v>
      </c>
      <c r="BM61" s="24">
        <f t="shared" ref="BM61" si="886">SUM(BM55:BM60)</f>
        <v>0</v>
      </c>
      <c r="BN61" s="24">
        <f t="shared" ref="BN61" si="887">SUM(BN55:BN60)</f>
        <v>0</v>
      </c>
      <c r="BO61" s="24">
        <f t="shared" ref="BO61" si="888">SUM(BO55:BO60)</f>
        <v>0</v>
      </c>
      <c r="BP61" s="24">
        <f t="shared" ref="BP61" si="889">SUM(BP55:BP60)</f>
        <v>0</v>
      </c>
      <c r="BQ61" s="24">
        <f t="shared" ref="BQ61" si="890">SUM(BQ55:BQ60)</f>
        <v>0</v>
      </c>
      <c r="BR61" s="24">
        <f t="shared" ref="BR61" si="891">SUM(BR55:BR60)</f>
        <v>0</v>
      </c>
      <c r="BS61" s="24">
        <f t="shared" ref="BS61" si="892">SUM(BS55:BS60)</f>
        <v>0</v>
      </c>
      <c r="BT61" s="24">
        <f t="shared" ref="BT61" si="893">SUM(BT55:BT60)</f>
        <v>0</v>
      </c>
      <c r="BU61" s="24">
        <f t="shared" ref="BU61" si="894">SUM(BU55:BU60)</f>
        <v>0</v>
      </c>
      <c r="BV61" s="24">
        <f t="shared" ref="BV61" si="895">SUM(BV55:BV60)</f>
        <v>0</v>
      </c>
      <c r="BW61" s="24">
        <f t="shared" ref="BW61" si="896">SUM(BW55:BW60)</f>
        <v>0</v>
      </c>
      <c r="BX61" s="24">
        <f t="shared" ref="BX61" si="897">SUM(BX55:BX60)</f>
        <v>0</v>
      </c>
      <c r="BY61" s="24">
        <f t="shared" ref="BY61" si="898">SUM(BY55:BY60)</f>
        <v>0</v>
      </c>
      <c r="BZ61" s="24">
        <f t="shared" ref="BZ61" si="899">SUM(BZ55:BZ60)</f>
        <v>0</v>
      </c>
      <c r="CA61" s="24">
        <f t="shared" ref="CA61" si="900">SUM(CA55:CA60)</f>
        <v>0</v>
      </c>
      <c r="CB61" s="55">
        <f t="shared" ref="CB61" si="901">SUM(CB55:CB60)</f>
        <v>0</v>
      </c>
      <c r="CC61" s="59">
        <f t="shared" si="208"/>
        <v>711</v>
      </c>
      <c r="CD61" s="59">
        <f t="shared" ca="1" si="103"/>
        <v>10.938461538461539</v>
      </c>
      <c r="JJ61" s="4" t="s">
        <v>13</v>
      </c>
      <c r="JK61" s="153" t="str">
        <f t="shared" si="552"/>
        <v>BWP01-PHR-ASM-01</v>
      </c>
      <c r="JL61" s="163">
        <v>0</v>
      </c>
      <c r="JM61" s="158">
        <v>0</v>
      </c>
      <c r="JN61" s="158">
        <v>0</v>
      </c>
      <c r="JO61" s="159">
        <v>0</v>
      </c>
      <c r="JP61" s="158">
        <v>0</v>
      </c>
      <c r="JQ61" s="158">
        <v>0</v>
      </c>
      <c r="JR61" s="158">
        <v>0</v>
      </c>
      <c r="JS61" s="158">
        <v>0</v>
      </c>
      <c r="JT61" s="158">
        <v>0</v>
      </c>
      <c r="JU61" s="158">
        <v>0</v>
      </c>
      <c r="JV61" s="158">
        <v>0</v>
      </c>
      <c r="JW61" s="159">
        <v>0</v>
      </c>
      <c r="JX61" s="159">
        <v>0</v>
      </c>
      <c r="JY61" s="159">
        <v>0</v>
      </c>
      <c r="JZ61" s="158"/>
      <c r="KA61" s="158"/>
      <c r="KB61" s="158"/>
      <c r="KC61" s="158"/>
      <c r="KD61" s="158"/>
      <c r="KE61" s="158"/>
      <c r="KF61" s="158"/>
      <c r="KG61" s="158"/>
      <c r="KH61" s="159"/>
      <c r="KI61" s="159"/>
      <c r="KJ61" s="158"/>
      <c r="KK61" s="158"/>
      <c r="KL61" s="158"/>
      <c r="KM61" s="158"/>
      <c r="KN61" s="158"/>
      <c r="KO61" s="158"/>
      <c r="KP61" s="164"/>
      <c r="KQ61" s="157">
        <v>0</v>
      </c>
      <c r="KR61" s="157">
        <v>0</v>
      </c>
      <c r="KS61" s="157">
        <v>0</v>
      </c>
      <c r="KT61" s="157">
        <v>0</v>
      </c>
      <c r="KU61" s="157">
        <v>0</v>
      </c>
      <c r="KV61" s="157">
        <v>0</v>
      </c>
      <c r="KW61" s="157">
        <v>0</v>
      </c>
      <c r="KX61" s="157">
        <v>0</v>
      </c>
      <c r="KY61" s="157">
        <v>0</v>
      </c>
      <c r="KZ61" s="157">
        <v>0</v>
      </c>
      <c r="LA61" s="157">
        <v>0</v>
      </c>
      <c r="LB61" s="157">
        <v>0</v>
      </c>
      <c r="LC61" s="157">
        <v>0</v>
      </c>
      <c r="LD61" s="157">
        <v>0</v>
      </c>
      <c r="LE61" s="157"/>
      <c r="LF61" s="157"/>
      <c r="LG61" s="157"/>
      <c r="LH61" s="157"/>
      <c r="LI61" s="157"/>
      <c r="LJ61" s="157"/>
      <c r="LK61" s="157"/>
      <c r="LL61" s="157"/>
      <c r="LM61" s="157"/>
      <c r="LN61" s="157"/>
      <c r="LO61" s="157"/>
      <c r="LP61" s="157"/>
      <c r="LQ61" s="157"/>
      <c r="LR61" s="157"/>
      <c r="LS61" s="157"/>
      <c r="LT61" s="5"/>
      <c r="LU61" s="8"/>
    </row>
    <row r="62" spans="1:333" ht="16.2" customHeight="1">
      <c r="A62" s="38" t="s">
        <v>9</v>
      </c>
      <c r="B62" s="25" t="s">
        <v>53</v>
      </c>
      <c r="C62" s="26" t="s">
        <v>388</v>
      </c>
      <c r="D62" s="25" t="s">
        <v>276</v>
      </c>
      <c r="E62" s="27" t="s">
        <v>94</v>
      </c>
      <c r="F62" s="25" t="s">
        <v>477</v>
      </c>
      <c r="G62" s="25" t="s">
        <v>95</v>
      </c>
      <c r="H62" s="28">
        <v>44746</v>
      </c>
      <c r="I62" s="29" t="s">
        <v>277</v>
      </c>
      <c r="J62" s="30">
        <v>1</v>
      </c>
      <c r="K62" s="147">
        <v>0</v>
      </c>
      <c r="L62" s="147">
        <f t="shared" ref="L62:L67" si="902">IFERROR(IF(OR(AD62&gt;0),1,0),0)</f>
        <v>1</v>
      </c>
      <c r="M62" s="147">
        <f t="shared" ref="M62:M67" si="903">IFERROR(IF(OR(AV62&gt;0),1,0),0)</f>
        <v>1</v>
      </c>
      <c r="N62" s="147">
        <f t="shared" ref="N62:N67" si="904">IFERROR(IF(OR(BK62&gt;0),1,0),0)</f>
        <v>0</v>
      </c>
      <c r="O62" s="147">
        <f t="shared" ref="O62:O67" si="905">IFERROR(IF(OR(CC62&gt;0),1,0),0)</f>
        <v>1</v>
      </c>
      <c r="P62" s="148">
        <f t="shared" ref="P62:P67" si="906">IFERROR(IF(OR(AV62&gt;0,CC62&gt;0),1,0),0)</f>
        <v>1</v>
      </c>
      <c r="Q62" s="50">
        <f t="shared" ref="Q62:Q67" si="907">JL62</f>
        <v>1</v>
      </c>
      <c r="R62" s="17">
        <f t="shared" ref="R62:R67" si="908">JM62</f>
        <v>1</v>
      </c>
      <c r="S62" s="17">
        <f t="shared" ref="S62:S67" si="909">JN62</f>
        <v>1</v>
      </c>
      <c r="T62" s="17">
        <f t="shared" ref="T62:T67" si="910">JO62</f>
        <v>0</v>
      </c>
      <c r="U62" s="17">
        <f t="shared" ref="U62:U67" si="911">JP62</f>
        <v>1</v>
      </c>
      <c r="V62" s="17">
        <f t="shared" ref="V62:V67" si="912">JQ62</f>
        <v>1</v>
      </c>
      <c r="W62" s="17">
        <f t="shared" ref="W62:W67" si="913">JR62</f>
        <v>1</v>
      </c>
      <c r="X62" s="17">
        <f t="shared" ref="X62:X67" si="914">JS62</f>
        <v>1</v>
      </c>
      <c r="Y62" s="17">
        <f t="shared" ref="Y62:Y67" si="915">JT62</f>
        <v>1</v>
      </c>
      <c r="Z62" s="17">
        <f t="shared" ref="Z62:Z67" si="916">JU62</f>
        <v>1</v>
      </c>
      <c r="AA62" s="17">
        <f t="shared" ref="AA62:AA67" si="917">JV62</f>
        <v>0</v>
      </c>
      <c r="AB62" s="17">
        <f t="shared" ref="AB62:AB67" si="918">JW62</f>
        <v>1</v>
      </c>
      <c r="AC62" s="17">
        <f t="shared" ref="AC62:AC67" si="919">JX62</f>
        <v>1</v>
      </c>
      <c r="AD62" s="17">
        <f t="shared" ref="AD62:AD67" si="920">JY62</f>
        <v>1</v>
      </c>
      <c r="AE62" s="17">
        <f t="shared" ref="AE62:AE67" si="921">JZ62</f>
        <v>0</v>
      </c>
      <c r="AF62" s="17">
        <f t="shared" ref="AF62:AF67" si="922">KA62</f>
        <v>0</v>
      </c>
      <c r="AG62" s="17">
        <f t="shared" ref="AG62:AG67" si="923">KB62</f>
        <v>0</v>
      </c>
      <c r="AH62" s="17">
        <f t="shared" ref="AH62:AH67" si="924">KC62</f>
        <v>0</v>
      </c>
      <c r="AI62" s="17">
        <f t="shared" ref="AI62:AI67" si="925">KD62</f>
        <v>0</v>
      </c>
      <c r="AJ62" s="17">
        <f t="shared" ref="AJ62:AJ67" si="926">KE62</f>
        <v>0</v>
      </c>
      <c r="AK62" s="17">
        <f t="shared" ref="AK62:AK67" si="927">KF62</f>
        <v>0</v>
      </c>
      <c r="AL62" s="17">
        <f t="shared" ref="AL62:AL67" si="928">KG62</f>
        <v>0</v>
      </c>
      <c r="AM62" s="17">
        <f t="shared" ref="AM62:AM67" si="929">KH62</f>
        <v>0</v>
      </c>
      <c r="AN62" s="17">
        <f t="shared" ref="AN62:AN67" si="930">KI62</f>
        <v>0</v>
      </c>
      <c r="AO62" s="17">
        <f t="shared" ref="AO62:AO67" si="931">KJ62</f>
        <v>0</v>
      </c>
      <c r="AP62" s="17">
        <f t="shared" ref="AP62:AP67" si="932">KK62</f>
        <v>0</v>
      </c>
      <c r="AQ62" s="17">
        <f t="shared" ref="AQ62:AQ67" si="933">KL62</f>
        <v>0</v>
      </c>
      <c r="AR62" s="17">
        <f t="shared" ref="AR62:AR67" si="934">KM62</f>
        <v>0</v>
      </c>
      <c r="AS62" s="17">
        <f t="shared" ref="AS62:AS67" si="935">KN62</f>
        <v>0</v>
      </c>
      <c r="AT62" s="17">
        <f t="shared" ref="AT62:AT67" si="936">KO62</f>
        <v>0</v>
      </c>
      <c r="AU62" s="54">
        <f t="shared" ref="AU62:AU67" si="937">KP62</f>
        <v>0</v>
      </c>
      <c r="AV62" s="58">
        <f t="shared" si="551"/>
        <v>12</v>
      </c>
      <c r="AW62" s="58">
        <f t="shared" ca="1" si="73"/>
        <v>0.92307692307692313</v>
      </c>
      <c r="AX62" s="50">
        <f t="shared" ref="AX62:AX67" si="938">KQ62</f>
        <v>11</v>
      </c>
      <c r="AY62" s="17">
        <f t="shared" ref="AY62:AY67" si="939">KR62</f>
        <v>13</v>
      </c>
      <c r="AZ62" s="17">
        <f t="shared" ref="AZ62:AZ67" si="940">KS62</f>
        <v>10</v>
      </c>
      <c r="BA62" s="17">
        <f t="shared" ref="BA62:BA67" si="941">KT62</f>
        <v>0</v>
      </c>
      <c r="BB62" s="17">
        <f t="shared" ref="BB62:BB67" si="942">KU62</f>
        <v>11</v>
      </c>
      <c r="BC62" s="17">
        <f t="shared" ref="BC62:BC67" si="943">KV62</f>
        <v>11</v>
      </c>
      <c r="BD62" s="17">
        <f t="shared" ref="BD62:BD67" si="944">KW62</f>
        <v>11</v>
      </c>
      <c r="BE62" s="17">
        <f t="shared" ref="BE62:BE67" si="945">KX62</f>
        <v>10</v>
      </c>
      <c r="BF62" s="17">
        <f t="shared" ref="BF62:BF67" si="946">KY62</f>
        <v>11</v>
      </c>
      <c r="BG62" s="17">
        <f t="shared" ref="BG62:BG67" si="947">KZ62</f>
        <v>14</v>
      </c>
      <c r="BH62" s="17">
        <f t="shared" ref="BH62:BH67" si="948">LA62</f>
        <v>0</v>
      </c>
      <c r="BI62" s="17">
        <f t="shared" ref="BI62:BI67" si="949">LB62</f>
        <v>12</v>
      </c>
      <c r="BJ62" s="17">
        <f t="shared" ref="BJ62:BJ67" si="950">LC62</f>
        <v>15</v>
      </c>
      <c r="BK62" s="17">
        <f t="shared" ref="BK62:BK67" si="951">LD62</f>
        <v>0</v>
      </c>
      <c r="BL62" s="17">
        <f t="shared" ref="BL62:BL67" si="952">LE62</f>
        <v>0</v>
      </c>
      <c r="BM62" s="17">
        <f t="shared" ref="BM62:BM67" si="953">LF62</f>
        <v>0</v>
      </c>
      <c r="BN62" s="17">
        <f t="shared" ref="BN62:BN67" si="954">LG62</f>
        <v>0</v>
      </c>
      <c r="BO62" s="17">
        <f t="shared" ref="BO62:BO67" si="955">LH62</f>
        <v>0</v>
      </c>
      <c r="BP62" s="17">
        <f t="shared" ref="BP62:BP67" si="956">LI62</f>
        <v>0</v>
      </c>
      <c r="BQ62" s="17">
        <f t="shared" ref="BQ62:BQ67" si="957">LJ62</f>
        <v>0</v>
      </c>
      <c r="BR62" s="17">
        <f t="shared" ref="BR62:BR67" si="958">LK62</f>
        <v>0</v>
      </c>
      <c r="BS62" s="17">
        <f t="shared" ref="BS62:BS67" si="959">LL62</f>
        <v>0</v>
      </c>
      <c r="BT62" s="17">
        <f t="shared" ref="BT62:BT67" si="960">LM62</f>
        <v>0</v>
      </c>
      <c r="BU62" s="17">
        <f t="shared" ref="BU62:BU67" si="961">LN62</f>
        <v>0</v>
      </c>
      <c r="BV62" s="17">
        <f t="shared" ref="BV62:BV67" si="962">LO62</f>
        <v>0</v>
      </c>
      <c r="BW62" s="17">
        <f t="shared" ref="BW62:BW67" si="963">LP62</f>
        <v>0</v>
      </c>
      <c r="BX62" s="17">
        <f t="shared" ref="BX62:BX67" si="964">LQ62</f>
        <v>0</v>
      </c>
      <c r="BY62" s="17">
        <f t="shared" ref="BY62:BY67" si="965">LR62</f>
        <v>0</v>
      </c>
      <c r="BZ62" s="17">
        <f t="shared" ref="BZ62:BZ67" si="966">LS62</f>
        <v>0</v>
      </c>
      <c r="CA62" s="17">
        <f t="shared" ref="CA62:CA67" si="967">LT62</f>
        <v>0</v>
      </c>
      <c r="CB62" s="54">
        <f t="shared" ref="CB62:CB67" si="968">LU62</f>
        <v>0</v>
      </c>
      <c r="CC62" s="58">
        <f t="shared" si="208"/>
        <v>129</v>
      </c>
      <c r="CD62" s="58">
        <f t="shared" ca="1" si="103"/>
        <v>9.9230769230769234</v>
      </c>
      <c r="JJ62" s="4" t="s">
        <v>13</v>
      </c>
      <c r="JK62" s="152" t="str">
        <f t="shared" si="552"/>
        <v>MUX01-PHR-MIO-01</v>
      </c>
      <c r="JL62" s="163">
        <v>1</v>
      </c>
      <c r="JM62" s="158">
        <v>1</v>
      </c>
      <c r="JN62" s="158">
        <v>1</v>
      </c>
      <c r="JO62" s="159">
        <v>0</v>
      </c>
      <c r="JP62" s="158">
        <v>1</v>
      </c>
      <c r="JQ62" s="158">
        <v>1</v>
      </c>
      <c r="JR62" s="158">
        <v>1</v>
      </c>
      <c r="JS62" s="158">
        <v>1</v>
      </c>
      <c r="JT62" s="158">
        <v>1</v>
      </c>
      <c r="JU62" s="158">
        <v>1</v>
      </c>
      <c r="JV62" s="158">
        <v>0</v>
      </c>
      <c r="JW62" s="159">
        <v>1</v>
      </c>
      <c r="JX62" s="159">
        <v>1</v>
      </c>
      <c r="JY62" s="159">
        <v>1</v>
      </c>
      <c r="JZ62" s="158"/>
      <c r="KA62" s="158"/>
      <c r="KB62" s="158"/>
      <c r="KC62" s="158"/>
      <c r="KD62" s="158"/>
      <c r="KE62" s="158"/>
      <c r="KF62" s="158"/>
      <c r="KG62" s="158"/>
      <c r="KH62" s="159"/>
      <c r="KI62" s="159"/>
      <c r="KJ62" s="158"/>
      <c r="KK62" s="158"/>
      <c r="KL62" s="158"/>
      <c r="KM62" s="158"/>
      <c r="KN62" s="158"/>
      <c r="KO62" s="158"/>
      <c r="KP62" s="164"/>
      <c r="KQ62" s="157">
        <v>11</v>
      </c>
      <c r="KR62" s="157">
        <v>13</v>
      </c>
      <c r="KS62" s="157">
        <v>10</v>
      </c>
      <c r="KT62" s="157">
        <v>0</v>
      </c>
      <c r="KU62" s="157">
        <v>11</v>
      </c>
      <c r="KV62" s="157">
        <v>11</v>
      </c>
      <c r="KW62" s="157">
        <v>11</v>
      </c>
      <c r="KX62" s="157">
        <v>10</v>
      </c>
      <c r="KY62" s="157">
        <v>11</v>
      </c>
      <c r="KZ62" s="157">
        <v>14</v>
      </c>
      <c r="LA62" s="157">
        <v>0</v>
      </c>
      <c r="LB62" s="157">
        <v>12</v>
      </c>
      <c r="LC62" s="157">
        <v>15</v>
      </c>
      <c r="LD62" s="157">
        <v>0</v>
      </c>
      <c r="LE62" s="157"/>
      <c r="LF62" s="157"/>
      <c r="LG62" s="157"/>
      <c r="LH62" s="157"/>
      <c r="LI62" s="157"/>
      <c r="LJ62" s="157"/>
      <c r="LK62" s="157"/>
      <c r="LL62" s="157"/>
      <c r="LM62" s="157"/>
      <c r="LN62" s="157"/>
      <c r="LO62" s="157"/>
      <c r="LP62" s="157"/>
      <c r="LQ62" s="157"/>
      <c r="LR62" s="157"/>
      <c r="LS62" s="157"/>
      <c r="LT62" s="5"/>
      <c r="LU62" s="8"/>
    </row>
    <row r="63" spans="1:333" ht="16.2" customHeight="1">
      <c r="A63" s="38" t="s">
        <v>9</v>
      </c>
      <c r="B63" s="25" t="s">
        <v>53</v>
      </c>
      <c r="C63" s="26" t="s">
        <v>388</v>
      </c>
      <c r="D63" s="25" t="s">
        <v>278</v>
      </c>
      <c r="E63" s="27" t="s">
        <v>96</v>
      </c>
      <c r="F63" s="25" t="s">
        <v>521</v>
      </c>
      <c r="G63" s="25" t="s">
        <v>97</v>
      </c>
      <c r="H63" s="28">
        <v>42133</v>
      </c>
      <c r="I63" s="29" t="s">
        <v>279</v>
      </c>
      <c r="J63" s="30">
        <v>1</v>
      </c>
      <c r="K63" s="147">
        <v>0</v>
      </c>
      <c r="L63" s="147">
        <f t="shared" si="902"/>
        <v>1</v>
      </c>
      <c r="M63" s="147">
        <f t="shared" si="903"/>
        <v>1</v>
      </c>
      <c r="N63" s="147">
        <f t="shared" si="904"/>
        <v>0</v>
      </c>
      <c r="O63" s="147">
        <f t="shared" si="905"/>
        <v>1</v>
      </c>
      <c r="P63" s="148">
        <f t="shared" si="906"/>
        <v>1</v>
      </c>
      <c r="Q63" s="50">
        <f t="shared" si="907"/>
        <v>1</v>
      </c>
      <c r="R63" s="17">
        <f t="shared" si="908"/>
        <v>1</v>
      </c>
      <c r="S63" s="17">
        <f t="shared" si="909"/>
        <v>1</v>
      </c>
      <c r="T63" s="17">
        <f t="shared" si="910"/>
        <v>0</v>
      </c>
      <c r="U63" s="17">
        <f t="shared" si="911"/>
        <v>1</v>
      </c>
      <c r="V63" s="17">
        <f t="shared" si="912"/>
        <v>1</v>
      </c>
      <c r="W63" s="17">
        <f t="shared" si="913"/>
        <v>1</v>
      </c>
      <c r="X63" s="17">
        <f t="shared" si="914"/>
        <v>1</v>
      </c>
      <c r="Y63" s="17">
        <f t="shared" si="915"/>
        <v>1</v>
      </c>
      <c r="Z63" s="17">
        <f t="shared" si="916"/>
        <v>1</v>
      </c>
      <c r="AA63" s="17">
        <f t="shared" si="917"/>
        <v>0</v>
      </c>
      <c r="AB63" s="17">
        <f t="shared" si="918"/>
        <v>1</v>
      </c>
      <c r="AC63" s="17">
        <f t="shared" si="919"/>
        <v>1</v>
      </c>
      <c r="AD63" s="17">
        <f t="shared" si="920"/>
        <v>1</v>
      </c>
      <c r="AE63" s="17">
        <f t="shared" si="921"/>
        <v>0</v>
      </c>
      <c r="AF63" s="17">
        <f t="shared" si="922"/>
        <v>0</v>
      </c>
      <c r="AG63" s="17">
        <f t="shared" si="923"/>
        <v>0</v>
      </c>
      <c r="AH63" s="17">
        <f t="shared" si="924"/>
        <v>0</v>
      </c>
      <c r="AI63" s="17">
        <f t="shared" si="925"/>
        <v>0</v>
      </c>
      <c r="AJ63" s="17">
        <f t="shared" si="926"/>
        <v>0</v>
      </c>
      <c r="AK63" s="17">
        <f t="shared" si="927"/>
        <v>0</v>
      </c>
      <c r="AL63" s="17">
        <f t="shared" si="928"/>
        <v>0</v>
      </c>
      <c r="AM63" s="17">
        <f t="shared" si="929"/>
        <v>0</v>
      </c>
      <c r="AN63" s="17">
        <f t="shared" si="930"/>
        <v>0</v>
      </c>
      <c r="AO63" s="17">
        <f t="shared" si="931"/>
        <v>0</v>
      </c>
      <c r="AP63" s="17">
        <f t="shared" si="932"/>
        <v>0</v>
      </c>
      <c r="AQ63" s="17">
        <f t="shared" si="933"/>
        <v>0</v>
      </c>
      <c r="AR63" s="17">
        <f t="shared" si="934"/>
        <v>0</v>
      </c>
      <c r="AS63" s="17">
        <f t="shared" si="935"/>
        <v>0</v>
      </c>
      <c r="AT63" s="17">
        <f t="shared" si="936"/>
        <v>0</v>
      </c>
      <c r="AU63" s="54">
        <f t="shared" si="937"/>
        <v>0</v>
      </c>
      <c r="AV63" s="58">
        <f t="shared" si="551"/>
        <v>12</v>
      </c>
      <c r="AW63" s="58">
        <f t="shared" ca="1" si="73"/>
        <v>0.92307692307692313</v>
      </c>
      <c r="AX63" s="50">
        <f t="shared" si="938"/>
        <v>11</v>
      </c>
      <c r="AY63" s="17">
        <f t="shared" si="939"/>
        <v>10</v>
      </c>
      <c r="AZ63" s="17">
        <f t="shared" si="940"/>
        <v>11</v>
      </c>
      <c r="BA63" s="17">
        <f t="shared" si="941"/>
        <v>0</v>
      </c>
      <c r="BB63" s="17">
        <f t="shared" si="942"/>
        <v>11</v>
      </c>
      <c r="BC63" s="17">
        <f t="shared" si="943"/>
        <v>11</v>
      </c>
      <c r="BD63" s="17">
        <f t="shared" si="944"/>
        <v>10</v>
      </c>
      <c r="BE63" s="17">
        <f t="shared" si="945"/>
        <v>9</v>
      </c>
      <c r="BF63" s="17">
        <f t="shared" si="946"/>
        <v>10</v>
      </c>
      <c r="BG63" s="17">
        <f t="shared" si="947"/>
        <v>15</v>
      </c>
      <c r="BH63" s="17">
        <f t="shared" si="948"/>
        <v>0</v>
      </c>
      <c r="BI63" s="17">
        <f t="shared" si="949"/>
        <v>11</v>
      </c>
      <c r="BJ63" s="17">
        <f t="shared" si="950"/>
        <v>12</v>
      </c>
      <c r="BK63" s="17">
        <f t="shared" si="951"/>
        <v>0</v>
      </c>
      <c r="BL63" s="17">
        <f t="shared" si="952"/>
        <v>0</v>
      </c>
      <c r="BM63" s="17">
        <f t="shared" si="953"/>
        <v>0</v>
      </c>
      <c r="BN63" s="17">
        <f t="shared" si="954"/>
        <v>0</v>
      </c>
      <c r="BO63" s="17">
        <f t="shared" si="955"/>
        <v>0</v>
      </c>
      <c r="BP63" s="17">
        <f t="shared" si="956"/>
        <v>0</v>
      </c>
      <c r="BQ63" s="17">
        <f t="shared" si="957"/>
        <v>0</v>
      </c>
      <c r="BR63" s="17">
        <f t="shared" si="958"/>
        <v>0</v>
      </c>
      <c r="BS63" s="17">
        <f t="shared" si="959"/>
        <v>0</v>
      </c>
      <c r="BT63" s="17">
        <f t="shared" si="960"/>
        <v>0</v>
      </c>
      <c r="BU63" s="17">
        <f t="shared" si="961"/>
        <v>0</v>
      </c>
      <c r="BV63" s="17">
        <f t="shared" si="962"/>
        <v>0</v>
      </c>
      <c r="BW63" s="17">
        <f t="shared" si="963"/>
        <v>0</v>
      </c>
      <c r="BX63" s="17">
        <f t="shared" si="964"/>
        <v>0</v>
      </c>
      <c r="BY63" s="17">
        <f t="shared" si="965"/>
        <v>0</v>
      </c>
      <c r="BZ63" s="17">
        <f t="shared" si="966"/>
        <v>0</v>
      </c>
      <c r="CA63" s="17">
        <f t="shared" si="967"/>
        <v>0</v>
      </c>
      <c r="CB63" s="54">
        <f t="shared" si="968"/>
        <v>0</v>
      </c>
      <c r="CC63" s="58">
        <f t="shared" si="208"/>
        <v>121</v>
      </c>
      <c r="CD63" s="58">
        <f t="shared" ca="1" si="103"/>
        <v>9.3076923076923084</v>
      </c>
      <c r="JJ63" s="4" t="s">
        <v>13</v>
      </c>
      <c r="JK63" s="152" t="str">
        <f t="shared" si="552"/>
        <v>MUX01-PHR-MIO-03</v>
      </c>
      <c r="JL63" s="163">
        <v>1</v>
      </c>
      <c r="JM63" s="158">
        <v>1</v>
      </c>
      <c r="JN63" s="158">
        <v>1</v>
      </c>
      <c r="JO63" s="159">
        <v>0</v>
      </c>
      <c r="JP63" s="158">
        <v>1</v>
      </c>
      <c r="JQ63" s="158">
        <v>1</v>
      </c>
      <c r="JR63" s="158">
        <v>1</v>
      </c>
      <c r="JS63" s="158">
        <v>1</v>
      </c>
      <c r="JT63" s="158">
        <v>1</v>
      </c>
      <c r="JU63" s="158">
        <v>1</v>
      </c>
      <c r="JV63" s="158">
        <v>0</v>
      </c>
      <c r="JW63" s="159">
        <v>1</v>
      </c>
      <c r="JX63" s="159">
        <v>1</v>
      </c>
      <c r="JY63" s="159">
        <v>1</v>
      </c>
      <c r="JZ63" s="158"/>
      <c r="KA63" s="158"/>
      <c r="KB63" s="158"/>
      <c r="KC63" s="158"/>
      <c r="KD63" s="158"/>
      <c r="KE63" s="158"/>
      <c r="KF63" s="158"/>
      <c r="KG63" s="158"/>
      <c r="KH63" s="159"/>
      <c r="KI63" s="159"/>
      <c r="KJ63" s="158"/>
      <c r="KK63" s="158"/>
      <c r="KL63" s="158"/>
      <c r="KM63" s="158"/>
      <c r="KN63" s="158"/>
      <c r="KO63" s="158"/>
      <c r="KP63" s="164"/>
      <c r="KQ63" s="157">
        <v>11</v>
      </c>
      <c r="KR63" s="157">
        <v>10</v>
      </c>
      <c r="KS63" s="157">
        <v>11</v>
      </c>
      <c r="KT63" s="157">
        <v>0</v>
      </c>
      <c r="KU63" s="157">
        <v>11</v>
      </c>
      <c r="KV63" s="157">
        <v>11</v>
      </c>
      <c r="KW63" s="157">
        <v>10</v>
      </c>
      <c r="KX63" s="157">
        <v>9</v>
      </c>
      <c r="KY63" s="157">
        <v>10</v>
      </c>
      <c r="KZ63" s="157">
        <v>15</v>
      </c>
      <c r="LA63" s="157">
        <v>0</v>
      </c>
      <c r="LB63" s="157">
        <v>11</v>
      </c>
      <c r="LC63" s="157">
        <v>12</v>
      </c>
      <c r="LD63" s="157">
        <v>0</v>
      </c>
      <c r="LE63" s="157"/>
      <c r="LF63" s="157"/>
      <c r="LG63" s="157"/>
      <c r="LH63" s="157"/>
      <c r="LI63" s="157"/>
      <c r="LJ63" s="157"/>
      <c r="LK63" s="157"/>
      <c r="LL63" s="157"/>
      <c r="LM63" s="157"/>
      <c r="LN63" s="157"/>
      <c r="LO63" s="157"/>
      <c r="LP63" s="157"/>
      <c r="LQ63" s="157"/>
      <c r="LR63" s="157"/>
      <c r="LS63" s="157"/>
      <c r="LT63" s="5"/>
      <c r="LU63" s="8"/>
    </row>
    <row r="64" spans="1:333" ht="16.2" customHeight="1">
      <c r="A64" s="38" t="s">
        <v>9</v>
      </c>
      <c r="B64" s="25" t="s">
        <v>53</v>
      </c>
      <c r="C64" s="26" t="s">
        <v>388</v>
      </c>
      <c r="D64" s="25" t="s">
        <v>280</v>
      </c>
      <c r="E64" s="27" t="s">
        <v>98</v>
      </c>
      <c r="F64" s="25" t="s">
        <v>478</v>
      </c>
      <c r="G64" s="25" t="s">
        <v>281</v>
      </c>
      <c r="H64" s="28">
        <v>45854</v>
      </c>
      <c r="I64" s="29" t="s">
        <v>282</v>
      </c>
      <c r="J64" s="30">
        <v>1</v>
      </c>
      <c r="K64" s="147">
        <v>0</v>
      </c>
      <c r="L64" s="147">
        <f t="shared" si="902"/>
        <v>1</v>
      </c>
      <c r="M64" s="147">
        <f t="shared" si="903"/>
        <v>1</v>
      </c>
      <c r="N64" s="147">
        <f t="shared" si="904"/>
        <v>0</v>
      </c>
      <c r="O64" s="147">
        <f t="shared" si="905"/>
        <v>1</v>
      </c>
      <c r="P64" s="148">
        <f t="shared" si="906"/>
        <v>1</v>
      </c>
      <c r="Q64" s="50">
        <f t="shared" si="907"/>
        <v>1</v>
      </c>
      <c r="R64" s="17">
        <f t="shared" si="908"/>
        <v>1</v>
      </c>
      <c r="S64" s="17">
        <f t="shared" si="909"/>
        <v>1</v>
      </c>
      <c r="T64" s="17">
        <f t="shared" si="910"/>
        <v>0</v>
      </c>
      <c r="U64" s="17">
        <f t="shared" si="911"/>
        <v>1</v>
      </c>
      <c r="V64" s="17">
        <f t="shared" si="912"/>
        <v>1</v>
      </c>
      <c r="W64" s="17">
        <f t="shared" si="913"/>
        <v>1</v>
      </c>
      <c r="X64" s="17">
        <f t="shared" si="914"/>
        <v>1</v>
      </c>
      <c r="Y64" s="17">
        <f t="shared" si="915"/>
        <v>1</v>
      </c>
      <c r="Z64" s="17">
        <f t="shared" si="916"/>
        <v>1</v>
      </c>
      <c r="AA64" s="17">
        <f t="shared" si="917"/>
        <v>0</v>
      </c>
      <c r="AB64" s="17">
        <f t="shared" si="918"/>
        <v>1</v>
      </c>
      <c r="AC64" s="17">
        <f t="shared" si="919"/>
        <v>1</v>
      </c>
      <c r="AD64" s="17">
        <f t="shared" si="920"/>
        <v>1</v>
      </c>
      <c r="AE64" s="17">
        <f t="shared" si="921"/>
        <v>0</v>
      </c>
      <c r="AF64" s="17">
        <f t="shared" si="922"/>
        <v>0</v>
      </c>
      <c r="AG64" s="17">
        <f t="shared" si="923"/>
        <v>0</v>
      </c>
      <c r="AH64" s="17">
        <f t="shared" si="924"/>
        <v>0</v>
      </c>
      <c r="AI64" s="17">
        <f t="shared" si="925"/>
        <v>0</v>
      </c>
      <c r="AJ64" s="17">
        <f t="shared" si="926"/>
        <v>0</v>
      </c>
      <c r="AK64" s="17">
        <f t="shared" si="927"/>
        <v>0</v>
      </c>
      <c r="AL64" s="17">
        <f t="shared" si="928"/>
        <v>0</v>
      </c>
      <c r="AM64" s="17">
        <f t="shared" si="929"/>
        <v>0</v>
      </c>
      <c r="AN64" s="17">
        <f t="shared" si="930"/>
        <v>0</v>
      </c>
      <c r="AO64" s="17">
        <f t="shared" si="931"/>
        <v>0</v>
      </c>
      <c r="AP64" s="17">
        <f t="shared" si="932"/>
        <v>0</v>
      </c>
      <c r="AQ64" s="17">
        <f t="shared" si="933"/>
        <v>0</v>
      </c>
      <c r="AR64" s="17">
        <f t="shared" si="934"/>
        <v>0</v>
      </c>
      <c r="AS64" s="17">
        <f t="shared" si="935"/>
        <v>0</v>
      </c>
      <c r="AT64" s="17">
        <f t="shared" si="936"/>
        <v>0</v>
      </c>
      <c r="AU64" s="54">
        <f t="shared" si="937"/>
        <v>0</v>
      </c>
      <c r="AV64" s="58">
        <f t="shared" si="551"/>
        <v>12</v>
      </c>
      <c r="AW64" s="58">
        <f t="shared" ca="1" si="73"/>
        <v>0.92307692307692313</v>
      </c>
      <c r="AX64" s="50">
        <f t="shared" si="938"/>
        <v>8</v>
      </c>
      <c r="AY64" s="17">
        <f t="shared" si="939"/>
        <v>7</v>
      </c>
      <c r="AZ64" s="17">
        <f t="shared" si="940"/>
        <v>10</v>
      </c>
      <c r="BA64" s="17">
        <f t="shared" si="941"/>
        <v>0</v>
      </c>
      <c r="BB64" s="17">
        <f t="shared" si="942"/>
        <v>10</v>
      </c>
      <c r="BC64" s="17">
        <f t="shared" si="943"/>
        <v>8</v>
      </c>
      <c r="BD64" s="17">
        <f t="shared" si="944"/>
        <v>9</v>
      </c>
      <c r="BE64" s="17">
        <f t="shared" si="945"/>
        <v>8</v>
      </c>
      <c r="BF64" s="17">
        <f t="shared" si="946"/>
        <v>8</v>
      </c>
      <c r="BG64" s="17">
        <f t="shared" si="947"/>
        <v>0</v>
      </c>
      <c r="BH64" s="17">
        <f t="shared" si="948"/>
        <v>0</v>
      </c>
      <c r="BI64" s="17">
        <f t="shared" si="949"/>
        <v>12</v>
      </c>
      <c r="BJ64" s="17">
        <f t="shared" si="950"/>
        <v>11</v>
      </c>
      <c r="BK64" s="17">
        <f t="shared" si="951"/>
        <v>0</v>
      </c>
      <c r="BL64" s="17">
        <f t="shared" si="952"/>
        <v>0</v>
      </c>
      <c r="BM64" s="17">
        <f t="shared" si="953"/>
        <v>0</v>
      </c>
      <c r="BN64" s="17">
        <f t="shared" si="954"/>
        <v>0</v>
      </c>
      <c r="BO64" s="17">
        <f t="shared" si="955"/>
        <v>0</v>
      </c>
      <c r="BP64" s="17">
        <f t="shared" si="956"/>
        <v>0</v>
      </c>
      <c r="BQ64" s="17">
        <f t="shared" si="957"/>
        <v>0</v>
      </c>
      <c r="BR64" s="17">
        <f t="shared" si="958"/>
        <v>0</v>
      </c>
      <c r="BS64" s="17">
        <f t="shared" si="959"/>
        <v>0</v>
      </c>
      <c r="BT64" s="17">
        <f t="shared" si="960"/>
        <v>0</v>
      </c>
      <c r="BU64" s="17">
        <f t="shared" si="961"/>
        <v>0</v>
      </c>
      <c r="BV64" s="17">
        <f t="shared" si="962"/>
        <v>0</v>
      </c>
      <c r="BW64" s="17">
        <f t="shared" si="963"/>
        <v>0</v>
      </c>
      <c r="BX64" s="17">
        <f t="shared" si="964"/>
        <v>0</v>
      </c>
      <c r="BY64" s="17">
        <f t="shared" si="965"/>
        <v>0</v>
      </c>
      <c r="BZ64" s="17">
        <f t="shared" si="966"/>
        <v>0</v>
      </c>
      <c r="CA64" s="17">
        <f t="shared" si="967"/>
        <v>0</v>
      </c>
      <c r="CB64" s="54">
        <f t="shared" si="968"/>
        <v>0</v>
      </c>
      <c r="CC64" s="58">
        <f t="shared" si="208"/>
        <v>91</v>
      </c>
      <c r="CD64" s="58">
        <f t="shared" ca="1" si="103"/>
        <v>7</v>
      </c>
      <c r="JJ64" s="4" t="s">
        <v>13</v>
      </c>
      <c r="JK64" s="152" t="str">
        <f t="shared" si="552"/>
        <v>MUX01-PHR-MIO-04</v>
      </c>
      <c r="JL64" s="163">
        <v>1</v>
      </c>
      <c r="JM64" s="158">
        <v>1</v>
      </c>
      <c r="JN64" s="158">
        <v>1</v>
      </c>
      <c r="JO64" s="159">
        <v>0</v>
      </c>
      <c r="JP64" s="158">
        <v>1</v>
      </c>
      <c r="JQ64" s="158">
        <v>1</v>
      </c>
      <c r="JR64" s="158">
        <v>1</v>
      </c>
      <c r="JS64" s="158">
        <v>1</v>
      </c>
      <c r="JT64" s="158">
        <v>1</v>
      </c>
      <c r="JU64" s="158">
        <v>1</v>
      </c>
      <c r="JV64" s="158">
        <v>0</v>
      </c>
      <c r="JW64" s="159">
        <v>1</v>
      </c>
      <c r="JX64" s="159">
        <v>1</v>
      </c>
      <c r="JY64" s="159">
        <v>1</v>
      </c>
      <c r="JZ64" s="158"/>
      <c r="KA64" s="158"/>
      <c r="KB64" s="158"/>
      <c r="KC64" s="158"/>
      <c r="KD64" s="158"/>
      <c r="KE64" s="158"/>
      <c r="KF64" s="158"/>
      <c r="KG64" s="158"/>
      <c r="KH64" s="159"/>
      <c r="KI64" s="159"/>
      <c r="KJ64" s="158"/>
      <c r="KK64" s="158"/>
      <c r="KL64" s="158"/>
      <c r="KM64" s="158"/>
      <c r="KN64" s="158"/>
      <c r="KO64" s="158"/>
      <c r="KP64" s="164"/>
      <c r="KQ64" s="157">
        <v>8</v>
      </c>
      <c r="KR64" s="157">
        <v>7</v>
      </c>
      <c r="KS64" s="157">
        <v>10</v>
      </c>
      <c r="KT64" s="157">
        <v>0</v>
      </c>
      <c r="KU64" s="157">
        <v>10</v>
      </c>
      <c r="KV64" s="157">
        <v>8</v>
      </c>
      <c r="KW64" s="157">
        <v>9</v>
      </c>
      <c r="KX64" s="157">
        <v>8</v>
      </c>
      <c r="KY64" s="157">
        <v>8</v>
      </c>
      <c r="KZ64" s="157">
        <v>0</v>
      </c>
      <c r="LA64" s="157">
        <v>0</v>
      </c>
      <c r="LB64" s="157">
        <v>12</v>
      </c>
      <c r="LC64" s="157">
        <v>11</v>
      </c>
      <c r="LD64" s="157">
        <v>0</v>
      </c>
      <c r="LE64" s="157"/>
      <c r="LF64" s="157"/>
      <c r="LG64" s="157"/>
      <c r="LH64" s="157"/>
      <c r="LI64" s="157"/>
      <c r="LJ64" s="157"/>
      <c r="LK64" s="157"/>
      <c r="LL64" s="157"/>
      <c r="LM64" s="157"/>
      <c r="LN64" s="157"/>
      <c r="LO64" s="157"/>
      <c r="LP64" s="157"/>
      <c r="LQ64" s="157"/>
      <c r="LR64" s="157"/>
      <c r="LS64" s="157"/>
      <c r="LT64" s="5"/>
      <c r="LU64" s="8"/>
    </row>
    <row r="65" spans="1:333" ht="16.2" customHeight="1">
      <c r="A65" s="38" t="s">
        <v>9</v>
      </c>
      <c r="B65" s="25" t="s">
        <v>53</v>
      </c>
      <c r="C65" s="26" t="s">
        <v>388</v>
      </c>
      <c r="D65" s="25" t="s">
        <v>283</v>
      </c>
      <c r="E65" s="27" t="s">
        <v>99</v>
      </c>
      <c r="F65" s="25" t="s">
        <v>479</v>
      </c>
      <c r="G65" s="25" t="s">
        <v>284</v>
      </c>
      <c r="H65" s="28">
        <v>45632</v>
      </c>
      <c r="I65" s="29" t="s">
        <v>285</v>
      </c>
      <c r="J65" s="30">
        <v>1</v>
      </c>
      <c r="K65" s="147">
        <v>0</v>
      </c>
      <c r="L65" s="147">
        <f t="shared" si="902"/>
        <v>1</v>
      </c>
      <c r="M65" s="147">
        <f t="shared" si="903"/>
        <v>1</v>
      </c>
      <c r="N65" s="147">
        <f t="shared" si="904"/>
        <v>1</v>
      </c>
      <c r="O65" s="147">
        <f t="shared" si="905"/>
        <v>1</v>
      </c>
      <c r="P65" s="148">
        <f t="shared" si="906"/>
        <v>1</v>
      </c>
      <c r="Q65" s="50">
        <f t="shared" si="907"/>
        <v>0</v>
      </c>
      <c r="R65" s="17">
        <f t="shared" si="908"/>
        <v>1</v>
      </c>
      <c r="S65" s="17">
        <f t="shared" si="909"/>
        <v>1</v>
      </c>
      <c r="T65" s="17">
        <f t="shared" si="910"/>
        <v>0</v>
      </c>
      <c r="U65" s="17">
        <f t="shared" si="911"/>
        <v>1</v>
      </c>
      <c r="V65" s="17">
        <f t="shared" si="912"/>
        <v>1</v>
      </c>
      <c r="W65" s="17">
        <f t="shared" si="913"/>
        <v>1</v>
      </c>
      <c r="X65" s="17">
        <f t="shared" si="914"/>
        <v>1</v>
      </c>
      <c r="Y65" s="17">
        <f t="shared" si="915"/>
        <v>1</v>
      </c>
      <c r="Z65" s="17">
        <f t="shared" si="916"/>
        <v>1</v>
      </c>
      <c r="AA65" s="17">
        <f t="shared" si="917"/>
        <v>0</v>
      </c>
      <c r="AB65" s="17">
        <f t="shared" si="918"/>
        <v>1</v>
      </c>
      <c r="AC65" s="17">
        <f t="shared" si="919"/>
        <v>1</v>
      </c>
      <c r="AD65" s="17">
        <f t="shared" si="920"/>
        <v>1</v>
      </c>
      <c r="AE65" s="17">
        <f t="shared" si="921"/>
        <v>0</v>
      </c>
      <c r="AF65" s="17">
        <f t="shared" si="922"/>
        <v>0</v>
      </c>
      <c r="AG65" s="17">
        <f t="shared" si="923"/>
        <v>0</v>
      </c>
      <c r="AH65" s="17">
        <f t="shared" si="924"/>
        <v>0</v>
      </c>
      <c r="AI65" s="17">
        <f t="shared" si="925"/>
        <v>0</v>
      </c>
      <c r="AJ65" s="17">
        <f t="shared" si="926"/>
        <v>0</v>
      </c>
      <c r="AK65" s="17">
        <f t="shared" si="927"/>
        <v>0</v>
      </c>
      <c r="AL65" s="17">
        <f t="shared" si="928"/>
        <v>0</v>
      </c>
      <c r="AM65" s="17">
        <f t="shared" si="929"/>
        <v>0</v>
      </c>
      <c r="AN65" s="17">
        <f t="shared" si="930"/>
        <v>0</v>
      </c>
      <c r="AO65" s="17">
        <f t="shared" si="931"/>
        <v>0</v>
      </c>
      <c r="AP65" s="17">
        <f t="shared" si="932"/>
        <v>0</v>
      </c>
      <c r="AQ65" s="17">
        <f t="shared" si="933"/>
        <v>0</v>
      </c>
      <c r="AR65" s="17">
        <f t="shared" si="934"/>
        <v>0</v>
      </c>
      <c r="AS65" s="17">
        <f t="shared" si="935"/>
        <v>0</v>
      </c>
      <c r="AT65" s="17">
        <f t="shared" si="936"/>
        <v>0</v>
      </c>
      <c r="AU65" s="54">
        <f t="shared" si="937"/>
        <v>0</v>
      </c>
      <c r="AV65" s="58">
        <f t="shared" si="551"/>
        <v>11</v>
      </c>
      <c r="AW65" s="58">
        <f t="shared" ca="1" si="73"/>
        <v>0.84615384615384615</v>
      </c>
      <c r="AX65" s="50">
        <f t="shared" si="938"/>
        <v>12</v>
      </c>
      <c r="AY65" s="17">
        <f t="shared" si="939"/>
        <v>10</v>
      </c>
      <c r="AZ65" s="17">
        <f t="shared" si="940"/>
        <v>7</v>
      </c>
      <c r="BA65" s="17">
        <f t="shared" si="941"/>
        <v>0</v>
      </c>
      <c r="BB65" s="17">
        <f t="shared" si="942"/>
        <v>12</v>
      </c>
      <c r="BC65" s="17">
        <f t="shared" si="943"/>
        <v>11</v>
      </c>
      <c r="BD65" s="17">
        <f t="shared" si="944"/>
        <v>11</v>
      </c>
      <c r="BE65" s="17">
        <f t="shared" si="945"/>
        <v>8</v>
      </c>
      <c r="BF65" s="17">
        <f t="shared" si="946"/>
        <v>11</v>
      </c>
      <c r="BG65" s="17">
        <f t="shared" si="947"/>
        <v>15</v>
      </c>
      <c r="BH65" s="17">
        <f t="shared" si="948"/>
        <v>0</v>
      </c>
      <c r="BI65" s="17">
        <f t="shared" si="949"/>
        <v>13</v>
      </c>
      <c r="BJ65" s="17">
        <f t="shared" si="950"/>
        <v>11</v>
      </c>
      <c r="BK65" s="17">
        <f t="shared" si="951"/>
        <v>1</v>
      </c>
      <c r="BL65" s="17">
        <f t="shared" si="952"/>
        <v>0</v>
      </c>
      <c r="BM65" s="17">
        <f t="shared" si="953"/>
        <v>0</v>
      </c>
      <c r="BN65" s="17">
        <f t="shared" si="954"/>
        <v>0</v>
      </c>
      <c r="BO65" s="17">
        <f t="shared" si="955"/>
        <v>0</v>
      </c>
      <c r="BP65" s="17">
        <f t="shared" si="956"/>
        <v>0</v>
      </c>
      <c r="BQ65" s="17">
        <f t="shared" si="957"/>
        <v>0</v>
      </c>
      <c r="BR65" s="17">
        <f t="shared" si="958"/>
        <v>0</v>
      </c>
      <c r="BS65" s="17">
        <f t="shared" si="959"/>
        <v>0</v>
      </c>
      <c r="BT65" s="17">
        <f t="shared" si="960"/>
        <v>0</v>
      </c>
      <c r="BU65" s="17">
        <f t="shared" si="961"/>
        <v>0</v>
      </c>
      <c r="BV65" s="17">
        <f t="shared" si="962"/>
        <v>0</v>
      </c>
      <c r="BW65" s="17">
        <f t="shared" si="963"/>
        <v>0</v>
      </c>
      <c r="BX65" s="17">
        <f t="shared" si="964"/>
        <v>0</v>
      </c>
      <c r="BY65" s="17">
        <f t="shared" si="965"/>
        <v>0</v>
      </c>
      <c r="BZ65" s="17">
        <f t="shared" si="966"/>
        <v>0</v>
      </c>
      <c r="CA65" s="17">
        <f t="shared" si="967"/>
        <v>0</v>
      </c>
      <c r="CB65" s="54">
        <f t="shared" si="968"/>
        <v>0</v>
      </c>
      <c r="CC65" s="58">
        <f t="shared" si="208"/>
        <v>122</v>
      </c>
      <c r="CD65" s="58">
        <f t="shared" ca="1" si="103"/>
        <v>9.384615384615385</v>
      </c>
      <c r="JJ65" s="4" t="s">
        <v>13</v>
      </c>
      <c r="JK65" s="152" t="str">
        <f t="shared" si="552"/>
        <v>MUX01-PHR-MIO-02</v>
      </c>
      <c r="JL65" s="163">
        <v>0</v>
      </c>
      <c r="JM65" s="158">
        <v>1</v>
      </c>
      <c r="JN65" s="158">
        <v>1</v>
      </c>
      <c r="JO65" s="159">
        <v>0</v>
      </c>
      <c r="JP65" s="158">
        <v>1</v>
      </c>
      <c r="JQ65" s="158">
        <v>1</v>
      </c>
      <c r="JR65" s="158">
        <v>1</v>
      </c>
      <c r="JS65" s="158">
        <v>1</v>
      </c>
      <c r="JT65" s="158">
        <v>1</v>
      </c>
      <c r="JU65" s="158">
        <v>1</v>
      </c>
      <c r="JV65" s="158">
        <v>0</v>
      </c>
      <c r="JW65" s="159">
        <v>1</v>
      </c>
      <c r="JX65" s="159">
        <v>1</v>
      </c>
      <c r="JY65" s="159">
        <v>1</v>
      </c>
      <c r="JZ65" s="158"/>
      <c r="KA65" s="158"/>
      <c r="KB65" s="158"/>
      <c r="KC65" s="158"/>
      <c r="KD65" s="158"/>
      <c r="KE65" s="158"/>
      <c r="KF65" s="158"/>
      <c r="KG65" s="158"/>
      <c r="KH65" s="159"/>
      <c r="KI65" s="159"/>
      <c r="KJ65" s="158"/>
      <c r="KK65" s="158"/>
      <c r="KL65" s="158"/>
      <c r="KM65" s="158"/>
      <c r="KN65" s="158"/>
      <c r="KO65" s="158"/>
      <c r="KP65" s="164"/>
      <c r="KQ65" s="157">
        <v>12</v>
      </c>
      <c r="KR65" s="157">
        <v>10</v>
      </c>
      <c r="KS65" s="157">
        <v>7</v>
      </c>
      <c r="KT65" s="157">
        <v>0</v>
      </c>
      <c r="KU65" s="157">
        <v>12</v>
      </c>
      <c r="KV65" s="157">
        <v>11</v>
      </c>
      <c r="KW65" s="157">
        <v>11</v>
      </c>
      <c r="KX65" s="157">
        <v>8</v>
      </c>
      <c r="KY65" s="157">
        <v>11</v>
      </c>
      <c r="KZ65" s="157">
        <v>15</v>
      </c>
      <c r="LA65" s="157">
        <v>0</v>
      </c>
      <c r="LB65" s="157">
        <v>13</v>
      </c>
      <c r="LC65" s="157">
        <v>11</v>
      </c>
      <c r="LD65" s="157">
        <v>1</v>
      </c>
      <c r="LE65" s="157"/>
      <c r="LF65" s="157"/>
      <c r="LG65" s="157"/>
      <c r="LH65" s="157"/>
      <c r="LI65" s="157"/>
      <c r="LJ65" s="157"/>
      <c r="LK65" s="157"/>
      <c r="LL65" s="157"/>
      <c r="LM65" s="157"/>
      <c r="LN65" s="157"/>
      <c r="LO65" s="157"/>
      <c r="LP65" s="157"/>
      <c r="LQ65" s="157"/>
      <c r="LR65" s="157"/>
      <c r="LS65" s="157"/>
      <c r="LT65" s="5"/>
      <c r="LU65" s="8"/>
    </row>
    <row r="66" spans="1:333" ht="16.2" customHeight="1">
      <c r="A66" s="38" t="s">
        <v>9</v>
      </c>
      <c r="B66" s="25" t="s">
        <v>53</v>
      </c>
      <c r="C66" s="25" t="s">
        <v>388</v>
      </c>
      <c r="D66" s="25" t="s">
        <v>286</v>
      </c>
      <c r="E66" s="27" t="s">
        <v>100</v>
      </c>
      <c r="F66" s="25" t="s">
        <v>480</v>
      </c>
      <c r="G66" s="25" t="s">
        <v>287</v>
      </c>
      <c r="H66" s="28">
        <v>45387</v>
      </c>
      <c r="I66" s="29" t="s">
        <v>288</v>
      </c>
      <c r="J66" s="30">
        <v>1</v>
      </c>
      <c r="K66" s="147">
        <v>0</v>
      </c>
      <c r="L66" s="147">
        <f t="shared" si="902"/>
        <v>1</v>
      </c>
      <c r="M66" s="147">
        <f t="shared" si="903"/>
        <v>1</v>
      </c>
      <c r="N66" s="147">
        <f t="shared" si="904"/>
        <v>0</v>
      </c>
      <c r="O66" s="147">
        <f t="shared" si="905"/>
        <v>1</v>
      </c>
      <c r="P66" s="148">
        <f t="shared" si="906"/>
        <v>1</v>
      </c>
      <c r="Q66" s="50">
        <f t="shared" si="907"/>
        <v>1</v>
      </c>
      <c r="R66" s="17">
        <f t="shared" si="908"/>
        <v>1</v>
      </c>
      <c r="S66" s="17">
        <f t="shared" si="909"/>
        <v>1</v>
      </c>
      <c r="T66" s="17">
        <f t="shared" si="910"/>
        <v>0</v>
      </c>
      <c r="U66" s="17">
        <f t="shared" si="911"/>
        <v>1</v>
      </c>
      <c r="V66" s="17">
        <f t="shared" si="912"/>
        <v>1</v>
      </c>
      <c r="W66" s="17">
        <f t="shared" si="913"/>
        <v>1</v>
      </c>
      <c r="X66" s="17">
        <f t="shared" si="914"/>
        <v>1</v>
      </c>
      <c r="Y66" s="17">
        <f t="shared" si="915"/>
        <v>1</v>
      </c>
      <c r="Z66" s="17">
        <f t="shared" si="916"/>
        <v>1</v>
      </c>
      <c r="AA66" s="17">
        <f t="shared" si="917"/>
        <v>0</v>
      </c>
      <c r="AB66" s="17">
        <f t="shared" si="918"/>
        <v>1</v>
      </c>
      <c r="AC66" s="17">
        <f t="shared" si="919"/>
        <v>1</v>
      </c>
      <c r="AD66" s="17">
        <f t="shared" si="920"/>
        <v>1</v>
      </c>
      <c r="AE66" s="17">
        <f t="shared" si="921"/>
        <v>0</v>
      </c>
      <c r="AF66" s="17">
        <f t="shared" si="922"/>
        <v>0</v>
      </c>
      <c r="AG66" s="17">
        <f t="shared" si="923"/>
        <v>0</v>
      </c>
      <c r="AH66" s="17">
        <f t="shared" si="924"/>
        <v>0</v>
      </c>
      <c r="AI66" s="17">
        <f t="shared" si="925"/>
        <v>0</v>
      </c>
      <c r="AJ66" s="17">
        <f t="shared" si="926"/>
        <v>0</v>
      </c>
      <c r="AK66" s="17">
        <f t="shared" si="927"/>
        <v>0</v>
      </c>
      <c r="AL66" s="17">
        <f t="shared" si="928"/>
        <v>0</v>
      </c>
      <c r="AM66" s="17">
        <f t="shared" si="929"/>
        <v>0</v>
      </c>
      <c r="AN66" s="17">
        <f t="shared" si="930"/>
        <v>0</v>
      </c>
      <c r="AO66" s="17">
        <f t="shared" si="931"/>
        <v>0</v>
      </c>
      <c r="AP66" s="17">
        <f t="shared" si="932"/>
        <v>0</v>
      </c>
      <c r="AQ66" s="17">
        <f t="shared" si="933"/>
        <v>0</v>
      </c>
      <c r="AR66" s="17">
        <f t="shared" si="934"/>
        <v>0</v>
      </c>
      <c r="AS66" s="17">
        <f t="shared" si="935"/>
        <v>0</v>
      </c>
      <c r="AT66" s="17">
        <f t="shared" si="936"/>
        <v>0</v>
      </c>
      <c r="AU66" s="54">
        <f t="shared" si="937"/>
        <v>0</v>
      </c>
      <c r="AV66" s="58">
        <f t="shared" si="551"/>
        <v>12</v>
      </c>
      <c r="AW66" s="58">
        <f t="shared" ca="1" si="73"/>
        <v>0.92307692307692313</v>
      </c>
      <c r="AX66" s="50">
        <f t="shared" si="938"/>
        <v>13</v>
      </c>
      <c r="AY66" s="17">
        <f t="shared" si="939"/>
        <v>8</v>
      </c>
      <c r="AZ66" s="17">
        <f t="shared" si="940"/>
        <v>5</v>
      </c>
      <c r="BA66" s="17">
        <f t="shared" si="941"/>
        <v>0</v>
      </c>
      <c r="BB66" s="17">
        <f t="shared" si="942"/>
        <v>10</v>
      </c>
      <c r="BC66" s="17">
        <f t="shared" si="943"/>
        <v>10</v>
      </c>
      <c r="BD66" s="17">
        <f t="shared" si="944"/>
        <v>11</v>
      </c>
      <c r="BE66" s="17">
        <f t="shared" si="945"/>
        <v>11</v>
      </c>
      <c r="BF66" s="17">
        <f t="shared" si="946"/>
        <v>5</v>
      </c>
      <c r="BG66" s="17">
        <f t="shared" si="947"/>
        <v>11</v>
      </c>
      <c r="BH66" s="17">
        <f t="shared" si="948"/>
        <v>0</v>
      </c>
      <c r="BI66" s="17">
        <f t="shared" si="949"/>
        <v>11</v>
      </c>
      <c r="BJ66" s="17">
        <f t="shared" si="950"/>
        <v>0</v>
      </c>
      <c r="BK66" s="17">
        <f t="shared" si="951"/>
        <v>0</v>
      </c>
      <c r="BL66" s="17">
        <f t="shared" si="952"/>
        <v>0</v>
      </c>
      <c r="BM66" s="17">
        <f t="shared" si="953"/>
        <v>0</v>
      </c>
      <c r="BN66" s="17">
        <f t="shared" si="954"/>
        <v>0</v>
      </c>
      <c r="BO66" s="17">
        <f t="shared" si="955"/>
        <v>0</v>
      </c>
      <c r="BP66" s="17">
        <f t="shared" si="956"/>
        <v>0</v>
      </c>
      <c r="BQ66" s="17">
        <f t="shared" si="957"/>
        <v>0</v>
      </c>
      <c r="BR66" s="17">
        <f t="shared" si="958"/>
        <v>0</v>
      </c>
      <c r="BS66" s="17">
        <f t="shared" si="959"/>
        <v>0</v>
      </c>
      <c r="BT66" s="17">
        <f t="shared" si="960"/>
        <v>0</v>
      </c>
      <c r="BU66" s="17">
        <f t="shared" si="961"/>
        <v>0</v>
      </c>
      <c r="BV66" s="17">
        <f t="shared" si="962"/>
        <v>0</v>
      </c>
      <c r="BW66" s="17">
        <f t="shared" si="963"/>
        <v>0</v>
      </c>
      <c r="BX66" s="17">
        <f t="shared" si="964"/>
        <v>0</v>
      </c>
      <c r="BY66" s="17">
        <f t="shared" si="965"/>
        <v>0</v>
      </c>
      <c r="BZ66" s="17">
        <f t="shared" si="966"/>
        <v>0</v>
      </c>
      <c r="CA66" s="17">
        <f t="shared" si="967"/>
        <v>0</v>
      </c>
      <c r="CB66" s="54">
        <f t="shared" si="968"/>
        <v>0</v>
      </c>
      <c r="CC66" s="58">
        <f t="shared" si="208"/>
        <v>95</v>
      </c>
      <c r="CD66" s="58">
        <f t="shared" ca="1" si="103"/>
        <v>7.3076923076923075</v>
      </c>
      <c r="JJ66" s="4" t="s">
        <v>13</v>
      </c>
      <c r="JK66" s="152" t="str">
        <f t="shared" si="552"/>
        <v>MUX01-PHR-PS-01</v>
      </c>
      <c r="JL66" s="163">
        <v>1</v>
      </c>
      <c r="JM66" s="158">
        <v>1</v>
      </c>
      <c r="JN66" s="158">
        <v>1</v>
      </c>
      <c r="JO66" s="159">
        <v>0</v>
      </c>
      <c r="JP66" s="158">
        <v>1</v>
      </c>
      <c r="JQ66" s="158">
        <v>1</v>
      </c>
      <c r="JR66" s="158">
        <v>1</v>
      </c>
      <c r="JS66" s="158">
        <v>1</v>
      </c>
      <c r="JT66" s="158">
        <v>1</v>
      </c>
      <c r="JU66" s="158">
        <v>1</v>
      </c>
      <c r="JV66" s="158">
        <v>0</v>
      </c>
      <c r="JW66" s="159">
        <v>1</v>
      </c>
      <c r="JX66" s="159">
        <v>1</v>
      </c>
      <c r="JY66" s="159">
        <v>1</v>
      </c>
      <c r="JZ66" s="158"/>
      <c r="KA66" s="158"/>
      <c r="KB66" s="158"/>
      <c r="KC66" s="158"/>
      <c r="KD66" s="158"/>
      <c r="KE66" s="158"/>
      <c r="KF66" s="158"/>
      <c r="KG66" s="158"/>
      <c r="KH66" s="159"/>
      <c r="KI66" s="159"/>
      <c r="KJ66" s="158"/>
      <c r="KK66" s="158"/>
      <c r="KL66" s="158"/>
      <c r="KM66" s="158"/>
      <c r="KN66" s="158"/>
      <c r="KO66" s="158"/>
      <c r="KP66" s="164"/>
      <c r="KQ66" s="157">
        <v>13</v>
      </c>
      <c r="KR66" s="157">
        <v>8</v>
      </c>
      <c r="KS66" s="157">
        <v>5</v>
      </c>
      <c r="KT66" s="157">
        <v>0</v>
      </c>
      <c r="KU66" s="157">
        <v>10</v>
      </c>
      <c r="KV66" s="157">
        <v>10</v>
      </c>
      <c r="KW66" s="157">
        <v>11</v>
      </c>
      <c r="KX66" s="157">
        <v>11</v>
      </c>
      <c r="KY66" s="157">
        <v>5</v>
      </c>
      <c r="KZ66" s="157">
        <v>11</v>
      </c>
      <c r="LA66" s="157">
        <v>0</v>
      </c>
      <c r="LB66" s="157">
        <v>11</v>
      </c>
      <c r="LC66" s="157">
        <v>0</v>
      </c>
      <c r="LD66" s="157">
        <v>0</v>
      </c>
      <c r="LE66" s="157"/>
      <c r="LF66" s="157"/>
      <c r="LG66" s="157"/>
      <c r="LH66" s="157"/>
      <c r="LI66" s="157"/>
      <c r="LJ66" s="157"/>
      <c r="LK66" s="157"/>
      <c r="LL66" s="157"/>
      <c r="LM66" s="157"/>
      <c r="LN66" s="157"/>
      <c r="LO66" s="157"/>
      <c r="LP66" s="157"/>
      <c r="LQ66" s="157"/>
      <c r="LR66" s="157"/>
      <c r="LS66" s="157"/>
      <c r="LT66" s="5"/>
      <c r="LU66" s="8"/>
    </row>
    <row r="67" spans="1:333" ht="16.2" customHeight="1">
      <c r="A67" s="38" t="s">
        <v>16</v>
      </c>
      <c r="B67" s="25" t="s">
        <v>53</v>
      </c>
      <c r="C67" s="26" t="s">
        <v>388</v>
      </c>
      <c r="D67" s="25" t="s">
        <v>101</v>
      </c>
      <c r="E67" s="27" t="s">
        <v>102</v>
      </c>
      <c r="F67" s="25" t="s">
        <v>481</v>
      </c>
      <c r="G67" s="25" t="s">
        <v>436</v>
      </c>
      <c r="H67" s="28" t="s">
        <v>436</v>
      </c>
      <c r="I67" s="29" t="s">
        <v>60</v>
      </c>
      <c r="J67" s="30">
        <v>0</v>
      </c>
      <c r="K67" s="147">
        <v>0</v>
      </c>
      <c r="L67" s="147">
        <f t="shared" si="902"/>
        <v>0</v>
      </c>
      <c r="M67" s="147">
        <f t="shared" si="903"/>
        <v>0</v>
      </c>
      <c r="N67" s="147">
        <f t="shared" si="904"/>
        <v>0</v>
      </c>
      <c r="O67" s="147">
        <f t="shared" si="905"/>
        <v>0</v>
      </c>
      <c r="P67" s="148">
        <f t="shared" si="906"/>
        <v>0</v>
      </c>
      <c r="Q67" s="50">
        <f t="shared" si="907"/>
        <v>0</v>
      </c>
      <c r="R67" s="17">
        <f t="shared" si="908"/>
        <v>0</v>
      </c>
      <c r="S67" s="17">
        <f t="shared" si="909"/>
        <v>0</v>
      </c>
      <c r="T67" s="17">
        <f t="shared" si="910"/>
        <v>0</v>
      </c>
      <c r="U67" s="17">
        <f t="shared" si="911"/>
        <v>0</v>
      </c>
      <c r="V67" s="17">
        <f t="shared" si="912"/>
        <v>0</v>
      </c>
      <c r="W67" s="17">
        <f t="shared" si="913"/>
        <v>0</v>
      </c>
      <c r="X67" s="17">
        <f t="shared" si="914"/>
        <v>0</v>
      </c>
      <c r="Y67" s="17">
        <f t="shared" si="915"/>
        <v>0</v>
      </c>
      <c r="Z67" s="17">
        <f t="shared" si="916"/>
        <v>0</v>
      </c>
      <c r="AA67" s="17">
        <f t="shared" si="917"/>
        <v>0</v>
      </c>
      <c r="AB67" s="17">
        <f t="shared" si="918"/>
        <v>0</v>
      </c>
      <c r="AC67" s="17">
        <f t="shared" si="919"/>
        <v>0</v>
      </c>
      <c r="AD67" s="17">
        <f t="shared" si="920"/>
        <v>0</v>
      </c>
      <c r="AE67" s="17">
        <f t="shared" si="921"/>
        <v>0</v>
      </c>
      <c r="AF67" s="17">
        <f t="shared" si="922"/>
        <v>0</v>
      </c>
      <c r="AG67" s="17">
        <f t="shared" si="923"/>
        <v>0</v>
      </c>
      <c r="AH67" s="17">
        <f t="shared" si="924"/>
        <v>0</v>
      </c>
      <c r="AI67" s="17">
        <f t="shared" si="925"/>
        <v>0</v>
      </c>
      <c r="AJ67" s="17">
        <f t="shared" si="926"/>
        <v>0</v>
      </c>
      <c r="AK67" s="17">
        <f t="shared" si="927"/>
        <v>0</v>
      </c>
      <c r="AL67" s="17">
        <f t="shared" si="928"/>
        <v>0</v>
      </c>
      <c r="AM67" s="17">
        <f t="shared" si="929"/>
        <v>0</v>
      </c>
      <c r="AN67" s="17">
        <f t="shared" si="930"/>
        <v>0</v>
      </c>
      <c r="AO67" s="17">
        <f t="shared" si="931"/>
        <v>0</v>
      </c>
      <c r="AP67" s="17">
        <f t="shared" si="932"/>
        <v>0</v>
      </c>
      <c r="AQ67" s="17">
        <f t="shared" si="933"/>
        <v>0</v>
      </c>
      <c r="AR67" s="17">
        <f t="shared" si="934"/>
        <v>0</v>
      </c>
      <c r="AS67" s="17">
        <f t="shared" si="935"/>
        <v>0</v>
      </c>
      <c r="AT67" s="17">
        <f t="shared" si="936"/>
        <v>0</v>
      </c>
      <c r="AU67" s="54">
        <f t="shared" si="937"/>
        <v>0</v>
      </c>
      <c r="AV67" s="58">
        <f t="shared" si="551"/>
        <v>0</v>
      </c>
      <c r="AW67" s="58">
        <f t="shared" ca="1" si="73"/>
        <v>0</v>
      </c>
      <c r="AX67" s="50">
        <f t="shared" si="938"/>
        <v>0</v>
      </c>
      <c r="AY67" s="17">
        <f t="shared" si="939"/>
        <v>0</v>
      </c>
      <c r="AZ67" s="17">
        <f t="shared" si="940"/>
        <v>0</v>
      </c>
      <c r="BA67" s="17">
        <f t="shared" si="941"/>
        <v>0</v>
      </c>
      <c r="BB67" s="17">
        <f t="shared" si="942"/>
        <v>0</v>
      </c>
      <c r="BC67" s="17">
        <f t="shared" si="943"/>
        <v>0</v>
      </c>
      <c r="BD67" s="17">
        <f t="shared" si="944"/>
        <v>0</v>
      </c>
      <c r="BE67" s="17">
        <f t="shared" si="945"/>
        <v>0</v>
      </c>
      <c r="BF67" s="17">
        <f t="shared" si="946"/>
        <v>0</v>
      </c>
      <c r="BG67" s="17">
        <f t="shared" si="947"/>
        <v>0</v>
      </c>
      <c r="BH67" s="17">
        <f t="shared" si="948"/>
        <v>0</v>
      </c>
      <c r="BI67" s="17">
        <f t="shared" si="949"/>
        <v>0</v>
      </c>
      <c r="BJ67" s="17">
        <f t="shared" si="950"/>
        <v>0</v>
      </c>
      <c r="BK67" s="17">
        <f t="shared" si="951"/>
        <v>0</v>
      </c>
      <c r="BL67" s="17">
        <f t="shared" si="952"/>
        <v>0</v>
      </c>
      <c r="BM67" s="17">
        <f t="shared" si="953"/>
        <v>0</v>
      </c>
      <c r="BN67" s="17">
        <f t="shared" si="954"/>
        <v>0</v>
      </c>
      <c r="BO67" s="17">
        <f t="shared" si="955"/>
        <v>0</v>
      </c>
      <c r="BP67" s="17">
        <f t="shared" si="956"/>
        <v>0</v>
      </c>
      <c r="BQ67" s="17">
        <f t="shared" si="957"/>
        <v>0</v>
      </c>
      <c r="BR67" s="17">
        <f t="shared" si="958"/>
        <v>0</v>
      </c>
      <c r="BS67" s="17">
        <f t="shared" si="959"/>
        <v>0</v>
      </c>
      <c r="BT67" s="17">
        <f t="shared" si="960"/>
        <v>0</v>
      </c>
      <c r="BU67" s="17">
        <f t="shared" si="961"/>
        <v>0</v>
      </c>
      <c r="BV67" s="17">
        <f t="shared" si="962"/>
        <v>0</v>
      </c>
      <c r="BW67" s="17">
        <f t="shared" si="963"/>
        <v>0</v>
      </c>
      <c r="BX67" s="17">
        <f t="shared" si="964"/>
        <v>0</v>
      </c>
      <c r="BY67" s="17">
        <f t="shared" si="965"/>
        <v>0</v>
      </c>
      <c r="BZ67" s="17">
        <f t="shared" si="966"/>
        <v>0</v>
      </c>
      <c r="CA67" s="17">
        <f t="shared" si="967"/>
        <v>0</v>
      </c>
      <c r="CB67" s="54">
        <f t="shared" si="968"/>
        <v>0</v>
      </c>
      <c r="CC67" s="58">
        <f t="shared" si="208"/>
        <v>0</v>
      </c>
      <c r="CD67" s="58">
        <f t="shared" ca="1" si="103"/>
        <v>0</v>
      </c>
      <c r="JJ67" s="4" t="s">
        <v>13</v>
      </c>
      <c r="JK67" s="152" t="str">
        <f t="shared" si="552"/>
        <v>MUX01-PHR-MIO-00</v>
      </c>
      <c r="JL67" s="163">
        <v>0</v>
      </c>
      <c r="JM67" s="158">
        <v>0</v>
      </c>
      <c r="JN67" s="158">
        <v>0</v>
      </c>
      <c r="JO67" s="159">
        <v>0</v>
      </c>
      <c r="JP67" s="158">
        <v>0</v>
      </c>
      <c r="JQ67" s="158">
        <v>0</v>
      </c>
      <c r="JR67" s="158">
        <v>0</v>
      </c>
      <c r="JS67" s="158">
        <v>0</v>
      </c>
      <c r="JT67" s="158">
        <v>0</v>
      </c>
      <c r="JU67" s="158">
        <v>0</v>
      </c>
      <c r="JV67" s="158">
        <v>0</v>
      </c>
      <c r="JW67" s="159">
        <v>0</v>
      </c>
      <c r="JX67" s="159">
        <v>0</v>
      </c>
      <c r="JY67" s="159">
        <v>0</v>
      </c>
      <c r="JZ67" s="158"/>
      <c r="KA67" s="158"/>
      <c r="KB67" s="158"/>
      <c r="KC67" s="158"/>
      <c r="KD67" s="158"/>
      <c r="KE67" s="158"/>
      <c r="KF67" s="158"/>
      <c r="KG67" s="158"/>
      <c r="KH67" s="159"/>
      <c r="KI67" s="159"/>
      <c r="KJ67" s="158"/>
      <c r="KK67" s="158"/>
      <c r="KL67" s="158"/>
      <c r="KM67" s="158"/>
      <c r="KN67" s="158"/>
      <c r="KO67" s="158"/>
      <c r="KP67" s="164"/>
      <c r="KQ67" s="157">
        <v>0</v>
      </c>
      <c r="KR67" s="157">
        <v>0</v>
      </c>
      <c r="KS67" s="157">
        <v>0</v>
      </c>
      <c r="KT67" s="157">
        <v>0</v>
      </c>
      <c r="KU67" s="157">
        <v>0</v>
      </c>
      <c r="KV67" s="157">
        <v>0</v>
      </c>
      <c r="KW67" s="157">
        <v>0</v>
      </c>
      <c r="KX67" s="157">
        <v>0</v>
      </c>
      <c r="KY67" s="157">
        <v>0</v>
      </c>
      <c r="KZ67" s="157">
        <v>0</v>
      </c>
      <c r="LA67" s="157">
        <v>0</v>
      </c>
      <c r="LB67" s="157">
        <v>0</v>
      </c>
      <c r="LC67" s="157">
        <v>0</v>
      </c>
      <c r="LD67" s="157">
        <v>0</v>
      </c>
      <c r="LE67" s="157"/>
      <c r="LF67" s="157"/>
      <c r="LG67" s="157"/>
      <c r="LH67" s="157"/>
      <c r="LI67" s="157"/>
      <c r="LJ67" s="157"/>
      <c r="LK67" s="157"/>
      <c r="LL67" s="157"/>
      <c r="LM67" s="157"/>
      <c r="LN67" s="157"/>
      <c r="LO67" s="157"/>
      <c r="LP67" s="157"/>
      <c r="LQ67" s="157"/>
      <c r="LR67" s="157"/>
      <c r="LS67" s="157"/>
      <c r="LT67" s="5"/>
      <c r="LU67" s="8"/>
    </row>
    <row r="68" spans="1:333" ht="16.2" customHeight="1">
      <c r="A68" s="37" t="s">
        <v>19</v>
      </c>
      <c r="B68" s="18" t="s">
        <v>53</v>
      </c>
      <c r="C68" s="19" t="s">
        <v>388</v>
      </c>
      <c r="D68" s="20" t="s">
        <v>290</v>
      </c>
      <c r="E68" s="21" t="s">
        <v>103</v>
      </c>
      <c r="F68" s="18" t="s">
        <v>482</v>
      </c>
      <c r="G68" s="18" t="s">
        <v>289</v>
      </c>
      <c r="H68" s="22">
        <v>45896</v>
      </c>
      <c r="I68" s="20" t="s">
        <v>60</v>
      </c>
      <c r="J68" s="23">
        <v>5</v>
      </c>
      <c r="K68" s="97">
        <f t="shared" ref="K68:L68" si="969">SUM(K62:K67)</f>
        <v>0</v>
      </c>
      <c r="L68" s="97">
        <f t="shared" si="969"/>
        <v>5</v>
      </c>
      <c r="M68" s="97">
        <f t="shared" ref="M68" si="970">SUM(M62:M67)</f>
        <v>5</v>
      </c>
      <c r="N68" s="97">
        <f t="shared" ref="N68" si="971">SUM(N62:N67)</f>
        <v>1</v>
      </c>
      <c r="O68" s="97">
        <f t="shared" ref="O68" si="972">SUM(O62:O67)</f>
        <v>5</v>
      </c>
      <c r="P68" s="47">
        <f t="shared" ref="P68:AU68" si="973">SUM(P62:P67)</f>
        <v>5</v>
      </c>
      <c r="Q68" s="51">
        <f t="shared" si="973"/>
        <v>4</v>
      </c>
      <c r="R68" s="24">
        <f t="shared" si="973"/>
        <v>5</v>
      </c>
      <c r="S68" s="24">
        <f t="shared" si="973"/>
        <v>5</v>
      </c>
      <c r="T68" s="24">
        <f t="shared" si="973"/>
        <v>0</v>
      </c>
      <c r="U68" s="24">
        <f t="shared" si="973"/>
        <v>5</v>
      </c>
      <c r="V68" s="24">
        <f t="shared" si="973"/>
        <v>5</v>
      </c>
      <c r="W68" s="24">
        <f t="shared" si="973"/>
        <v>5</v>
      </c>
      <c r="X68" s="24">
        <f t="shared" si="973"/>
        <v>5</v>
      </c>
      <c r="Y68" s="24">
        <f t="shared" si="973"/>
        <v>5</v>
      </c>
      <c r="Z68" s="24">
        <f t="shared" si="973"/>
        <v>5</v>
      </c>
      <c r="AA68" s="24">
        <f t="shared" si="973"/>
        <v>0</v>
      </c>
      <c r="AB68" s="24">
        <f t="shared" si="973"/>
        <v>5</v>
      </c>
      <c r="AC68" s="24">
        <f t="shared" si="973"/>
        <v>5</v>
      </c>
      <c r="AD68" s="24">
        <f t="shared" si="973"/>
        <v>5</v>
      </c>
      <c r="AE68" s="24">
        <f t="shared" si="973"/>
        <v>0</v>
      </c>
      <c r="AF68" s="24">
        <f t="shared" si="973"/>
        <v>0</v>
      </c>
      <c r="AG68" s="24">
        <f t="shared" si="973"/>
        <v>0</v>
      </c>
      <c r="AH68" s="24">
        <f t="shared" si="973"/>
        <v>0</v>
      </c>
      <c r="AI68" s="24">
        <f t="shared" si="973"/>
        <v>0</v>
      </c>
      <c r="AJ68" s="24">
        <f t="shared" si="973"/>
        <v>0</v>
      </c>
      <c r="AK68" s="24">
        <f t="shared" si="973"/>
        <v>0</v>
      </c>
      <c r="AL68" s="24">
        <f t="shared" si="973"/>
        <v>0</v>
      </c>
      <c r="AM68" s="24">
        <f t="shared" si="973"/>
        <v>0</v>
      </c>
      <c r="AN68" s="24">
        <f t="shared" si="973"/>
        <v>0</v>
      </c>
      <c r="AO68" s="24">
        <f t="shared" si="973"/>
        <v>0</v>
      </c>
      <c r="AP68" s="24">
        <f t="shared" si="973"/>
        <v>0</v>
      </c>
      <c r="AQ68" s="24">
        <f t="shared" si="973"/>
        <v>0</v>
      </c>
      <c r="AR68" s="24">
        <f t="shared" si="973"/>
        <v>0</v>
      </c>
      <c r="AS68" s="24">
        <f t="shared" si="973"/>
        <v>0</v>
      </c>
      <c r="AT68" s="24">
        <f t="shared" si="973"/>
        <v>0</v>
      </c>
      <c r="AU68" s="55">
        <f t="shared" si="973"/>
        <v>0</v>
      </c>
      <c r="AV68" s="59">
        <f t="shared" si="551"/>
        <v>59</v>
      </c>
      <c r="AW68" s="59">
        <f t="shared" ca="1" si="73"/>
        <v>0.90769230769230769</v>
      </c>
      <c r="AX68" s="51">
        <f t="shared" ref="AX68" si="974">SUM(AX62:AX67)</f>
        <v>55</v>
      </c>
      <c r="AY68" s="24">
        <f t="shared" ref="AY68" si="975">SUM(AY62:AY67)</f>
        <v>48</v>
      </c>
      <c r="AZ68" s="24">
        <f t="shared" ref="AZ68" si="976">SUM(AZ62:AZ67)</f>
        <v>43</v>
      </c>
      <c r="BA68" s="24">
        <f t="shared" ref="BA68" si="977">SUM(BA62:BA67)</f>
        <v>0</v>
      </c>
      <c r="BB68" s="24">
        <f t="shared" ref="BB68" si="978">SUM(BB62:BB67)</f>
        <v>54</v>
      </c>
      <c r="BC68" s="24">
        <f t="shared" ref="BC68" si="979">SUM(BC62:BC67)</f>
        <v>51</v>
      </c>
      <c r="BD68" s="24">
        <f t="shared" ref="BD68" si="980">SUM(BD62:BD67)</f>
        <v>52</v>
      </c>
      <c r="BE68" s="24">
        <f t="shared" ref="BE68" si="981">SUM(BE62:BE67)</f>
        <v>46</v>
      </c>
      <c r="BF68" s="24">
        <f t="shared" ref="BF68" si="982">SUM(BF62:BF67)</f>
        <v>45</v>
      </c>
      <c r="BG68" s="24">
        <f t="shared" ref="BG68" si="983">SUM(BG62:BG67)</f>
        <v>55</v>
      </c>
      <c r="BH68" s="24">
        <f t="shared" ref="BH68" si="984">SUM(BH62:BH67)</f>
        <v>0</v>
      </c>
      <c r="BI68" s="24">
        <f t="shared" ref="BI68" si="985">SUM(BI62:BI67)</f>
        <v>59</v>
      </c>
      <c r="BJ68" s="24">
        <f t="shared" ref="BJ68" si="986">SUM(BJ62:BJ67)</f>
        <v>49</v>
      </c>
      <c r="BK68" s="24">
        <f t="shared" ref="BK68" si="987">SUM(BK62:BK67)</f>
        <v>1</v>
      </c>
      <c r="BL68" s="24">
        <f t="shared" ref="BL68" si="988">SUM(BL62:BL67)</f>
        <v>0</v>
      </c>
      <c r="BM68" s="24">
        <f t="shared" ref="BM68" si="989">SUM(BM62:BM67)</f>
        <v>0</v>
      </c>
      <c r="BN68" s="24">
        <f t="shared" ref="BN68" si="990">SUM(BN62:BN67)</f>
        <v>0</v>
      </c>
      <c r="BO68" s="24">
        <f t="shared" ref="BO68" si="991">SUM(BO62:BO67)</f>
        <v>0</v>
      </c>
      <c r="BP68" s="24">
        <f t="shared" ref="BP68" si="992">SUM(BP62:BP67)</f>
        <v>0</v>
      </c>
      <c r="BQ68" s="24">
        <f t="shared" ref="BQ68" si="993">SUM(BQ62:BQ67)</f>
        <v>0</v>
      </c>
      <c r="BR68" s="24">
        <f t="shared" ref="BR68" si="994">SUM(BR62:BR67)</f>
        <v>0</v>
      </c>
      <c r="BS68" s="24">
        <f t="shared" ref="BS68" si="995">SUM(BS62:BS67)</f>
        <v>0</v>
      </c>
      <c r="BT68" s="24">
        <f t="shared" ref="BT68" si="996">SUM(BT62:BT67)</f>
        <v>0</v>
      </c>
      <c r="BU68" s="24">
        <f t="shared" ref="BU68" si="997">SUM(BU62:BU67)</f>
        <v>0</v>
      </c>
      <c r="BV68" s="24">
        <f t="shared" ref="BV68" si="998">SUM(BV62:BV67)</f>
        <v>0</v>
      </c>
      <c r="BW68" s="24">
        <f t="shared" ref="BW68" si="999">SUM(BW62:BW67)</f>
        <v>0</v>
      </c>
      <c r="BX68" s="24">
        <f t="shared" ref="BX68" si="1000">SUM(BX62:BX67)</f>
        <v>0</v>
      </c>
      <c r="BY68" s="24">
        <f t="shared" ref="BY68" si="1001">SUM(BY62:BY67)</f>
        <v>0</v>
      </c>
      <c r="BZ68" s="24">
        <f t="shared" ref="BZ68" si="1002">SUM(BZ62:BZ67)</f>
        <v>0</v>
      </c>
      <c r="CA68" s="24">
        <f t="shared" ref="CA68" si="1003">SUM(CA62:CA67)</f>
        <v>0</v>
      </c>
      <c r="CB68" s="55">
        <f t="shared" ref="CB68" si="1004">SUM(CB62:CB67)</f>
        <v>0</v>
      </c>
      <c r="CC68" s="59">
        <f t="shared" si="208"/>
        <v>558</v>
      </c>
      <c r="CD68" s="59">
        <f t="shared" ca="1" si="103"/>
        <v>8.5846153846153843</v>
      </c>
      <c r="JJ68" s="4" t="s">
        <v>13</v>
      </c>
      <c r="JK68" s="153" t="str">
        <f t="shared" si="552"/>
        <v>MUX01-PHR-ASM-01</v>
      </c>
      <c r="JL68" s="163">
        <v>0</v>
      </c>
      <c r="JM68" s="158">
        <v>0</v>
      </c>
      <c r="JN68" s="158">
        <v>0</v>
      </c>
      <c r="JO68" s="159">
        <v>0</v>
      </c>
      <c r="JP68" s="158">
        <v>0</v>
      </c>
      <c r="JQ68" s="158">
        <v>0</v>
      </c>
      <c r="JR68" s="158">
        <v>0</v>
      </c>
      <c r="JS68" s="158">
        <v>0</v>
      </c>
      <c r="JT68" s="158">
        <v>0</v>
      </c>
      <c r="JU68" s="158">
        <v>0</v>
      </c>
      <c r="JV68" s="158">
        <v>0</v>
      </c>
      <c r="JW68" s="159">
        <v>0</v>
      </c>
      <c r="JX68" s="159">
        <v>0</v>
      </c>
      <c r="JY68" s="159">
        <v>0</v>
      </c>
      <c r="JZ68" s="158"/>
      <c r="KA68" s="158"/>
      <c r="KB68" s="158"/>
      <c r="KC68" s="158"/>
      <c r="KD68" s="158"/>
      <c r="KE68" s="158"/>
      <c r="KF68" s="158"/>
      <c r="KG68" s="158"/>
      <c r="KH68" s="159"/>
      <c r="KI68" s="159"/>
      <c r="KJ68" s="158"/>
      <c r="KK68" s="158"/>
      <c r="KL68" s="158"/>
      <c r="KM68" s="158"/>
      <c r="KN68" s="158"/>
      <c r="KO68" s="158"/>
      <c r="KP68" s="164"/>
      <c r="KQ68" s="157">
        <v>0</v>
      </c>
      <c r="KR68" s="157">
        <v>0</v>
      </c>
      <c r="KS68" s="157">
        <v>0</v>
      </c>
      <c r="KT68" s="157">
        <v>0</v>
      </c>
      <c r="KU68" s="157">
        <v>0</v>
      </c>
      <c r="KV68" s="157">
        <v>0</v>
      </c>
      <c r="KW68" s="157">
        <v>0</v>
      </c>
      <c r="KX68" s="157">
        <v>0</v>
      </c>
      <c r="KY68" s="157">
        <v>0</v>
      </c>
      <c r="KZ68" s="157">
        <v>0</v>
      </c>
      <c r="LA68" s="157">
        <v>0</v>
      </c>
      <c r="LB68" s="157">
        <v>0</v>
      </c>
      <c r="LC68" s="157">
        <v>0</v>
      </c>
      <c r="LD68" s="157">
        <v>0</v>
      </c>
      <c r="LE68" s="157"/>
      <c r="LF68" s="157"/>
      <c r="LG68" s="157"/>
      <c r="LH68" s="157"/>
      <c r="LI68" s="157"/>
      <c r="LJ68" s="157"/>
      <c r="LK68" s="157"/>
      <c r="LL68" s="157"/>
      <c r="LM68" s="157"/>
      <c r="LN68" s="157"/>
      <c r="LO68" s="157"/>
      <c r="LP68" s="157"/>
      <c r="LQ68" s="157"/>
      <c r="LR68" s="157"/>
      <c r="LS68" s="157"/>
      <c r="LT68" s="5"/>
      <c r="LU68" s="8"/>
    </row>
    <row r="69" spans="1:333" ht="15.6" customHeight="1">
      <c r="A69" s="39" t="s">
        <v>51</v>
      </c>
      <c r="B69" s="31" t="s">
        <v>53</v>
      </c>
      <c r="C69" s="32" t="s">
        <v>389</v>
      </c>
      <c r="D69" s="31" t="s">
        <v>291</v>
      </c>
      <c r="E69" s="33" t="s">
        <v>104</v>
      </c>
      <c r="F69" s="31" t="s">
        <v>512</v>
      </c>
      <c r="G69" s="31" t="s">
        <v>292</v>
      </c>
      <c r="H69" s="34">
        <v>46002</v>
      </c>
      <c r="I69" s="31" t="s">
        <v>55</v>
      </c>
      <c r="J69" s="35">
        <f>J68+J61+J54+J47+J40</f>
        <v>25</v>
      </c>
      <c r="K69" s="98">
        <f t="shared" ref="K69:AU69" si="1005">+K68+K61+K54+K47+K40</f>
        <v>3</v>
      </c>
      <c r="L69" s="98">
        <f t="shared" si="1005"/>
        <v>19</v>
      </c>
      <c r="M69" s="98">
        <f t="shared" si="1005"/>
        <v>22</v>
      </c>
      <c r="N69" s="98">
        <f t="shared" si="1005"/>
        <v>9</v>
      </c>
      <c r="O69" s="98">
        <f t="shared" si="1005"/>
        <v>22</v>
      </c>
      <c r="P69" s="48">
        <f t="shared" si="1005"/>
        <v>22</v>
      </c>
      <c r="Q69" s="52">
        <f t="shared" si="1005"/>
        <v>20</v>
      </c>
      <c r="R69" s="36">
        <f t="shared" si="1005"/>
        <v>20</v>
      </c>
      <c r="S69" s="36">
        <f t="shared" si="1005"/>
        <v>22</v>
      </c>
      <c r="T69" s="36">
        <f t="shared" si="1005"/>
        <v>0</v>
      </c>
      <c r="U69" s="36">
        <f t="shared" si="1005"/>
        <v>22</v>
      </c>
      <c r="V69" s="36">
        <f t="shared" si="1005"/>
        <v>22</v>
      </c>
      <c r="W69" s="36">
        <f t="shared" si="1005"/>
        <v>20</v>
      </c>
      <c r="X69" s="36">
        <f t="shared" si="1005"/>
        <v>20</v>
      </c>
      <c r="Y69" s="36">
        <f t="shared" si="1005"/>
        <v>21</v>
      </c>
      <c r="Z69" s="36">
        <f t="shared" si="1005"/>
        <v>21</v>
      </c>
      <c r="AA69" s="36">
        <f t="shared" si="1005"/>
        <v>0</v>
      </c>
      <c r="AB69" s="36">
        <f t="shared" si="1005"/>
        <v>21</v>
      </c>
      <c r="AC69" s="36">
        <f t="shared" si="1005"/>
        <v>21</v>
      </c>
      <c r="AD69" s="36">
        <f t="shared" si="1005"/>
        <v>19</v>
      </c>
      <c r="AE69" s="36">
        <f t="shared" si="1005"/>
        <v>0</v>
      </c>
      <c r="AF69" s="36">
        <f t="shared" si="1005"/>
        <v>0</v>
      </c>
      <c r="AG69" s="36">
        <f t="shared" si="1005"/>
        <v>0</v>
      </c>
      <c r="AH69" s="36">
        <f t="shared" si="1005"/>
        <v>0</v>
      </c>
      <c r="AI69" s="36">
        <f t="shared" si="1005"/>
        <v>0</v>
      </c>
      <c r="AJ69" s="36">
        <f t="shared" si="1005"/>
        <v>0</v>
      </c>
      <c r="AK69" s="36">
        <f t="shared" si="1005"/>
        <v>0</v>
      </c>
      <c r="AL69" s="36">
        <f t="shared" si="1005"/>
        <v>0</v>
      </c>
      <c r="AM69" s="36">
        <f t="shared" si="1005"/>
        <v>0</v>
      </c>
      <c r="AN69" s="36">
        <f t="shared" si="1005"/>
        <v>0</v>
      </c>
      <c r="AO69" s="36">
        <f t="shared" si="1005"/>
        <v>0</v>
      </c>
      <c r="AP69" s="36">
        <f t="shared" si="1005"/>
        <v>0</v>
      </c>
      <c r="AQ69" s="36">
        <f t="shared" si="1005"/>
        <v>0</v>
      </c>
      <c r="AR69" s="36">
        <f t="shared" si="1005"/>
        <v>0</v>
      </c>
      <c r="AS69" s="36">
        <f t="shared" si="1005"/>
        <v>0</v>
      </c>
      <c r="AT69" s="36">
        <f t="shared" si="1005"/>
        <v>0</v>
      </c>
      <c r="AU69" s="56">
        <f t="shared" si="1005"/>
        <v>0</v>
      </c>
      <c r="AV69" s="60">
        <f t="shared" ref="AV69:AV100" si="1006">SUM(Q69:AU69)</f>
        <v>249</v>
      </c>
      <c r="AW69" s="60">
        <f t="shared" ref="AW69:AW109" ca="1" si="1007">IFERROR(AV69/$CF$2/(J69-K69),0)</f>
        <v>0.87062937062937062</v>
      </c>
      <c r="AX69" s="52">
        <f t="shared" ref="AX69:CB69" si="1008">+AX68+AX61+AX54+AX47+AX40</f>
        <v>241</v>
      </c>
      <c r="AY69" s="36">
        <f t="shared" si="1008"/>
        <v>223</v>
      </c>
      <c r="AZ69" s="36">
        <f t="shared" si="1008"/>
        <v>188</v>
      </c>
      <c r="BA69" s="36">
        <f t="shared" si="1008"/>
        <v>0</v>
      </c>
      <c r="BB69" s="36">
        <f t="shared" si="1008"/>
        <v>197</v>
      </c>
      <c r="BC69" s="36">
        <f t="shared" si="1008"/>
        <v>250</v>
      </c>
      <c r="BD69" s="36">
        <f t="shared" si="1008"/>
        <v>224</v>
      </c>
      <c r="BE69" s="36">
        <f t="shared" si="1008"/>
        <v>194</v>
      </c>
      <c r="BF69" s="36">
        <f t="shared" si="1008"/>
        <v>219</v>
      </c>
      <c r="BG69" s="36">
        <f t="shared" si="1008"/>
        <v>226</v>
      </c>
      <c r="BH69" s="36">
        <f t="shared" si="1008"/>
        <v>0</v>
      </c>
      <c r="BI69" s="36">
        <f t="shared" si="1008"/>
        <v>254</v>
      </c>
      <c r="BJ69" s="36">
        <f t="shared" si="1008"/>
        <v>238</v>
      </c>
      <c r="BK69" s="36">
        <f t="shared" si="1008"/>
        <v>28</v>
      </c>
      <c r="BL69" s="36">
        <f t="shared" si="1008"/>
        <v>0</v>
      </c>
      <c r="BM69" s="36">
        <f t="shared" si="1008"/>
        <v>0</v>
      </c>
      <c r="BN69" s="36">
        <f t="shared" si="1008"/>
        <v>0</v>
      </c>
      <c r="BO69" s="36">
        <f t="shared" si="1008"/>
        <v>0</v>
      </c>
      <c r="BP69" s="36">
        <f t="shared" si="1008"/>
        <v>0</v>
      </c>
      <c r="BQ69" s="36">
        <f t="shared" si="1008"/>
        <v>0</v>
      </c>
      <c r="BR69" s="36">
        <f t="shared" si="1008"/>
        <v>0</v>
      </c>
      <c r="BS69" s="36">
        <f t="shared" si="1008"/>
        <v>0</v>
      </c>
      <c r="BT69" s="36">
        <f t="shared" si="1008"/>
        <v>0</v>
      </c>
      <c r="BU69" s="36">
        <f t="shared" si="1008"/>
        <v>0</v>
      </c>
      <c r="BV69" s="36">
        <f t="shared" si="1008"/>
        <v>0</v>
      </c>
      <c r="BW69" s="36">
        <f t="shared" si="1008"/>
        <v>0</v>
      </c>
      <c r="BX69" s="36">
        <f t="shared" si="1008"/>
        <v>0</v>
      </c>
      <c r="BY69" s="36">
        <f t="shared" si="1008"/>
        <v>0</v>
      </c>
      <c r="BZ69" s="36">
        <f t="shared" si="1008"/>
        <v>0</v>
      </c>
      <c r="CA69" s="36">
        <f t="shared" si="1008"/>
        <v>0</v>
      </c>
      <c r="CB69" s="56">
        <f t="shared" si="1008"/>
        <v>0</v>
      </c>
      <c r="CC69" s="60">
        <f t="shared" si="208"/>
        <v>2482</v>
      </c>
      <c r="CD69" s="60">
        <f t="shared" ref="CD69:CD109" ca="1" si="1009">IFERROR(CC69/$CF$2/(J69-K69),0)</f>
        <v>8.6783216783216783</v>
      </c>
      <c r="JJ69" s="4" t="s">
        <v>13</v>
      </c>
      <c r="JK69" s="154" t="str">
        <f t="shared" ref="JK69:JK100" si="1010">D69</f>
        <v>CNT-A-PHR-RSM-01</v>
      </c>
      <c r="JL69" s="163">
        <v>0</v>
      </c>
      <c r="JM69" s="158">
        <v>0</v>
      </c>
      <c r="JN69" s="158">
        <v>0</v>
      </c>
      <c r="JO69" s="159">
        <v>0</v>
      </c>
      <c r="JP69" s="158">
        <v>0</v>
      </c>
      <c r="JQ69" s="158">
        <v>0</v>
      </c>
      <c r="JR69" s="158">
        <v>0</v>
      </c>
      <c r="JS69" s="158">
        <v>0</v>
      </c>
      <c r="JT69" s="158">
        <v>0</v>
      </c>
      <c r="JU69" s="158">
        <v>0</v>
      </c>
      <c r="JV69" s="158">
        <v>0</v>
      </c>
      <c r="JW69" s="159">
        <v>0</v>
      </c>
      <c r="JX69" s="159">
        <v>0</v>
      </c>
      <c r="JY69" s="159">
        <v>0</v>
      </c>
      <c r="JZ69" s="158"/>
      <c r="KA69" s="158"/>
      <c r="KB69" s="158"/>
      <c r="KC69" s="158"/>
      <c r="KD69" s="158"/>
      <c r="KE69" s="158"/>
      <c r="KF69" s="158"/>
      <c r="KG69" s="158"/>
      <c r="KH69" s="159"/>
      <c r="KI69" s="159"/>
      <c r="KJ69" s="158"/>
      <c r="KK69" s="158"/>
      <c r="KL69" s="158"/>
      <c r="KM69" s="158"/>
      <c r="KN69" s="158"/>
      <c r="KO69" s="158"/>
      <c r="KP69" s="164"/>
      <c r="KQ69" s="157">
        <v>0</v>
      </c>
      <c r="KR69" s="157">
        <v>0</v>
      </c>
      <c r="KS69" s="157">
        <v>0</v>
      </c>
      <c r="KT69" s="157">
        <v>0</v>
      </c>
      <c r="KU69" s="157">
        <v>0</v>
      </c>
      <c r="KV69" s="157">
        <v>0</v>
      </c>
      <c r="KW69" s="157">
        <v>0</v>
      </c>
      <c r="KX69" s="157">
        <v>0</v>
      </c>
      <c r="KY69" s="157">
        <v>0</v>
      </c>
      <c r="KZ69" s="157">
        <v>0</v>
      </c>
      <c r="LA69" s="157">
        <v>0</v>
      </c>
      <c r="LB69" s="157">
        <v>0</v>
      </c>
      <c r="LC69" s="157">
        <v>0</v>
      </c>
      <c r="LD69" s="157">
        <v>0</v>
      </c>
      <c r="LE69" s="157"/>
      <c r="LF69" s="157"/>
      <c r="LG69" s="157"/>
      <c r="LH69" s="157"/>
      <c r="LI69" s="157"/>
      <c r="LJ69" s="157"/>
      <c r="LK69" s="157"/>
      <c r="LL69" s="157"/>
      <c r="LM69" s="157"/>
      <c r="LN69" s="157"/>
      <c r="LO69" s="157"/>
      <c r="LP69" s="157"/>
      <c r="LQ69" s="157"/>
      <c r="LR69" s="157"/>
      <c r="LS69" s="157"/>
      <c r="LT69" s="5"/>
      <c r="LU69" s="8"/>
    </row>
    <row r="70" spans="1:333" ht="16.2" customHeight="1">
      <c r="A70" s="38" t="s">
        <v>9</v>
      </c>
      <c r="B70" s="25" t="s">
        <v>105</v>
      </c>
      <c r="C70" s="26" t="s">
        <v>390</v>
      </c>
      <c r="D70" s="25" t="s">
        <v>293</v>
      </c>
      <c r="E70" s="29" t="s">
        <v>424</v>
      </c>
      <c r="F70" s="25" t="s">
        <v>483</v>
      </c>
      <c r="G70" s="25" t="s">
        <v>107</v>
      </c>
      <c r="H70" s="28">
        <v>42268</v>
      </c>
      <c r="I70" s="29" t="s">
        <v>294</v>
      </c>
      <c r="J70" s="30">
        <v>1</v>
      </c>
      <c r="K70" s="147">
        <v>0</v>
      </c>
      <c r="L70" s="147">
        <f t="shared" ref="L70:L76" si="1011">IFERROR(IF(OR(AD70&gt;0),1,0),0)</f>
        <v>1</v>
      </c>
      <c r="M70" s="147">
        <f t="shared" ref="M70:M76" si="1012">IFERROR(IF(OR(AV70&gt;0),1,0),0)</f>
        <v>1</v>
      </c>
      <c r="N70" s="147">
        <f t="shared" ref="N70:N76" si="1013">IFERROR(IF(OR(BK70&gt;0),1,0),0)</f>
        <v>1</v>
      </c>
      <c r="O70" s="147">
        <f t="shared" ref="O70:O76" si="1014">IFERROR(IF(OR(CC70&gt;0),1,0),0)</f>
        <v>1</v>
      </c>
      <c r="P70" s="148">
        <f t="shared" ref="P70:P76" si="1015">IFERROR(IF(OR(AV70&gt;0,CC70&gt;0),1,0),0)</f>
        <v>1</v>
      </c>
      <c r="Q70" s="50">
        <f t="shared" ref="Q70:Q76" si="1016">JL70</f>
        <v>1</v>
      </c>
      <c r="R70" s="17">
        <f t="shared" ref="R70:R76" si="1017">JM70</f>
        <v>1</v>
      </c>
      <c r="S70" s="17">
        <f t="shared" ref="S70:S76" si="1018">JN70</f>
        <v>1</v>
      </c>
      <c r="T70" s="17">
        <f t="shared" ref="T70:T76" si="1019">JO70</f>
        <v>0</v>
      </c>
      <c r="U70" s="17">
        <f t="shared" ref="U70:U76" si="1020">JP70</f>
        <v>1</v>
      </c>
      <c r="V70" s="17">
        <f t="shared" ref="V70:V76" si="1021">JQ70</f>
        <v>1</v>
      </c>
      <c r="W70" s="17">
        <f t="shared" ref="W70:W76" si="1022">JR70</f>
        <v>1</v>
      </c>
      <c r="X70" s="17">
        <f t="shared" ref="X70:X76" si="1023">JS70</f>
        <v>1</v>
      </c>
      <c r="Y70" s="17">
        <f t="shared" ref="Y70:Y76" si="1024">JT70</f>
        <v>1</v>
      </c>
      <c r="Z70" s="17">
        <f t="shared" ref="Z70:Z76" si="1025">JU70</f>
        <v>1</v>
      </c>
      <c r="AA70" s="17">
        <f t="shared" ref="AA70:AA76" si="1026">JV70</f>
        <v>0</v>
      </c>
      <c r="AB70" s="17">
        <f t="shared" ref="AB70:AB76" si="1027">JW70</f>
        <v>1</v>
      </c>
      <c r="AC70" s="17">
        <f t="shared" ref="AC70:AC76" si="1028">JX70</f>
        <v>1</v>
      </c>
      <c r="AD70" s="17">
        <f t="shared" ref="AD70:AD76" si="1029">JY70</f>
        <v>1</v>
      </c>
      <c r="AE70" s="17">
        <f t="shared" ref="AE70:AE76" si="1030">JZ70</f>
        <v>0</v>
      </c>
      <c r="AF70" s="17">
        <f t="shared" ref="AF70:AF76" si="1031">KA70</f>
        <v>0</v>
      </c>
      <c r="AG70" s="17">
        <f t="shared" ref="AG70:AG76" si="1032">KB70</f>
        <v>0</v>
      </c>
      <c r="AH70" s="17">
        <f t="shared" ref="AH70:AH76" si="1033">KC70</f>
        <v>0</v>
      </c>
      <c r="AI70" s="17">
        <f t="shared" ref="AI70:AI76" si="1034">KD70</f>
        <v>0</v>
      </c>
      <c r="AJ70" s="17">
        <f t="shared" ref="AJ70:AJ76" si="1035">KE70</f>
        <v>0</v>
      </c>
      <c r="AK70" s="17">
        <f t="shared" ref="AK70:AK76" si="1036">KF70</f>
        <v>0</v>
      </c>
      <c r="AL70" s="17">
        <f t="shared" ref="AL70:AL76" si="1037">KG70</f>
        <v>0</v>
      </c>
      <c r="AM70" s="17">
        <f t="shared" ref="AM70:AM76" si="1038">KH70</f>
        <v>0</v>
      </c>
      <c r="AN70" s="17">
        <f t="shared" ref="AN70:AN76" si="1039">KI70</f>
        <v>0</v>
      </c>
      <c r="AO70" s="17">
        <f t="shared" ref="AO70:AO76" si="1040">KJ70</f>
        <v>0</v>
      </c>
      <c r="AP70" s="17">
        <f t="shared" ref="AP70:AP76" si="1041">KK70</f>
        <v>0</v>
      </c>
      <c r="AQ70" s="17">
        <f t="shared" ref="AQ70:AQ76" si="1042">KL70</f>
        <v>0</v>
      </c>
      <c r="AR70" s="17">
        <f t="shared" ref="AR70:AR76" si="1043">KM70</f>
        <v>0</v>
      </c>
      <c r="AS70" s="17">
        <f t="shared" ref="AS70:AS76" si="1044">KN70</f>
        <v>0</v>
      </c>
      <c r="AT70" s="17">
        <f t="shared" ref="AT70:AT76" si="1045">KO70</f>
        <v>0</v>
      </c>
      <c r="AU70" s="54">
        <f t="shared" ref="AU70:AU76" si="1046">KP70</f>
        <v>0</v>
      </c>
      <c r="AV70" s="58">
        <f t="shared" si="1006"/>
        <v>12</v>
      </c>
      <c r="AW70" s="58">
        <f t="shared" ca="1" si="1007"/>
        <v>0.92307692307692313</v>
      </c>
      <c r="AX70" s="50">
        <f t="shared" ref="AX70:AX76" si="1047">KQ70</f>
        <v>12</v>
      </c>
      <c r="AY70" s="17">
        <f t="shared" ref="AY70:AY76" si="1048">KR70</f>
        <v>0</v>
      </c>
      <c r="AZ70" s="17">
        <f t="shared" ref="AZ70:AZ76" si="1049">KS70</f>
        <v>12</v>
      </c>
      <c r="BA70" s="17">
        <f t="shared" ref="BA70:BA76" si="1050">KT70</f>
        <v>0</v>
      </c>
      <c r="BB70" s="17">
        <f t="shared" ref="BB70:BB76" si="1051">KU70</f>
        <v>12</v>
      </c>
      <c r="BC70" s="17">
        <f t="shared" ref="BC70:BC76" si="1052">KV70</f>
        <v>1</v>
      </c>
      <c r="BD70" s="17">
        <f t="shared" ref="BD70:BD76" si="1053">KW70</f>
        <v>9</v>
      </c>
      <c r="BE70" s="17">
        <f t="shared" ref="BE70:BE76" si="1054">KX70</f>
        <v>11</v>
      </c>
      <c r="BF70" s="17">
        <f t="shared" ref="BF70:BF76" si="1055">KY70</f>
        <v>0</v>
      </c>
      <c r="BG70" s="17">
        <f t="shared" ref="BG70:BG76" si="1056">KZ70</f>
        <v>10</v>
      </c>
      <c r="BH70" s="17">
        <f t="shared" ref="BH70:BH76" si="1057">LA70</f>
        <v>0</v>
      </c>
      <c r="BI70" s="17">
        <f t="shared" ref="BI70:BI76" si="1058">LB70</f>
        <v>10</v>
      </c>
      <c r="BJ70" s="17">
        <f t="shared" ref="BJ70:BJ76" si="1059">LC70</f>
        <v>12</v>
      </c>
      <c r="BK70" s="17">
        <f t="shared" ref="BK70:BK76" si="1060">LD70</f>
        <v>1</v>
      </c>
      <c r="BL70" s="17">
        <f t="shared" ref="BL70:BL76" si="1061">LE70</f>
        <v>0</v>
      </c>
      <c r="BM70" s="17">
        <f t="shared" ref="BM70:BM76" si="1062">LF70</f>
        <v>0</v>
      </c>
      <c r="BN70" s="17">
        <f t="shared" ref="BN70:BN76" si="1063">LG70</f>
        <v>0</v>
      </c>
      <c r="BO70" s="17">
        <f t="shared" ref="BO70:BO76" si="1064">LH70</f>
        <v>0</v>
      </c>
      <c r="BP70" s="17">
        <f t="shared" ref="BP70:BP76" si="1065">LI70</f>
        <v>0</v>
      </c>
      <c r="BQ70" s="17">
        <f t="shared" ref="BQ70:BQ76" si="1066">LJ70</f>
        <v>0</v>
      </c>
      <c r="BR70" s="17">
        <f t="shared" ref="BR70:BR76" si="1067">LK70</f>
        <v>0</v>
      </c>
      <c r="BS70" s="17">
        <f t="shared" ref="BS70:BS76" si="1068">LL70</f>
        <v>0</v>
      </c>
      <c r="BT70" s="17">
        <f t="shared" ref="BT70:BT76" si="1069">LM70</f>
        <v>0</v>
      </c>
      <c r="BU70" s="17">
        <f t="shared" ref="BU70:BU76" si="1070">LN70</f>
        <v>0</v>
      </c>
      <c r="BV70" s="17">
        <f t="shared" ref="BV70:BV76" si="1071">LO70</f>
        <v>0</v>
      </c>
      <c r="BW70" s="17">
        <f t="shared" ref="BW70:BW76" si="1072">LP70</f>
        <v>0</v>
      </c>
      <c r="BX70" s="17">
        <f t="shared" ref="BX70:BX76" si="1073">LQ70</f>
        <v>0</v>
      </c>
      <c r="BY70" s="17">
        <f t="shared" ref="BY70:BY76" si="1074">LR70</f>
        <v>0</v>
      </c>
      <c r="BZ70" s="17">
        <f t="shared" ref="BZ70:BZ76" si="1075">LS70</f>
        <v>0</v>
      </c>
      <c r="CA70" s="17">
        <f t="shared" ref="CA70:CA76" si="1076">LT70</f>
        <v>0</v>
      </c>
      <c r="CB70" s="54">
        <f t="shared" ref="CB70:CB76" si="1077">LU70</f>
        <v>0</v>
      </c>
      <c r="CC70" s="58">
        <f t="shared" ref="CC70:CC76" si="1078">SUM(AX70:CB70)</f>
        <v>90</v>
      </c>
      <c r="CD70" s="58">
        <f t="shared" ca="1" si="1009"/>
        <v>6.9230769230769234</v>
      </c>
      <c r="JJ70" s="4" t="s">
        <v>13</v>
      </c>
      <c r="JK70" s="152" t="str">
        <f t="shared" si="1010"/>
        <v>FSD01-PHR-MIO-01</v>
      </c>
      <c r="JL70" s="163">
        <v>1</v>
      </c>
      <c r="JM70" s="158">
        <v>1</v>
      </c>
      <c r="JN70" s="158">
        <v>1</v>
      </c>
      <c r="JO70" s="159">
        <v>0</v>
      </c>
      <c r="JP70" s="158">
        <v>1</v>
      </c>
      <c r="JQ70" s="158">
        <v>1</v>
      </c>
      <c r="JR70" s="158">
        <v>1</v>
      </c>
      <c r="JS70" s="158">
        <v>1</v>
      </c>
      <c r="JT70" s="158">
        <v>1</v>
      </c>
      <c r="JU70" s="158">
        <v>1</v>
      </c>
      <c r="JV70" s="158">
        <v>0</v>
      </c>
      <c r="JW70" s="159">
        <v>1</v>
      </c>
      <c r="JX70" s="159">
        <v>1</v>
      </c>
      <c r="JY70" s="159">
        <v>1</v>
      </c>
      <c r="JZ70" s="158"/>
      <c r="KA70" s="158"/>
      <c r="KB70" s="158"/>
      <c r="KC70" s="158"/>
      <c r="KD70" s="158"/>
      <c r="KE70" s="158"/>
      <c r="KF70" s="158"/>
      <c r="KG70" s="158"/>
      <c r="KH70" s="159"/>
      <c r="KI70" s="159"/>
      <c r="KJ70" s="158"/>
      <c r="KK70" s="158"/>
      <c r="KL70" s="158"/>
      <c r="KM70" s="158"/>
      <c r="KN70" s="158"/>
      <c r="KO70" s="158"/>
      <c r="KP70" s="164"/>
      <c r="KQ70" s="157">
        <v>12</v>
      </c>
      <c r="KR70" s="157">
        <v>0</v>
      </c>
      <c r="KS70" s="157">
        <v>12</v>
      </c>
      <c r="KT70" s="157">
        <v>0</v>
      </c>
      <c r="KU70" s="157">
        <v>12</v>
      </c>
      <c r="KV70" s="157">
        <v>1</v>
      </c>
      <c r="KW70" s="157">
        <v>9</v>
      </c>
      <c r="KX70" s="157">
        <v>11</v>
      </c>
      <c r="KY70" s="157">
        <v>0</v>
      </c>
      <c r="KZ70" s="157">
        <v>10</v>
      </c>
      <c r="LA70" s="157">
        <v>0</v>
      </c>
      <c r="LB70" s="157">
        <v>10</v>
      </c>
      <c r="LC70" s="157">
        <v>12</v>
      </c>
      <c r="LD70" s="157">
        <v>1</v>
      </c>
      <c r="LE70" s="157"/>
      <c r="LF70" s="157"/>
      <c r="LG70" s="157"/>
      <c r="LH70" s="157"/>
      <c r="LI70" s="157"/>
      <c r="LJ70" s="157"/>
      <c r="LK70" s="157"/>
      <c r="LL70" s="157"/>
      <c r="LM70" s="157"/>
      <c r="LN70" s="157"/>
      <c r="LO70" s="157"/>
      <c r="LP70" s="157"/>
      <c r="LQ70" s="157"/>
      <c r="LR70" s="157"/>
      <c r="LS70" s="157"/>
      <c r="LT70" s="5"/>
      <c r="LU70" s="8"/>
    </row>
    <row r="71" spans="1:333" ht="16.2" customHeight="1">
      <c r="A71" s="38" t="s">
        <v>9</v>
      </c>
      <c r="B71" s="25" t="s">
        <v>105</v>
      </c>
      <c r="C71" s="26" t="s">
        <v>390</v>
      </c>
      <c r="D71" s="25" t="s">
        <v>295</v>
      </c>
      <c r="E71" s="27" t="s">
        <v>108</v>
      </c>
      <c r="F71" s="25" t="s">
        <v>484</v>
      </c>
      <c r="G71" s="25" t="s">
        <v>296</v>
      </c>
      <c r="H71" s="28">
        <v>45658</v>
      </c>
      <c r="I71" s="29" t="s">
        <v>297</v>
      </c>
      <c r="J71" s="30">
        <v>1</v>
      </c>
      <c r="K71" s="147">
        <v>0</v>
      </c>
      <c r="L71" s="147">
        <f t="shared" si="1011"/>
        <v>1</v>
      </c>
      <c r="M71" s="147">
        <f t="shared" si="1012"/>
        <v>1</v>
      </c>
      <c r="N71" s="147">
        <f t="shared" si="1013"/>
        <v>0</v>
      </c>
      <c r="O71" s="147">
        <f t="shared" si="1014"/>
        <v>1</v>
      </c>
      <c r="P71" s="148">
        <f t="shared" si="1015"/>
        <v>1</v>
      </c>
      <c r="Q71" s="50">
        <f t="shared" si="1016"/>
        <v>1</v>
      </c>
      <c r="R71" s="17">
        <f t="shared" si="1017"/>
        <v>1</v>
      </c>
      <c r="S71" s="17">
        <f t="shared" si="1018"/>
        <v>1</v>
      </c>
      <c r="T71" s="17">
        <f t="shared" si="1019"/>
        <v>0</v>
      </c>
      <c r="U71" s="17">
        <f t="shared" si="1020"/>
        <v>1</v>
      </c>
      <c r="V71" s="17">
        <f t="shared" si="1021"/>
        <v>1</v>
      </c>
      <c r="W71" s="17">
        <f t="shared" si="1022"/>
        <v>1</v>
      </c>
      <c r="X71" s="17">
        <f t="shared" si="1023"/>
        <v>1</v>
      </c>
      <c r="Y71" s="17">
        <f t="shared" si="1024"/>
        <v>1</v>
      </c>
      <c r="Z71" s="17">
        <f t="shared" si="1025"/>
        <v>1</v>
      </c>
      <c r="AA71" s="17">
        <f t="shared" si="1026"/>
        <v>0</v>
      </c>
      <c r="AB71" s="17">
        <f t="shared" si="1027"/>
        <v>1</v>
      </c>
      <c r="AC71" s="17">
        <f t="shared" si="1028"/>
        <v>1</v>
      </c>
      <c r="AD71" s="17">
        <f t="shared" si="1029"/>
        <v>1</v>
      </c>
      <c r="AE71" s="17">
        <f t="shared" si="1030"/>
        <v>0</v>
      </c>
      <c r="AF71" s="17">
        <f t="shared" si="1031"/>
        <v>0</v>
      </c>
      <c r="AG71" s="17">
        <f t="shared" si="1032"/>
        <v>0</v>
      </c>
      <c r="AH71" s="17">
        <f t="shared" si="1033"/>
        <v>0</v>
      </c>
      <c r="AI71" s="17">
        <f t="shared" si="1034"/>
        <v>0</v>
      </c>
      <c r="AJ71" s="17">
        <f t="shared" si="1035"/>
        <v>0</v>
      </c>
      <c r="AK71" s="17">
        <f t="shared" si="1036"/>
        <v>0</v>
      </c>
      <c r="AL71" s="17">
        <f t="shared" si="1037"/>
        <v>0</v>
      </c>
      <c r="AM71" s="17">
        <f t="shared" si="1038"/>
        <v>0</v>
      </c>
      <c r="AN71" s="17">
        <f t="shared" si="1039"/>
        <v>0</v>
      </c>
      <c r="AO71" s="17">
        <f t="shared" si="1040"/>
        <v>0</v>
      </c>
      <c r="AP71" s="17">
        <f t="shared" si="1041"/>
        <v>0</v>
      </c>
      <c r="AQ71" s="17">
        <f t="shared" si="1042"/>
        <v>0</v>
      </c>
      <c r="AR71" s="17">
        <f t="shared" si="1043"/>
        <v>0</v>
      </c>
      <c r="AS71" s="17">
        <f t="shared" si="1044"/>
        <v>0</v>
      </c>
      <c r="AT71" s="17">
        <f t="shared" si="1045"/>
        <v>0</v>
      </c>
      <c r="AU71" s="54">
        <f t="shared" si="1046"/>
        <v>0</v>
      </c>
      <c r="AV71" s="58">
        <f t="shared" si="1006"/>
        <v>12</v>
      </c>
      <c r="AW71" s="58">
        <f t="shared" ca="1" si="1007"/>
        <v>0.92307692307692313</v>
      </c>
      <c r="AX71" s="50">
        <f t="shared" si="1047"/>
        <v>6</v>
      </c>
      <c r="AY71" s="17">
        <f t="shared" si="1048"/>
        <v>0</v>
      </c>
      <c r="AZ71" s="17">
        <f t="shared" si="1049"/>
        <v>12</v>
      </c>
      <c r="BA71" s="17">
        <f t="shared" si="1050"/>
        <v>0</v>
      </c>
      <c r="BB71" s="17">
        <f t="shared" si="1051"/>
        <v>11</v>
      </c>
      <c r="BC71" s="17">
        <f t="shared" si="1052"/>
        <v>11</v>
      </c>
      <c r="BD71" s="17">
        <f t="shared" si="1053"/>
        <v>11</v>
      </c>
      <c r="BE71" s="17">
        <f t="shared" si="1054"/>
        <v>10</v>
      </c>
      <c r="BF71" s="17">
        <f t="shared" si="1055"/>
        <v>0</v>
      </c>
      <c r="BG71" s="17">
        <f t="shared" si="1056"/>
        <v>9</v>
      </c>
      <c r="BH71" s="17">
        <f t="shared" si="1057"/>
        <v>0</v>
      </c>
      <c r="BI71" s="17">
        <f t="shared" si="1058"/>
        <v>12</v>
      </c>
      <c r="BJ71" s="17">
        <f t="shared" si="1059"/>
        <v>8</v>
      </c>
      <c r="BK71" s="17">
        <f t="shared" si="1060"/>
        <v>0</v>
      </c>
      <c r="BL71" s="17">
        <f t="shared" si="1061"/>
        <v>0</v>
      </c>
      <c r="BM71" s="17">
        <f t="shared" si="1062"/>
        <v>0</v>
      </c>
      <c r="BN71" s="17">
        <f t="shared" si="1063"/>
        <v>0</v>
      </c>
      <c r="BO71" s="17">
        <f t="shared" si="1064"/>
        <v>0</v>
      </c>
      <c r="BP71" s="17">
        <f t="shared" si="1065"/>
        <v>0</v>
      </c>
      <c r="BQ71" s="17">
        <f t="shared" si="1066"/>
        <v>0</v>
      </c>
      <c r="BR71" s="17">
        <f t="shared" si="1067"/>
        <v>0</v>
      </c>
      <c r="BS71" s="17">
        <f t="shared" si="1068"/>
        <v>0</v>
      </c>
      <c r="BT71" s="17">
        <f t="shared" si="1069"/>
        <v>0</v>
      </c>
      <c r="BU71" s="17">
        <f t="shared" si="1070"/>
        <v>0</v>
      </c>
      <c r="BV71" s="17">
        <f t="shared" si="1071"/>
        <v>0</v>
      </c>
      <c r="BW71" s="17">
        <f t="shared" si="1072"/>
        <v>0</v>
      </c>
      <c r="BX71" s="17">
        <f t="shared" si="1073"/>
        <v>0</v>
      </c>
      <c r="BY71" s="17">
        <f t="shared" si="1074"/>
        <v>0</v>
      </c>
      <c r="BZ71" s="17">
        <f t="shared" si="1075"/>
        <v>0</v>
      </c>
      <c r="CA71" s="17">
        <f t="shared" si="1076"/>
        <v>0</v>
      </c>
      <c r="CB71" s="54">
        <f t="shared" si="1077"/>
        <v>0</v>
      </c>
      <c r="CC71" s="58">
        <f t="shared" si="1078"/>
        <v>90</v>
      </c>
      <c r="CD71" s="58">
        <f t="shared" ca="1" si="1009"/>
        <v>6.9230769230769234</v>
      </c>
      <c r="JJ71" s="4" t="s">
        <v>13</v>
      </c>
      <c r="JK71" s="152" t="str">
        <f t="shared" si="1010"/>
        <v>FSD01-PHR-MIO-02</v>
      </c>
      <c r="JL71" s="163">
        <v>1</v>
      </c>
      <c r="JM71" s="158">
        <v>1</v>
      </c>
      <c r="JN71" s="158">
        <v>1</v>
      </c>
      <c r="JO71" s="159">
        <v>0</v>
      </c>
      <c r="JP71" s="158">
        <v>1</v>
      </c>
      <c r="JQ71" s="158">
        <v>1</v>
      </c>
      <c r="JR71" s="158">
        <v>1</v>
      </c>
      <c r="JS71" s="158">
        <v>1</v>
      </c>
      <c r="JT71" s="158">
        <v>1</v>
      </c>
      <c r="JU71" s="158">
        <v>1</v>
      </c>
      <c r="JV71" s="158">
        <v>0</v>
      </c>
      <c r="JW71" s="159">
        <v>1</v>
      </c>
      <c r="JX71" s="159">
        <v>1</v>
      </c>
      <c r="JY71" s="159">
        <v>1</v>
      </c>
      <c r="JZ71" s="158"/>
      <c r="KA71" s="158"/>
      <c r="KB71" s="158"/>
      <c r="KC71" s="158"/>
      <c r="KD71" s="158"/>
      <c r="KE71" s="158"/>
      <c r="KF71" s="158"/>
      <c r="KG71" s="158"/>
      <c r="KH71" s="159"/>
      <c r="KI71" s="159"/>
      <c r="KJ71" s="158"/>
      <c r="KK71" s="158"/>
      <c r="KL71" s="158"/>
      <c r="KM71" s="158"/>
      <c r="KN71" s="158"/>
      <c r="KO71" s="158"/>
      <c r="KP71" s="164"/>
      <c r="KQ71" s="157">
        <v>6</v>
      </c>
      <c r="KR71" s="157">
        <v>0</v>
      </c>
      <c r="KS71" s="157">
        <v>12</v>
      </c>
      <c r="KT71" s="157">
        <v>0</v>
      </c>
      <c r="KU71" s="157">
        <v>11</v>
      </c>
      <c r="KV71" s="157">
        <v>11</v>
      </c>
      <c r="KW71" s="157">
        <v>11</v>
      </c>
      <c r="KX71" s="157">
        <v>10</v>
      </c>
      <c r="KY71" s="157">
        <v>0</v>
      </c>
      <c r="KZ71" s="157">
        <v>9</v>
      </c>
      <c r="LA71" s="157">
        <v>0</v>
      </c>
      <c r="LB71" s="157">
        <v>12</v>
      </c>
      <c r="LC71" s="157">
        <v>8</v>
      </c>
      <c r="LD71" s="157">
        <v>0</v>
      </c>
      <c r="LE71" s="157"/>
      <c r="LF71" s="157"/>
      <c r="LG71" s="157"/>
      <c r="LH71" s="157"/>
      <c r="LI71" s="157"/>
      <c r="LJ71" s="157"/>
      <c r="LK71" s="157"/>
      <c r="LL71" s="157"/>
      <c r="LM71" s="157"/>
      <c r="LN71" s="157"/>
      <c r="LO71" s="157"/>
      <c r="LP71" s="157"/>
      <c r="LQ71" s="157"/>
      <c r="LR71" s="157"/>
      <c r="LS71" s="157"/>
      <c r="LT71" s="5"/>
      <c r="LU71" s="8"/>
    </row>
    <row r="72" spans="1:333" ht="16.2" customHeight="1">
      <c r="A72" s="38" t="s">
        <v>9</v>
      </c>
      <c r="B72" s="25" t="s">
        <v>105</v>
      </c>
      <c r="C72" s="26" t="s">
        <v>390</v>
      </c>
      <c r="D72" s="25" t="s">
        <v>298</v>
      </c>
      <c r="E72" s="27" t="s">
        <v>109</v>
      </c>
      <c r="F72" s="25" t="s">
        <v>485</v>
      </c>
      <c r="G72" s="25" t="s">
        <v>110</v>
      </c>
      <c r="H72" s="28">
        <v>44383</v>
      </c>
      <c r="I72" s="29" t="s">
        <v>299</v>
      </c>
      <c r="J72" s="30">
        <v>1</v>
      </c>
      <c r="K72" s="147">
        <v>0</v>
      </c>
      <c r="L72" s="147">
        <f t="shared" si="1011"/>
        <v>1</v>
      </c>
      <c r="M72" s="147">
        <f t="shared" si="1012"/>
        <v>1</v>
      </c>
      <c r="N72" s="147">
        <f t="shared" si="1013"/>
        <v>1</v>
      </c>
      <c r="O72" s="147">
        <f t="shared" si="1014"/>
        <v>1</v>
      </c>
      <c r="P72" s="148">
        <f t="shared" si="1015"/>
        <v>1</v>
      </c>
      <c r="Q72" s="50">
        <f t="shared" si="1016"/>
        <v>1</v>
      </c>
      <c r="R72" s="17">
        <f t="shared" si="1017"/>
        <v>1</v>
      </c>
      <c r="S72" s="17">
        <f t="shared" si="1018"/>
        <v>1</v>
      </c>
      <c r="T72" s="17">
        <f t="shared" si="1019"/>
        <v>0</v>
      </c>
      <c r="U72" s="17">
        <f t="shared" si="1020"/>
        <v>1</v>
      </c>
      <c r="V72" s="17">
        <f t="shared" si="1021"/>
        <v>1</v>
      </c>
      <c r="W72" s="17">
        <f t="shared" si="1022"/>
        <v>1</v>
      </c>
      <c r="X72" s="17">
        <f t="shared" si="1023"/>
        <v>1</v>
      </c>
      <c r="Y72" s="17">
        <f t="shared" si="1024"/>
        <v>1</v>
      </c>
      <c r="Z72" s="17">
        <f t="shared" si="1025"/>
        <v>1</v>
      </c>
      <c r="AA72" s="17">
        <f t="shared" si="1026"/>
        <v>0</v>
      </c>
      <c r="AB72" s="17">
        <f t="shared" si="1027"/>
        <v>1</v>
      </c>
      <c r="AC72" s="17">
        <f t="shared" si="1028"/>
        <v>1</v>
      </c>
      <c r="AD72" s="17">
        <f t="shared" si="1029"/>
        <v>1</v>
      </c>
      <c r="AE72" s="17">
        <f t="shared" si="1030"/>
        <v>0</v>
      </c>
      <c r="AF72" s="17">
        <f t="shared" si="1031"/>
        <v>0</v>
      </c>
      <c r="AG72" s="17">
        <f t="shared" si="1032"/>
        <v>0</v>
      </c>
      <c r="AH72" s="17">
        <f t="shared" si="1033"/>
        <v>0</v>
      </c>
      <c r="AI72" s="17">
        <f t="shared" si="1034"/>
        <v>0</v>
      </c>
      <c r="AJ72" s="17">
        <f t="shared" si="1035"/>
        <v>0</v>
      </c>
      <c r="AK72" s="17">
        <f t="shared" si="1036"/>
        <v>0</v>
      </c>
      <c r="AL72" s="17">
        <f t="shared" si="1037"/>
        <v>0</v>
      </c>
      <c r="AM72" s="17">
        <f t="shared" si="1038"/>
        <v>0</v>
      </c>
      <c r="AN72" s="17">
        <f t="shared" si="1039"/>
        <v>0</v>
      </c>
      <c r="AO72" s="17">
        <f t="shared" si="1040"/>
        <v>0</v>
      </c>
      <c r="AP72" s="17">
        <f t="shared" si="1041"/>
        <v>0</v>
      </c>
      <c r="AQ72" s="17">
        <f t="shared" si="1042"/>
        <v>0</v>
      </c>
      <c r="AR72" s="17">
        <f t="shared" si="1043"/>
        <v>0</v>
      </c>
      <c r="AS72" s="17">
        <f t="shared" si="1044"/>
        <v>0</v>
      </c>
      <c r="AT72" s="17">
        <f t="shared" si="1045"/>
        <v>0</v>
      </c>
      <c r="AU72" s="54">
        <f t="shared" si="1046"/>
        <v>0</v>
      </c>
      <c r="AV72" s="58">
        <f t="shared" si="1006"/>
        <v>12</v>
      </c>
      <c r="AW72" s="58">
        <f t="shared" ca="1" si="1007"/>
        <v>0.92307692307692313</v>
      </c>
      <c r="AX72" s="50">
        <f t="shared" si="1047"/>
        <v>14</v>
      </c>
      <c r="AY72" s="17">
        <f t="shared" si="1048"/>
        <v>11</v>
      </c>
      <c r="AZ72" s="17">
        <f t="shared" si="1049"/>
        <v>12</v>
      </c>
      <c r="BA72" s="17">
        <f t="shared" si="1050"/>
        <v>0</v>
      </c>
      <c r="BB72" s="17">
        <f t="shared" si="1051"/>
        <v>12</v>
      </c>
      <c r="BC72" s="17">
        <f t="shared" si="1052"/>
        <v>12</v>
      </c>
      <c r="BD72" s="17">
        <f t="shared" si="1053"/>
        <v>11</v>
      </c>
      <c r="BE72" s="17">
        <f t="shared" si="1054"/>
        <v>12</v>
      </c>
      <c r="BF72" s="17">
        <f t="shared" si="1055"/>
        <v>0</v>
      </c>
      <c r="BG72" s="17">
        <f t="shared" si="1056"/>
        <v>8</v>
      </c>
      <c r="BH72" s="17">
        <f t="shared" si="1057"/>
        <v>0</v>
      </c>
      <c r="BI72" s="17">
        <f t="shared" si="1058"/>
        <v>11</v>
      </c>
      <c r="BJ72" s="17">
        <f t="shared" si="1059"/>
        <v>4</v>
      </c>
      <c r="BK72" s="17">
        <f t="shared" si="1060"/>
        <v>2</v>
      </c>
      <c r="BL72" s="17">
        <f t="shared" si="1061"/>
        <v>0</v>
      </c>
      <c r="BM72" s="17">
        <f t="shared" si="1062"/>
        <v>0</v>
      </c>
      <c r="BN72" s="17">
        <f t="shared" si="1063"/>
        <v>0</v>
      </c>
      <c r="BO72" s="17">
        <f t="shared" si="1064"/>
        <v>0</v>
      </c>
      <c r="BP72" s="17">
        <f t="shared" si="1065"/>
        <v>0</v>
      </c>
      <c r="BQ72" s="17">
        <f t="shared" si="1066"/>
        <v>0</v>
      </c>
      <c r="BR72" s="17">
        <f t="shared" si="1067"/>
        <v>0</v>
      </c>
      <c r="BS72" s="17">
        <f t="shared" si="1068"/>
        <v>0</v>
      </c>
      <c r="BT72" s="17">
        <f t="shared" si="1069"/>
        <v>0</v>
      </c>
      <c r="BU72" s="17">
        <f t="shared" si="1070"/>
        <v>0</v>
      </c>
      <c r="BV72" s="17">
        <f t="shared" si="1071"/>
        <v>0</v>
      </c>
      <c r="BW72" s="17">
        <f t="shared" si="1072"/>
        <v>0</v>
      </c>
      <c r="BX72" s="17">
        <f t="shared" si="1073"/>
        <v>0</v>
      </c>
      <c r="BY72" s="17">
        <f t="shared" si="1074"/>
        <v>0</v>
      </c>
      <c r="BZ72" s="17">
        <f t="shared" si="1075"/>
        <v>0</v>
      </c>
      <c r="CA72" s="17">
        <f t="shared" si="1076"/>
        <v>0</v>
      </c>
      <c r="CB72" s="54">
        <f t="shared" si="1077"/>
        <v>0</v>
      </c>
      <c r="CC72" s="58">
        <f t="shared" si="1078"/>
        <v>109</v>
      </c>
      <c r="CD72" s="58">
        <f t="shared" ca="1" si="1009"/>
        <v>8.384615384615385</v>
      </c>
      <c r="JJ72" s="4" t="s">
        <v>13</v>
      </c>
      <c r="JK72" s="152" t="str">
        <f t="shared" si="1010"/>
        <v>FSD01-PHR-MIO-03</v>
      </c>
      <c r="JL72" s="163">
        <v>1</v>
      </c>
      <c r="JM72" s="158">
        <v>1</v>
      </c>
      <c r="JN72" s="158">
        <v>1</v>
      </c>
      <c r="JO72" s="159">
        <v>0</v>
      </c>
      <c r="JP72" s="158">
        <v>1</v>
      </c>
      <c r="JQ72" s="158">
        <v>1</v>
      </c>
      <c r="JR72" s="158">
        <v>1</v>
      </c>
      <c r="JS72" s="158">
        <v>1</v>
      </c>
      <c r="JT72" s="158">
        <v>1</v>
      </c>
      <c r="JU72" s="158">
        <v>1</v>
      </c>
      <c r="JV72" s="158">
        <v>0</v>
      </c>
      <c r="JW72" s="159">
        <v>1</v>
      </c>
      <c r="JX72" s="159">
        <v>1</v>
      </c>
      <c r="JY72" s="159">
        <v>1</v>
      </c>
      <c r="JZ72" s="158"/>
      <c r="KA72" s="158"/>
      <c r="KB72" s="158"/>
      <c r="KC72" s="158"/>
      <c r="KD72" s="158"/>
      <c r="KE72" s="158"/>
      <c r="KF72" s="158"/>
      <c r="KG72" s="158"/>
      <c r="KH72" s="159"/>
      <c r="KI72" s="159"/>
      <c r="KJ72" s="158"/>
      <c r="KK72" s="158"/>
      <c r="KL72" s="158"/>
      <c r="KM72" s="158"/>
      <c r="KN72" s="158"/>
      <c r="KO72" s="158"/>
      <c r="KP72" s="164"/>
      <c r="KQ72" s="157">
        <v>14</v>
      </c>
      <c r="KR72" s="157">
        <v>11</v>
      </c>
      <c r="KS72" s="157">
        <v>12</v>
      </c>
      <c r="KT72" s="157">
        <v>0</v>
      </c>
      <c r="KU72" s="157">
        <v>12</v>
      </c>
      <c r="KV72" s="157">
        <v>12</v>
      </c>
      <c r="KW72" s="157">
        <v>11</v>
      </c>
      <c r="KX72" s="157">
        <v>12</v>
      </c>
      <c r="KY72" s="157">
        <v>0</v>
      </c>
      <c r="KZ72" s="157">
        <v>8</v>
      </c>
      <c r="LA72" s="157">
        <v>0</v>
      </c>
      <c r="LB72" s="157">
        <v>11</v>
      </c>
      <c r="LC72" s="157">
        <v>4</v>
      </c>
      <c r="LD72" s="157">
        <v>2</v>
      </c>
      <c r="LE72" s="157"/>
      <c r="LF72" s="157"/>
      <c r="LG72" s="157"/>
      <c r="LH72" s="157"/>
      <c r="LI72" s="157"/>
      <c r="LJ72" s="157"/>
      <c r="LK72" s="157"/>
      <c r="LL72" s="157"/>
      <c r="LM72" s="157"/>
      <c r="LN72" s="157"/>
      <c r="LO72" s="157"/>
      <c r="LP72" s="157"/>
      <c r="LQ72" s="157"/>
      <c r="LR72" s="157"/>
      <c r="LS72" s="157"/>
      <c r="LT72" s="5"/>
      <c r="LU72" s="8"/>
    </row>
    <row r="73" spans="1:333" ht="16.2" customHeight="1">
      <c r="A73" s="38" t="s">
        <v>9</v>
      </c>
      <c r="B73" s="25" t="s">
        <v>105</v>
      </c>
      <c r="C73" s="26" t="s">
        <v>390</v>
      </c>
      <c r="D73" s="25" t="s">
        <v>300</v>
      </c>
      <c r="E73" s="27" t="s">
        <v>111</v>
      </c>
      <c r="F73" s="25" t="s">
        <v>486</v>
      </c>
      <c r="G73" s="25"/>
      <c r="H73" s="28" t="s">
        <v>518</v>
      </c>
      <c r="I73" s="29" t="s">
        <v>301</v>
      </c>
      <c r="J73" s="30">
        <v>1</v>
      </c>
      <c r="K73" s="147">
        <v>0</v>
      </c>
      <c r="L73" s="147">
        <f t="shared" si="1011"/>
        <v>1</v>
      </c>
      <c r="M73" s="147">
        <f t="shared" si="1012"/>
        <v>1</v>
      </c>
      <c r="N73" s="147">
        <f t="shared" si="1013"/>
        <v>1</v>
      </c>
      <c r="O73" s="147">
        <f t="shared" si="1014"/>
        <v>1</v>
      </c>
      <c r="P73" s="148">
        <f t="shared" si="1015"/>
        <v>1</v>
      </c>
      <c r="Q73" s="50">
        <f t="shared" si="1016"/>
        <v>0</v>
      </c>
      <c r="R73" s="17">
        <f t="shared" si="1017"/>
        <v>1</v>
      </c>
      <c r="S73" s="17">
        <f t="shared" si="1018"/>
        <v>1</v>
      </c>
      <c r="T73" s="17">
        <f t="shared" si="1019"/>
        <v>0</v>
      </c>
      <c r="U73" s="17">
        <f t="shared" si="1020"/>
        <v>1</v>
      </c>
      <c r="V73" s="17">
        <f t="shared" si="1021"/>
        <v>1</v>
      </c>
      <c r="W73" s="17">
        <f t="shared" si="1022"/>
        <v>1</v>
      </c>
      <c r="X73" s="17">
        <f t="shared" si="1023"/>
        <v>1</v>
      </c>
      <c r="Y73" s="17">
        <f t="shared" si="1024"/>
        <v>1</v>
      </c>
      <c r="Z73" s="17">
        <f t="shared" si="1025"/>
        <v>1</v>
      </c>
      <c r="AA73" s="17">
        <f t="shared" si="1026"/>
        <v>0</v>
      </c>
      <c r="AB73" s="17">
        <f t="shared" si="1027"/>
        <v>1</v>
      </c>
      <c r="AC73" s="17">
        <f t="shared" si="1028"/>
        <v>1</v>
      </c>
      <c r="AD73" s="17">
        <f t="shared" si="1029"/>
        <v>1</v>
      </c>
      <c r="AE73" s="17">
        <f t="shared" si="1030"/>
        <v>0</v>
      </c>
      <c r="AF73" s="17">
        <f t="shared" si="1031"/>
        <v>0</v>
      </c>
      <c r="AG73" s="17">
        <f t="shared" si="1032"/>
        <v>0</v>
      </c>
      <c r="AH73" s="17">
        <f t="shared" si="1033"/>
        <v>0</v>
      </c>
      <c r="AI73" s="17">
        <f t="shared" si="1034"/>
        <v>0</v>
      </c>
      <c r="AJ73" s="17">
        <f t="shared" si="1035"/>
        <v>0</v>
      </c>
      <c r="AK73" s="17">
        <f t="shared" si="1036"/>
        <v>0</v>
      </c>
      <c r="AL73" s="17">
        <f t="shared" si="1037"/>
        <v>0</v>
      </c>
      <c r="AM73" s="17">
        <f t="shared" si="1038"/>
        <v>0</v>
      </c>
      <c r="AN73" s="17">
        <f t="shared" si="1039"/>
        <v>0</v>
      </c>
      <c r="AO73" s="17">
        <f t="shared" si="1040"/>
        <v>0</v>
      </c>
      <c r="AP73" s="17">
        <f t="shared" si="1041"/>
        <v>0</v>
      </c>
      <c r="AQ73" s="17">
        <f t="shared" si="1042"/>
        <v>0</v>
      </c>
      <c r="AR73" s="17">
        <f t="shared" si="1043"/>
        <v>0</v>
      </c>
      <c r="AS73" s="17">
        <f t="shared" si="1044"/>
        <v>0</v>
      </c>
      <c r="AT73" s="17">
        <f t="shared" si="1045"/>
        <v>0</v>
      </c>
      <c r="AU73" s="54">
        <f t="shared" si="1046"/>
        <v>0</v>
      </c>
      <c r="AV73" s="58">
        <f t="shared" si="1006"/>
        <v>11</v>
      </c>
      <c r="AW73" s="58">
        <f t="shared" ca="1" si="1007"/>
        <v>0.84615384615384615</v>
      </c>
      <c r="AX73" s="50">
        <f t="shared" si="1047"/>
        <v>0</v>
      </c>
      <c r="AY73" s="17">
        <f t="shared" si="1048"/>
        <v>5</v>
      </c>
      <c r="AZ73" s="17">
        <f t="shared" si="1049"/>
        <v>1</v>
      </c>
      <c r="BA73" s="17">
        <f t="shared" si="1050"/>
        <v>0</v>
      </c>
      <c r="BB73" s="17">
        <f t="shared" si="1051"/>
        <v>6</v>
      </c>
      <c r="BC73" s="17">
        <f t="shared" si="1052"/>
        <v>6</v>
      </c>
      <c r="BD73" s="17">
        <f t="shared" si="1053"/>
        <v>7</v>
      </c>
      <c r="BE73" s="17">
        <f t="shared" si="1054"/>
        <v>3</v>
      </c>
      <c r="BF73" s="17">
        <f t="shared" si="1055"/>
        <v>1</v>
      </c>
      <c r="BG73" s="17">
        <f t="shared" si="1056"/>
        <v>6</v>
      </c>
      <c r="BH73" s="17">
        <f t="shared" si="1057"/>
        <v>0</v>
      </c>
      <c r="BI73" s="17">
        <f t="shared" si="1058"/>
        <v>7</v>
      </c>
      <c r="BJ73" s="17">
        <f t="shared" si="1059"/>
        <v>6</v>
      </c>
      <c r="BK73" s="17">
        <f t="shared" si="1060"/>
        <v>1</v>
      </c>
      <c r="BL73" s="17">
        <f t="shared" si="1061"/>
        <v>0</v>
      </c>
      <c r="BM73" s="17">
        <f t="shared" si="1062"/>
        <v>0</v>
      </c>
      <c r="BN73" s="17">
        <f t="shared" si="1063"/>
        <v>0</v>
      </c>
      <c r="BO73" s="17">
        <f t="shared" si="1064"/>
        <v>0</v>
      </c>
      <c r="BP73" s="17">
        <f t="shared" si="1065"/>
        <v>0</v>
      </c>
      <c r="BQ73" s="17">
        <f t="shared" si="1066"/>
        <v>0</v>
      </c>
      <c r="BR73" s="17">
        <f t="shared" si="1067"/>
        <v>0</v>
      </c>
      <c r="BS73" s="17">
        <f t="shared" si="1068"/>
        <v>0</v>
      </c>
      <c r="BT73" s="17">
        <f t="shared" si="1069"/>
        <v>0</v>
      </c>
      <c r="BU73" s="17">
        <f t="shared" si="1070"/>
        <v>0</v>
      </c>
      <c r="BV73" s="17">
        <f t="shared" si="1071"/>
        <v>0</v>
      </c>
      <c r="BW73" s="17">
        <f t="shared" si="1072"/>
        <v>0</v>
      </c>
      <c r="BX73" s="17">
        <f t="shared" si="1073"/>
        <v>0</v>
      </c>
      <c r="BY73" s="17">
        <f t="shared" si="1074"/>
        <v>0</v>
      </c>
      <c r="BZ73" s="17">
        <f t="shared" si="1075"/>
        <v>0</v>
      </c>
      <c r="CA73" s="17">
        <f t="shared" si="1076"/>
        <v>0</v>
      </c>
      <c r="CB73" s="54">
        <f t="shared" si="1077"/>
        <v>0</v>
      </c>
      <c r="CC73" s="58">
        <f t="shared" si="1078"/>
        <v>49</v>
      </c>
      <c r="CD73" s="58">
        <f t="shared" ca="1" si="1009"/>
        <v>3.7692307692307692</v>
      </c>
      <c r="JJ73" s="4" t="s">
        <v>13</v>
      </c>
      <c r="JK73" s="152" t="str">
        <f t="shared" si="1010"/>
        <v>FSD01-PHR-MIO-04</v>
      </c>
      <c r="JL73" s="163">
        <v>0</v>
      </c>
      <c r="JM73" s="158">
        <v>1</v>
      </c>
      <c r="JN73" s="158">
        <v>1</v>
      </c>
      <c r="JO73" s="159">
        <v>0</v>
      </c>
      <c r="JP73" s="158">
        <v>1</v>
      </c>
      <c r="JQ73" s="158">
        <v>1</v>
      </c>
      <c r="JR73" s="158">
        <v>1</v>
      </c>
      <c r="JS73" s="158">
        <v>1</v>
      </c>
      <c r="JT73" s="158">
        <v>1</v>
      </c>
      <c r="JU73" s="158">
        <v>1</v>
      </c>
      <c r="JV73" s="158">
        <v>0</v>
      </c>
      <c r="JW73" s="159">
        <v>1</v>
      </c>
      <c r="JX73" s="159">
        <v>1</v>
      </c>
      <c r="JY73" s="159">
        <v>1</v>
      </c>
      <c r="JZ73" s="158"/>
      <c r="KA73" s="158"/>
      <c r="KB73" s="158"/>
      <c r="KC73" s="158"/>
      <c r="KD73" s="158"/>
      <c r="KE73" s="158"/>
      <c r="KF73" s="158"/>
      <c r="KG73" s="158"/>
      <c r="KH73" s="159"/>
      <c r="KI73" s="159"/>
      <c r="KJ73" s="158"/>
      <c r="KK73" s="158"/>
      <c r="KL73" s="158"/>
      <c r="KM73" s="158"/>
      <c r="KN73" s="158"/>
      <c r="KO73" s="158"/>
      <c r="KP73" s="164"/>
      <c r="KQ73" s="157">
        <v>0</v>
      </c>
      <c r="KR73" s="157">
        <v>5</v>
      </c>
      <c r="KS73" s="157">
        <v>1</v>
      </c>
      <c r="KT73" s="157">
        <v>0</v>
      </c>
      <c r="KU73" s="157">
        <v>6</v>
      </c>
      <c r="KV73" s="157">
        <v>6</v>
      </c>
      <c r="KW73" s="157">
        <v>7</v>
      </c>
      <c r="KX73" s="157">
        <v>3</v>
      </c>
      <c r="KY73" s="157">
        <v>1</v>
      </c>
      <c r="KZ73" s="157">
        <v>6</v>
      </c>
      <c r="LA73" s="157">
        <v>0</v>
      </c>
      <c r="LB73" s="157">
        <v>7</v>
      </c>
      <c r="LC73" s="157">
        <v>6</v>
      </c>
      <c r="LD73" s="157">
        <v>1</v>
      </c>
      <c r="LE73" s="157"/>
      <c r="LF73" s="157"/>
      <c r="LG73" s="157"/>
      <c r="LH73" s="157"/>
      <c r="LI73" s="157"/>
      <c r="LJ73" s="157"/>
      <c r="LK73" s="157"/>
      <c r="LL73" s="157"/>
      <c r="LM73" s="157"/>
      <c r="LN73" s="157"/>
      <c r="LO73" s="157"/>
      <c r="LP73" s="157"/>
      <c r="LQ73" s="157"/>
      <c r="LR73" s="157"/>
      <c r="LS73" s="157"/>
      <c r="LT73" s="5"/>
      <c r="LU73" s="8"/>
    </row>
    <row r="74" spans="1:333" ht="16.2" customHeight="1">
      <c r="A74" s="38" t="s">
        <v>9</v>
      </c>
      <c r="B74" s="25" t="s">
        <v>105</v>
      </c>
      <c r="C74" s="25" t="s">
        <v>390</v>
      </c>
      <c r="D74" s="25" t="s">
        <v>302</v>
      </c>
      <c r="E74" s="27" t="s">
        <v>112</v>
      </c>
      <c r="F74" s="25" t="s">
        <v>487</v>
      </c>
      <c r="G74" s="25" t="s">
        <v>113</v>
      </c>
      <c r="H74" s="28">
        <v>44938</v>
      </c>
      <c r="I74" s="29" t="s">
        <v>303</v>
      </c>
      <c r="J74" s="30">
        <v>1</v>
      </c>
      <c r="K74" s="147">
        <v>0</v>
      </c>
      <c r="L74" s="147">
        <f t="shared" si="1011"/>
        <v>1</v>
      </c>
      <c r="M74" s="147">
        <f t="shared" si="1012"/>
        <v>1</v>
      </c>
      <c r="N74" s="147">
        <f t="shared" si="1013"/>
        <v>1</v>
      </c>
      <c r="O74" s="147">
        <f t="shared" si="1014"/>
        <v>1</v>
      </c>
      <c r="P74" s="148">
        <f t="shared" si="1015"/>
        <v>1</v>
      </c>
      <c r="Q74" s="50">
        <f t="shared" si="1016"/>
        <v>1</v>
      </c>
      <c r="R74" s="17">
        <f t="shared" si="1017"/>
        <v>1</v>
      </c>
      <c r="S74" s="17">
        <f t="shared" si="1018"/>
        <v>1</v>
      </c>
      <c r="T74" s="17">
        <f t="shared" si="1019"/>
        <v>0</v>
      </c>
      <c r="U74" s="17">
        <f t="shared" si="1020"/>
        <v>1</v>
      </c>
      <c r="V74" s="17">
        <f t="shared" si="1021"/>
        <v>1</v>
      </c>
      <c r="W74" s="17">
        <f t="shared" si="1022"/>
        <v>1</v>
      </c>
      <c r="X74" s="17">
        <f t="shared" si="1023"/>
        <v>1</v>
      </c>
      <c r="Y74" s="17">
        <f t="shared" si="1024"/>
        <v>1</v>
      </c>
      <c r="Z74" s="17">
        <f t="shared" si="1025"/>
        <v>1</v>
      </c>
      <c r="AA74" s="17">
        <f t="shared" si="1026"/>
        <v>0</v>
      </c>
      <c r="AB74" s="17">
        <f t="shared" si="1027"/>
        <v>1</v>
      </c>
      <c r="AC74" s="17">
        <f t="shared" si="1028"/>
        <v>1</v>
      </c>
      <c r="AD74" s="17">
        <f t="shared" si="1029"/>
        <v>1</v>
      </c>
      <c r="AE74" s="17">
        <f t="shared" si="1030"/>
        <v>0</v>
      </c>
      <c r="AF74" s="17">
        <f t="shared" si="1031"/>
        <v>0</v>
      </c>
      <c r="AG74" s="17">
        <f t="shared" si="1032"/>
        <v>0</v>
      </c>
      <c r="AH74" s="17">
        <f t="shared" si="1033"/>
        <v>0</v>
      </c>
      <c r="AI74" s="17">
        <f t="shared" si="1034"/>
        <v>0</v>
      </c>
      <c r="AJ74" s="17">
        <f t="shared" si="1035"/>
        <v>0</v>
      </c>
      <c r="AK74" s="17">
        <f t="shared" si="1036"/>
        <v>0</v>
      </c>
      <c r="AL74" s="17">
        <f t="shared" si="1037"/>
        <v>0</v>
      </c>
      <c r="AM74" s="17">
        <f t="shared" si="1038"/>
        <v>0</v>
      </c>
      <c r="AN74" s="17">
        <f t="shared" si="1039"/>
        <v>0</v>
      </c>
      <c r="AO74" s="17">
        <f t="shared" si="1040"/>
        <v>0</v>
      </c>
      <c r="AP74" s="17">
        <f t="shared" si="1041"/>
        <v>0</v>
      </c>
      <c r="AQ74" s="17">
        <f t="shared" si="1042"/>
        <v>0</v>
      </c>
      <c r="AR74" s="17">
        <f t="shared" si="1043"/>
        <v>0</v>
      </c>
      <c r="AS74" s="17">
        <f t="shared" si="1044"/>
        <v>0</v>
      </c>
      <c r="AT74" s="17">
        <f t="shared" si="1045"/>
        <v>0</v>
      </c>
      <c r="AU74" s="54">
        <f t="shared" si="1046"/>
        <v>0</v>
      </c>
      <c r="AV74" s="58">
        <f t="shared" si="1006"/>
        <v>12</v>
      </c>
      <c r="AW74" s="58">
        <f t="shared" ca="1" si="1007"/>
        <v>0.92307692307692313</v>
      </c>
      <c r="AX74" s="50">
        <f t="shared" si="1047"/>
        <v>13</v>
      </c>
      <c r="AY74" s="17">
        <f t="shared" si="1048"/>
        <v>7</v>
      </c>
      <c r="AZ74" s="17">
        <f t="shared" si="1049"/>
        <v>11</v>
      </c>
      <c r="BA74" s="17">
        <f t="shared" si="1050"/>
        <v>0</v>
      </c>
      <c r="BB74" s="17">
        <f t="shared" si="1051"/>
        <v>16</v>
      </c>
      <c r="BC74" s="17">
        <f t="shared" si="1052"/>
        <v>17</v>
      </c>
      <c r="BD74" s="17">
        <f t="shared" si="1053"/>
        <v>9</v>
      </c>
      <c r="BE74" s="17">
        <f t="shared" si="1054"/>
        <v>12</v>
      </c>
      <c r="BF74" s="17">
        <f t="shared" si="1055"/>
        <v>0</v>
      </c>
      <c r="BG74" s="17">
        <f t="shared" si="1056"/>
        <v>11</v>
      </c>
      <c r="BH74" s="17">
        <f t="shared" si="1057"/>
        <v>0</v>
      </c>
      <c r="BI74" s="17">
        <f t="shared" si="1058"/>
        <v>11</v>
      </c>
      <c r="BJ74" s="17">
        <f t="shared" si="1059"/>
        <v>15</v>
      </c>
      <c r="BK74" s="17">
        <f t="shared" si="1060"/>
        <v>2</v>
      </c>
      <c r="BL74" s="17">
        <f t="shared" si="1061"/>
        <v>0</v>
      </c>
      <c r="BM74" s="17">
        <f t="shared" si="1062"/>
        <v>0</v>
      </c>
      <c r="BN74" s="17">
        <f t="shared" si="1063"/>
        <v>0</v>
      </c>
      <c r="BO74" s="17">
        <f t="shared" si="1064"/>
        <v>0</v>
      </c>
      <c r="BP74" s="17">
        <f t="shared" si="1065"/>
        <v>0</v>
      </c>
      <c r="BQ74" s="17">
        <f t="shared" si="1066"/>
        <v>0</v>
      </c>
      <c r="BR74" s="17">
        <f t="shared" si="1067"/>
        <v>0</v>
      </c>
      <c r="BS74" s="17">
        <f t="shared" si="1068"/>
        <v>0</v>
      </c>
      <c r="BT74" s="17">
        <f t="shared" si="1069"/>
        <v>0</v>
      </c>
      <c r="BU74" s="17">
        <f t="shared" si="1070"/>
        <v>0</v>
      </c>
      <c r="BV74" s="17">
        <f t="shared" si="1071"/>
        <v>0</v>
      </c>
      <c r="BW74" s="17">
        <f t="shared" si="1072"/>
        <v>0</v>
      </c>
      <c r="BX74" s="17">
        <f t="shared" si="1073"/>
        <v>0</v>
      </c>
      <c r="BY74" s="17">
        <f t="shared" si="1074"/>
        <v>0</v>
      </c>
      <c r="BZ74" s="17">
        <f t="shared" si="1075"/>
        <v>0</v>
      </c>
      <c r="CA74" s="17">
        <f t="shared" si="1076"/>
        <v>0</v>
      </c>
      <c r="CB74" s="54">
        <f t="shared" si="1077"/>
        <v>0</v>
      </c>
      <c r="CC74" s="58">
        <f t="shared" si="1078"/>
        <v>124</v>
      </c>
      <c r="CD74" s="58">
        <f t="shared" ca="1" si="1009"/>
        <v>9.5384615384615383</v>
      </c>
      <c r="JJ74" s="4" t="s">
        <v>13</v>
      </c>
      <c r="JK74" s="152" t="str">
        <f t="shared" si="1010"/>
        <v>FSD01-PHR-PS-01</v>
      </c>
      <c r="JL74" s="163">
        <v>1</v>
      </c>
      <c r="JM74" s="158">
        <v>1</v>
      </c>
      <c r="JN74" s="158">
        <v>1</v>
      </c>
      <c r="JO74" s="159">
        <v>0</v>
      </c>
      <c r="JP74" s="158">
        <v>1</v>
      </c>
      <c r="JQ74" s="158">
        <v>1</v>
      </c>
      <c r="JR74" s="158">
        <v>1</v>
      </c>
      <c r="JS74" s="158">
        <v>1</v>
      </c>
      <c r="JT74" s="158">
        <v>1</v>
      </c>
      <c r="JU74" s="158">
        <v>1</v>
      </c>
      <c r="JV74" s="158">
        <v>0</v>
      </c>
      <c r="JW74" s="159">
        <v>1</v>
      </c>
      <c r="JX74" s="159">
        <v>1</v>
      </c>
      <c r="JY74" s="159">
        <v>1</v>
      </c>
      <c r="JZ74" s="158"/>
      <c r="KA74" s="158"/>
      <c r="KB74" s="158"/>
      <c r="KC74" s="158"/>
      <c r="KD74" s="158"/>
      <c r="KE74" s="158"/>
      <c r="KF74" s="158"/>
      <c r="KG74" s="158"/>
      <c r="KH74" s="159"/>
      <c r="KI74" s="159"/>
      <c r="KJ74" s="158"/>
      <c r="KK74" s="158"/>
      <c r="KL74" s="158"/>
      <c r="KM74" s="158"/>
      <c r="KN74" s="158"/>
      <c r="KO74" s="158"/>
      <c r="KP74" s="164"/>
      <c r="KQ74" s="157">
        <v>13</v>
      </c>
      <c r="KR74" s="157">
        <v>7</v>
      </c>
      <c r="KS74" s="157">
        <v>11</v>
      </c>
      <c r="KT74" s="157">
        <v>0</v>
      </c>
      <c r="KU74" s="157">
        <v>16</v>
      </c>
      <c r="KV74" s="157">
        <v>17</v>
      </c>
      <c r="KW74" s="157">
        <v>9</v>
      </c>
      <c r="KX74" s="157">
        <v>12</v>
      </c>
      <c r="KY74" s="157">
        <v>0</v>
      </c>
      <c r="KZ74" s="157">
        <v>11</v>
      </c>
      <c r="LA74" s="157">
        <v>0</v>
      </c>
      <c r="LB74" s="157">
        <v>11</v>
      </c>
      <c r="LC74" s="157">
        <v>15</v>
      </c>
      <c r="LD74" s="157">
        <v>2</v>
      </c>
      <c r="LE74" s="157"/>
      <c r="LF74" s="157"/>
      <c r="LG74" s="157"/>
      <c r="LH74" s="157"/>
      <c r="LI74" s="157"/>
      <c r="LJ74" s="157"/>
      <c r="LK74" s="157"/>
      <c r="LL74" s="157"/>
      <c r="LM74" s="157"/>
      <c r="LN74" s="157"/>
      <c r="LO74" s="157"/>
      <c r="LP74" s="157"/>
      <c r="LQ74" s="157"/>
      <c r="LR74" s="157"/>
      <c r="LS74" s="157"/>
      <c r="LT74" s="5"/>
      <c r="LU74" s="8"/>
    </row>
    <row r="75" spans="1:333" ht="16.2" customHeight="1">
      <c r="A75" s="38" t="s">
        <v>9</v>
      </c>
      <c r="B75" s="25" t="s">
        <v>105</v>
      </c>
      <c r="C75" s="26" t="s">
        <v>390</v>
      </c>
      <c r="D75" s="25" t="s">
        <v>305</v>
      </c>
      <c r="E75" s="27" t="s">
        <v>114</v>
      </c>
      <c r="F75" s="25" t="s">
        <v>488</v>
      </c>
      <c r="G75" s="25" t="s">
        <v>306</v>
      </c>
      <c r="H75" s="28">
        <v>45895</v>
      </c>
      <c r="I75" s="29" t="s">
        <v>307</v>
      </c>
      <c r="J75" s="30">
        <v>1</v>
      </c>
      <c r="K75" s="147">
        <v>0</v>
      </c>
      <c r="L75" s="147">
        <f t="shared" si="1011"/>
        <v>0</v>
      </c>
      <c r="M75" s="147">
        <f t="shared" si="1012"/>
        <v>1</v>
      </c>
      <c r="N75" s="147">
        <f t="shared" si="1013"/>
        <v>1</v>
      </c>
      <c r="O75" s="147">
        <f t="shared" si="1014"/>
        <v>1</v>
      </c>
      <c r="P75" s="148">
        <f t="shared" si="1015"/>
        <v>1</v>
      </c>
      <c r="Q75" s="50">
        <f t="shared" si="1016"/>
        <v>1</v>
      </c>
      <c r="R75" s="17">
        <f t="shared" si="1017"/>
        <v>0</v>
      </c>
      <c r="S75" s="17">
        <f t="shared" si="1018"/>
        <v>1</v>
      </c>
      <c r="T75" s="17">
        <f t="shared" si="1019"/>
        <v>0</v>
      </c>
      <c r="U75" s="17">
        <f t="shared" si="1020"/>
        <v>0</v>
      </c>
      <c r="V75" s="17">
        <f t="shared" si="1021"/>
        <v>1</v>
      </c>
      <c r="W75" s="17">
        <f t="shared" si="1022"/>
        <v>1</v>
      </c>
      <c r="X75" s="17">
        <f t="shared" si="1023"/>
        <v>0</v>
      </c>
      <c r="Y75" s="17">
        <f t="shared" si="1024"/>
        <v>1</v>
      </c>
      <c r="Z75" s="17">
        <f t="shared" si="1025"/>
        <v>0</v>
      </c>
      <c r="AA75" s="17">
        <f t="shared" si="1026"/>
        <v>0</v>
      </c>
      <c r="AB75" s="17">
        <f t="shared" si="1027"/>
        <v>0</v>
      </c>
      <c r="AC75" s="17">
        <f t="shared" si="1028"/>
        <v>1</v>
      </c>
      <c r="AD75" s="17">
        <f t="shared" si="1029"/>
        <v>0</v>
      </c>
      <c r="AE75" s="17">
        <f t="shared" si="1030"/>
        <v>0</v>
      </c>
      <c r="AF75" s="17">
        <f t="shared" si="1031"/>
        <v>0</v>
      </c>
      <c r="AG75" s="17">
        <f t="shared" si="1032"/>
        <v>0</v>
      </c>
      <c r="AH75" s="17">
        <f t="shared" si="1033"/>
        <v>0</v>
      </c>
      <c r="AI75" s="17">
        <f t="shared" si="1034"/>
        <v>0</v>
      </c>
      <c r="AJ75" s="17">
        <f t="shared" si="1035"/>
        <v>0</v>
      </c>
      <c r="AK75" s="17">
        <f t="shared" si="1036"/>
        <v>0</v>
      </c>
      <c r="AL75" s="17">
        <f t="shared" si="1037"/>
        <v>0</v>
      </c>
      <c r="AM75" s="17">
        <f t="shared" si="1038"/>
        <v>0</v>
      </c>
      <c r="AN75" s="17">
        <f t="shared" si="1039"/>
        <v>0</v>
      </c>
      <c r="AO75" s="17">
        <f t="shared" si="1040"/>
        <v>0</v>
      </c>
      <c r="AP75" s="17">
        <f t="shared" si="1041"/>
        <v>0</v>
      </c>
      <c r="AQ75" s="17">
        <f t="shared" si="1042"/>
        <v>0</v>
      </c>
      <c r="AR75" s="17">
        <f t="shared" si="1043"/>
        <v>0</v>
      </c>
      <c r="AS75" s="17">
        <f t="shared" si="1044"/>
        <v>0</v>
      </c>
      <c r="AT75" s="17">
        <f t="shared" si="1045"/>
        <v>0</v>
      </c>
      <c r="AU75" s="54">
        <f t="shared" si="1046"/>
        <v>0</v>
      </c>
      <c r="AV75" s="58">
        <f t="shared" si="1006"/>
        <v>6</v>
      </c>
      <c r="AW75" s="58">
        <f t="shared" ca="1" si="1007"/>
        <v>0.46153846153846156</v>
      </c>
      <c r="AX75" s="50">
        <f t="shared" si="1047"/>
        <v>15</v>
      </c>
      <c r="AY75" s="17">
        <f t="shared" si="1048"/>
        <v>13</v>
      </c>
      <c r="AZ75" s="17">
        <f t="shared" si="1049"/>
        <v>13</v>
      </c>
      <c r="BA75" s="17">
        <f t="shared" si="1050"/>
        <v>0</v>
      </c>
      <c r="BB75" s="17">
        <f t="shared" si="1051"/>
        <v>16</v>
      </c>
      <c r="BC75" s="17">
        <f t="shared" si="1052"/>
        <v>12</v>
      </c>
      <c r="BD75" s="17">
        <f t="shared" si="1053"/>
        <v>14</v>
      </c>
      <c r="BE75" s="17">
        <f t="shared" si="1054"/>
        <v>12</v>
      </c>
      <c r="BF75" s="17">
        <f t="shared" si="1055"/>
        <v>0</v>
      </c>
      <c r="BG75" s="17">
        <f t="shared" si="1056"/>
        <v>12</v>
      </c>
      <c r="BH75" s="17">
        <f t="shared" si="1057"/>
        <v>0</v>
      </c>
      <c r="BI75" s="17">
        <f t="shared" si="1058"/>
        <v>12</v>
      </c>
      <c r="BJ75" s="17">
        <f t="shared" si="1059"/>
        <v>11</v>
      </c>
      <c r="BK75" s="17">
        <f t="shared" si="1060"/>
        <v>3</v>
      </c>
      <c r="BL75" s="17">
        <f t="shared" si="1061"/>
        <v>0</v>
      </c>
      <c r="BM75" s="17">
        <f t="shared" si="1062"/>
        <v>0</v>
      </c>
      <c r="BN75" s="17">
        <f t="shared" si="1063"/>
        <v>0</v>
      </c>
      <c r="BO75" s="17">
        <f t="shared" si="1064"/>
        <v>0</v>
      </c>
      <c r="BP75" s="17">
        <f t="shared" si="1065"/>
        <v>0</v>
      </c>
      <c r="BQ75" s="17">
        <f t="shared" si="1066"/>
        <v>0</v>
      </c>
      <c r="BR75" s="17">
        <f t="shared" si="1067"/>
        <v>0</v>
      </c>
      <c r="BS75" s="17">
        <f t="shared" si="1068"/>
        <v>0</v>
      </c>
      <c r="BT75" s="17">
        <f t="shared" si="1069"/>
        <v>0</v>
      </c>
      <c r="BU75" s="17">
        <f t="shared" si="1070"/>
        <v>0</v>
      </c>
      <c r="BV75" s="17">
        <f t="shared" si="1071"/>
        <v>0</v>
      </c>
      <c r="BW75" s="17">
        <f t="shared" si="1072"/>
        <v>0</v>
      </c>
      <c r="BX75" s="17">
        <f t="shared" si="1073"/>
        <v>0</v>
      </c>
      <c r="BY75" s="17">
        <f t="shared" si="1074"/>
        <v>0</v>
      </c>
      <c r="BZ75" s="17">
        <f t="shared" si="1075"/>
        <v>0</v>
      </c>
      <c r="CA75" s="17">
        <f t="shared" si="1076"/>
        <v>0</v>
      </c>
      <c r="CB75" s="54">
        <f t="shared" si="1077"/>
        <v>0</v>
      </c>
      <c r="CC75" s="58">
        <f t="shared" si="1078"/>
        <v>133</v>
      </c>
      <c r="CD75" s="58">
        <f t="shared" ca="1" si="1009"/>
        <v>10.23076923076923</v>
      </c>
      <c r="JJ75" s="4" t="s">
        <v>13</v>
      </c>
      <c r="JK75" s="152" t="str">
        <f t="shared" si="1010"/>
        <v>FSD01-PHR-MIO-05</v>
      </c>
      <c r="JL75" s="163">
        <v>1</v>
      </c>
      <c r="JM75" s="158">
        <v>0</v>
      </c>
      <c r="JN75" s="158">
        <v>1</v>
      </c>
      <c r="JO75" s="159">
        <v>0</v>
      </c>
      <c r="JP75" s="158">
        <v>0</v>
      </c>
      <c r="JQ75" s="158">
        <v>1</v>
      </c>
      <c r="JR75" s="158">
        <v>1</v>
      </c>
      <c r="JS75" s="158">
        <v>0</v>
      </c>
      <c r="JT75" s="158">
        <v>1</v>
      </c>
      <c r="JU75" s="158">
        <v>0</v>
      </c>
      <c r="JV75" s="158">
        <v>0</v>
      </c>
      <c r="JW75" s="159">
        <v>0</v>
      </c>
      <c r="JX75" s="159">
        <v>1</v>
      </c>
      <c r="JY75" s="159">
        <v>0</v>
      </c>
      <c r="JZ75" s="158"/>
      <c r="KA75" s="158"/>
      <c r="KB75" s="158"/>
      <c r="KC75" s="158"/>
      <c r="KD75" s="158"/>
      <c r="KE75" s="158"/>
      <c r="KF75" s="158"/>
      <c r="KG75" s="158"/>
      <c r="KH75" s="159"/>
      <c r="KI75" s="159"/>
      <c r="KJ75" s="158"/>
      <c r="KK75" s="158"/>
      <c r="KL75" s="158"/>
      <c r="KM75" s="158"/>
      <c r="KN75" s="158"/>
      <c r="KO75" s="158"/>
      <c r="KP75" s="164"/>
      <c r="KQ75" s="157">
        <v>15</v>
      </c>
      <c r="KR75" s="157">
        <v>13</v>
      </c>
      <c r="KS75" s="157">
        <v>13</v>
      </c>
      <c r="KT75" s="157">
        <v>0</v>
      </c>
      <c r="KU75" s="157">
        <v>16</v>
      </c>
      <c r="KV75" s="157">
        <v>12</v>
      </c>
      <c r="KW75" s="157">
        <v>14</v>
      </c>
      <c r="KX75" s="157">
        <v>12</v>
      </c>
      <c r="KY75" s="157">
        <v>0</v>
      </c>
      <c r="KZ75" s="157">
        <v>12</v>
      </c>
      <c r="LA75" s="157">
        <v>0</v>
      </c>
      <c r="LB75" s="157">
        <v>12</v>
      </c>
      <c r="LC75" s="157">
        <v>11</v>
      </c>
      <c r="LD75" s="157">
        <v>3</v>
      </c>
      <c r="LE75" s="157"/>
      <c r="LF75" s="157"/>
      <c r="LG75" s="157"/>
      <c r="LH75" s="157"/>
      <c r="LI75" s="157"/>
      <c r="LJ75" s="157"/>
      <c r="LK75" s="157"/>
      <c r="LL75" s="157"/>
      <c r="LM75" s="157"/>
      <c r="LN75" s="157"/>
      <c r="LO75" s="157"/>
      <c r="LP75" s="157"/>
      <c r="LQ75" s="157"/>
      <c r="LR75" s="157"/>
      <c r="LS75" s="157"/>
      <c r="LT75" s="5"/>
      <c r="LU75" s="8"/>
    </row>
    <row r="76" spans="1:333" ht="16.2" customHeight="1">
      <c r="A76" s="38" t="s">
        <v>16</v>
      </c>
      <c r="B76" s="25" t="s">
        <v>105</v>
      </c>
      <c r="C76" s="26" t="s">
        <v>390</v>
      </c>
      <c r="D76" s="25" t="s">
        <v>116</v>
      </c>
      <c r="E76" s="27" t="s">
        <v>117</v>
      </c>
      <c r="F76" s="25" t="s">
        <v>489</v>
      </c>
      <c r="G76" s="25" t="s">
        <v>436</v>
      </c>
      <c r="H76" s="28" t="s">
        <v>436</v>
      </c>
      <c r="I76" s="29" t="s">
        <v>106</v>
      </c>
      <c r="J76" s="30">
        <v>0</v>
      </c>
      <c r="K76" s="147">
        <v>0</v>
      </c>
      <c r="L76" s="147">
        <f t="shared" si="1011"/>
        <v>0</v>
      </c>
      <c r="M76" s="147">
        <f t="shared" si="1012"/>
        <v>0</v>
      </c>
      <c r="N76" s="147">
        <f t="shared" si="1013"/>
        <v>0</v>
      </c>
      <c r="O76" s="147">
        <f t="shared" si="1014"/>
        <v>0</v>
      </c>
      <c r="P76" s="148">
        <f t="shared" si="1015"/>
        <v>0</v>
      </c>
      <c r="Q76" s="50">
        <f t="shared" si="1016"/>
        <v>0</v>
      </c>
      <c r="R76" s="17">
        <f t="shared" si="1017"/>
        <v>0</v>
      </c>
      <c r="S76" s="17">
        <f t="shared" si="1018"/>
        <v>0</v>
      </c>
      <c r="T76" s="17">
        <f t="shared" si="1019"/>
        <v>0</v>
      </c>
      <c r="U76" s="17">
        <f t="shared" si="1020"/>
        <v>0</v>
      </c>
      <c r="V76" s="17">
        <f t="shared" si="1021"/>
        <v>0</v>
      </c>
      <c r="W76" s="17">
        <f t="shared" si="1022"/>
        <v>0</v>
      </c>
      <c r="X76" s="17">
        <f t="shared" si="1023"/>
        <v>0</v>
      </c>
      <c r="Y76" s="17">
        <f t="shared" si="1024"/>
        <v>0</v>
      </c>
      <c r="Z76" s="17">
        <f t="shared" si="1025"/>
        <v>0</v>
      </c>
      <c r="AA76" s="17">
        <f t="shared" si="1026"/>
        <v>0</v>
      </c>
      <c r="AB76" s="17">
        <f t="shared" si="1027"/>
        <v>0</v>
      </c>
      <c r="AC76" s="17">
        <f t="shared" si="1028"/>
        <v>0</v>
      </c>
      <c r="AD76" s="17">
        <f t="shared" si="1029"/>
        <v>0</v>
      </c>
      <c r="AE76" s="17">
        <f t="shared" si="1030"/>
        <v>0</v>
      </c>
      <c r="AF76" s="17">
        <f t="shared" si="1031"/>
        <v>0</v>
      </c>
      <c r="AG76" s="17">
        <f t="shared" si="1032"/>
        <v>0</v>
      </c>
      <c r="AH76" s="17">
        <f t="shared" si="1033"/>
        <v>0</v>
      </c>
      <c r="AI76" s="17">
        <f t="shared" si="1034"/>
        <v>0</v>
      </c>
      <c r="AJ76" s="17">
        <f t="shared" si="1035"/>
        <v>0</v>
      </c>
      <c r="AK76" s="17">
        <f t="shared" si="1036"/>
        <v>0</v>
      </c>
      <c r="AL76" s="17">
        <f t="shared" si="1037"/>
        <v>0</v>
      </c>
      <c r="AM76" s="17">
        <f t="shared" si="1038"/>
        <v>0</v>
      </c>
      <c r="AN76" s="17">
        <f t="shared" si="1039"/>
        <v>0</v>
      </c>
      <c r="AO76" s="17">
        <f t="shared" si="1040"/>
        <v>0</v>
      </c>
      <c r="AP76" s="17">
        <f t="shared" si="1041"/>
        <v>0</v>
      </c>
      <c r="AQ76" s="17">
        <f t="shared" si="1042"/>
        <v>0</v>
      </c>
      <c r="AR76" s="17">
        <f t="shared" si="1043"/>
        <v>0</v>
      </c>
      <c r="AS76" s="17">
        <f t="shared" si="1044"/>
        <v>0</v>
      </c>
      <c r="AT76" s="17">
        <f t="shared" si="1045"/>
        <v>0</v>
      </c>
      <c r="AU76" s="54">
        <f t="shared" si="1046"/>
        <v>0</v>
      </c>
      <c r="AV76" s="58">
        <f t="shared" si="1006"/>
        <v>0</v>
      </c>
      <c r="AW76" s="58">
        <f t="shared" ca="1" si="1007"/>
        <v>0</v>
      </c>
      <c r="AX76" s="50">
        <f t="shared" si="1047"/>
        <v>0</v>
      </c>
      <c r="AY76" s="17">
        <f t="shared" si="1048"/>
        <v>0</v>
      </c>
      <c r="AZ76" s="17">
        <f t="shared" si="1049"/>
        <v>0</v>
      </c>
      <c r="BA76" s="17">
        <f t="shared" si="1050"/>
        <v>0</v>
      </c>
      <c r="BB76" s="17">
        <f t="shared" si="1051"/>
        <v>0</v>
      </c>
      <c r="BC76" s="17">
        <f t="shared" si="1052"/>
        <v>0</v>
      </c>
      <c r="BD76" s="17">
        <f t="shared" si="1053"/>
        <v>0</v>
      </c>
      <c r="BE76" s="17">
        <f t="shared" si="1054"/>
        <v>0</v>
      </c>
      <c r="BF76" s="17">
        <f t="shared" si="1055"/>
        <v>0</v>
      </c>
      <c r="BG76" s="17">
        <f t="shared" si="1056"/>
        <v>0</v>
      </c>
      <c r="BH76" s="17">
        <f t="shared" si="1057"/>
        <v>0</v>
      </c>
      <c r="BI76" s="17">
        <f t="shared" si="1058"/>
        <v>0</v>
      </c>
      <c r="BJ76" s="17">
        <f t="shared" si="1059"/>
        <v>0</v>
      </c>
      <c r="BK76" s="17">
        <f t="shared" si="1060"/>
        <v>0</v>
      </c>
      <c r="BL76" s="17">
        <f t="shared" si="1061"/>
        <v>0</v>
      </c>
      <c r="BM76" s="17">
        <f t="shared" si="1062"/>
        <v>0</v>
      </c>
      <c r="BN76" s="17">
        <f t="shared" si="1063"/>
        <v>0</v>
      </c>
      <c r="BO76" s="17">
        <f t="shared" si="1064"/>
        <v>0</v>
      </c>
      <c r="BP76" s="17">
        <f t="shared" si="1065"/>
        <v>0</v>
      </c>
      <c r="BQ76" s="17">
        <f t="shared" si="1066"/>
        <v>0</v>
      </c>
      <c r="BR76" s="17">
        <f t="shared" si="1067"/>
        <v>0</v>
      </c>
      <c r="BS76" s="17">
        <f t="shared" si="1068"/>
        <v>0</v>
      </c>
      <c r="BT76" s="17">
        <f t="shared" si="1069"/>
        <v>0</v>
      </c>
      <c r="BU76" s="17">
        <f t="shared" si="1070"/>
        <v>0</v>
      </c>
      <c r="BV76" s="17">
        <f t="shared" si="1071"/>
        <v>0</v>
      </c>
      <c r="BW76" s="17">
        <f t="shared" si="1072"/>
        <v>0</v>
      </c>
      <c r="BX76" s="17">
        <f t="shared" si="1073"/>
        <v>0</v>
      </c>
      <c r="BY76" s="17">
        <f t="shared" si="1074"/>
        <v>0</v>
      </c>
      <c r="BZ76" s="17">
        <f t="shared" si="1075"/>
        <v>0</v>
      </c>
      <c r="CA76" s="17">
        <f t="shared" si="1076"/>
        <v>0</v>
      </c>
      <c r="CB76" s="54">
        <f t="shared" si="1077"/>
        <v>0</v>
      </c>
      <c r="CC76" s="58">
        <f t="shared" si="1078"/>
        <v>0</v>
      </c>
      <c r="CD76" s="58">
        <f t="shared" ca="1" si="1009"/>
        <v>0</v>
      </c>
      <c r="JJ76" s="4" t="s">
        <v>13</v>
      </c>
      <c r="JK76" s="152" t="str">
        <f t="shared" si="1010"/>
        <v>FSD01-PHR-MIO-00</v>
      </c>
      <c r="JL76" s="163">
        <v>0</v>
      </c>
      <c r="JM76" s="158">
        <v>0</v>
      </c>
      <c r="JN76" s="158">
        <v>0</v>
      </c>
      <c r="JO76" s="159">
        <v>0</v>
      </c>
      <c r="JP76" s="158">
        <v>0</v>
      </c>
      <c r="JQ76" s="158">
        <v>0</v>
      </c>
      <c r="JR76" s="158">
        <v>0</v>
      </c>
      <c r="JS76" s="158">
        <v>0</v>
      </c>
      <c r="JT76" s="158">
        <v>0</v>
      </c>
      <c r="JU76" s="158">
        <v>0</v>
      </c>
      <c r="JV76" s="158">
        <v>0</v>
      </c>
      <c r="JW76" s="159">
        <v>0</v>
      </c>
      <c r="JX76" s="159">
        <v>0</v>
      </c>
      <c r="JY76" s="159">
        <v>0</v>
      </c>
      <c r="JZ76" s="158"/>
      <c r="KA76" s="158"/>
      <c r="KB76" s="158"/>
      <c r="KC76" s="158"/>
      <c r="KD76" s="158"/>
      <c r="KE76" s="158"/>
      <c r="KF76" s="158"/>
      <c r="KG76" s="158"/>
      <c r="KH76" s="159"/>
      <c r="KI76" s="159"/>
      <c r="KJ76" s="158"/>
      <c r="KK76" s="158"/>
      <c r="KL76" s="158"/>
      <c r="KM76" s="158"/>
      <c r="KN76" s="158"/>
      <c r="KO76" s="158"/>
      <c r="KP76" s="164"/>
      <c r="KQ76" s="157">
        <v>0</v>
      </c>
      <c r="KR76" s="157">
        <v>0</v>
      </c>
      <c r="KS76" s="157">
        <v>0</v>
      </c>
      <c r="KT76" s="157">
        <v>0</v>
      </c>
      <c r="KU76" s="157">
        <v>0</v>
      </c>
      <c r="KV76" s="157">
        <v>0</v>
      </c>
      <c r="KW76" s="157">
        <v>0</v>
      </c>
      <c r="KX76" s="157">
        <v>0</v>
      </c>
      <c r="KY76" s="157">
        <v>0</v>
      </c>
      <c r="KZ76" s="157">
        <v>0</v>
      </c>
      <c r="LA76" s="157">
        <v>0</v>
      </c>
      <c r="LB76" s="157">
        <v>0</v>
      </c>
      <c r="LC76" s="157">
        <v>0</v>
      </c>
      <c r="LD76" s="157">
        <v>0</v>
      </c>
      <c r="LE76" s="157"/>
      <c r="LF76" s="157"/>
      <c r="LG76" s="157"/>
      <c r="LH76" s="157"/>
      <c r="LI76" s="157"/>
      <c r="LJ76" s="157"/>
      <c r="LK76" s="157"/>
      <c r="LL76" s="157"/>
      <c r="LM76" s="157"/>
      <c r="LN76" s="157"/>
      <c r="LO76" s="157"/>
      <c r="LP76" s="157"/>
      <c r="LQ76" s="157"/>
      <c r="LR76" s="157"/>
      <c r="LS76" s="157"/>
      <c r="LT76" s="5"/>
      <c r="LU76" s="8"/>
    </row>
    <row r="77" spans="1:333" ht="16.2" customHeight="1">
      <c r="A77" s="37" t="s">
        <v>19</v>
      </c>
      <c r="B77" s="18" t="s">
        <v>105</v>
      </c>
      <c r="C77" s="19" t="s">
        <v>390</v>
      </c>
      <c r="D77" s="20" t="s">
        <v>308</v>
      </c>
      <c r="E77" s="21" t="s">
        <v>119</v>
      </c>
      <c r="F77" s="18" t="s">
        <v>490</v>
      </c>
      <c r="G77" s="18" t="s">
        <v>118</v>
      </c>
      <c r="H77" s="22">
        <v>44320</v>
      </c>
      <c r="I77" s="20" t="s">
        <v>106</v>
      </c>
      <c r="J77" s="23">
        <v>6</v>
      </c>
      <c r="K77" s="97">
        <f t="shared" ref="K77:L77" si="1079">SUM(K70:K76)</f>
        <v>0</v>
      </c>
      <c r="L77" s="97">
        <f t="shared" si="1079"/>
        <v>5</v>
      </c>
      <c r="M77" s="97">
        <f t="shared" ref="M77" si="1080">SUM(M70:M76)</f>
        <v>6</v>
      </c>
      <c r="N77" s="97">
        <f t="shared" ref="N77" si="1081">SUM(N70:N76)</f>
        <v>5</v>
      </c>
      <c r="O77" s="97">
        <f t="shared" ref="O77" si="1082">SUM(O70:O76)</f>
        <v>6</v>
      </c>
      <c r="P77" s="47">
        <f t="shared" ref="P77:AU77" si="1083">SUM(P70:P76)</f>
        <v>6</v>
      </c>
      <c r="Q77" s="51">
        <f t="shared" si="1083"/>
        <v>5</v>
      </c>
      <c r="R77" s="24">
        <f t="shared" si="1083"/>
        <v>5</v>
      </c>
      <c r="S77" s="24">
        <f t="shared" si="1083"/>
        <v>6</v>
      </c>
      <c r="T77" s="24">
        <f t="shared" si="1083"/>
        <v>0</v>
      </c>
      <c r="U77" s="24">
        <f t="shared" si="1083"/>
        <v>5</v>
      </c>
      <c r="V77" s="24">
        <f t="shared" si="1083"/>
        <v>6</v>
      </c>
      <c r="W77" s="24">
        <f t="shared" si="1083"/>
        <v>6</v>
      </c>
      <c r="X77" s="24">
        <f t="shared" si="1083"/>
        <v>5</v>
      </c>
      <c r="Y77" s="24">
        <f t="shared" si="1083"/>
        <v>6</v>
      </c>
      <c r="Z77" s="24">
        <f t="shared" si="1083"/>
        <v>5</v>
      </c>
      <c r="AA77" s="24">
        <f t="shared" si="1083"/>
        <v>0</v>
      </c>
      <c r="AB77" s="24">
        <f t="shared" si="1083"/>
        <v>5</v>
      </c>
      <c r="AC77" s="24">
        <f t="shared" si="1083"/>
        <v>6</v>
      </c>
      <c r="AD77" s="24">
        <f t="shared" si="1083"/>
        <v>5</v>
      </c>
      <c r="AE77" s="24">
        <f t="shared" si="1083"/>
        <v>0</v>
      </c>
      <c r="AF77" s="24">
        <f t="shared" si="1083"/>
        <v>0</v>
      </c>
      <c r="AG77" s="24">
        <f t="shared" si="1083"/>
        <v>0</v>
      </c>
      <c r="AH77" s="24">
        <f t="shared" si="1083"/>
        <v>0</v>
      </c>
      <c r="AI77" s="24">
        <f t="shared" si="1083"/>
        <v>0</v>
      </c>
      <c r="AJ77" s="24">
        <f t="shared" si="1083"/>
        <v>0</v>
      </c>
      <c r="AK77" s="24">
        <f t="shared" si="1083"/>
        <v>0</v>
      </c>
      <c r="AL77" s="24">
        <f t="shared" si="1083"/>
        <v>0</v>
      </c>
      <c r="AM77" s="24">
        <f t="shared" si="1083"/>
        <v>0</v>
      </c>
      <c r="AN77" s="24">
        <f t="shared" si="1083"/>
        <v>0</v>
      </c>
      <c r="AO77" s="24">
        <f t="shared" si="1083"/>
        <v>0</v>
      </c>
      <c r="AP77" s="24">
        <f t="shared" si="1083"/>
        <v>0</v>
      </c>
      <c r="AQ77" s="24">
        <f t="shared" si="1083"/>
        <v>0</v>
      </c>
      <c r="AR77" s="24">
        <f t="shared" si="1083"/>
        <v>0</v>
      </c>
      <c r="AS77" s="24">
        <f t="shared" si="1083"/>
        <v>0</v>
      </c>
      <c r="AT77" s="24">
        <f t="shared" si="1083"/>
        <v>0</v>
      </c>
      <c r="AU77" s="55">
        <f t="shared" si="1083"/>
        <v>0</v>
      </c>
      <c r="AV77" s="59">
        <f t="shared" si="1006"/>
        <v>65</v>
      </c>
      <c r="AW77" s="59">
        <f t="shared" ca="1" si="1007"/>
        <v>0.83333333333333337</v>
      </c>
      <c r="AX77" s="51">
        <f t="shared" ref="AX77" si="1084">SUM(AX70:AX76)</f>
        <v>60</v>
      </c>
      <c r="AY77" s="24">
        <f t="shared" ref="AY77" si="1085">SUM(AY70:AY76)</f>
        <v>36</v>
      </c>
      <c r="AZ77" s="24">
        <f t="shared" ref="AZ77" si="1086">SUM(AZ70:AZ76)</f>
        <v>61</v>
      </c>
      <c r="BA77" s="24">
        <f t="shared" ref="BA77" si="1087">SUM(BA70:BA76)</f>
        <v>0</v>
      </c>
      <c r="BB77" s="24">
        <f t="shared" ref="BB77" si="1088">SUM(BB70:BB76)</f>
        <v>73</v>
      </c>
      <c r="BC77" s="24">
        <f t="shared" ref="BC77" si="1089">SUM(BC70:BC76)</f>
        <v>59</v>
      </c>
      <c r="BD77" s="24">
        <f t="shared" ref="BD77" si="1090">SUM(BD70:BD76)</f>
        <v>61</v>
      </c>
      <c r="BE77" s="24">
        <f t="shared" ref="BE77" si="1091">SUM(BE70:BE76)</f>
        <v>60</v>
      </c>
      <c r="BF77" s="24">
        <f t="shared" ref="BF77" si="1092">SUM(BF70:BF76)</f>
        <v>1</v>
      </c>
      <c r="BG77" s="24">
        <f t="shared" ref="BG77" si="1093">SUM(BG70:BG76)</f>
        <v>56</v>
      </c>
      <c r="BH77" s="24">
        <f t="shared" ref="BH77" si="1094">SUM(BH70:BH76)</f>
        <v>0</v>
      </c>
      <c r="BI77" s="24">
        <f t="shared" ref="BI77" si="1095">SUM(BI70:BI76)</f>
        <v>63</v>
      </c>
      <c r="BJ77" s="24">
        <f t="shared" ref="BJ77" si="1096">SUM(BJ70:BJ76)</f>
        <v>56</v>
      </c>
      <c r="BK77" s="24">
        <f t="shared" ref="BK77" si="1097">SUM(BK70:BK76)</f>
        <v>9</v>
      </c>
      <c r="BL77" s="24">
        <f t="shared" ref="BL77" si="1098">SUM(BL70:BL76)</f>
        <v>0</v>
      </c>
      <c r="BM77" s="24">
        <f t="shared" ref="BM77" si="1099">SUM(BM70:BM76)</f>
        <v>0</v>
      </c>
      <c r="BN77" s="24">
        <f t="shared" ref="BN77" si="1100">SUM(BN70:BN76)</f>
        <v>0</v>
      </c>
      <c r="BO77" s="24">
        <f t="shared" ref="BO77" si="1101">SUM(BO70:BO76)</f>
        <v>0</v>
      </c>
      <c r="BP77" s="24">
        <f t="shared" ref="BP77" si="1102">SUM(BP70:BP76)</f>
        <v>0</v>
      </c>
      <c r="BQ77" s="24">
        <f t="shared" ref="BQ77" si="1103">SUM(BQ70:BQ76)</f>
        <v>0</v>
      </c>
      <c r="BR77" s="24">
        <f t="shared" ref="BR77" si="1104">SUM(BR70:BR76)</f>
        <v>0</v>
      </c>
      <c r="BS77" s="24">
        <f t="shared" ref="BS77" si="1105">SUM(BS70:BS76)</f>
        <v>0</v>
      </c>
      <c r="BT77" s="24">
        <f t="shared" ref="BT77" si="1106">SUM(BT70:BT76)</f>
        <v>0</v>
      </c>
      <c r="BU77" s="24">
        <f t="shared" ref="BU77" si="1107">SUM(BU70:BU76)</f>
        <v>0</v>
      </c>
      <c r="BV77" s="24">
        <f t="shared" ref="BV77" si="1108">SUM(BV70:BV76)</f>
        <v>0</v>
      </c>
      <c r="BW77" s="24">
        <f t="shared" ref="BW77" si="1109">SUM(BW70:BW76)</f>
        <v>0</v>
      </c>
      <c r="BX77" s="24">
        <f t="shared" ref="BX77" si="1110">SUM(BX70:BX76)</f>
        <v>0</v>
      </c>
      <c r="BY77" s="24">
        <f t="shared" ref="BY77" si="1111">SUM(BY70:BY76)</f>
        <v>0</v>
      </c>
      <c r="BZ77" s="24">
        <f t="shared" ref="BZ77" si="1112">SUM(BZ70:BZ76)</f>
        <v>0</v>
      </c>
      <c r="CA77" s="24">
        <f t="shared" ref="CA77" si="1113">SUM(CA70:CA76)</f>
        <v>0</v>
      </c>
      <c r="CB77" s="55">
        <f t="shared" ref="CB77" si="1114">SUM(CB70:CB76)</f>
        <v>0</v>
      </c>
      <c r="CC77" s="59">
        <f t="shared" ref="CC77:CC109" si="1115">SUM(AX77:CB77)</f>
        <v>595</v>
      </c>
      <c r="CD77" s="59">
        <f t="shared" ca="1" si="1009"/>
        <v>7.6282051282051277</v>
      </c>
      <c r="JJ77" s="4" t="s">
        <v>13</v>
      </c>
      <c r="JK77" s="153" t="str">
        <f t="shared" si="1010"/>
        <v>FSD01-PHR-ASM-01</v>
      </c>
      <c r="JL77" s="163">
        <v>0</v>
      </c>
      <c r="JM77" s="158">
        <v>0</v>
      </c>
      <c r="JN77" s="158">
        <v>0</v>
      </c>
      <c r="JO77" s="159">
        <v>0</v>
      </c>
      <c r="JP77" s="158">
        <v>0</v>
      </c>
      <c r="JQ77" s="158">
        <v>0</v>
      </c>
      <c r="JR77" s="158">
        <v>0</v>
      </c>
      <c r="JS77" s="158">
        <v>0</v>
      </c>
      <c r="JT77" s="158">
        <v>0</v>
      </c>
      <c r="JU77" s="158">
        <v>0</v>
      </c>
      <c r="JV77" s="158">
        <v>0</v>
      </c>
      <c r="JW77" s="159">
        <v>0</v>
      </c>
      <c r="JX77" s="159">
        <v>0</v>
      </c>
      <c r="JY77" s="159">
        <v>0</v>
      </c>
      <c r="JZ77" s="158"/>
      <c r="KA77" s="158"/>
      <c r="KB77" s="158"/>
      <c r="KC77" s="158"/>
      <c r="KD77" s="158"/>
      <c r="KE77" s="158"/>
      <c r="KF77" s="158"/>
      <c r="KG77" s="158"/>
      <c r="KH77" s="159"/>
      <c r="KI77" s="159"/>
      <c r="KJ77" s="158"/>
      <c r="KK77" s="158"/>
      <c r="KL77" s="158"/>
      <c r="KM77" s="158"/>
      <c r="KN77" s="158"/>
      <c r="KO77" s="158"/>
      <c r="KP77" s="164"/>
      <c r="KQ77" s="157">
        <v>0</v>
      </c>
      <c r="KR77" s="157">
        <v>0</v>
      </c>
      <c r="KS77" s="157">
        <v>0</v>
      </c>
      <c r="KT77" s="157">
        <v>0</v>
      </c>
      <c r="KU77" s="157">
        <v>0</v>
      </c>
      <c r="KV77" s="157">
        <v>0</v>
      </c>
      <c r="KW77" s="157">
        <v>0</v>
      </c>
      <c r="KX77" s="157">
        <v>0</v>
      </c>
      <c r="KY77" s="157">
        <v>0</v>
      </c>
      <c r="KZ77" s="157">
        <v>0</v>
      </c>
      <c r="LA77" s="157">
        <v>0</v>
      </c>
      <c r="LB77" s="157">
        <v>0</v>
      </c>
      <c r="LC77" s="157">
        <v>0</v>
      </c>
      <c r="LD77" s="157">
        <v>0</v>
      </c>
      <c r="LE77" s="157"/>
      <c r="LF77" s="157"/>
      <c r="LG77" s="157"/>
      <c r="LH77" s="157"/>
      <c r="LI77" s="157"/>
      <c r="LJ77" s="157"/>
      <c r="LK77" s="157"/>
      <c r="LL77" s="157"/>
      <c r="LM77" s="157"/>
      <c r="LN77" s="157"/>
      <c r="LO77" s="157"/>
      <c r="LP77" s="157"/>
      <c r="LQ77" s="157"/>
      <c r="LR77" s="157"/>
      <c r="LS77" s="157"/>
      <c r="LT77" s="5"/>
      <c r="LU77" s="8"/>
    </row>
    <row r="78" spans="1:333" ht="16.2" customHeight="1">
      <c r="A78" s="38" t="s">
        <v>9</v>
      </c>
      <c r="B78" s="25" t="s">
        <v>105</v>
      </c>
      <c r="C78" s="26" t="s">
        <v>324</v>
      </c>
      <c r="D78" s="25" t="s">
        <v>309</v>
      </c>
      <c r="E78" s="27" t="s">
        <v>121</v>
      </c>
      <c r="F78" s="25" t="s">
        <v>491</v>
      </c>
      <c r="G78" s="25"/>
      <c r="H78" s="28">
        <v>46184</v>
      </c>
      <c r="I78" s="29" t="s">
        <v>310</v>
      </c>
      <c r="J78" s="30">
        <v>1</v>
      </c>
      <c r="K78" s="147">
        <v>0</v>
      </c>
      <c r="L78" s="147">
        <f t="shared" ref="L78:L84" si="1116">IFERROR(IF(OR(AD78&gt;0),1,0),0)</f>
        <v>1</v>
      </c>
      <c r="M78" s="147">
        <f t="shared" ref="M78:M84" si="1117">IFERROR(IF(OR(AV78&gt;0),1,0),0)</f>
        <v>1</v>
      </c>
      <c r="N78" s="147">
        <f t="shared" ref="N78:N84" si="1118">IFERROR(IF(OR(BK78&gt;0),1,0),0)</f>
        <v>1</v>
      </c>
      <c r="O78" s="147">
        <f t="shared" ref="O78:O84" si="1119">IFERROR(IF(OR(CC78&gt;0),1,0),0)</f>
        <v>1</v>
      </c>
      <c r="P78" s="148">
        <f t="shared" ref="P78:P84" si="1120">IFERROR(IF(OR(AV78&gt;0,CC78&gt;0),1,0),0)</f>
        <v>1</v>
      </c>
      <c r="Q78" s="50">
        <f t="shared" ref="Q78:Q84" si="1121">JL78</f>
        <v>1</v>
      </c>
      <c r="R78" s="17">
        <f t="shared" ref="R78:R84" si="1122">JM78</f>
        <v>1</v>
      </c>
      <c r="S78" s="17">
        <f t="shared" ref="S78:S84" si="1123">JN78</f>
        <v>1</v>
      </c>
      <c r="T78" s="17">
        <f t="shared" ref="T78:T84" si="1124">JO78</f>
        <v>0</v>
      </c>
      <c r="U78" s="17">
        <f t="shared" ref="U78:U84" si="1125">JP78</f>
        <v>1</v>
      </c>
      <c r="V78" s="17">
        <f t="shared" ref="V78:V84" si="1126">JQ78</f>
        <v>1</v>
      </c>
      <c r="W78" s="17">
        <f t="shared" ref="W78:W84" si="1127">JR78</f>
        <v>1</v>
      </c>
      <c r="X78" s="17">
        <f t="shared" ref="X78:X84" si="1128">JS78</f>
        <v>1</v>
      </c>
      <c r="Y78" s="17">
        <f t="shared" ref="Y78:Y84" si="1129">JT78</f>
        <v>1</v>
      </c>
      <c r="Z78" s="17">
        <f t="shared" ref="Z78:Z84" si="1130">JU78</f>
        <v>1</v>
      </c>
      <c r="AA78" s="17">
        <f t="shared" ref="AA78:AA84" si="1131">JV78</f>
        <v>0</v>
      </c>
      <c r="AB78" s="17">
        <f t="shared" ref="AB78:AB84" si="1132">JW78</f>
        <v>1</v>
      </c>
      <c r="AC78" s="17">
        <f t="shared" ref="AC78:AC84" si="1133">JX78</f>
        <v>1</v>
      </c>
      <c r="AD78" s="17">
        <f t="shared" ref="AD78:AD84" si="1134">JY78</f>
        <v>1</v>
      </c>
      <c r="AE78" s="17">
        <f t="shared" ref="AE78:AE84" si="1135">JZ78</f>
        <v>0</v>
      </c>
      <c r="AF78" s="17">
        <f t="shared" ref="AF78:AF84" si="1136">KA78</f>
        <v>0</v>
      </c>
      <c r="AG78" s="17">
        <f t="shared" ref="AG78:AG84" si="1137">KB78</f>
        <v>0</v>
      </c>
      <c r="AH78" s="17">
        <f t="shared" ref="AH78:AH84" si="1138">KC78</f>
        <v>0</v>
      </c>
      <c r="AI78" s="17">
        <f t="shared" ref="AI78:AI84" si="1139">KD78</f>
        <v>0</v>
      </c>
      <c r="AJ78" s="17">
        <f t="shared" ref="AJ78:AJ84" si="1140">KE78</f>
        <v>0</v>
      </c>
      <c r="AK78" s="17">
        <f t="shared" ref="AK78:AK84" si="1141">KF78</f>
        <v>0</v>
      </c>
      <c r="AL78" s="17">
        <f t="shared" ref="AL78:AL84" si="1142">KG78</f>
        <v>0</v>
      </c>
      <c r="AM78" s="17">
        <f t="shared" ref="AM78:AM84" si="1143">KH78</f>
        <v>0</v>
      </c>
      <c r="AN78" s="17">
        <f t="shared" ref="AN78:AN84" si="1144">KI78</f>
        <v>0</v>
      </c>
      <c r="AO78" s="17">
        <f t="shared" ref="AO78:AO84" si="1145">KJ78</f>
        <v>0</v>
      </c>
      <c r="AP78" s="17">
        <f t="shared" ref="AP78:AP84" si="1146">KK78</f>
        <v>0</v>
      </c>
      <c r="AQ78" s="17">
        <f t="shared" ref="AQ78:AQ84" si="1147">KL78</f>
        <v>0</v>
      </c>
      <c r="AR78" s="17">
        <f t="shared" ref="AR78:AR84" si="1148">KM78</f>
        <v>0</v>
      </c>
      <c r="AS78" s="17">
        <f t="shared" ref="AS78:AS84" si="1149">KN78</f>
        <v>0</v>
      </c>
      <c r="AT78" s="17">
        <f t="shared" ref="AT78:AT84" si="1150">KO78</f>
        <v>0</v>
      </c>
      <c r="AU78" s="54">
        <f t="shared" ref="AU78:AU84" si="1151">KP78</f>
        <v>0</v>
      </c>
      <c r="AV78" s="58">
        <f t="shared" si="1006"/>
        <v>12</v>
      </c>
      <c r="AW78" s="58">
        <f t="shared" ca="1" si="1007"/>
        <v>0.92307692307692313</v>
      </c>
      <c r="AX78" s="50">
        <f t="shared" ref="AX78:AX84" si="1152">KQ78</f>
        <v>10</v>
      </c>
      <c r="AY78" s="17">
        <f t="shared" ref="AY78:AY84" si="1153">KR78</f>
        <v>5</v>
      </c>
      <c r="AZ78" s="17">
        <f t="shared" ref="AZ78:AZ84" si="1154">KS78</f>
        <v>3</v>
      </c>
      <c r="BA78" s="17">
        <f t="shared" ref="BA78:BA84" si="1155">KT78</f>
        <v>0</v>
      </c>
      <c r="BB78" s="17">
        <f t="shared" ref="BB78:BB84" si="1156">KU78</f>
        <v>13</v>
      </c>
      <c r="BC78" s="17">
        <f t="shared" ref="BC78:BC84" si="1157">KV78</f>
        <v>9</v>
      </c>
      <c r="BD78" s="17">
        <f t="shared" ref="BD78:BD84" si="1158">KW78</f>
        <v>7</v>
      </c>
      <c r="BE78" s="17">
        <f t="shared" ref="BE78:BE84" si="1159">KX78</f>
        <v>8</v>
      </c>
      <c r="BF78" s="17">
        <f t="shared" ref="BF78:BF84" si="1160">KY78</f>
        <v>8</v>
      </c>
      <c r="BG78" s="17">
        <f t="shared" ref="BG78:BG84" si="1161">KZ78</f>
        <v>7</v>
      </c>
      <c r="BH78" s="17">
        <f t="shared" ref="BH78:BH84" si="1162">LA78</f>
        <v>0</v>
      </c>
      <c r="BI78" s="17">
        <f t="shared" ref="BI78:BI84" si="1163">LB78</f>
        <v>6</v>
      </c>
      <c r="BJ78" s="17">
        <f t="shared" ref="BJ78:BJ84" si="1164">LC78</f>
        <v>9</v>
      </c>
      <c r="BK78" s="17">
        <f t="shared" ref="BK78:BK84" si="1165">LD78</f>
        <v>2</v>
      </c>
      <c r="BL78" s="17">
        <f t="shared" ref="BL78:BL84" si="1166">LE78</f>
        <v>0</v>
      </c>
      <c r="BM78" s="17">
        <f t="shared" ref="BM78:BM84" si="1167">LF78</f>
        <v>0</v>
      </c>
      <c r="BN78" s="17">
        <f t="shared" ref="BN78:BN84" si="1168">LG78</f>
        <v>0</v>
      </c>
      <c r="BO78" s="17">
        <f t="shared" ref="BO78:BO84" si="1169">LH78</f>
        <v>0</v>
      </c>
      <c r="BP78" s="17">
        <f t="shared" ref="BP78:BP84" si="1170">LI78</f>
        <v>0</v>
      </c>
      <c r="BQ78" s="17">
        <f t="shared" ref="BQ78:BQ84" si="1171">LJ78</f>
        <v>0</v>
      </c>
      <c r="BR78" s="17">
        <f t="shared" ref="BR78:BR84" si="1172">LK78</f>
        <v>0</v>
      </c>
      <c r="BS78" s="17">
        <f t="shared" ref="BS78:BS84" si="1173">LL78</f>
        <v>0</v>
      </c>
      <c r="BT78" s="17">
        <f t="shared" ref="BT78:BT84" si="1174">LM78</f>
        <v>0</v>
      </c>
      <c r="BU78" s="17">
        <f t="shared" ref="BU78:BU84" si="1175">LN78</f>
        <v>0</v>
      </c>
      <c r="BV78" s="17">
        <f t="shared" ref="BV78:BV84" si="1176">LO78</f>
        <v>0</v>
      </c>
      <c r="BW78" s="17">
        <f t="shared" ref="BW78:BW84" si="1177">LP78</f>
        <v>0</v>
      </c>
      <c r="BX78" s="17">
        <f t="shared" ref="BX78:BX84" si="1178">LQ78</f>
        <v>0</v>
      </c>
      <c r="BY78" s="17">
        <f t="shared" ref="BY78:BY84" si="1179">LR78</f>
        <v>0</v>
      </c>
      <c r="BZ78" s="17">
        <f t="shared" ref="BZ78:BZ84" si="1180">LS78</f>
        <v>0</v>
      </c>
      <c r="CA78" s="17">
        <f t="shared" ref="CA78:CA84" si="1181">LT78</f>
        <v>0</v>
      </c>
      <c r="CB78" s="54">
        <f t="shared" ref="CB78:CB84" si="1182">LU78</f>
        <v>0</v>
      </c>
      <c r="CC78" s="58">
        <f t="shared" si="1115"/>
        <v>87</v>
      </c>
      <c r="CD78" s="58">
        <f t="shared" ca="1" si="1009"/>
        <v>6.6923076923076925</v>
      </c>
      <c r="JJ78" s="4" t="s">
        <v>13</v>
      </c>
      <c r="JK78" s="152" t="str">
        <f t="shared" si="1010"/>
        <v>SGD01-PHR-MIO-01</v>
      </c>
      <c r="JL78" s="163">
        <v>1</v>
      </c>
      <c r="JM78" s="158">
        <v>1</v>
      </c>
      <c r="JN78" s="158">
        <v>1</v>
      </c>
      <c r="JO78" s="159">
        <v>0</v>
      </c>
      <c r="JP78" s="158">
        <v>1</v>
      </c>
      <c r="JQ78" s="158">
        <v>1</v>
      </c>
      <c r="JR78" s="158">
        <v>1</v>
      </c>
      <c r="JS78" s="158">
        <v>1</v>
      </c>
      <c r="JT78" s="158">
        <v>1</v>
      </c>
      <c r="JU78" s="158">
        <v>1</v>
      </c>
      <c r="JV78" s="158">
        <v>0</v>
      </c>
      <c r="JW78" s="159">
        <v>1</v>
      </c>
      <c r="JX78" s="159">
        <v>1</v>
      </c>
      <c r="JY78" s="159">
        <v>1</v>
      </c>
      <c r="JZ78" s="158"/>
      <c r="KA78" s="158"/>
      <c r="KB78" s="158"/>
      <c r="KC78" s="158"/>
      <c r="KD78" s="158"/>
      <c r="KE78" s="158"/>
      <c r="KF78" s="158"/>
      <c r="KG78" s="158"/>
      <c r="KH78" s="159"/>
      <c r="KI78" s="159"/>
      <c r="KJ78" s="158"/>
      <c r="KK78" s="158"/>
      <c r="KL78" s="158"/>
      <c r="KM78" s="158"/>
      <c r="KN78" s="158"/>
      <c r="KO78" s="158"/>
      <c r="KP78" s="164"/>
      <c r="KQ78" s="157">
        <v>10</v>
      </c>
      <c r="KR78" s="157">
        <v>5</v>
      </c>
      <c r="KS78" s="157">
        <v>3</v>
      </c>
      <c r="KT78" s="157">
        <v>0</v>
      </c>
      <c r="KU78" s="157">
        <v>13</v>
      </c>
      <c r="KV78" s="157">
        <v>9</v>
      </c>
      <c r="KW78" s="157">
        <v>7</v>
      </c>
      <c r="KX78" s="157">
        <v>8</v>
      </c>
      <c r="KY78" s="157">
        <v>8</v>
      </c>
      <c r="KZ78" s="157">
        <v>7</v>
      </c>
      <c r="LA78" s="157">
        <v>0</v>
      </c>
      <c r="LB78" s="157">
        <v>6</v>
      </c>
      <c r="LC78" s="157">
        <v>9</v>
      </c>
      <c r="LD78" s="157">
        <v>2</v>
      </c>
      <c r="LE78" s="157"/>
      <c r="LF78" s="157"/>
      <c r="LG78" s="157"/>
      <c r="LH78" s="157"/>
      <c r="LI78" s="157"/>
      <c r="LJ78" s="157"/>
      <c r="LK78" s="157"/>
      <c r="LL78" s="157"/>
      <c r="LM78" s="157"/>
      <c r="LN78" s="157"/>
      <c r="LO78" s="157"/>
      <c r="LP78" s="157"/>
      <c r="LQ78" s="157"/>
      <c r="LR78" s="157"/>
      <c r="LS78" s="157"/>
      <c r="LT78" s="5"/>
      <c r="LU78" s="8"/>
    </row>
    <row r="79" spans="1:333" ht="16.2" customHeight="1">
      <c r="A79" s="38" t="s">
        <v>9</v>
      </c>
      <c r="B79" s="25" t="s">
        <v>105</v>
      </c>
      <c r="C79" s="26" t="s">
        <v>324</v>
      </c>
      <c r="D79" s="25" t="s">
        <v>311</v>
      </c>
      <c r="E79" s="27" t="s">
        <v>122</v>
      </c>
      <c r="F79" s="25" t="s">
        <v>492</v>
      </c>
      <c r="G79" s="25" t="s">
        <v>312</v>
      </c>
      <c r="H79" s="28">
        <v>45397</v>
      </c>
      <c r="I79" s="29" t="s">
        <v>313</v>
      </c>
      <c r="J79" s="30">
        <v>1</v>
      </c>
      <c r="K79" s="147">
        <v>0</v>
      </c>
      <c r="L79" s="147">
        <f t="shared" si="1116"/>
        <v>1</v>
      </c>
      <c r="M79" s="147">
        <f t="shared" si="1117"/>
        <v>1</v>
      </c>
      <c r="N79" s="147">
        <f t="shared" si="1118"/>
        <v>0</v>
      </c>
      <c r="O79" s="147">
        <f t="shared" si="1119"/>
        <v>1</v>
      </c>
      <c r="P79" s="148">
        <f t="shared" si="1120"/>
        <v>1</v>
      </c>
      <c r="Q79" s="50">
        <f t="shared" si="1121"/>
        <v>1</v>
      </c>
      <c r="R79" s="17">
        <f t="shared" si="1122"/>
        <v>1</v>
      </c>
      <c r="S79" s="17">
        <f t="shared" si="1123"/>
        <v>0</v>
      </c>
      <c r="T79" s="17">
        <f t="shared" si="1124"/>
        <v>0</v>
      </c>
      <c r="U79" s="17">
        <f t="shared" si="1125"/>
        <v>1</v>
      </c>
      <c r="V79" s="17">
        <f t="shared" si="1126"/>
        <v>1</v>
      </c>
      <c r="W79" s="17">
        <f t="shared" si="1127"/>
        <v>1</v>
      </c>
      <c r="X79" s="17">
        <f t="shared" si="1128"/>
        <v>1</v>
      </c>
      <c r="Y79" s="17">
        <f t="shared" si="1129"/>
        <v>1</v>
      </c>
      <c r="Z79" s="17">
        <f t="shared" si="1130"/>
        <v>1</v>
      </c>
      <c r="AA79" s="17">
        <f t="shared" si="1131"/>
        <v>0</v>
      </c>
      <c r="AB79" s="17">
        <f t="shared" si="1132"/>
        <v>0</v>
      </c>
      <c r="AC79" s="17">
        <f t="shared" si="1133"/>
        <v>1</v>
      </c>
      <c r="AD79" s="17">
        <f t="shared" si="1134"/>
        <v>1</v>
      </c>
      <c r="AE79" s="17">
        <f t="shared" si="1135"/>
        <v>0</v>
      </c>
      <c r="AF79" s="17">
        <f t="shared" si="1136"/>
        <v>0</v>
      </c>
      <c r="AG79" s="17">
        <f t="shared" si="1137"/>
        <v>0</v>
      </c>
      <c r="AH79" s="17">
        <f t="shared" si="1138"/>
        <v>0</v>
      </c>
      <c r="AI79" s="17">
        <f t="shared" si="1139"/>
        <v>0</v>
      </c>
      <c r="AJ79" s="17">
        <f t="shared" si="1140"/>
        <v>0</v>
      </c>
      <c r="AK79" s="17">
        <f t="shared" si="1141"/>
        <v>0</v>
      </c>
      <c r="AL79" s="17">
        <f t="shared" si="1142"/>
        <v>0</v>
      </c>
      <c r="AM79" s="17">
        <f t="shared" si="1143"/>
        <v>0</v>
      </c>
      <c r="AN79" s="17">
        <f t="shared" si="1144"/>
        <v>0</v>
      </c>
      <c r="AO79" s="17">
        <f t="shared" si="1145"/>
        <v>0</v>
      </c>
      <c r="AP79" s="17">
        <f t="shared" si="1146"/>
        <v>0</v>
      </c>
      <c r="AQ79" s="17">
        <f t="shared" si="1147"/>
        <v>0</v>
      </c>
      <c r="AR79" s="17">
        <f t="shared" si="1148"/>
        <v>0</v>
      </c>
      <c r="AS79" s="17">
        <f t="shared" si="1149"/>
        <v>0</v>
      </c>
      <c r="AT79" s="17">
        <f t="shared" si="1150"/>
        <v>0</v>
      </c>
      <c r="AU79" s="54">
        <f t="shared" si="1151"/>
        <v>0</v>
      </c>
      <c r="AV79" s="58">
        <f t="shared" si="1006"/>
        <v>10</v>
      </c>
      <c r="AW79" s="58">
        <f t="shared" ca="1" si="1007"/>
        <v>0.76923076923076927</v>
      </c>
      <c r="AX79" s="50">
        <f t="shared" si="1152"/>
        <v>8</v>
      </c>
      <c r="AY79" s="17">
        <f t="shared" si="1153"/>
        <v>8</v>
      </c>
      <c r="AZ79" s="17">
        <f t="shared" si="1154"/>
        <v>7</v>
      </c>
      <c r="BA79" s="17">
        <f t="shared" si="1155"/>
        <v>0</v>
      </c>
      <c r="BB79" s="17">
        <f t="shared" si="1156"/>
        <v>10</v>
      </c>
      <c r="BC79" s="17">
        <f t="shared" si="1157"/>
        <v>6</v>
      </c>
      <c r="BD79" s="17">
        <f t="shared" si="1158"/>
        <v>8</v>
      </c>
      <c r="BE79" s="17">
        <f t="shared" si="1159"/>
        <v>9</v>
      </c>
      <c r="BF79" s="17">
        <f t="shared" si="1160"/>
        <v>8</v>
      </c>
      <c r="BG79" s="17">
        <f t="shared" si="1161"/>
        <v>9</v>
      </c>
      <c r="BH79" s="17">
        <f t="shared" si="1162"/>
        <v>0</v>
      </c>
      <c r="BI79" s="17">
        <f t="shared" si="1163"/>
        <v>10</v>
      </c>
      <c r="BJ79" s="17">
        <f t="shared" si="1164"/>
        <v>11</v>
      </c>
      <c r="BK79" s="17">
        <f t="shared" si="1165"/>
        <v>0</v>
      </c>
      <c r="BL79" s="17">
        <f t="shared" si="1166"/>
        <v>0</v>
      </c>
      <c r="BM79" s="17">
        <f t="shared" si="1167"/>
        <v>0</v>
      </c>
      <c r="BN79" s="17">
        <f t="shared" si="1168"/>
        <v>0</v>
      </c>
      <c r="BO79" s="17">
        <f t="shared" si="1169"/>
        <v>0</v>
      </c>
      <c r="BP79" s="17">
        <f t="shared" si="1170"/>
        <v>0</v>
      </c>
      <c r="BQ79" s="17">
        <f t="shared" si="1171"/>
        <v>0</v>
      </c>
      <c r="BR79" s="17">
        <f t="shared" si="1172"/>
        <v>0</v>
      </c>
      <c r="BS79" s="17">
        <f t="shared" si="1173"/>
        <v>0</v>
      </c>
      <c r="BT79" s="17">
        <f t="shared" si="1174"/>
        <v>0</v>
      </c>
      <c r="BU79" s="17">
        <f t="shared" si="1175"/>
        <v>0</v>
      </c>
      <c r="BV79" s="17">
        <f t="shared" si="1176"/>
        <v>0</v>
      </c>
      <c r="BW79" s="17">
        <f t="shared" si="1177"/>
        <v>0</v>
      </c>
      <c r="BX79" s="17">
        <f t="shared" si="1178"/>
        <v>0</v>
      </c>
      <c r="BY79" s="17">
        <f t="shared" si="1179"/>
        <v>0</v>
      </c>
      <c r="BZ79" s="17">
        <f t="shared" si="1180"/>
        <v>0</v>
      </c>
      <c r="CA79" s="17">
        <f t="shared" si="1181"/>
        <v>0</v>
      </c>
      <c r="CB79" s="54">
        <f t="shared" si="1182"/>
        <v>0</v>
      </c>
      <c r="CC79" s="58">
        <f t="shared" si="1115"/>
        <v>94</v>
      </c>
      <c r="CD79" s="58">
        <f t="shared" ca="1" si="1009"/>
        <v>7.2307692307692308</v>
      </c>
      <c r="JJ79" s="4" t="s">
        <v>13</v>
      </c>
      <c r="JK79" s="152" t="str">
        <f t="shared" si="1010"/>
        <v>SGD01-PHR-MIO-02</v>
      </c>
      <c r="JL79" s="163">
        <v>1</v>
      </c>
      <c r="JM79" s="158">
        <v>1</v>
      </c>
      <c r="JN79" s="158">
        <v>0</v>
      </c>
      <c r="JO79" s="159">
        <v>0</v>
      </c>
      <c r="JP79" s="158">
        <v>1</v>
      </c>
      <c r="JQ79" s="158">
        <v>1</v>
      </c>
      <c r="JR79" s="158">
        <v>1</v>
      </c>
      <c r="JS79" s="158">
        <v>1</v>
      </c>
      <c r="JT79" s="158">
        <v>1</v>
      </c>
      <c r="JU79" s="158">
        <v>1</v>
      </c>
      <c r="JV79" s="158">
        <v>0</v>
      </c>
      <c r="JW79" s="159">
        <v>0</v>
      </c>
      <c r="JX79" s="159">
        <v>1</v>
      </c>
      <c r="JY79" s="159">
        <v>1</v>
      </c>
      <c r="JZ79" s="158"/>
      <c r="KA79" s="158"/>
      <c r="KB79" s="158"/>
      <c r="KC79" s="158"/>
      <c r="KD79" s="158"/>
      <c r="KE79" s="158"/>
      <c r="KF79" s="158"/>
      <c r="KG79" s="158"/>
      <c r="KH79" s="159"/>
      <c r="KI79" s="159"/>
      <c r="KJ79" s="158"/>
      <c r="KK79" s="158"/>
      <c r="KL79" s="158"/>
      <c r="KM79" s="158"/>
      <c r="KN79" s="158"/>
      <c r="KO79" s="158"/>
      <c r="KP79" s="164"/>
      <c r="KQ79" s="157">
        <v>8</v>
      </c>
      <c r="KR79" s="157">
        <v>8</v>
      </c>
      <c r="KS79" s="157">
        <v>7</v>
      </c>
      <c r="KT79" s="157">
        <v>0</v>
      </c>
      <c r="KU79" s="157">
        <v>10</v>
      </c>
      <c r="KV79" s="157">
        <v>6</v>
      </c>
      <c r="KW79" s="157">
        <v>8</v>
      </c>
      <c r="KX79" s="157">
        <v>9</v>
      </c>
      <c r="KY79" s="157">
        <v>8</v>
      </c>
      <c r="KZ79" s="157">
        <v>9</v>
      </c>
      <c r="LA79" s="157">
        <v>0</v>
      </c>
      <c r="LB79" s="157">
        <v>10</v>
      </c>
      <c r="LC79" s="157">
        <v>11</v>
      </c>
      <c r="LD79" s="157">
        <v>0</v>
      </c>
      <c r="LE79" s="157"/>
      <c r="LF79" s="157"/>
      <c r="LG79" s="157"/>
      <c r="LH79" s="157"/>
      <c r="LI79" s="157"/>
      <c r="LJ79" s="157"/>
      <c r="LK79" s="157"/>
      <c r="LL79" s="157"/>
      <c r="LM79" s="157"/>
      <c r="LN79" s="157"/>
      <c r="LO79" s="157"/>
      <c r="LP79" s="157"/>
      <c r="LQ79" s="157"/>
      <c r="LR79" s="157"/>
      <c r="LS79" s="157"/>
      <c r="LT79" s="5"/>
      <c r="LU79" s="8"/>
    </row>
    <row r="80" spans="1:333" ht="16.2" customHeight="1">
      <c r="A80" s="38" t="s">
        <v>9</v>
      </c>
      <c r="B80" s="25" t="s">
        <v>105</v>
      </c>
      <c r="C80" s="26" t="s">
        <v>324</v>
      </c>
      <c r="D80" s="25" t="s">
        <v>314</v>
      </c>
      <c r="E80" s="27" t="s">
        <v>123</v>
      </c>
      <c r="F80" s="25" t="s">
        <v>537</v>
      </c>
      <c r="G80" s="25" t="s">
        <v>432</v>
      </c>
      <c r="H80" s="28" t="s">
        <v>432</v>
      </c>
      <c r="I80" s="29" t="s">
        <v>315</v>
      </c>
      <c r="J80" s="30">
        <v>1</v>
      </c>
      <c r="K80" s="147">
        <v>1</v>
      </c>
      <c r="L80" s="147">
        <f t="shared" si="1116"/>
        <v>0</v>
      </c>
      <c r="M80" s="147">
        <f t="shared" si="1117"/>
        <v>0</v>
      </c>
      <c r="N80" s="147">
        <f t="shared" si="1118"/>
        <v>0</v>
      </c>
      <c r="O80" s="147">
        <f t="shared" si="1119"/>
        <v>0</v>
      </c>
      <c r="P80" s="148">
        <f t="shared" si="1120"/>
        <v>0</v>
      </c>
      <c r="Q80" s="50">
        <f t="shared" si="1121"/>
        <v>0</v>
      </c>
      <c r="R80" s="17">
        <f t="shared" si="1122"/>
        <v>0</v>
      </c>
      <c r="S80" s="17">
        <f t="shared" si="1123"/>
        <v>0</v>
      </c>
      <c r="T80" s="17">
        <f t="shared" si="1124"/>
        <v>0</v>
      </c>
      <c r="U80" s="17">
        <f t="shared" si="1125"/>
        <v>0</v>
      </c>
      <c r="V80" s="17">
        <f t="shared" si="1126"/>
        <v>0</v>
      </c>
      <c r="W80" s="17">
        <f t="shared" si="1127"/>
        <v>0</v>
      </c>
      <c r="X80" s="17">
        <f t="shared" si="1128"/>
        <v>0</v>
      </c>
      <c r="Y80" s="17">
        <f t="shared" si="1129"/>
        <v>0</v>
      </c>
      <c r="Z80" s="17">
        <f t="shared" si="1130"/>
        <v>0</v>
      </c>
      <c r="AA80" s="17">
        <f t="shared" si="1131"/>
        <v>0</v>
      </c>
      <c r="AB80" s="17">
        <f t="shared" si="1132"/>
        <v>0</v>
      </c>
      <c r="AC80" s="17">
        <f t="shared" si="1133"/>
        <v>0</v>
      </c>
      <c r="AD80" s="17">
        <f t="shared" si="1134"/>
        <v>0</v>
      </c>
      <c r="AE80" s="17">
        <f t="shared" si="1135"/>
        <v>0</v>
      </c>
      <c r="AF80" s="17">
        <f t="shared" si="1136"/>
        <v>0</v>
      </c>
      <c r="AG80" s="17">
        <f t="shared" si="1137"/>
        <v>0</v>
      </c>
      <c r="AH80" s="17">
        <f t="shared" si="1138"/>
        <v>0</v>
      </c>
      <c r="AI80" s="17">
        <f t="shared" si="1139"/>
        <v>0</v>
      </c>
      <c r="AJ80" s="17">
        <f t="shared" si="1140"/>
        <v>0</v>
      </c>
      <c r="AK80" s="17">
        <f t="shared" si="1141"/>
        <v>0</v>
      </c>
      <c r="AL80" s="17">
        <f t="shared" si="1142"/>
        <v>0</v>
      </c>
      <c r="AM80" s="17">
        <f t="shared" si="1143"/>
        <v>0</v>
      </c>
      <c r="AN80" s="17">
        <f t="shared" si="1144"/>
        <v>0</v>
      </c>
      <c r="AO80" s="17">
        <f t="shared" si="1145"/>
        <v>0</v>
      </c>
      <c r="AP80" s="17">
        <f t="shared" si="1146"/>
        <v>0</v>
      </c>
      <c r="AQ80" s="17">
        <f t="shared" si="1147"/>
        <v>0</v>
      </c>
      <c r="AR80" s="17">
        <f t="shared" si="1148"/>
        <v>0</v>
      </c>
      <c r="AS80" s="17">
        <f t="shared" si="1149"/>
        <v>0</v>
      </c>
      <c r="AT80" s="17">
        <f t="shared" si="1150"/>
        <v>0</v>
      </c>
      <c r="AU80" s="54">
        <f t="shared" si="1151"/>
        <v>0</v>
      </c>
      <c r="AV80" s="58">
        <f t="shared" si="1006"/>
        <v>0</v>
      </c>
      <c r="AW80" s="58">
        <f t="shared" ca="1" si="1007"/>
        <v>0</v>
      </c>
      <c r="AX80" s="50">
        <f t="shared" si="1152"/>
        <v>0</v>
      </c>
      <c r="AY80" s="17">
        <f t="shared" si="1153"/>
        <v>0</v>
      </c>
      <c r="AZ80" s="17">
        <f t="shared" si="1154"/>
        <v>0</v>
      </c>
      <c r="BA80" s="17">
        <f t="shared" si="1155"/>
        <v>0</v>
      </c>
      <c r="BB80" s="17">
        <f t="shared" si="1156"/>
        <v>0</v>
      </c>
      <c r="BC80" s="17">
        <f t="shared" si="1157"/>
        <v>0</v>
      </c>
      <c r="BD80" s="17">
        <f t="shared" si="1158"/>
        <v>0</v>
      </c>
      <c r="BE80" s="17">
        <f t="shared" si="1159"/>
        <v>0</v>
      </c>
      <c r="BF80" s="17">
        <f t="shared" si="1160"/>
        <v>0</v>
      </c>
      <c r="BG80" s="17">
        <f t="shared" si="1161"/>
        <v>0</v>
      </c>
      <c r="BH80" s="17">
        <f t="shared" si="1162"/>
        <v>0</v>
      </c>
      <c r="BI80" s="17">
        <f t="shared" si="1163"/>
        <v>0</v>
      </c>
      <c r="BJ80" s="17">
        <f t="shared" si="1164"/>
        <v>0</v>
      </c>
      <c r="BK80" s="17">
        <f t="shared" si="1165"/>
        <v>0</v>
      </c>
      <c r="BL80" s="17">
        <f t="shared" si="1166"/>
        <v>0</v>
      </c>
      <c r="BM80" s="17">
        <f t="shared" si="1167"/>
        <v>0</v>
      </c>
      <c r="BN80" s="17">
        <f t="shared" si="1168"/>
        <v>0</v>
      </c>
      <c r="BO80" s="17">
        <f t="shared" si="1169"/>
        <v>0</v>
      </c>
      <c r="BP80" s="17">
        <f t="shared" si="1170"/>
        <v>0</v>
      </c>
      <c r="BQ80" s="17">
        <f t="shared" si="1171"/>
        <v>0</v>
      </c>
      <c r="BR80" s="17">
        <f t="shared" si="1172"/>
        <v>0</v>
      </c>
      <c r="BS80" s="17">
        <f t="shared" si="1173"/>
        <v>0</v>
      </c>
      <c r="BT80" s="17">
        <f t="shared" si="1174"/>
        <v>0</v>
      </c>
      <c r="BU80" s="17">
        <f t="shared" si="1175"/>
        <v>0</v>
      </c>
      <c r="BV80" s="17">
        <f t="shared" si="1176"/>
        <v>0</v>
      </c>
      <c r="BW80" s="17">
        <f t="shared" si="1177"/>
        <v>0</v>
      </c>
      <c r="BX80" s="17">
        <f t="shared" si="1178"/>
        <v>0</v>
      </c>
      <c r="BY80" s="17">
        <f t="shared" si="1179"/>
        <v>0</v>
      </c>
      <c r="BZ80" s="17">
        <f t="shared" si="1180"/>
        <v>0</v>
      </c>
      <c r="CA80" s="17">
        <f t="shared" si="1181"/>
        <v>0</v>
      </c>
      <c r="CB80" s="54">
        <f t="shared" si="1182"/>
        <v>0</v>
      </c>
      <c r="CC80" s="58">
        <f t="shared" si="1115"/>
        <v>0</v>
      </c>
      <c r="CD80" s="58">
        <f t="shared" ca="1" si="1009"/>
        <v>0</v>
      </c>
      <c r="JJ80" s="4" t="s">
        <v>13</v>
      </c>
      <c r="JK80" s="152" t="str">
        <f t="shared" si="1010"/>
        <v>SGD01-PHR-MIO-03</v>
      </c>
      <c r="JL80" s="163">
        <v>0</v>
      </c>
      <c r="JM80" s="158">
        <v>0</v>
      </c>
      <c r="JN80" s="158">
        <v>0</v>
      </c>
      <c r="JO80" s="159">
        <v>0</v>
      </c>
      <c r="JP80" s="158">
        <v>0</v>
      </c>
      <c r="JQ80" s="158">
        <v>0</v>
      </c>
      <c r="JR80" s="158">
        <v>0</v>
      </c>
      <c r="JS80" s="158">
        <v>0</v>
      </c>
      <c r="JT80" s="158">
        <v>0</v>
      </c>
      <c r="JU80" s="158">
        <v>0</v>
      </c>
      <c r="JV80" s="158">
        <v>0</v>
      </c>
      <c r="JW80" s="159">
        <v>0</v>
      </c>
      <c r="JX80" s="159">
        <v>0</v>
      </c>
      <c r="JY80" s="159">
        <v>0</v>
      </c>
      <c r="JZ80" s="158"/>
      <c r="KA80" s="158"/>
      <c r="KB80" s="158"/>
      <c r="KC80" s="158"/>
      <c r="KD80" s="158"/>
      <c r="KE80" s="158"/>
      <c r="KF80" s="158"/>
      <c r="KG80" s="158"/>
      <c r="KH80" s="159"/>
      <c r="KI80" s="159"/>
      <c r="KJ80" s="158"/>
      <c r="KK80" s="158"/>
      <c r="KL80" s="158"/>
      <c r="KM80" s="158"/>
      <c r="KN80" s="158"/>
      <c r="KO80" s="158"/>
      <c r="KP80" s="164"/>
      <c r="KQ80" s="157">
        <v>0</v>
      </c>
      <c r="KR80" s="157">
        <v>0</v>
      </c>
      <c r="KS80" s="157">
        <v>0</v>
      </c>
      <c r="KT80" s="157">
        <v>0</v>
      </c>
      <c r="KU80" s="157">
        <v>0</v>
      </c>
      <c r="KV80" s="157">
        <v>0</v>
      </c>
      <c r="KW80" s="157">
        <v>0</v>
      </c>
      <c r="KX80" s="157">
        <v>0</v>
      </c>
      <c r="KY80" s="157">
        <v>0</v>
      </c>
      <c r="KZ80" s="157">
        <v>0</v>
      </c>
      <c r="LA80" s="157">
        <v>0</v>
      </c>
      <c r="LB80" s="157">
        <v>0</v>
      </c>
      <c r="LC80" s="157">
        <v>0</v>
      </c>
      <c r="LD80" s="157">
        <v>0</v>
      </c>
      <c r="LE80" s="157"/>
      <c r="LF80" s="157"/>
      <c r="LG80" s="157"/>
      <c r="LH80" s="157"/>
      <c r="LI80" s="157"/>
      <c r="LJ80" s="157"/>
      <c r="LK80" s="157"/>
      <c r="LL80" s="157"/>
      <c r="LM80" s="157"/>
      <c r="LN80" s="157"/>
      <c r="LO80" s="157"/>
      <c r="LP80" s="157"/>
      <c r="LQ80" s="157"/>
      <c r="LR80" s="157"/>
      <c r="LS80" s="157"/>
      <c r="LT80" s="5"/>
      <c r="LU80" s="8"/>
    </row>
    <row r="81" spans="1:333" ht="16.2" customHeight="1">
      <c r="A81" s="38" t="s">
        <v>9</v>
      </c>
      <c r="B81" s="25" t="s">
        <v>105</v>
      </c>
      <c r="C81" s="26" t="s">
        <v>324</v>
      </c>
      <c r="D81" s="25" t="s">
        <v>316</v>
      </c>
      <c r="E81" s="27" t="s">
        <v>124</v>
      </c>
      <c r="F81" s="25" t="s">
        <v>493</v>
      </c>
      <c r="G81" s="25" t="s">
        <v>317</v>
      </c>
      <c r="H81" s="28">
        <v>45378</v>
      </c>
      <c r="I81" s="29" t="s">
        <v>318</v>
      </c>
      <c r="J81" s="30">
        <v>1</v>
      </c>
      <c r="K81" s="147">
        <v>0</v>
      </c>
      <c r="L81" s="147">
        <f t="shared" si="1116"/>
        <v>0</v>
      </c>
      <c r="M81" s="147">
        <f t="shared" si="1117"/>
        <v>1</v>
      </c>
      <c r="N81" s="147">
        <f t="shared" si="1118"/>
        <v>0</v>
      </c>
      <c r="O81" s="147">
        <f t="shared" si="1119"/>
        <v>1</v>
      </c>
      <c r="P81" s="148">
        <f t="shared" si="1120"/>
        <v>1</v>
      </c>
      <c r="Q81" s="50">
        <f t="shared" si="1121"/>
        <v>1</v>
      </c>
      <c r="R81" s="17">
        <f t="shared" si="1122"/>
        <v>1</v>
      </c>
      <c r="S81" s="17">
        <f t="shared" si="1123"/>
        <v>1</v>
      </c>
      <c r="T81" s="17">
        <f t="shared" si="1124"/>
        <v>0</v>
      </c>
      <c r="U81" s="17">
        <f t="shared" si="1125"/>
        <v>1</v>
      </c>
      <c r="V81" s="17">
        <f t="shared" si="1126"/>
        <v>1</v>
      </c>
      <c r="W81" s="17">
        <f t="shared" si="1127"/>
        <v>1</v>
      </c>
      <c r="X81" s="17">
        <f t="shared" si="1128"/>
        <v>1</v>
      </c>
      <c r="Y81" s="17">
        <f t="shared" si="1129"/>
        <v>1</v>
      </c>
      <c r="Z81" s="17">
        <f t="shared" si="1130"/>
        <v>1</v>
      </c>
      <c r="AA81" s="17">
        <f t="shared" si="1131"/>
        <v>0</v>
      </c>
      <c r="AB81" s="17">
        <f t="shared" si="1132"/>
        <v>1</v>
      </c>
      <c r="AC81" s="17">
        <f t="shared" si="1133"/>
        <v>1</v>
      </c>
      <c r="AD81" s="17">
        <f t="shared" si="1134"/>
        <v>0</v>
      </c>
      <c r="AE81" s="17">
        <f t="shared" si="1135"/>
        <v>0</v>
      </c>
      <c r="AF81" s="17">
        <f t="shared" si="1136"/>
        <v>0</v>
      </c>
      <c r="AG81" s="17">
        <f t="shared" si="1137"/>
        <v>0</v>
      </c>
      <c r="AH81" s="17">
        <f t="shared" si="1138"/>
        <v>0</v>
      </c>
      <c r="AI81" s="17">
        <f t="shared" si="1139"/>
        <v>0</v>
      </c>
      <c r="AJ81" s="17">
        <f t="shared" si="1140"/>
        <v>0</v>
      </c>
      <c r="AK81" s="17">
        <f t="shared" si="1141"/>
        <v>0</v>
      </c>
      <c r="AL81" s="17">
        <f t="shared" si="1142"/>
        <v>0</v>
      </c>
      <c r="AM81" s="17">
        <f t="shared" si="1143"/>
        <v>0</v>
      </c>
      <c r="AN81" s="17">
        <f t="shared" si="1144"/>
        <v>0</v>
      </c>
      <c r="AO81" s="17">
        <f t="shared" si="1145"/>
        <v>0</v>
      </c>
      <c r="AP81" s="17">
        <f t="shared" si="1146"/>
        <v>0</v>
      </c>
      <c r="AQ81" s="17">
        <f t="shared" si="1147"/>
        <v>0</v>
      </c>
      <c r="AR81" s="17">
        <f t="shared" si="1148"/>
        <v>0</v>
      </c>
      <c r="AS81" s="17">
        <f t="shared" si="1149"/>
        <v>0</v>
      </c>
      <c r="AT81" s="17">
        <f t="shared" si="1150"/>
        <v>0</v>
      </c>
      <c r="AU81" s="54">
        <f t="shared" si="1151"/>
        <v>0</v>
      </c>
      <c r="AV81" s="58">
        <f t="shared" si="1006"/>
        <v>11</v>
      </c>
      <c r="AW81" s="58">
        <f t="shared" ca="1" si="1007"/>
        <v>0.84615384615384615</v>
      </c>
      <c r="AX81" s="50">
        <f t="shared" si="1152"/>
        <v>6</v>
      </c>
      <c r="AY81" s="17">
        <f t="shared" si="1153"/>
        <v>0</v>
      </c>
      <c r="AZ81" s="17">
        <f t="shared" si="1154"/>
        <v>8</v>
      </c>
      <c r="BA81" s="17">
        <f t="shared" si="1155"/>
        <v>0</v>
      </c>
      <c r="BB81" s="17">
        <f t="shared" si="1156"/>
        <v>5</v>
      </c>
      <c r="BC81" s="17">
        <f t="shared" si="1157"/>
        <v>8</v>
      </c>
      <c r="BD81" s="17">
        <f t="shared" si="1158"/>
        <v>0</v>
      </c>
      <c r="BE81" s="17">
        <f t="shared" si="1159"/>
        <v>6</v>
      </c>
      <c r="BF81" s="17">
        <f t="shared" si="1160"/>
        <v>6</v>
      </c>
      <c r="BG81" s="17">
        <f t="shared" si="1161"/>
        <v>8</v>
      </c>
      <c r="BH81" s="17">
        <f t="shared" si="1162"/>
        <v>0</v>
      </c>
      <c r="BI81" s="17">
        <f t="shared" si="1163"/>
        <v>4</v>
      </c>
      <c r="BJ81" s="17">
        <f t="shared" si="1164"/>
        <v>4</v>
      </c>
      <c r="BK81" s="17">
        <f t="shared" si="1165"/>
        <v>0</v>
      </c>
      <c r="BL81" s="17">
        <f t="shared" si="1166"/>
        <v>0</v>
      </c>
      <c r="BM81" s="17">
        <f t="shared" si="1167"/>
        <v>0</v>
      </c>
      <c r="BN81" s="17">
        <f t="shared" si="1168"/>
        <v>0</v>
      </c>
      <c r="BO81" s="17">
        <f t="shared" si="1169"/>
        <v>0</v>
      </c>
      <c r="BP81" s="17">
        <f t="shared" si="1170"/>
        <v>0</v>
      </c>
      <c r="BQ81" s="17">
        <f t="shared" si="1171"/>
        <v>0</v>
      </c>
      <c r="BR81" s="17">
        <f t="shared" si="1172"/>
        <v>0</v>
      </c>
      <c r="BS81" s="17">
        <f t="shared" si="1173"/>
        <v>0</v>
      </c>
      <c r="BT81" s="17">
        <f t="shared" si="1174"/>
        <v>0</v>
      </c>
      <c r="BU81" s="17">
        <f t="shared" si="1175"/>
        <v>0</v>
      </c>
      <c r="BV81" s="17">
        <f t="shared" si="1176"/>
        <v>0</v>
      </c>
      <c r="BW81" s="17">
        <f t="shared" si="1177"/>
        <v>0</v>
      </c>
      <c r="BX81" s="17">
        <f t="shared" si="1178"/>
        <v>0</v>
      </c>
      <c r="BY81" s="17">
        <f t="shared" si="1179"/>
        <v>0</v>
      </c>
      <c r="BZ81" s="17">
        <f t="shared" si="1180"/>
        <v>0</v>
      </c>
      <c r="CA81" s="17">
        <f t="shared" si="1181"/>
        <v>0</v>
      </c>
      <c r="CB81" s="54">
        <f t="shared" si="1182"/>
        <v>0</v>
      </c>
      <c r="CC81" s="58">
        <f t="shared" si="1115"/>
        <v>55</v>
      </c>
      <c r="CD81" s="58">
        <f t="shared" ca="1" si="1009"/>
        <v>4.2307692307692308</v>
      </c>
      <c r="JJ81" s="4" t="s">
        <v>13</v>
      </c>
      <c r="JK81" s="152" t="str">
        <f t="shared" si="1010"/>
        <v>SGD01-PHR-MIO-04</v>
      </c>
      <c r="JL81" s="163">
        <v>1</v>
      </c>
      <c r="JM81" s="158">
        <v>1</v>
      </c>
      <c r="JN81" s="158">
        <v>1</v>
      </c>
      <c r="JO81" s="159">
        <v>0</v>
      </c>
      <c r="JP81" s="158">
        <v>1</v>
      </c>
      <c r="JQ81" s="158">
        <v>1</v>
      </c>
      <c r="JR81" s="158">
        <v>1</v>
      </c>
      <c r="JS81" s="158">
        <v>1</v>
      </c>
      <c r="JT81" s="158">
        <v>1</v>
      </c>
      <c r="JU81" s="158">
        <v>1</v>
      </c>
      <c r="JV81" s="158">
        <v>0</v>
      </c>
      <c r="JW81" s="159">
        <v>1</v>
      </c>
      <c r="JX81" s="159">
        <v>1</v>
      </c>
      <c r="JY81" s="159">
        <v>0</v>
      </c>
      <c r="JZ81" s="158"/>
      <c r="KA81" s="158"/>
      <c r="KB81" s="158"/>
      <c r="KC81" s="158"/>
      <c r="KD81" s="158"/>
      <c r="KE81" s="158"/>
      <c r="KF81" s="158"/>
      <c r="KG81" s="158"/>
      <c r="KH81" s="159"/>
      <c r="KI81" s="159"/>
      <c r="KJ81" s="158"/>
      <c r="KK81" s="158"/>
      <c r="KL81" s="158"/>
      <c r="KM81" s="158"/>
      <c r="KN81" s="158"/>
      <c r="KO81" s="158"/>
      <c r="KP81" s="164"/>
      <c r="KQ81" s="157">
        <v>6</v>
      </c>
      <c r="KR81" s="157">
        <v>0</v>
      </c>
      <c r="KS81" s="157">
        <v>8</v>
      </c>
      <c r="KT81" s="157">
        <v>0</v>
      </c>
      <c r="KU81" s="157">
        <v>5</v>
      </c>
      <c r="KV81" s="157">
        <v>8</v>
      </c>
      <c r="KW81" s="157">
        <v>0</v>
      </c>
      <c r="KX81" s="157">
        <v>6</v>
      </c>
      <c r="KY81" s="157">
        <v>6</v>
      </c>
      <c r="KZ81" s="157">
        <v>8</v>
      </c>
      <c r="LA81" s="157">
        <v>0</v>
      </c>
      <c r="LB81" s="157">
        <v>4</v>
      </c>
      <c r="LC81" s="157">
        <v>4</v>
      </c>
      <c r="LD81" s="157">
        <v>0</v>
      </c>
      <c r="LE81" s="157"/>
      <c r="LF81" s="157"/>
      <c r="LG81" s="157"/>
      <c r="LH81" s="157"/>
      <c r="LI81" s="157"/>
      <c r="LJ81" s="157"/>
      <c r="LK81" s="157"/>
      <c r="LL81" s="157"/>
      <c r="LM81" s="157"/>
      <c r="LN81" s="157"/>
      <c r="LO81" s="157"/>
      <c r="LP81" s="157"/>
      <c r="LQ81" s="157"/>
      <c r="LR81" s="157"/>
      <c r="LS81" s="157"/>
      <c r="LT81" s="5"/>
      <c r="LU81" s="8"/>
    </row>
    <row r="82" spans="1:333" ht="16.2" customHeight="1">
      <c r="A82" s="38" t="s">
        <v>9</v>
      </c>
      <c r="B82" s="25" t="s">
        <v>105</v>
      </c>
      <c r="C82" s="25" t="s">
        <v>324</v>
      </c>
      <c r="D82" s="25" t="s">
        <v>319</v>
      </c>
      <c r="E82" s="27" t="s">
        <v>125</v>
      </c>
      <c r="F82" s="25" t="s">
        <v>494</v>
      </c>
      <c r="G82" s="25" t="s">
        <v>320</v>
      </c>
      <c r="H82" s="28">
        <v>45936</v>
      </c>
      <c r="I82" s="29" t="s">
        <v>321</v>
      </c>
      <c r="J82" s="30">
        <v>1</v>
      </c>
      <c r="K82" s="147">
        <v>0</v>
      </c>
      <c r="L82" s="147">
        <f t="shared" si="1116"/>
        <v>1</v>
      </c>
      <c r="M82" s="147">
        <f t="shared" si="1117"/>
        <v>1</v>
      </c>
      <c r="N82" s="147">
        <f t="shared" si="1118"/>
        <v>0</v>
      </c>
      <c r="O82" s="147">
        <f t="shared" si="1119"/>
        <v>1</v>
      </c>
      <c r="P82" s="148">
        <f t="shared" si="1120"/>
        <v>1</v>
      </c>
      <c r="Q82" s="50">
        <f t="shared" si="1121"/>
        <v>1</v>
      </c>
      <c r="R82" s="17">
        <f t="shared" si="1122"/>
        <v>1</v>
      </c>
      <c r="S82" s="17">
        <f t="shared" si="1123"/>
        <v>1</v>
      </c>
      <c r="T82" s="17">
        <f t="shared" si="1124"/>
        <v>0</v>
      </c>
      <c r="U82" s="17">
        <f t="shared" si="1125"/>
        <v>1</v>
      </c>
      <c r="V82" s="17">
        <f t="shared" si="1126"/>
        <v>0</v>
      </c>
      <c r="W82" s="17">
        <f t="shared" si="1127"/>
        <v>1</v>
      </c>
      <c r="X82" s="17">
        <f t="shared" si="1128"/>
        <v>1</v>
      </c>
      <c r="Y82" s="17">
        <f t="shared" si="1129"/>
        <v>1</v>
      </c>
      <c r="Z82" s="17">
        <f t="shared" si="1130"/>
        <v>1</v>
      </c>
      <c r="AA82" s="17">
        <f t="shared" si="1131"/>
        <v>0</v>
      </c>
      <c r="AB82" s="17">
        <f t="shared" si="1132"/>
        <v>1</v>
      </c>
      <c r="AC82" s="17">
        <f t="shared" si="1133"/>
        <v>1</v>
      </c>
      <c r="AD82" s="17">
        <f t="shared" si="1134"/>
        <v>1</v>
      </c>
      <c r="AE82" s="17">
        <f t="shared" si="1135"/>
        <v>0</v>
      </c>
      <c r="AF82" s="17">
        <f t="shared" si="1136"/>
        <v>0</v>
      </c>
      <c r="AG82" s="17">
        <f t="shared" si="1137"/>
        <v>0</v>
      </c>
      <c r="AH82" s="17">
        <f t="shared" si="1138"/>
        <v>0</v>
      </c>
      <c r="AI82" s="17">
        <f t="shared" si="1139"/>
        <v>0</v>
      </c>
      <c r="AJ82" s="17">
        <f t="shared" si="1140"/>
        <v>0</v>
      </c>
      <c r="AK82" s="17">
        <f t="shared" si="1141"/>
        <v>0</v>
      </c>
      <c r="AL82" s="17">
        <f t="shared" si="1142"/>
        <v>0</v>
      </c>
      <c r="AM82" s="17">
        <f t="shared" si="1143"/>
        <v>0</v>
      </c>
      <c r="AN82" s="17">
        <f t="shared" si="1144"/>
        <v>0</v>
      </c>
      <c r="AO82" s="17">
        <f t="shared" si="1145"/>
        <v>0</v>
      </c>
      <c r="AP82" s="17">
        <f t="shared" si="1146"/>
        <v>0</v>
      </c>
      <c r="AQ82" s="17">
        <f t="shared" si="1147"/>
        <v>0</v>
      </c>
      <c r="AR82" s="17">
        <f t="shared" si="1148"/>
        <v>0</v>
      </c>
      <c r="AS82" s="17">
        <f t="shared" si="1149"/>
        <v>0</v>
      </c>
      <c r="AT82" s="17">
        <f t="shared" si="1150"/>
        <v>0</v>
      </c>
      <c r="AU82" s="54">
        <f t="shared" si="1151"/>
        <v>0</v>
      </c>
      <c r="AV82" s="58">
        <f t="shared" si="1006"/>
        <v>11</v>
      </c>
      <c r="AW82" s="58">
        <f t="shared" ca="1" si="1007"/>
        <v>0.84615384615384615</v>
      </c>
      <c r="AX82" s="50">
        <f t="shared" si="1152"/>
        <v>11</v>
      </c>
      <c r="AY82" s="17">
        <f t="shared" si="1153"/>
        <v>3</v>
      </c>
      <c r="AZ82" s="17">
        <f t="shared" si="1154"/>
        <v>10</v>
      </c>
      <c r="BA82" s="17">
        <f t="shared" si="1155"/>
        <v>0</v>
      </c>
      <c r="BB82" s="17">
        <f t="shared" si="1156"/>
        <v>5</v>
      </c>
      <c r="BC82" s="17">
        <f t="shared" si="1157"/>
        <v>7</v>
      </c>
      <c r="BD82" s="17">
        <f t="shared" si="1158"/>
        <v>5</v>
      </c>
      <c r="BE82" s="17">
        <f t="shared" si="1159"/>
        <v>10</v>
      </c>
      <c r="BF82" s="17">
        <f t="shared" si="1160"/>
        <v>7</v>
      </c>
      <c r="BG82" s="17">
        <f t="shared" si="1161"/>
        <v>11</v>
      </c>
      <c r="BH82" s="17">
        <f t="shared" si="1162"/>
        <v>0</v>
      </c>
      <c r="BI82" s="17">
        <f t="shared" si="1163"/>
        <v>1</v>
      </c>
      <c r="BJ82" s="17">
        <f t="shared" si="1164"/>
        <v>3</v>
      </c>
      <c r="BK82" s="17">
        <f t="shared" si="1165"/>
        <v>0</v>
      </c>
      <c r="BL82" s="17">
        <f t="shared" si="1166"/>
        <v>0</v>
      </c>
      <c r="BM82" s="17">
        <f t="shared" si="1167"/>
        <v>0</v>
      </c>
      <c r="BN82" s="17">
        <f t="shared" si="1168"/>
        <v>0</v>
      </c>
      <c r="BO82" s="17">
        <f t="shared" si="1169"/>
        <v>0</v>
      </c>
      <c r="BP82" s="17">
        <f t="shared" si="1170"/>
        <v>0</v>
      </c>
      <c r="BQ82" s="17">
        <f t="shared" si="1171"/>
        <v>0</v>
      </c>
      <c r="BR82" s="17">
        <f t="shared" si="1172"/>
        <v>0</v>
      </c>
      <c r="BS82" s="17">
        <f t="shared" si="1173"/>
        <v>0</v>
      </c>
      <c r="BT82" s="17">
        <f t="shared" si="1174"/>
        <v>0</v>
      </c>
      <c r="BU82" s="17">
        <f t="shared" si="1175"/>
        <v>0</v>
      </c>
      <c r="BV82" s="17">
        <f t="shared" si="1176"/>
        <v>0</v>
      </c>
      <c r="BW82" s="17">
        <f t="shared" si="1177"/>
        <v>0</v>
      </c>
      <c r="BX82" s="17">
        <f t="shared" si="1178"/>
        <v>0</v>
      </c>
      <c r="BY82" s="17">
        <f t="shared" si="1179"/>
        <v>0</v>
      </c>
      <c r="BZ82" s="17">
        <f t="shared" si="1180"/>
        <v>0</v>
      </c>
      <c r="CA82" s="17">
        <f t="shared" si="1181"/>
        <v>0</v>
      </c>
      <c r="CB82" s="54">
        <f t="shared" si="1182"/>
        <v>0</v>
      </c>
      <c r="CC82" s="58">
        <f t="shared" si="1115"/>
        <v>73</v>
      </c>
      <c r="CD82" s="58">
        <f t="shared" ca="1" si="1009"/>
        <v>5.615384615384615</v>
      </c>
      <c r="JJ82" s="4" t="s">
        <v>13</v>
      </c>
      <c r="JK82" s="152" t="str">
        <f t="shared" si="1010"/>
        <v>SGD01-PHR-MIO-05</v>
      </c>
      <c r="JL82" s="163">
        <v>1</v>
      </c>
      <c r="JM82" s="158">
        <v>1</v>
      </c>
      <c r="JN82" s="158">
        <v>1</v>
      </c>
      <c r="JO82" s="159">
        <v>0</v>
      </c>
      <c r="JP82" s="158">
        <v>1</v>
      </c>
      <c r="JQ82" s="158">
        <v>0</v>
      </c>
      <c r="JR82" s="158">
        <v>1</v>
      </c>
      <c r="JS82" s="158">
        <v>1</v>
      </c>
      <c r="JT82" s="158">
        <v>1</v>
      </c>
      <c r="JU82" s="158">
        <v>1</v>
      </c>
      <c r="JV82" s="158">
        <v>0</v>
      </c>
      <c r="JW82" s="159">
        <v>1</v>
      </c>
      <c r="JX82" s="159">
        <v>1</v>
      </c>
      <c r="JY82" s="159">
        <v>1</v>
      </c>
      <c r="JZ82" s="158"/>
      <c r="KA82" s="158"/>
      <c r="KB82" s="158"/>
      <c r="KC82" s="158"/>
      <c r="KD82" s="158"/>
      <c r="KE82" s="158"/>
      <c r="KF82" s="158"/>
      <c r="KG82" s="158"/>
      <c r="KH82" s="159"/>
      <c r="KI82" s="159"/>
      <c r="KJ82" s="158"/>
      <c r="KK82" s="158"/>
      <c r="KL82" s="158"/>
      <c r="KM82" s="158"/>
      <c r="KN82" s="158"/>
      <c r="KO82" s="158"/>
      <c r="KP82" s="164"/>
      <c r="KQ82" s="157">
        <v>11</v>
      </c>
      <c r="KR82" s="157">
        <v>3</v>
      </c>
      <c r="KS82" s="157">
        <v>10</v>
      </c>
      <c r="KT82" s="157">
        <v>0</v>
      </c>
      <c r="KU82" s="157">
        <v>5</v>
      </c>
      <c r="KV82" s="157">
        <v>7</v>
      </c>
      <c r="KW82" s="157">
        <v>5</v>
      </c>
      <c r="KX82" s="157">
        <v>10</v>
      </c>
      <c r="KY82" s="157">
        <v>7</v>
      </c>
      <c r="KZ82" s="157">
        <v>11</v>
      </c>
      <c r="LA82" s="157">
        <v>0</v>
      </c>
      <c r="LB82" s="157">
        <v>1</v>
      </c>
      <c r="LC82" s="157">
        <v>3</v>
      </c>
      <c r="LD82" s="157">
        <v>0</v>
      </c>
      <c r="LE82" s="157"/>
      <c r="LF82" s="157"/>
      <c r="LG82" s="157"/>
      <c r="LH82" s="157"/>
      <c r="LI82" s="157"/>
      <c r="LJ82" s="157"/>
      <c r="LK82" s="157"/>
      <c r="LL82" s="157"/>
      <c r="LM82" s="157"/>
      <c r="LN82" s="157"/>
      <c r="LO82" s="157"/>
      <c r="LP82" s="157"/>
      <c r="LQ82" s="157"/>
      <c r="LR82" s="157"/>
      <c r="LS82" s="157"/>
      <c r="LT82" s="5"/>
      <c r="LU82" s="8"/>
    </row>
    <row r="83" spans="1:333" ht="16.2" customHeight="1">
      <c r="A83" s="38" t="s">
        <v>9</v>
      </c>
      <c r="B83" s="25" t="s">
        <v>105</v>
      </c>
      <c r="C83" s="25" t="s">
        <v>324</v>
      </c>
      <c r="D83" s="25" t="s">
        <v>322</v>
      </c>
      <c r="E83" s="27" t="s">
        <v>126</v>
      </c>
      <c r="F83" s="25" t="s">
        <v>495</v>
      </c>
      <c r="G83" s="25" t="s">
        <v>323</v>
      </c>
      <c r="H83" s="28">
        <v>46142</v>
      </c>
      <c r="I83" s="29" t="s">
        <v>324</v>
      </c>
      <c r="J83" s="30">
        <v>1</v>
      </c>
      <c r="K83" s="147">
        <v>0</v>
      </c>
      <c r="L83" s="147">
        <f t="shared" si="1116"/>
        <v>1</v>
      </c>
      <c r="M83" s="147">
        <f t="shared" si="1117"/>
        <v>1</v>
      </c>
      <c r="N83" s="147">
        <f t="shared" si="1118"/>
        <v>0</v>
      </c>
      <c r="O83" s="147">
        <f t="shared" si="1119"/>
        <v>1</v>
      </c>
      <c r="P83" s="148">
        <f t="shared" si="1120"/>
        <v>1</v>
      </c>
      <c r="Q83" s="50">
        <f t="shared" si="1121"/>
        <v>1</v>
      </c>
      <c r="R83" s="17">
        <f t="shared" si="1122"/>
        <v>1</v>
      </c>
      <c r="S83" s="17">
        <f t="shared" si="1123"/>
        <v>1</v>
      </c>
      <c r="T83" s="17">
        <f t="shared" si="1124"/>
        <v>0</v>
      </c>
      <c r="U83" s="17">
        <f t="shared" si="1125"/>
        <v>1</v>
      </c>
      <c r="V83" s="17">
        <f t="shared" si="1126"/>
        <v>1</v>
      </c>
      <c r="W83" s="17">
        <f t="shared" si="1127"/>
        <v>1</v>
      </c>
      <c r="X83" s="17">
        <f t="shared" si="1128"/>
        <v>1</v>
      </c>
      <c r="Y83" s="17">
        <f t="shared" si="1129"/>
        <v>1</v>
      </c>
      <c r="Z83" s="17">
        <f t="shared" si="1130"/>
        <v>1</v>
      </c>
      <c r="AA83" s="17">
        <f t="shared" si="1131"/>
        <v>0</v>
      </c>
      <c r="AB83" s="17">
        <f t="shared" si="1132"/>
        <v>1</v>
      </c>
      <c r="AC83" s="17">
        <f t="shared" si="1133"/>
        <v>1</v>
      </c>
      <c r="AD83" s="17">
        <f t="shared" si="1134"/>
        <v>1</v>
      </c>
      <c r="AE83" s="17">
        <f t="shared" si="1135"/>
        <v>0</v>
      </c>
      <c r="AF83" s="17">
        <f t="shared" si="1136"/>
        <v>0</v>
      </c>
      <c r="AG83" s="17">
        <f t="shared" si="1137"/>
        <v>0</v>
      </c>
      <c r="AH83" s="17">
        <f t="shared" si="1138"/>
        <v>0</v>
      </c>
      <c r="AI83" s="17">
        <f t="shared" si="1139"/>
        <v>0</v>
      </c>
      <c r="AJ83" s="17">
        <f t="shared" si="1140"/>
        <v>0</v>
      </c>
      <c r="AK83" s="17">
        <f t="shared" si="1141"/>
        <v>0</v>
      </c>
      <c r="AL83" s="17">
        <f t="shared" si="1142"/>
        <v>0</v>
      </c>
      <c r="AM83" s="17">
        <f t="shared" si="1143"/>
        <v>0</v>
      </c>
      <c r="AN83" s="17">
        <f t="shared" si="1144"/>
        <v>0</v>
      </c>
      <c r="AO83" s="17">
        <f t="shared" si="1145"/>
        <v>0</v>
      </c>
      <c r="AP83" s="17">
        <f t="shared" si="1146"/>
        <v>0</v>
      </c>
      <c r="AQ83" s="17">
        <f t="shared" si="1147"/>
        <v>0</v>
      </c>
      <c r="AR83" s="17">
        <f t="shared" si="1148"/>
        <v>0</v>
      </c>
      <c r="AS83" s="17">
        <f t="shared" si="1149"/>
        <v>0</v>
      </c>
      <c r="AT83" s="17">
        <f t="shared" si="1150"/>
        <v>0</v>
      </c>
      <c r="AU83" s="54">
        <f t="shared" si="1151"/>
        <v>0</v>
      </c>
      <c r="AV83" s="58">
        <f t="shared" si="1006"/>
        <v>12</v>
      </c>
      <c r="AW83" s="58">
        <f t="shared" ca="1" si="1007"/>
        <v>0.92307692307692313</v>
      </c>
      <c r="AX83" s="50">
        <f t="shared" si="1152"/>
        <v>10</v>
      </c>
      <c r="AY83" s="17">
        <f t="shared" si="1153"/>
        <v>7</v>
      </c>
      <c r="AZ83" s="17">
        <f t="shared" si="1154"/>
        <v>11</v>
      </c>
      <c r="BA83" s="17">
        <f t="shared" si="1155"/>
        <v>0</v>
      </c>
      <c r="BB83" s="17">
        <f t="shared" si="1156"/>
        <v>12</v>
      </c>
      <c r="BC83" s="17">
        <f t="shared" si="1157"/>
        <v>12</v>
      </c>
      <c r="BD83" s="17">
        <f t="shared" si="1158"/>
        <v>9</v>
      </c>
      <c r="BE83" s="17">
        <f t="shared" si="1159"/>
        <v>9</v>
      </c>
      <c r="BF83" s="17">
        <f t="shared" si="1160"/>
        <v>9</v>
      </c>
      <c r="BG83" s="17">
        <f t="shared" si="1161"/>
        <v>11</v>
      </c>
      <c r="BH83" s="17">
        <f t="shared" si="1162"/>
        <v>0</v>
      </c>
      <c r="BI83" s="17">
        <f t="shared" si="1163"/>
        <v>12</v>
      </c>
      <c r="BJ83" s="17">
        <f t="shared" si="1164"/>
        <v>11</v>
      </c>
      <c r="BK83" s="17">
        <f t="shared" si="1165"/>
        <v>0</v>
      </c>
      <c r="BL83" s="17">
        <f t="shared" si="1166"/>
        <v>0</v>
      </c>
      <c r="BM83" s="17">
        <f t="shared" si="1167"/>
        <v>0</v>
      </c>
      <c r="BN83" s="17">
        <f t="shared" si="1168"/>
        <v>0</v>
      </c>
      <c r="BO83" s="17">
        <f t="shared" si="1169"/>
        <v>0</v>
      </c>
      <c r="BP83" s="17">
        <f t="shared" si="1170"/>
        <v>0</v>
      </c>
      <c r="BQ83" s="17">
        <f t="shared" si="1171"/>
        <v>0</v>
      </c>
      <c r="BR83" s="17">
        <f t="shared" si="1172"/>
        <v>0</v>
      </c>
      <c r="BS83" s="17">
        <f t="shared" si="1173"/>
        <v>0</v>
      </c>
      <c r="BT83" s="17">
        <f t="shared" si="1174"/>
        <v>0</v>
      </c>
      <c r="BU83" s="17">
        <f t="shared" si="1175"/>
        <v>0</v>
      </c>
      <c r="BV83" s="17">
        <f t="shared" si="1176"/>
        <v>0</v>
      </c>
      <c r="BW83" s="17">
        <f t="shared" si="1177"/>
        <v>0</v>
      </c>
      <c r="BX83" s="17">
        <f t="shared" si="1178"/>
        <v>0</v>
      </c>
      <c r="BY83" s="17">
        <f t="shared" si="1179"/>
        <v>0</v>
      </c>
      <c r="BZ83" s="17">
        <f t="shared" si="1180"/>
        <v>0</v>
      </c>
      <c r="CA83" s="17">
        <f t="shared" si="1181"/>
        <v>0</v>
      </c>
      <c r="CB83" s="54">
        <f t="shared" si="1182"/>
        <v>0</v>
      </c>
      <c r="CC83" s="58">
        <f t="shared" si="1115"/>
        <v>113</v>
      </c>
      <c r="CD83" s="58">
        <f t="shared" ca="1" si="1009"/>
        <v>8.6923076923076916</v>
      </c>
      <c r="JJ83" s="4" t="s">
        <v>13</v>
      </c>
      <c r="JK83" s="152" t="str">
        <f t="shared" si="1010"/>
        <v>SGD01-PHR-PS-01</v>
      </c>
      <c r="JL83" s="163">
        <v>1</v>
      </c>
      <c r="JM83" s="158">
        <v>1</v>
      </c>
      <c r="JN83" s="158">
        <v>1</v>
      </c>
      <c r="JO83" s="159">
        <v>0</v>
      </c>
      <c r="JP83" s="158">
        <v>1</v>
      </c>
      <c r="JQ83" s="158">
        <v>1</v>
      </c>
      <c r="JR83" s="158">
        <v>1</v>
      </c>
      <c r="JS83" s="158">
        <v>1</v>
      </c>
      <c r="JT83" s="158">
        <v>1</v>
      </c>
      <c r="JU83" s="158">
        <v>1</v>
      </c>
      <c r="JV83" s="158">
        <v>0</v>
      </c>
      <c r="JW83" s="159">
        <v>1</v>
      </c>
      <c r="JX83" s="159">
        <v>1</v>
      </c>
      <c r="JY83" s="159">
        <v>1</v>
      </c>
      <c r="JZ83" s="158"/>
      <c r="KA83" s="158"/>
      <c r="KB83" s="158"/>
      <c r="KC83" s="158"/>
      <c r="KD83" s="158"/>
      <c r="KE83" s="158"/>
      <c r="KF83" s="158"/>
      <c r="KG83" s="158"/>
      <c r="KH83" s="159"/>
      <c r="KI83" s="159"/>
      <c r="KJ83" s="158"/>
      <c r="KK83" s="158"/>
      <c r="KL83" s="158"/>
      <c r="KM83" s="158"/>
      <c r="KN83" s="158"/>
      <c r="KO83" s="158"/>
      <c r="KP83" s="164"/>
      <c r="KQ83" s="157">
        <v>10</v>
      </c>
      <c r="KR83" s="157">
        <v>7</v>
      </c>
      <c r="KS83" s="157">
        <v>11</v>
      </c>
      <c r="KT83" s="157">
        <v>0</v>
      </c>
      <c r="KU83" s="157">
        <v>12</v>
      </c>
      <c r="KV83" s="157">
        <v>12</v>
      </c>
      <c r="KW83" s="157">
        <v>9</v>
      </c>
      <c r="KX83" s="157">
        <v>9</v>
      </c>
      <c r="KY83" s="157">
        <v>9</v>
      </c>
      <c r="KZ83" s="157">
        <v>11</v>
      </c>
      <c r="LA83" s="157">
        <v>0</v>
      </c>
      <c r="LB83" s="157">
        <v>12</v>
      </c>
      <c r="LC83" s="157">
        <v>11</v>
      </c>
      <c r="LD83" s="157">
        <v>0</v>
      </c>
      <c r="LE83" s="157"/>
      <c r="LF83" s="157"/>
      <c r="LG83" s="157"/>
      <c r="LH83" s="157"/>
      <c r="LI83" s="157"/>
      <c r="LJ83" s="157"/>
      <c r="LK83" s="157"/>
      <c r="LL83" s="157"/>
      <c r="LM83" s="157"/>
      <c r="LN83" s="157"/>
      <c r="LO83" s="157"/>
      <c r="LP83" s="157"/>
      <c r="LQ83" s="157"/>
      <c r="LR83" s="157"/>
      <c r="LS83" s="157"/>
      <c r="LT83" s="5"/>
      <c r="LU83" s="8"/>
    </row>
    <row r="84" spans="1:333" ht="16.2" customHeight="1">
      <c r="A84" s="38" t="s">
        <v>16</v>
      </c>
      <c r="B84" s="25" t="s">
        <v>105</v>
      </c>
      <c r="C84" s="26" t="s">
        <v>324</v>
      </c>
      <c r="D84" s="25" t="s">
        <v>127</v>
      </c>
      <c r="E84" s="27" t="s">
        <v>128</v>
      </c>
      <c r="F84" s="25" t="s">
        <v>496</v>
      </c>
      <c r="G84" s="25" t="s">
        <v>436</v>
      </c>
      <c r="H84" s="28" t="s">
        <v>436</v>
      </c>
      <c r="I84" s="29" t="s">
        <v>120</v>
      </c>
      <c r="J84" s="30">
        <v>0</v>
      </c>
      <c r="K84" s="147">
        <v>0</v>
      </c>
      <c r="L84" s="147">
        <f t="shared" si="1116"/>
        <v>0</v>
      </c>
      <c r="M84" s="147">
        <f t="shared" si="1117"/>
        <v>0</v>
      </c>
      <c r="N84" s="147">
        <f t="shared" si="1118"/>
        <v>0</v>
      </c>
      <c r="O84" s="147">
        <f t="shared" si="1119"/>
        <v>0</v>
      </c>
      <c r="P84" s="148">
        <f t="shared" si="1120"/>
        <v>0</v>
      </c>
      <c r="Q84" s="50">
        <f t="shared" si="1121"/>
        <v>0</v>
      </c>
      <c r="R84" s="17">
        <f t="shared" si="1122"/>
        <v>0</v>
      </c>
      <c r="S84" s="17">
        <f t="shared" si="1123"/>
        <v>0</v>
      </c>
      <c r="T84" s="17">
        <f t="shared" si="1124"/>
        <v>0</v>
      </c>
      <c r="U84" s="17">
        <f t="shared" si="1125"/>
        <v>0</v>
      </c>
      <c r="V84" s="17">
        <f t="shared" si="1126"/>
        <v>0</v>
      </c>
      <c r="W84" s="17">
        <f t="shared" si="1127"/>
        <v>0</v>
      </c>
      <c r="X84" s="17">
        <f t="shared" si="1128"/>
        <v>0</v>
      </c>
      <c r="Y84" s="17">
        <f t="shared" si="1129"/>
        <v>0</v>
      </c>
      <c r="Z84" s="17">
        <f t="shared" si="1130"/>
        <v>0</v>
      </c>
      <c r="AA84" s="17">
        <f t="shared" si="1131"/>
        <v>0</v>
      </c>
      <c r="AB84" s="17">
        <f t="shared" si="1132"/>
        <v>0</v>
      </c>
      <c r="AC84" s="17">
        <f t="shared" si="1133"/>
        <v>0</v>
      </c>
      <c r="AD84" s="17">
        <f t="shared" si="1134"/>
        <v>0</v>
      </c>
      <c r="AE84" s="17">
        <f t="shared" si="1135"/>
        <v>0</v>
      </c>
      <c r="AF84" s="17">
        <f t="shared" si="1136"/>
        <v>0</v>
      </c>
      <c r="AG84" s="17">
        <f t="shared" si="1137"/>
        <v>0</v>
      </c>
      <c r="AH84" s="17">
        <f t="shared" si="1138"/>
        <v>0</v>
      </c>
      <c r="AI84" s="17">
        <f t="shared" si="1139"/>
        <v>0</v>
      </c>
      <c r="AJ84" s="17">
        <f t="shared" si="1140"/>
        <v>0</v>
      </c>
      <c r="AK84" s="17">
        <f t="shared" si="1141"/>
        <v>0</v>
      </c>
      <c r="AL84" s="17">
        <f t="shared" si="1142"/>
        <v>0</v>
      </c>
      <c r="AM84" s="17">
        <f t="shared" si="1143"/>
        <v>0</v>
      </c>
      <c r="AN84" s="17">
        <f t="shared" si="1144"/>
        <v>0</v>
      </c>
      <c r="AO84" s="17">
        <f t="shared" si="1145"/>
        <v>0</v>
      </c>
      <c r="AP84" s="17">
        <f t="shared" si="1146"/>
        <v>0</v>
      </c>
      <c r="AQ84" s="17">
        <f t="shared" si="1147"/>
        <v>0</v>
      </c>
      <c r="AR84" s="17">
        <f t="shared" si="1148"/>
        <v>0</v>
      </c>
      <c r="AS84" s="17">
        <f t="shared" si="1149"/>
        <v>0</v>
      </c>
      <c r="AT84" s="17">
        <f t="shared" si="1150"/>
        <v>0</v>
      </c>
      <c r="AU84" s="54">
        <f t="shared" si="1151"/>
        <v>0</v>
      </c>
      <c r="AV84" s="58">
        <f t="shared" si="1006"/>
        <v>0</v>
      </c>
      <c r="AW84" s="58">
        <f t="shared" ca="1" si="1007"/>
        <v>0</v>
      </c>
      <c r="AX84" s="50">
        <f t="shared" si="1152"/>
        <v>0</v>
      </c>
      <c r="AY84" s="17">
        <f t="shared" si="1153"/>
        <v>0</v>
      </c>
      <c r="AZ84" s="17">
        <f t="shared" si="1154"/>
        <v>0</v>
      </c>
      <c r="BA84" s="17">
        <f t="shared" si="1155"/>
        <v>0</v>
      </c>
      <c r="BB84" s="17">
        <f t="shared" si="1156"/>
        <v>0</v>
      </c>
      <c r="BC84" s="17">
        <f t="shared" si="1157"/>
        <v>0</v>
      </c>
      <c r="BD84" s="17">
        <f t="shared" si="1158"/>
        <v>0</v>
      </c>
      <c r="BE84" s="17">
        <f t="shared" si="1159"/>
        <v>0</v>
      </c>
      <c r="BF84" s="17">
        <f t="shared" si="1160"/>
        <v>0</v>
      </c>
      <c r="BG84" s="17">
        <f t="shared" si="1161"/>
        <v>0</v>
      </c>
      <c r="BH84" s="17">
        <f t="shared" si="1162"/>
        <v>0</v>
      </c>
      <c r="BI84" s="17">
        <f t="shared" si="1163"/>
        <v>0</v>
      </c>
      <c r="BJ84" s="17">
        <f t="shared" si="1164"/>
        <v>0</v>
      </c>
      <c r="BK84" s="17">
        <f t="shared" si="1165"/>
        <v>0</v>
      </c>
      <c r="BL84" s="17">
        <f t="shared" si="1166"/>
        <v>0</v>
      </c>
      <c r="BM84" s="17">
        <f t="shared" si="1167"/>
        <v>0</v>
      </c>
      <c r="BN84" s="17">
        <f t="shared" si="1168"/>
        <v>0</v>
      </c>
      <c r="BO84" s="17">
        <f t="shared" si="1169"/>
        <v>0</v>
      </c>
      <c r="BP84" s="17">
        <f t="shared" si="1170"/>
        <v>0</v>
      </c>
      <c r="BQ84" s="17">
        <f t="shared" si="1171"/>
        <v>0</v>
      </c>
      <c r="BR84" s="17">
        <f t="shared" si="1172"/>
        <v>0</v>
      </c>
      <c r="BS84" s="17">
        <f t="shared" si="1173"/>
        <v>0</v>
      </c>
      <c r="BT84" s="17">
        <f t="shared" si="1174"/>
        <v>0</v>
      </c>
      <c r="BU84" s="17">
        <f t="shared" si="1175"/>
        <v>0</v>
      </c>
      <c r="BV84" s="17">
        <f t="shared" si="1176"/>
        <v>0</v>
      </c>
      <c r="BW84" s="17">
        <f t="shared" si="1177"/>
        <v>0</v>
      </c>
      <c r="BX84" s="17">
        <f t="shared" si="1178"/>
        <v>0</v>
      </c>
      <c r="BY84" s="17">
        <f t="shared" si="1179"/>
        <v>0</v>
      </c>
      <c r="BZ84" s="17">
        <f t="shared" si="1180"/>
        <v>0</v>
      </c>
      <c r="CA84" s="17">
        <f t="shared" si="1181"/>
        <v>0</v>
      </c>
      <c r="CB84" s="54">
        <f t="shared" si="1182"/>
        <v>0</v>
      </c>
      <c r="CC84" s="58">
        <f t="shared" si="1115"/>
        <v>0</v>
      </c>
      <c r="CD84" s="58">
        <f t="shared" ca="1" si="1009"/>
        <v>0</v>
      </c>
      <c r="JJ84" s="4" t="s">
        <v>13</v>
      </c>
      <c r="JK84" s="152" t="str">
        <f t="shared" si="1010"/>
        <v>SGD01-PHR-MIO-00</v>
      </c>
      <c r="JL84" s="163">
        <v>0</v>
      </c>
      <c r="JM84" s="158">
        <v>0</v>
      </c>
      <c r="JN84" s="158">
        <v>0</v>
      </c>
      <c r="JO84" s="159">
        <v>0</v>
      </c>
      <c r="JP84" s="158">
        <v>0</v>
      </c>
      <c r="JQ84" s="158">
        <v>0</v>
      </c>
      <c r="JR84" s="158">
        <v>0</v>
      </c>
      <c r="JS84" s="158">
        <v>0</v>
      </c>
      <c r="JT84" s="158">
        <v>0</v>
      </c>
      <c r="JU84" s="158">
        <v>0</v>
      </c>
      <c r="JV84" s="158">
        <v>0</v>
      </c>
      <c r="JW84" s="159">
        <v>0</v>
      </c>
      <c r="JX84" s="159">
        <v>0</v>
      </c>
      <c r="JY84" s="159">
        <v>0</v>
      </c>
      <c r="JZ84" s="158"/>
      <c r="KA84" s="158"/>
      <c r="KB84" s="158"/>
      <c r="KC84" s="158"/>
      <c r="KD84" s="158"/>
      <c r="KE84" s="158"/>
      <c r="KF84" s="158"/>
      <c r="KG84" s="158"/>
      <c r="KH84" s="159"/>
      <c r="KI84" s="159"/>
      <c r="KJ84" s="158"/>
      <c r="KK84" s="158"/>
      <c r="KL84" s="158"/>
      <c r="KM84" s="158"/>
      <c r="KN84" s="158"/>
      <c r="KO84" s="158"/>
      <c r="KP84" s="164"/>
      <c r="KQ84" s="157">
        <v>0</v>
      </c>
      <c r="KR84" s="157">
        <v>0</v>
      </c>
      <c r="KS84" s="157">
        <v>0</v>
      </c>
      <c r="KT84" s="157">
        <v>0</v>
      </c>
      <c r="KU84" s="157">
        <v>0</v>
      </c>
      <c r="KV84" s="157">
        <v>0</v>
      </c>
      <c r="KW84" s="157">
        <v>0</v>
      </c>
      <c r="KX84" s="157">
        <v>0</v>
      </c>
      <c r="KY84" s="157">
        <v>0</v>
      </c>
      <c r="KZ84" s="157">
        <v>0</v>
      </c>
      <c r="LA84" s="157">
        <v>0</v>
      </c>
      <c r="LB84" s="157">
        <v>0</v>
      </c>
      <c r="LC84" s="157">
        <v>0</v>
      </c>
      <c r="LD84" s="157">
        <v>0</v>
      </c>
      <c r="LE84" s="157"/>
      <c r="LF84" s="157"/>
      <c r="LG84" s="157"/>
      <c r="LH84" s="157"/>
      <c r="LI84" s="157"/>
      <c r="LJ84" s="157"/>
      <c r="LK84" s="157"/>
      <c r="LL84" s="157"/>
      <c r="LM84" s="157"/>
      <c r="LN84" s="157"/>
      <c r="LO84" s="157"/>
      <c r="LP84" s="157"/>
      <c r="LQ84" s="157"/>
      <c r="LR84" s="157"/>
      <c r="LS84" s="157"/>
      <c r="LT84" s="5"/>
      <c r="LU84" s="8"/>
    </row>
    <row r="85" spans="1:333" ht="16.2" customHeight="1">
      <c r="A85" s="37" t="s">
        <v>19</v>
      </c>
      <c r="B85" s="18" t="s">
        <v>105</v>
      </c>
      <c r="C85" s="19" t="s">
        <v>324</v>
      </c>
      <c r="D85" s="20" t="s">
        <v>325</v>
      </c>
      <c r="E85" s="21" t="s">
        <v>129</v>
      </c>
      <c r="F85" s="18" t="s">
        <v>497</v>
      </c>
      <c r="G85" s="18" t="s">
        <v>130</v>
      </c>
      <c r="H85" s="22">
        <v>41688</v>
      </c>
      <c r="I85" s="20" t="s">
        <v>120</v>
      </c>
      <c r="J85" s="23">
        <v>6</v>
      </c>
      <c r="K85" s="97">
        <f t="shared" ref="K85:L85" si="1183">SUM(K78:K84)</f>
        <v>1</v>
      </c>
      <c r="L85" s="97">
        <f t="shared" si="1183"/>
        <v>4</v>
      </c>
      <c r="M85" s="97">
        <f t="shared" ref="M85" si="1184">SUM(M78:M84)</f>
        <v>5</v>
      </c>
      <c r="N85" s="97">
        <f t="shared" ref="N85" si="1185">SUM(N78:N84)</f>
        <v>1</v>
      </c>
      <c r="O85" s="97">
        <f t="shared" ref="O85" si="1186">SUM(O78:O84)</f>
        <v>5</v>
      </c>
      <c r="P85" s="47">
        <f t="shared" ref="P85:AU85" si="1187">SUM(P78:P84)</f>
        <v>5</v>
      </c>
      <c r="Q85" s="51">
        <f t="shared" si="1187"/>
        <v>5</v>
      </c>
      <c r="R85" s="24">
        <f t="shared" si="1187"/>
        <v>5</v>
      </c>
      <c r="S85" s="24">
        <f t="shared" si="1187"/>
        <v>4</v>
      </c>
      <c r="T85" s="24">
        <f t="shared" si="1187"/>
        <v>0</v>
      </c>
      <c r="U85" s="24">
        <f t="shared" si="1187"/>
        <v>5</v>
      </c>
      <c r="V85" s="24">
        <f t="shared" si="1187"/>
        <v>4</v>
      </c>
      <c r="W85" s="24">
        <f t="shared" si="1187"/>
        <v>5</v>
      </c>
      <c r="X85" s="24">
        <f t="shared" si="1187"/>
        <v>5</v>
      </c>
      <c r="Y85" s="24">
        <f t="shared" si="1187"/>
        <v>5</v>
      </c>
      <c r="Z85" s="24">
        <f t="shared" si="1187"/>
        <v>5</v>
      </c>
      <c r="AA85" s="24">
        <f t="shared" si="1187"/>
        <v>0</v>
      </c>
      <c r="AB85" s="24">
        <f t="shared" si="1187"/>
        <v>4</v>
      </c>
      <c r="AC85" s="24">
        <f t="shared" si="1187"/>
        <v>5</v>
      </c>
      <c r="AD85" s="24">
        <f t="shared" si="1187"/>
        <v>4</v>
      </c>
      <c r="AE85" s="24">
        <f t="shared" si="1187"/>
        <v>0</v>
      </c>
      <c r="AF85" s="24">
        <f t="shared" si="1187"/>
        <v>0</v>
      </c>
      <c r="AG85" s="24">
        <f t="shared" si="1187"/>
        <v>0</v>
      </c>
      <c r="AH85" s="24">
        <f t="shared" si="1187"/>
        <v>0</v>
      </c>
      <c r="AI85" s="24">
        <f t="shared" si="1187"/>
        <v>0</v>
      </c>
      <c r="AJ85" s="24">
        <f t="shared" si="1187"/>
        <v>0</v>
      </c>
      <c r="AK85" s="24">
        <f t="shared" si="1187"/>
        <v>0</v>
      </c>
      <c r="AL85" s="24">
        <f t="shared" si="1187"/>
        <v>0</v>
      </c>
      <c r="AM85" s="24">
        <f t="shared" si="1187"/>
        <v>0</v>
      </c>
      <c r="AN85" s="24">
        <f t="shared" si="1187"/>
        <v>0</v>
      </c>
      <c r="AO85" s="24">
        <f t="shared" si="1187"/>
        <v>0</v>
      </c>
      <c r="AP85" s="24">
        <f t="shared" si="1187"/>
        <v>0</v>
      </c>
      <c r="AQ85" s="24">
        <f t="shared" si="1187"/>
        <v>0</v>
      </c>
      <c r="AR85" s="24">
        <f t="shared" si="1187"/>
        <v>0</v>
      </c>
      <c r="AS85" s="24">
        <f t="shared" si="1187"/>
        <v>0</v>
      </c>
      <c r="AT85" s="24">
        <f t="shared" si="1187"/>
        <v>0</v>
      </c>
      <c r="AU85" s="55">
        <f t="shared" si="1187"/>
        <v>0</v>
      </c>
      <c r="AV85" s="59">
        <f t="shared" si="1006"/>
        <v>56</v>
      </c>
      <c r="AW85" s="59">
        <f t="shared" ca="1" si="1007"/>
        <v>0.86153846153846148</v>
      </c>
      <c r="AX85" s="51">
        <f t="shared" ref="AX85" si="1188">SUM(AX78:AX84)</f>
        <v>45</v>
      </c>
      <c r="AY85" s="24">
        <f t="shared" ref="AY85" si="1189">SUM(AY78:AY84)</f>
        <v>23</v>
      </c>
      <c r="AZ85" s="24">
        <f t="shared" ref="AZ85" si="1190">SUM(AZ78:AZ84)</f>
        <v>39</v>
      </c>
      <c r="BA85" s="24">
        <f t="shared" ref="BA85" si="1191">SUM(BA78:BA84)</f>
        <v>0</v>
      </c>
      <c r="BB85" s="24">
        <f t="shared" ref="BB85" si="1192">SUM(BB78:BB84)</f>
        <v>45</v>
      </c>
      <c r="BC85" s="24">
        <f t="shared" ref="BC85" si="1193">SUM(BC78:BC84)</f>
        <v>42</v>
      </c>
      <c r="BD85" s="24">
        <f t="shared" ref="BD85" si="1194">SUM(BD78:BD84)</f>
        <v>29</v>
      </c>
      <c r="BE85" s="24">
        <f t="shared" ref="BE85" si="1195">SUM(BE78:BE84)</f>
        <v>42</v>
      </c>
      <c r="BF85" s="24">
        <f t="shared" ref="BF85" si="1196">SUM(BF78:BF84)</f>
        <v>38</v>
      </c>
      <c r="BG85" s="24">
        <f t="shared" ref="BG85" si="1197">SUM(BG78:BG84)</f>
        <v>46</v>
      </c>
      <c r="BH85" s="24">
        <f t="shared" ref="BH85" si="1198">SUM(BH78:BH84)</f>
        <v>0</v>
      </c>
      <c r="BI85" s="24">
        <f t="shared" ref="BI85" si="1199">SUM(BI78:BI84)</f>
        <v>33</v>
      </c>
      <c r="BJ85" s="24">
        <f t="shared" ref="BJ85" si="1200">SUM(BJ78:BJ84)</f>
        <v>38</v>
      </c>
      <c r="BK85" s="24">
        <f t="shared" ref="BK85" si="1201">SUM(BK78:BK84)</f>
        <v>2</v>
      </c>
      <c r="BL85" s="24">
        <f t="shared" ref="BL85" si="1202">SUM(BL78:BL84)</f>
        <v>0</v>
      </c>
      <c r="BM85" s="24">
        <f t="shared" ref="BM85" si="1203">SUM(BM78:BM84)</f>
        <v>0</v>
      </c>
      <c r="BN85" s="24">
        <f t="shared" ref="BN85" si="1204">SUM(BN78:BN84)</f>
        <v>0</v>
      </c>
      <c r="BO85" s="24">
        <f t="shared" ref="BO85" si="1205">SUM(BO78:BO84)</f>
        <v>0</v>
      </c>
      <c r="BP85" s="24">
        <f t="shared" ref="BP85" si="1206">SUM(BP78:BP84)</f>
        <v>0</v>
      </c>
      <c r="BQ85" s="24">
        <f t="shared" ref="BQ85" si="1207">SUM(BQ78:BQ84)</f>
        <v>0</v>
      </c>
      <c r="BR85" s="24">
        <f t="shared" ref="BR85" si="1208">SUM(BR78:BR84)</f>
        <v>0</v>
      </c>
      <c r="BS85" s="24">
        <f t="shared" ref="BS85" si="1209">SUM(BS78:BS84)</f>
        <v>0</v>
      </c>
      <c r="BT85" s="24">
        <f t="shared" ref="BT85" si="1210">SUM(BT78:BT84)</f>
        <v>0</v>
      </c>
      <c r="BU85" s="24">
        <f t="shared" ref="BU85" si="1211">SUM(BU78:BU84)</f>
        <v>0</v>
      </c>
      <c r="BV85" s="24">
        <f t="shared" ref="BV85" si="1212">SUM(BV78:BV84)</f>
        <v>0</v>
      </c>
      <c r="BW85" s="24">
        <f t="shared" ref="BW85" si="1213">SUM(BW78:BW84)</f>
        <v>0</v>
      </c>
      <c r="BX85" s="24">
        <f t="shared" ref="BX85" si="1214">SUM(BX78:BX84)</f>
        <v>0</v>
      </c>
      <c r="BY85" s="24">
        <f t="shared" ref="BY85" si="1215">SUM(BY78:BY84)</f>
        <v>0</v>
      </c>
      <c r="BZ85" s="24">
        <f t="shared" ref="BZ85" si="1216">SUM(BZ78:BZ84)</f>
        <v>0</v>
      </c>
      <c r="CA85" s="24">
        <f t="shared" ref="CA85" si="1217">SUM(CA78:CA84)</f>
        <v>0</v>
      </c>
      <c r="CB85" s="55">
        <f t="shared" ref="CB85" si="1218">SUM(CB78:CB84)</f>
        <v>0</v>
      </c>
      <c r="CC85" s="59">
        <f t="shared" si="1115"/>
        <v>422</v>
      </c>
      <c r="CD85" s="59">
        <f t="shared" ca="1" si="1009"/>
        <v>6.4923076923076923</v>
      </c>
      <c r="JJ85" s="4" t="s">
        <v>13</v>
      </c>
      <c r="JK85" s="153" t="str">
        <f t="shared" si="1010"/>
        <v>SGD01-PHR-ASM-01</v>
      </c>
      <c r="JL85" s="163">
        <v>0</v>
      </c>
      <c r="JM85" s="158">
        <v>0</v>
      </c>
      <c r="JN85" s="158">
        <v>0</v>
      </c>
      <c r="JO85" s="159">
        <v>0</v>
      </c>
      <c r="JP85" s="158">
        <v>0</v>
      </c>
      <c r="JQ85" s="158">
        <v>0</v>
      </c>
      <c r="JR85" s="158">
        <v>0</v>
      </c>
      <c r="JS85" s="158">
        <v>0</v>
      </c>
      <c r="JT85" s="158">
        <v>0</v>
      </c>
      <c r="JU85" s="158">
        <v>0</v>
      </c>
      <c r="JV85" s="158">
        <v>0</v>
      </c>
      <c r="JW85" s="159">
        <v>0</v>
      </c>
      <c r="JX85" s="159">
        <v>0</v>
      </c>
      <c r="JY85" s="159">
        <v>0</v>
      </c>
      <c r="JZ85" s="158"/>
      <c r="KA85" s="158"/>
      <c r="KB85" s="158"/>
      <c r="KC85" s="158"/>
      <c r="KD85" s="158"/>
      <c r="KE85" s="158"/>
      <c r="KF85" s="158"/>
      <c r="KG85" s="158"/>
      <c r="KH85" s="159"/>
      <c r="KI85" s="159"/>
      <c r="KJ85" s="158"/>
      <c r="KK85" s="158"/>
      <c r="KL85" s="158"/>
      <c r="KM85" s="158"/>
      <c r="KN85" s="158"/>
      <c r="KO85" s="158"/>
      <c r="KP85" s="164"/>
      <c r="KQ85" s="157">
        <v>0</v>
      </c>
      <c r="KR85" s="157">
        <v>0</v>
      </c>
      <c r="KS85" s="157">
        <v>0</v>
      </c>
      <c r="KT85" s="157">
        <v>0</v>
      </c>
      <c r="KU85" s="157">
        <v>0</v>
      </c>
      <c r="KV85" s="157">
        <v>0</v>
      </c>
      <c r="KW85" s="157">
        <v>0</v>
      </c>
      <c r="KX85" s="157">
        <v>0</v>
      </c>
      <c r="KY85" s="157">
        <v>0</v>
      </c>
      <c r="KZ85" s="157">
        <v>0</v>
      </c>
      <c r="LA85" s="157">
        <v>0</v>
      </c>
      <c r="LB85" s="157">
        <v>0</v>
      </c>
      <c r="LC85" s="157">
        <v>0</v>
      </c>
      <c r="LD85" s="157">
        <v>0</v>
      </c>
      <c r="LE85" s="157"/>
      <c r="LF85" s="157"/>
      <c r="LG85" s="157"/>
      <c r="LH85" s="157"/>
      <c r="LI85" s="157"/>
      <c r="LJ85" s="157"/>
      <c r="LK85" s="157"/>
      <c r="LL85" s="157"/>
      <c r="LM85" s="157"/>
      <c r="LN85" s="157"/>
      <c r="LO85" s="157"/>
      <c r="LP85" s="157"/>
      <c r="LQ85" s="157"/>
      <c r="LR85" s="157"/>
      <c r="LS85" s="157"/>
      <c r="LT85" s="5"/>
      <c r="LU85" s="8"/>
    </row>
    <row r="86" spans="1:333" ht="16.2" customHeight="1">
      <c r="A86" s="38" t="s">
        <v>9</v>
      </c>
      <c r="B86" s="25" t="s">
        <v>105</v>
      </c>
      <c r="C86" s="26" t="s">
        <v>391</v>
      </c>
      <c r="D86" s="25" t="s">
        <v>326</v>
      </c>
      <c r="E86" s="27" t="s">
        <v>132</v>
      </c>
      <c r="F86" s="25" t="s">
        <v>498</v>
      </c>
      <c r="G86" s="25" t="s">
        <v>133</v>
      </c>
      <c r="H86" s="28">
        <v>45111</v>
      </c>
      <c r="I86" s="29" t="s">
        <v>327</v>
      </c>
      <c r="J86" s="30">
        <v>1</v>
      </c>
      <c r="K86" s="147">
        <v>0</v>
      </c>
      <c r="L86" s="147">
        <f t="shared" ref="L86:L95" si="1219">IFERROR(IF(OR(AD86&gt;0),1,0),0)</f>
        <v>1</v>
      </c>
      <c r="M86" s="147">
        <f t="shared" ref="M86:M95" si="1220">IFERROR(IF(OR(AV86&gt;0),1,0),0)</f>
        <v>1</v>
      </c>
      <c r="N86" s="147">
        <f t="shared" ref="N86:N95" si="1221">IFERROR(IF(OR(BK86&gt;0),1,0),0)</f>
        <v>0</v>
      </c>
      <c r="O86" s="147">
        <f t="shared" ref="O86:O95" si="1222">IFERROR(IF(OR(CC86&gt;0),1,0),0)</f>
        <v>1</v>
      </c>
      <c r="P86" s="148">
        <f t="shared" ref="P86:P95" si="1223">IFERROR(IF(OR(AV86&gt;0,CC86&gt;0),1,0),0)</f>
        <v>1</v>
      </c>
      <c r="Q86" s="50">
        <f t="shared" ref="Q86:Q95" si="1224">JL86</f>
        <v>1</v>
      </c>
      <c r="R86" s="17">
        <f t="shared" ref="R86:R95" si="1225">JM86</f>
        <v>1</v>
      </c>
      <c r="S86" s="17">
        <f t="shared" ref="S86:S95" si="1226">JN86</f>
        <v>1</v>
      </c>
      <c r="T86" s="17">
        <f t="shared" ref="T86:T95" si="1227">JO86</f>
        <v>0</v>
      </c>
      <c r="U86" s="17">
        <f t="shared" ref="U86:U95" si="1228">JP86</f>
        <v>1</v>
      </c>
      <c r="V86" s="17">
        <f t="shared" ref="V86:V95" si="1229">JQ86</f>
        <v>1</v>
      </c>
      <c r="W86" s="17">
        <f t="shared" ref="W86:W95" si="1230">JR86</f>
        <v>1</v>
      </c>
      <c r="X86" s="17">
        <f t="shared" ref="X86:X95" si="1231">JS86</f>
        <v>1</v>
      </c>
      <c r="Y86" s="17">
        <f t="shared" ref="Y86:Y95" si="1232">JT86</f>
        <v>1</v>
      </c>
      <c r="Z86" s="17">
        <f t="shared" ref="Z86:Z95" si="1233">JU86</f>
        <v>1</v>
      </c>
      <c r="AA86" s="17">
        <f t="shared" ref="AA86:AA95" si="1234">JV86</f>
        <v>0</v>
      </c>
      <c r="AB86" s="17">
        <f t="shared" ref="AB86:AB95" si="1235">JW86</f>
        <v>1</v>
      </c>
      <c r="AC86" s="17">
        <f t="shared" ref="AC86:AC95" si="1236">JX86</f>
        <v>1</v>
      </c>
      <c r="AD86" s="17">
        <f t="shared" ref="AD86:AD95" si="1237">JY86</f>
        <v>1</v>
      </c>
      <c r="AE86" s="17">
        <f t="shared" ref="AE86:AE95" si="1238">JZ86</f>
        <v>0</v>
      </c>
      <c r="AF86" s="17">
        <f t="shared" ref="AF86:AF95" si="1239">KA86</f>
        <v>0</v>
      </c>
      <c r="AG86" s="17">
        <f t="shared" ref="AG86:AG95" si="1240">KB86</f>
        <v>0</v>
      </c>
      <c r="AH86" s="17">
        <f t="shared" ref="AH86:AH95" si="1241">KC86</f>
        <v>0</v>
      </c>
      <c r="AI86" s="17">
        <f t="shared" ref="AI86:AI95" si="1242">KD86</f>
        <v>0</v>
      </c>
      <c r="AJ86" s="17">
        <f t="shared" ref="AJ86:AJ95" si="1243">KE86</f>
        <v>0</v>
      </c>
      <c r="AK86" s="17">
        <f t="shared" ref="AK86:AK95" si="1244">KF86</f>
        <v>0</v>
      </c>
      <c r="AL86" s="17">
        <f t="shared" ref="AL86:AL95" si="1245">KG86</f>
        <v>0</v>
      </c>
      <c r="AM86" s="17">
        <f t="shared" ref="AM86:AM95" si="1246">KH86</f>
        <v>0</v>
      </c>
      <c r="AN86" s="17">
        <f t="shared" ref="AN86:AN95" si="1247">KI86</f>
        <v>0</v>
      </c>
      <c r="AO86" s="17">
        <f t="shared" ref="AO86:AO95" si="1248">KJ86</f>
        <v>0</v>
      </c>
      <c r="AP86" s="17">
        <f t="shared" ref="AP86:AP95" si="1249">KK86</f>
        <v>0</v>
      </c>
      <c r="AQ86" s="17">
        <f t="shared" ref="AQ86:AQ95" si="1250">KL86</f>
        <v>0</v>
      </c>
      <c r="AR86" s="17">
        <f t="shared" ref="AR86:AR95" si="1251">KM86</f>
        <v>0</v>
      </c>
      <c r="AS86" s="17">
        <f t="shared" ref="AS86:AS95" si="1252">KN86</f>
        <v>0</v>
      </c>
      <c r="AT86" s="17">
        <f t="shared" ref="AT86:AT95" si="1253">KO86</f>
        <v>0</v>
      </c>
      <c r="AU86" s="54">
        <f t="shared" ref="AU86:AU95" si="1254">KP86</f>
        <v>0</v>
      </c>
      <c r="AV86" s="58">
        <f t="shared" si="1006"/>
        <v>12</v>
      </c>
      <c r="AW86" s="58">
        <f t="shared" ca="1" si="1007"/>
        <v>0.92307692307692313</v>
      </c>
      <c r="AX86" s="50">
        <f t="shared" ref="AX86:AX95" si="1255">KQ86</f>
        <v>0</v>
      </c>
      <c r="AY86" s="17">
        <f t="shared" ref="AY86:AY95" si="1256">KR86</f>
        <v>0</v>
      </c>
      <c r="AZ86" s="17">
        <f t="shared" ref="AZ86:AZ95" si="1257">KS86</f>
        <v>9</v>
      </c>
      <c r="BA86" s="17">
        <f t="shared" ref="BA86:BA95" si="1258">KT86</f>
        <v>0</v>
      </c>
      <c r="BB86" s="17">
        <f t="shared" ref="BB86:BB95" si="1259">KU86</f>
        <v>6</v>
      </c>
      <c r="BC86" s="17">
        <f t="shared" ref="BC86:BC95" si="1260">KV86</f>
        <v>9</v>
      </c>
      <c r="BD86" s="17">
        <f t="shared" ref="BD86:BD95" si="1261">KW86</f>
        <v>10</v>
      </c>
      <c r="BE86" s="17">
        <f t="shared" ref="BE86:BE95" si="1262">KX86</f>
        <v>4</v>
      </c>
      <c r="BF86" s="17">
        <f t="shared" ref="BF86:BF95" si="1263">KY86</f>
        <v>0</v>
      </c>
      <c r="BG86" s="17">
        <f t="shared" ref="BG86:BG95" si="1264">KZ86</f>
        <v>5</v>
      </c>
      <c r="BH86" s="17">
        <f t="shared" ref="BH86:BH95" si="1265">LA86</f>
        <v>0</v>
      </c>
      <c r="BI86" s="17">
        <f t="shared" ref="BI86:BI95" si="1266">LB86</f>
        <v>3</v>
      </c>
      <c r="BJ86" s="17">
        <f t="shared" ref="BJ86:BJ95" si="1267">LC86</f>
        <v>1</v>
      </c>
      <c r="BK86" s="17">
        <f t="shared" ref="BK86:BK95" si="1268">LD86</f>
        <v>0</v>
      </c>
      <c r="BL86" s="17">
        <f t="shared" ref="BL86:BL95" si="1269">LE86</f>
        <v>0</v>
      </c>
      <c r="BM86" s="17">
        <f t="shared" ref="BM86:BM95" si="1270">LF86</f>
        <v>0</v>
      </c>
      <c r="BN86" s="17">
        <f t="shared" ref="BN86:BN95" si="1271">LG86</f>
        <v>0</v>
      </c>
      <c r="BO86" s="17">
        <f t="shared" ref="BO86:BO95" si="1272">LH86</f>
        <v>0</v>
      </c>
      <c r="BP86" s="17">
        <f t="shared" ref="BP86:BP95" si="1273">LI86</f>
        <v>0</v>
      </c>
      <c r="BQ86" s="17">
        <f t="shared" ref="BQ86:BQ95" si="1274">LJ86</f>
        <v>0</v>
      </c>
      <c r="BR86" s="17">
        <f t="shared" ref="BR86:BR95" si="1275">LK86</f>
        <v>0</v>
      </c>
      <c r="BS86" s="17">
        <f t="shared" ref="BS86:BS95" si="1276">LL86</f>
        <v>0</v>
      </c>
      <c r="BT86" s="17">
        <f t="shared" ref="BT86:BT95" si="1277">LM86</f>
        <v>0</v>
      </c>
      <c r="BU86" s="17">
        <f t="shared" ref="BU86:BU95" si="1278">LN86</f>
        <v>0</v>
      </c>
      <c r="BV86" s="17">
        <f t="shared" ref="BV86:BV95" si="1279">LO86</f>
        <v>0</v>
      </c>
      <c r="BW86" s="17">
        <f t="shared" ref="BW86:BW95" si="1280">LP86</f>
        <v>0</v>
      </c>
      <c r="BX86" s="17">
        <f t="shared" ref="BX86:BX95" si="1281">LQ86</f>
        <v>0</v>
      </c>
      <c r="BY86" s="17">
        <f t="shared" ref="BY86:BY95" si="1282">LR86</f>
        <v>0</v>
      </c>
      <c r="BZ86" s="17">
        <f t="shared" ref="BZ86:BZ95" si="1283">LS86</f>
        <v>0</v>
      </c>
      <c r="CA86" s="17">
        <f t="shared" ref="CA86:CA95" si="1284">LT86</f>
        <v>0</v>
      </c>
      <c r="CB86" s="54">
        <f t="shared" ref="CB86:CB95" si="1285">LU86</f>
        <v>0</v>
      </c>
      <c r="CC86" s="58">
        <f t="shared" si="1115"/>
        <v>47</v>
      </c>
      <c r="CD86" s="58">
        <f t="shared" ca="1" si="1009"/>
        <v>3.6153846153846154</v>
      </c>
      <c r="JJ86" s="4" t="s">
        <v>13</v>
      </c>
      <c r="JK86" s="152" t="str">
        <f t="shared" si="1010"/>
        <v>ISB01-PHR-MIO-01</v>
      </c>
      <c r="JL86" s="163">
        <v>1</v>
      </c>
      <c r="JM86" s="158">
        <v>1</v>
      </c>
      <c r="JN86" s="158">
        <v>1</v>
      </c>
      <c r="JO86" s="159">
        <v>0</v>
      </c>
      <c r="JP86" s="158">
        <v>1</v>
      </c>
      <c r="JQ86" s="158">
        <v>1</v>
      </c>
      <c r="JR86" s="158">
        <v>1</v>
      </c>
      <c r="JS86" s="158">
        <v>1</v>
      </c>
      <c r="JT86" s="158">
        <v>1</v>
      </c>
      <c r="JU86" s="158">
        <v>1</v>
      </c>
      <c r="JV86" s="158">
        <v>0</v>
      </c>
      <c r="JW86" s="159">
        <v>1</v>
      </c>
      <c r="JX86" s="159">
        <v>1</v>
      </c>
      <c r="JY86" s="159">
        <v>1</v>
      </c>
      <c r="JZ86" s="158"/>
      <c r="KA86" s="158"/>
      <c r="KB86" s="158"/>
      <c r="KC86" s="158"/>
      <c r="KD86" s="158"/>
      <c r="KE86" s="158"/>
      <c r="KF86" s="158"/>
      <c r="KG86" s="158"/>
      <c r="KH86" s="159"/>
      <c r="KI86" s="159"/>
      <c r="KJ86" s="158"/>
      <c r="KK86" s="158"/>
      <c r="KL86" s="158"/>
      <c r="KM86" s="158"/>
      <c r="KN86" s="158"/>
      <c r="KO86" s="158"/>
      <c r="KP86" s="164"/>
      <c r="KQ86" s="157">
        <v>0</v>
      </c>
      <c r="KR86" s="157">
        <v>0</v>
      </c>
      <c r="KS86" s="157">
        <v>9</v>
      </c>
      <c r="KT86" s="157">
        <v>0</v>
      </c>
      <c r="KU86" s="157">
        <v>6</v>
      </c>
      <c r="KV86" s="157">
        <v>9</v>
      </c>
      <c r="KW86" s="157">
        <v>10</v>
      </c>
      <c r="KX86" s="157">
        <v>4</v>
      </c>
      <c r="KY86" s="157">
        <v>0</v>
      </c>
      <c r="KZ86" s="157">
        <v>5</v>
      </c>
      <c r="LA86" s="157">
        <v>0</v>
      </c>
      <c r="LB86" s="157">
        <v>3</v>
      </c>
      <c r="LC86" s="157">
        <v>1</v>
      </c>
      <c r="LD86" s="157">
        <v>0</v>
      </c>
      <c r="LE86" s="157"/>
      <c r="LF86" s="157"/>
      <c r="LG86" s="157"/>
      <c r="LH86" s="157"/>
      <c r="LI86" s="157"/>
      <c r="LJ86" s="157"/>
      <c r="LK86" s="157"/>
      <c r="LL86" s="157"/>
      <c r="LM86" s="157"/>
      <c r="LN86" s="157"/>
      <c r="LO86" s="157"/>
      <c r="LP86" s="157"/>
      <c r="LQ86" s="157"/>
      <c r="LR86" s="157"/>
      <c r="LS86" s="157"/>
      <c r="LT86" s="5"/>
      <c r="LU86" s="8"/>
    </row>
    <row r="87" spans="1:333" ht="16.2" customHeight="1">
      <c r="A87" s="38" t="s">
        <v>9</v>
      </c>
      <c r="B87" s="25" t="s">
        <v>105</v>
      </c>
      <c r="C87" s="25" t="s">
        <v>391</v>
      </c>
      <c r="D87" s="25" t="s">
        <v>328</v>
      </c>
      <c r="E87" s="27" t="s">
        <v>134</v>
      </c>
      <c r="F87" s="25" t="s">
        <v>538</v>
      </c>
      <c r="G87" s="25" t="s">
        <v>329</v>
      </c>
      <c r="H87" s="28">
        <v>46128</v>
      </c>
      <c r="I87" s="29" t="s">
        <v>330</v>
      </c>
      <c r="J87" s="30">
        <v>1</v>
      </c>
      <c r="K87" s="147">
        <v>1</v>
      </c>
      <c r="L87" s="147">
        <f t="shared" si="1219"/>
        <v>0</v>
      </c>
      <c r="M87" s="147">
        <f t="shared" si="1220"/>
        <v>0</v>
      </c>
      <c r="N87" s="147">
        <f t="shared" si="1221"/>
        <v>0</v>
      </c>
      <c r="O87" s="147">
        <f t="shared" si="1222"/>
        <v>0</v>
      </c>
      <c r="P87" s="148">
        <f t="shared" si="1223"/>
        <v>0</v>
      </c>
      <c r="Q87" s="50">
        <f t="shared" si="1224"/>
        <v>0</v>
      </c>
      <c r="R87" s="17">
        <f t="shared" si="1225"/>
        <v>0</v>
      </c>
      <c r="S87" s="17">
        <f t="shared" si="1226"/>
        <v>0</v>
      </c>
      <c r="T87" s="17">
        <f t="shared" si="1227"/>
        <v>0</v>
      </c>
      <c r="U87" s="17">
        <f t="shared" si="1228"/>
        <v>0</v>
      </c>
      <c r="V87" s="17">
        <f t="shared" si="1229"/>
        <v>0</v>
      </c>
      <c r="W87" s="17">
        <f t="shared" si="1230"/>
        <v>0</v>
      </c>
      <c r="X87" s="17">
        <f t="shared" si="1231"/>
        <v>0</v>
      </c>
      <c r="Y87" s="17">
        <f t="shared" si="1232"/>
        <v>0</v>
      </c>
      <c r="Z87" s="17">
        <f t="shared" si="1233"/>
        <v>0</v>
      </c>
      <c r="AA87" s="17">
        <f t="shared" si="1234"/>
        <v>0</v>
      </c>
      <c r="AB87" s="17">
        <f t="shared" si="1235"/>
        <v>0</v>
      </c>
      <c r="AC87" s="17">
        <f t="shared" si="1236"/>
        <v>0</v>
      </c>
      <c r="AD87" s="17">
        <f t="shared" si="1237"/>
        <v>0</v>
      </c>
      <c r="AE87" s="17">
        <f t="shared" si="1238"/>
        <v>0</v>
      </c>
      <c r="AF87" s="17">
        <f t="shared" si="1239"/>
        <v>0</v>
      </c>
      <c r="AG87" s="17">
        <f t="shared" si="1240"/>
        <v>0</v>
      </c>
      <c r="AH87" s="17">
        <f t="shared" si="1241"/>
        <v>0</v>
      </c>
      <c r="AI87" s="17">
        <f t="shared" si="1242"/>
        <v>0</v>
      </c>
      <c r="AJ87" s="17">
        <f t="shared" si="1243"/>
        <v>0</v>
      </c>
      <c r="AK87" s="17">
        <f t="shared" si="1244"/>
        <v>0</v>
      </c>
      <c r="AL87" s="17">
        <f t="shared" si="1245"/>
        <v>0</v>
      </c>
      <c r="AM87" s="17">
        <f t="shared" si="1246"/>
        <v>0</v>
      </c>
      <c r="AN87" s="17">
        <f t="shared" si="1247"/>
        <v>0</v>
      </c>
      <c r="AO87" s="17">
        <f t="shared" si="1248"/>
        <v>0</v>
      </c>
      <c r="AP87" s="17">
        <f t="shared" si="1249"/>
        <v>0</v>
      </c>
      <c r="AQ87" s="17">
        <f t="shared" si="1250"/>
        <v>0</v>
      </c>
      <c r="AR87" s="17">
        <f t="shared" si="1251"/>
        <v>0</v>
      </c>
      <c r="AS87" s="17">
        <f t="shared" si="1252"/>
        <v>0</v>
      </c>
      <c r="AT87" s="17">
        <f t="shared" si="1253"/>
        <v>0</v>
      </c>
      <c r="AU87" s="54">
        <f t="shared" si="1254"/>
        <v>0</v>
      </c>
      <c r="AV87" s="58">
        <f t="shared" si="1006"/>
        <v>0</v>
      </c>
      <c r="AW87" s="58">
        <f t="shared" ca="1" si="1007"/>
        <v>0</v>
      </c>
      <c r="AX87" s="50">
        <f t="shared" si="1255"/>
        <v>0</v>
      </c>
      <c r="AY87" s="17">
        <f t="shared" si="1256"/>
        <v>0</v>
      </c>
      <c r="AZ87" s="17">
        <f t="shared" si="1257"/>
        <v>0</v>
      </c>
      <c r="BA87" s="17">
        <f t="shared" si="1258"/>
        <v>0</v>
      </c>
      <c r="BB87" s="17">
        <f t="shared" si="1259"/>
        <v>0</v>
      </c>
      <c r="BC87" s="17">
        <f t="shared" si="1260"/>
        <v>0</v>
      </c>
      <c r="BD87" s="17">
        <f t="shared" si="1261"/>
        <v>0</v>
      </c>
      <c r="BE87" s="17">
        <f t="shared" si="1262"/>
        <v>0</v>
      </c>
      <c r="BF87" s="17">
        <f t="shared" si="1263"/>
        <v>0</v>
      </c>
      <c r="BG87" s="17">
        <f t="shared" si="1264"/>
        <v>0</v>
      </c>
      <c r="BH87" s="17">
        <f t="shared" si="1265"/>
        <v>0</v>
      </c>
      <c r="BI87" s="17">
        <f t="shared" si="1266"/>
        <v>0</v>
      </c>
      <c r="BJ87" s="17">
        <f t="shared" si="1267"/>
        <v>0</v>
      </c>
      <c r="BK87" s="17">
        <f t="shared" si="1268"/>
        <v>0</v>
      </c>
      <c r="BL87" s="17">
        <f t="shared" si="1269"/>
        <v>0</v>
      </c>
      <c r="BM87" s="17">
        <f t="shared" si="1270"/>
        <v>0</v>
      </c>
      <c r="BN87" s="17">
        <f t="shared" si="1271"/>
        <v>0</v>
      </c>
      <c r="BO87" s="17">
        <f t="shared" si="1272"/>
        <v>0</v>
      </c>
      <c r="BP87" s="17">
        <f t="shared" si="1273"/>
        <v>0</v>
      </c>
      <c r="BQ87" s="17">
        <f t="shared" si="1274"/>
        <v>0</v>
      </c>
      <c r="BR87" s="17">
        <f t="shared" si="1275"/>
        <v>0</v>
      </c>
      <c r="BS87" s="17">
        <f t="shared" si="1276"/>
        <v>0</v>
      </c>
      <c r="BT87" s="17">
        <f t="shared" si="1277"/>
        <v>0</v>
      </c>
      <c r="BU87" s="17">
        <f t="shared" si="1278"/>
        <v>0</v>
      </c>
      <c r="BV87" s="17">
        <f t="shared" si="1279"/>
        <v>0</v>
      </c>
      <c r="BW87" s="17">
        <f t="shared" si="1280"/>
        <v>0</v>
      </c>
      <c r="BX87" s="17">
        <f t="shared" si="1281"/>
        <v>0</v>
      </c>
      <c r="BY87" s="17">
        <f t="shared" si="1282"/>
        <v>0</v>
      </c>
      <c r="BZ87" s="17">
        <f t="shared" si="1283"/>
        <v>0</v>
      </c>
      <c r="CA87" s="17">
        <f t="shared" si="1284"/>
        <v>0</v>
      </c>
      <c r="CB87" s="54">
        <f t="shared" si="1285"/>
        <v>0</v>
      </c>
      <c r="CC87" s="58">
        <f t="shared" si="1115"/>
        <v>0</v>
      </c>
      <c r="CD87" s="58">
        <f t="shared" ca="1" si="1009"/>
        <v>0</v>
      </c>
      <c r="JJ87" s="4" t="s">
        <v>13</v>
      </c>
      <c r="JK87" s="152" t="str">
        <f t="shared" si="1010"/>
        <v>ISB01-PHR-MIO-02</v>
      </c>
      <c r="JL87" s="163">
        <v>0</v>
      </c>
      <c r="JM87" s="158">
        <v>0</v>
      </c>
      <c r="JN87" s="158">
        <v>0</v>
      </c>
      <c r="JO87" s="159">
        <v>0</v>
      </c>
      <c r="JP87" s="158">
        <v>0</v>
      </c>
      <c r="JQ87" s="158">
        <v>0</v>
      </c>
      <c r="JR87" s="158">
        <v>0</v>
      </c>
      <c r="JS87" s="158">
        <v>0</v>
      </c>
      <c r="JT87" s="158">
        <v>0</v>
      </c>
      <c r="JU87" s="158">
        <v>0</v>
      </c>
      <c r="JV87" s="158">
        <v>0</v>
      </c>
      <c r="JW87" s="159">
        <v>0</v>
      </c>
      <c r="JX87" s="159">
        <v>0</v>
      </c>
      <c r="JY87" s="159">
        <v>0</v>
      </c>
      <c r="JZ87" s="158"/>
      <c r="KA87" s="158"/>
      <c r="KB87" s="158"/>
      <c r="KC87" s="158"/>
      <c r="KD87" s="158"/>
      <c r="KE87" s="158"/>
      <c r="KF87" s="158"/>
      <c r="KG87" s="158"/>
      <c r="KH87" s="159"/>
      <c r="KI87" s="159"/>
      <c r="KJ87" s="158"/>
      <c r="KK87" s="158"/>
      <c r="KL87" s="158"/>
      <c r="KM87" s="158"/>
      <c r="KN87" s="158"/>
      <c r="KO87" s="158"/>
      <c r="KP87" s="164"/>
      <c r="KQ87" s="157">
        <v>0</v>
      </c>
      <c r="KR87" s="157">
        <v>0</v>
      </c>
      <c r="KS87" s="157">
        <v>0</v>
      </c>
      <c r="KT87" s="157">
        <v>0</v>
      </c>
      <c r="KU87" s="157">
        <v>0</v>
      </c>
      <c r="KV87" s="157">
        <v>0</v>
      </c>
      <c r="KW87" s="157">
        <v>0</v>
      </c>
      <c r="KX87" s="157">
        <v>0</v>
      </c>
      <c r="KY87" s="157">
        <v>0</v>
      </c>
      <c r="KZ87" s="157">
        <v>0</v>
      </c>
      <c r="LA87" s="157">
        <v>0</v>
      </c>
      <c r="LB87" s="157">
        <v>0</v>
      </c>
      <c r="LC87" s="157">
        <v>0</v>
      </c>
      <c r="LD87" s="157">
        <v>0</v>
      </c>
      <c r="LE87" s="157"/>
      <c r="LF87" s="157"/>
      <c r="LG87" s="157"/>
      <c r="LH87" s="157"/>
      <c r="LI87" s="157"/>
      <c r="LJ87" s="157"/>
      <c r="LK87" s="157"/>
      <c r="LL87" s="157"/>
      <c r="LM87" s="157"/>
      <c r="LN87" s="157"/>
      <c r="LO87" s="157"/>
      <c r="LP87" s="157"/>
      <c r="LQ87" s="157"/>
      <c r="LR87" s="157"/>
      <c r="LS87" s="157"/>
      <c r="LT87" s="5"/>
      <c r="LU87" s="8"/>
    </row>
    <row r="88" spans="1:333" ht="16.2" customHeight="1">
      <c r="A88" s="38" t="s">
        <v>9</v>
      </c>
      <c r="B88" s="25" t="s">
        <v>105</v>
      </c>
      <c r="C88" s="25" t="s">
        <v>391</v>
      </c>
      <c r="D88" s="25" t="s">
        <v>331</v>
      </c>
      <c r="E88" s="27" t="s">
        <v>135</v>
      </c>
      <c r="F88" s="25" t="s">
        <v>499</v>
      </c>
      <c r="G88" s="25" t="s">
        <v>332</v>
      </c>
      <c r="H88" s="28">
        <v>46115</v>
      </c>
      <c r="I88" s="29" t="s">
        <v>333</v>
      </c>
      <c r="J88" s="30">
        <v>1</v>
      </c>
      <c r="K88" s="147">
        <v>0</v>
      </c>
      <c r="L88" s="147">
        <f t="shared" si="1219"/>
        <v>1</v>
      </c>
      <c r="M88" s="147">
        <f t="shared" si="1220"/>
        <v>1</v>
      </c>
      <c r="N88" s="147">
        <f t="shared" si="1221"/>
        <v>1</v>
      </c>
      <c r="O88" s="147">
        <f t="shared" si="1222"/>
        <v>1</v>
      </c>
      <c r="P88" s="148">
        <f t="shared" si="1223"/>
        <v>1</v>
      </c>
      <c r="Q88" s="50">
        <f t="shared" si="1224"/>
        <v>0</v>
      </c>
      <c r="R88" s="17">
        <f t="shared" si="1225"/>
        <v>1</v>
      </c>
      <c r="S88" s="17">
        <f t="shared" si="1226"/>
        <v>1</v>
      </c>
      <c r="T88" s="17">
        <f t="shared" si="1227"/>
        <v>0</v>
      </c>
      <c r="U88" s="17">
        <f t="shared" si="1228"/>
        <v>1</v>
      </c>
      <c r="V88" s="17">
        <f t="shared" si="1229"/>
        <v>1</v>
      </c>
      <c r="W88" s="17">
        <f t="shared" si="1230"/>
        <v>1</v>
      </c>
      <c r="X88" s="17">
        <f t="shared" si="1231"/>
        <v>1</v>
      </c>
      <c r="Y88" s="17">
        <f t="shared" si="1232"/>
        <v>0</v>
      </c>
      <c r="Z88" s="17">
        <f t="shared" si="1233"/>
        <v>0</v>
      </c>
      <c r="AA88" s="17">
        <f t="shared" si="1234"/>
        <v>0</v>
      </c>
      <c r="AB88" s="17">
        <f t="shared" si="1235"/>
        <v>1</v>
      </c>
      <c r="AC88" s="17">
        <f t="shared" si="1236"/>
        <v>1</v>
      </c>
      <c r="AD88" s="17">
        <f t="shared" si="1237"/>
        <v>1</v>
      </c>
      <c r="AE88" s="17">
        <f t="shared" si="1238"/>
        <v>0</v>
      </c>
      <c r="AF88" s="17">
        <f t="shared" si="1239"/>
        <v>0</v>
      </c>
      <c r="AG88" s="17">
        <f t="shared" si="1240"/>
        <v>0</v>
      </c>
      <c r="AH88" s="17">
        <f t="shared" si="1241"/>
        <v>0</v>
      </c>
      <c r="AI88" s="17">
        <f t="shared" si="1242"/>
        <v>0</v>
      </c>
      <c r="AJ88" s="17">
        <f t="shared" si="1243"/>
        <v>0</v>
      </c>
      <c r="AK88" s="17">
        <f t="shared" si="1244"/>
        <v>0</v>
      </c>
      <c r="AL88" s="17">
        <f t="shared" si="1245"/>
        <v>0</v>
      </c>
      <c r="AM88" s="17">
        <f t="shared" si="1246"/>
        <v>0</v>
      </c>
      <c r="AN88" s="17">
        <f t="shared" si="1247"/>
        <v>0</v>
      </c>
      <c r="AO88" s="17">
        <f t="shared" si="1248"/>
        <v>0</v>
      </c>
      <c r="AP88" s="17">
        <f t="shared" si="1249"/>
        <v>0</v>
      </c>
      <c r="AQ88" s="17">
        <f t="shared" si="1250"/>
        <v>0</v>
      </c>
      <c r="AR88" s="17">
        <f t="shared" si="1251"/>
        <v>0</v>
      </c>
      <c r="AS88" s="17">
        <f t="shared" si="1252"/>
        <v>0</v>
      </c>
      <c r="AT88" s="17">
        <f t="shared" si="1253"/>
        <v>0</v>
      </c>
      <c r="AU88" s="54">
        <f t="shared" si="1254"/>
        <v>0</v>
      </c>
      <c r="AV88" s="58">
        <f t="shared" si="1006"/>
        <v>9</v>
      </c>
      <c r="AW88" s="58">
        <f t="shared" ca="1" si="1007"/>
        <v>0.69230769230769229</v>
      </c>
      <c r="AX88" s="50">
        <f t="shared" si="1255"/>
        <v>0</v>
      </c>
      <c r="AY88" s="17">
        <f t="shared" si="1256"/>
        <v>0</v>
      </c>
      <c r="AZ88" s="17">
        <f t="shared" si="1257"/>
        <v>8</v>
      </c>
      <c r="BA88" s="17">
        <f t="shared" si="1258"/>
        <v>0</v>
      </c>
      <c r="BB88" s="17">
        <f t="shared" si="1259"/>
        <v>11</v>
      </c>
      <c r="BC88" s="17">
        <f t="shared" si="1260"/>
        <v>9</v>
      </c>
      <c r="BD88" s="17">
        <f t="shared" si="1261"/>
        <v>8</v>
      </c>
      <c r="BE88" s="17">
        <f t="shared" si="1262"/>
        <v>10</v>
      </c>
      <c r="BF88" s="17">
        <f t="shared" si="1263"/>
        <v>3</v>
      </c>
      <c r="BG88" s="17">
        <f t="shared" si="1264"/>
        <v>0</v>
      </c>
      <c r="BH88" s="17">
        <f t="shared" si="1265"/>
        <v>0</v>
      </c>
      <c r="BI88" s="17">
        <f t="shared" si="1266"/>
        <v>0</v>
      </c>
      <c r="BJ88" s="17">
        <f t="shared" si="1267"/>
        <v>7</v>
      </c>
      <c r="BK88" s="17">
        <f t="shared" si="1268"/>
        <v>1</v>
      </c>
      <c r="BL88" s="17">
        <f t="shared" si="1269"/>
        <v>0</v>
      </c>
      <c r="BM88" s="17">
        <f t="shared" si="1270"/>
        <v>0</v>
      </c>
      <c r="BN88" s="17">
        <f t="shared" si="1271"/>
        <v>0</v>
      </c>
      <c r="BO88" s="17">
        <f t="shared" si="1272"/>
        <v>0</v>
      </c>
      <c r="BP88" s="17">
        <f t="shared" si="1273"/>
        <v>0</v>
      </c>
      <c r="BQ88" s="17">
        <f t="shared" si="1274"/>
        <v>0</v>
      </c>
      <c r="BR88" s="17">
        <f t="shared" si="1275"/>
        <v>0</v>
      </c>
      <c r="BS88" s="17">
        <f t="shared" si="1276"/>
        <v>0</v>
      </c>
      <c r="BT88" s="17">
        <f t="shared" si="1277"/>
        <v>0</v>
      </c>
      <c r="BU88" s="17">
        <f t="shared" si="1278"/>
        <v>0</v>
      </c>
      <c r="BV88" s="17">
        <f t="shared" si="1279"/>
        <v>0</v>
      </c>
      <c r="BW88" s="17">
        <f t="shared" si="1280"/>
        <v>0</v>
      </c>
      <c r="BX88" s="17">
        <f t="shared" si="1281"/>
        <v>0</v>
      </c>
      <c r="BY88" s="17">
        <f t="shared" si="1282"/>
        <v>0</v>
      </c>
      <c r="BZ88" s="17">
        <f t="shared" si="1283"/>
        <v>0</v>
      </c>
      <c r="CA88" s="17">
        <f t="shared" si="1284"/>
        <v>0</v>
      </c>
      <c r="CB88" s="54">
        <f t="shared" si="1285"/>
        <v>0</v>
      </c>
      <c r="CC88" s="58">
        <f t="shared" si="1115"/>
        <v>57</v>
      </c>
      <c r="CD88" s="58">
        <f t="shared" ca="1" si="1009"/>
        <v>4.384615384615385</v>
      </c>
      <c r="JJ88" s="4" t="s">
        <v>13</v>
      </c>
      <c r="JK88" s="152" t="str">
        <f t="shared" si="1010"/>
        <v>ISB01-PHR-MIO-03</v>
      </c>
      <c r="JL88" s="163">
        <v>0</v>
      </c>
      <c r="JM88" s="158">
        <v>1</v>
      </c>
      <c r="JN88" s="158">
        <v>1</v>
      </c>
      <c r="JO88" s="159">
        <v>0</v>
      </c>
      <c r="JP88" s="158">
        <v>1</v>
      </c>
      <c r="JQ88" s="158">
        <v>1</v>
      </c>
      <c r="JR88" s="158">
        <v>1</v>
      </c>
      <c r="JS88" s="158">
        <v>1</v>
      </c>
      <c r="JT88" s="158">
        <v>0</v>
      </c>
      <c r="JU88" s="158">
        <v>0</v>
      </c>
      <c r="JV88" s="158">
        <v>0</v>
      </c>
      <c r="JW88" s="159">
        <v>1</v>
      </c>
      <c r="JX88" s="159">
        <v>1</v>
      </c>
      <c r="JY88" s="159">
        <v>1</v>
      </c>
      <c r="JZ88" s="158"/>
      <c r="KA88" s="158"/>
      <c r="KB88" s="158"/>
      <c r="KC88" s="158"/>
      <c r="KD88" s="158"/>
      <c r="KE88" s="158"/>
      <c r="KF88" s="158"/>
      <c r="KG88" s="158"/>
      <c r="KH88" s="159"/>
      <c r="KI88" s="159"/>
      <c r="KJ88" s="158"/>
      <c r="KK88" s="158"/>
      <c r="KL88" s="158"/>
      <c r="KM88" s="158"/>
      <c r="KN88" s="158"/>
      <c r="KO88" s="158"/>
      <c r="KP88" s="164"/>
      <c r="KQ88" s="157">
        <v>0</v>
      </c>
      <c r="KR88" s="157">
        <v>0</v>
      </c>
      <c r="KS88" s="157">
        <v>8</v>
      </c>
      <c r="KT88" s="157">
        <v>0</v>
      </c>
      <c r="KU88" s="157">
        <v>11</v>
      </c>
      <c r="KV88" s="157">
        <v>9</v>
      </c>
      <c r="KW88" s="157">
        <v>8</v>
      </c>
      <c r="KX88" s="157">
        <v>10</v>
      </c>
      <c r="KY88" s="157">
        <v>3</v>
      </c>
      <c r="KZ88" s="157">
        <v>0</v>
      </c>
      <c r="LA88" s="157">
        <v>0</v>
      </c>
      <c r="LB88" s="157">
        <v>0</v>
      </c>
      <c r="LC88" s="157">
        <v>7</v>
      </c>
      <c r="LD88" s="157">
        <v>1</v>
      </c>
      <c r="LE88" s="157"/>
      <c r="LF88" s="157"/>
      <c r="LG88" s="157"/>
      <c r="LH88" s="157"/>
      <c r="LI88" s="157"/>
      <c r="LJ88" s="157"/>
      <c r="LK88" s="157"/>
      <c r="LL88" s="157"/>
      <c r="LM88" s="157"/>
      <c r="LN88" s="157"/>
      <c r="LO88" s="157"/>
      <c r="LP88" s="157"/>
      <c r="LQ88" s="157"/>
      <c r="LR88" s="157"/>
      <c r="LS88" s="157"/>
      <c r="LT88" s="5"/>
      <c r="LU88" s="8"/>
    </row>
    <row r="89" spans="1:333" ht="16.2" customHeight="1">
      <c r="A89" s="38" t="s">
        <v>9</v>
      </c>
      <c r="B89" s="25" t="s">
        <v>105</v>
      </c>
      <c r="C89" s="25" t="s">
        <v>391</v>
      </c>
      <c r="D89" s="25" t="s">
        <v>334</v>
      </c>
      <c r="E89" s="27" t="s">
        <v>136</v>
      </c>
      <c r="F89" s="25" t="s">
        <v>500</v>
      </c>
      <c r="G89" s="25" t="s">
        <v>335</v>
      </c>
      <c r="H89" s="28">
        <v>45818</v>
      </c>
      <c r="I89" s="29" t="s">
        <v>336</v>
      </c>
      <c r="J89" s="30">
        <v>1</v>
      </c>
      <c r="K89" s="147">
        <v>0</v>
      </c>
      <c r="L89" s="147">
        <f t="shared" si="1219"/>
        <v>1</v>
      </c>
      <c r="M89" s="147">
        <f t="shared" si="1220"/>
        <v>1</v>
      </c>
      <c r="N89" s="147">
        <f t="shared" si="1221"/>
        <v>0</v>
      </c>
      <c r="O89" s="147">
        <f t="shared" si="1222"/>
        <v>1</v>
      </c>
      <c r="P89" s="148">
        <f t="shared" si="1223"/>
        <v>1</v>
      </c>
      <c r="Q89" s="50">
        <f t="shared" si="1224"/>
        <v>1</v>
      </c>
      <c r="R89" s="17">
        <f t="shared" si="1225"/>
        <v>1</v>
      </c>
      <c r="S89" s="17">
        <f t="shared" si="1226"/>
        <v>1</v>
      </c>
      <c r="T89" s="17">
        <f t="shared" si="1227"/>
        <v>0</v>
      </c>
      <c r="U89" s="17">
        <f t="shared" si="1228"/>
        <v>1</v>
      </c>
      <c r="V89" s="17">
        <f t="shared" si="1229"/>
        <v>1</v>
      </c>
      <c r="W89" s="17">
        <f t="shared" si="1230"/>
        <v>1</v>
      </c>
      <c r="X89" s="17">
        <f t="shared" si="1231"/>
        <v>1</v>
      </c>
      <c r="Y89" s="17">
        <f t="shared" si="1232"/>
        <v>1</v>
      </c>
      <c r="Z89" s="17">
        <f t="shared" si="1233"/>
        <v>1</v>
      </c>
      <c r="AA89" s="17">
        <f t="shared" si="1234"/>
        <v>0</v>
      </c>
      <c r="AB89" s="17">
        <f t="shared" si="1235"/>
        <v>1</v>
      </c>
      <c r="AC89" s="17">
        <f t="shared" si="1236"/>
        <v>1</v>
      </c>
      <c r="AD89" s="17">
        <f t="shared" si="1237"/>
        <v>1</v>
      </c>
      <c r="AE89" s="17">
        <f t="shared" si="1238"/>
        <v>0</v>
      </c>
      <c r="AF89" s="17">
        <f t="shared" si="1239"/>
        <v>0</v>
      </c>
      <c r="AG89" s="17">
        <f t="shared" si="1240"/>
        <v>0</v>
      </c>
      <c r="AH89" s="17">
        <f t="shared" si="1241"/>
        <v>0</v>
      </c>
      <c r="AI89" s="17">
        <f t="shared" si="1242"/>
        <v>0</v>
      </c>
      <c r="AJ89" s="17">
        <f t="shared" si="1243"/>
        <v>0</v>
      </c>
      <c r="AK89" s="17">
        <f t="shared" si="1244"/>
        <v>0</v>
      </c>
      <c r="AL89" s="17">
        <f t="shared" si="1245"/>
        <v>0</v>
      </c>
      <c r="AM89" s="17">
        <f t="shared" si="1246"/>
        <v>0</v>
      </c>
      <c r="AN89" s="17">
        <f t="shared" si="1247"/>
        <v>0</v>
      </c>
      <c r="AO89" s="17">
        <f t="shared" si="1248"/>
        <v>0</v>
      </c>
      <c r="AP89" s="17">
        <f t="shared" si="1249"/>
        <v>0</v>
      </c>
      <c r="AQ89" s="17">
        <f t="shared" si="1250"/>
        <v>0</v>
      </c>
      <c r="AR89" s="17">
        <f t="shared" si="1251"/>
        <v>0</v>
      </c>
      <c r="AS89" s="17">
        <f t="shared" si="1252"/>
        <v>0</v>
      </c>
      <c r="AT89" s="17">
        <f t="shared" si="1253"/>
        <v>0</v>
      </c>
      <c r="AU89" s="54">
        <f t="shared" si="1254"/>
        <v>0</v>
      </c>
      <c r="AV89" s="58">
        <f t="shared" si="1006"/>
        <v>12</v>
      </c>
      <c r="AW89" s="58">
        <f t="shared" ca="1" si="1007"/>
        <v>0.92307692307692313</v>
      </c>
      <c r="AX89" s="50">
        <f t="shared" si="1255"/>
        <v>10</v>
      </c>
      <c r="AY89" s="17">
        <f t="shared" si="1256"/>
        <v>9</v>
      </c>
      <c r="AZ89" s="17">
        <f t="shared" si="1257"/>
        <v>2</v>
      </c>
      <c r="BA89" s="17">
        <f t="shared" si="1258"/>
        <v>0</v>
      </c>
      <c r="BB89" s="17">
        <f t="shared" si="1259"/>
        <v>10</v>
      </c>
      <c r="BC89" s="17">
        <f t="shared" si="1260"/>
        <v>6</v>
      </c>
      <c r="BD89" s="17">
        <f t="shared" si="1261"/>
        <v>11</v>
      </c>
      <c r="BE89" s="17">
        <f t="shared" si="1262"/>
        <v>10</v>
      </c>
      <c r="BF89" s="17">
        <f t="shared" si="1263"/>
        <v>9</v>
      </c>
      <c r="BG89" s="17">
        <f t="shared" si="1264"/>
        <v>2</v>
      </c>
      <c r="BH89" s="17">
        <f t="shared" si="1265"/>
        <v>0</v>
      </c>
      <c r="BI89" s="17">
        <f t="shared" si="1266"/>
        <v>10</v>
      </c>
      <c r="BJ89" s="17">
        <f t="shared" si="1267"/>
        <v>7</v>
      </c>
      <c r="BK89" s="17">
        <f t="shared" si="1268"/>
        <v>0</v>
      </c>
      <c r="BL89" s="17">
        <f t="shared" si="1269"/>
        <v>0</v>
      </c>
      <c r="BM89" s="17">
        <f t="shared" si="1270"/>
        <v>0</v>
      </c>
      <c r="BN89" s="17">
        <f t="shared" si="1271"/>
        <v>0</v>
      </c>
      <c r="BO89" s="17">
        <f t="shared" si="1272"/>
        <v>0</v>
      </c>
      <c r="BP89" s="17">
        <f t="shared" si="1273"/>
        <v>0</v>
      </c>
      <c r="BQ89" s="17">
        <f t="shared" si="1274"/>
        <v>0</v>
      </c>
      <c r="BR89" s="17">
        <f t="shared" si="1275"/>
        <v>0</v>
      </c>
      <c r="BS89" s="17">
        <f t="shared" si="1276"/>
        <v>0</v>
      </c>
      <c r="BT89" s="17">
        <f t="shared" si="1277"/>
        <v>0</v>
      </c>
      <c r="BU89" s="17">
        <f t="shared" si="1278"/>
        <v>0</v>
      </c>
      <c r="BV89" s="17">
        <f t="shared" si="1279"/>
        <v>0</v>
      </c>
      <c r="BW89" s="17">
        <f t="shared" si="1280"/>
        <v>0</v>
      </c>
      <c r="BX89" s="17">
        <f t="shared" si="1281"/>
        <v>0</v>
      </c>
      <c r="BY89" s="17">
        <f t="shared" si="1282"/>
        <v>0</v>
      </c>
      <c r="BZ89" s="17">
        <f t="shared" si="1283"/>
        <v>0</v>
      </c>
      <c r="CA89" s="17">
        <f t="shared" si="1284"/>
        <v>0</v>
      </c>
      <c r="CB89" s="54">
        <f t="shared" si="1285"/>
        <v>0</v>
      </c>
      <c r="CC89" s="58">
        <f t="shared" si="1115"/>
        <v>86</v>
      </c>
      <c r="CD89" s="58">
        <f t="shared" ca="1" si="1009"/>
        <v>6.615384615384615</v>
      </c>
      <c r="JJ89" s="4" t="s">
        <v>13</v>
      </c>
      <c r="JK89" s="152" t="str">
        <f t="shared" si="1010"/>
        <v>ISB01-PHR-MIO-04</v>
      </c>
      <c r="JL89" s="163">
        <v>1</v>
      </c>
      <c r="JM89" s="158">
        <v>1</v>
      </c>
      <c r="JN89" s="158">
        <v>1</v>
      </c>
      <c r="JO89" s="159">
        <v>0</v>
      </c>
      <c r="JP89" s="158">
        <v>1</v>
      </c>
      <c r="JQ89" s="158">
        <v>1</v>
      </c>
      <c r="JR89" s="158">
        <v>1</v>
      </c>
      <c r="JS89" s="158">
        <v>1</v>
      </c>
      <c r="JT89" s="158">
        <v>1</v>
      </c>
      <c r="JU89" s="158">
        <v>1</v>
      </c>
      <c r="JV89" s="158">
        <v>0</v>
      </c>
      <c r="JW89" s="159">
        <v>1</v>
      </c>
      <c r="JX89" s="159">
        <v>1</v>
      </c>
      <c r="JY89" s="159">
        <v>1</v>
      </c>
      <c r="JZ89" s="158"/>
      <c r="KA89" s="158"/>
      <c r="KB89" s="158"/>
      <c r="KC89" s="158"/>
      <c r="KD89" s="158"/>
      <c r="KE89" s="158"/>
      <c r="KF89" s="158"/>
      <c r="KG89" s="158"/>
      <c r="KH89" s="159"/>
      <c r="KI89" s="159"/>
      <c r="KJ89" s="158"/>
      <c r="KK89" s="158"/>
      <c r="KL89" s="158"/>
      <c r="KM89" s="158"/>
      <c r="KN89" s="158"/>
      <c r="KO89" s="158"/>
      <c r="KP89" s="164"/>
      <c r="KQ89" s="157">
        <v>10</v>
      </c>
      <c r="KR89" s="157">
        <v>9</v>
      </c>
      <c r="KS89" s="157">
        <v>2</v>
      </c>
      <c r="KT89" s="157">
        <v>0</v>
      </c>
      <c r="KU89" s="157">
        <v>10</v>
      </c>
      <c r="KV89" s="157">
        <v>6</v>
      </c>
      <c r="KW89" s="157">
        <v>11</v>
      </c>
      <c r="KX89" s="157">
        <v>10</v>
      </c>
      <c r="KY89" s="157">
        <v>9</v>
      </c>
      <c r="KZ89" s="157">
        <v>2</v>
      </c>
      <c r="LA89" s="157">
        <v>0</v>
      </c>
      <c r="LB89" s="157">
        <v>10</v>
      </c>
      <c r="LC89" s="157">
        <v>7</v>
      </c>
      <c r="LD89" s="157">
        <v>0</v>
      </c>
      <c r="LE89" s="157"/>
      <c r="LF89" s="157"/>
      <c r="LG89" s="157"/>
      <c r="LH89" s="157"/>
      <c r="LI89" s="157"/>
      <c r="LJ89" s="157"/>
      <c r="LK89" s="157"/>
      <c r="LL89" s="157"/>
      <c r="LM89" s="157"/>
      <c r="LN89" s="157"/>
      <c r="LO89" s="157"/>
      <c r="LP89" s="157"/>
      <c r="LQ89" s="157"/>
      <c r="LR89" s="157"/>
      <c r="LS89" s="157"/>
      <c r="LT89" s="5"/>
      <c r="LU89" s="8"/>
    </row>
    <row r="90" spans="1:333" ht="16.2" customHeight="1">
      <c r="A90" s="38" t="s">
        <v>9</v>
      </c>
      <c r="B90" s="25" t="s">
        <v>105</v>
      </c>
      <c r="C90" s="25" t="s">
        <v>391</v>
      </c>
      <c r="D90" s="25" t="s">
        <v>337</v>
      </c>
      <c r="E90" s="27" t="s">
        <v>138</v>
      </c>
      <c r="F90" s="25" t="s">
        <v>501</v>
      </c>
      <c r="G90" s="25" t="s">
        <v>139</v>
      </c>
      <c r="H90" s="28">
        <v>43652</v>
      </c>
      <c r="I90" s="29" t="s">
        <v>338</v>
      </c>
      <c r="J90" s="30">
        <v>1</v>
      </c>
      <c r="K90" s="147">
        <v>0</v>
      </c>
      <c r="L90" s="147">
        <f t="shared" si="1219"/>
        <v>1</v>
      </c>
      <c r="M90" s="147">
        <f t="shared" si="1220"/>
        <v>1</v>
      </c>
      <c r="N90" s="147">
        <f t="shared" si="1221"/>
        <v>1</v>
      </c>
      <c r="O90" s="147">
        <f t="shared" si="1222"/>
        <v>1</v>
      </c>
      <c r="P90" s="148">
        <f t="shared" si="1223"/>
        <v>1</v>
      </c>
      <c r="Q90" s="50">
        <f t="shared" si="1224"/>
        <v>1</v>
      </c>
      <c r="R90" s="17">
        <f t="shared" si="1225"/>
        <v>1</v>
      </c>
      <c r="S90" s="17">
        <f t="shared" si="1226"/>
        <v>1</v>
      </c>
      <c r="T90" s="17">
        <f t="shared" si="1227"/>
        <v>0</v>
      </c>
      <c r="U90" s="17">
        <f t="shared" si="1228"/>
        <v>0</v>
      </c>
      <c r="V90" s="17">
        <f t="shared" si="1229"/>
        <v>1</v>
      </c>
      <c r="W90" s="17">
        <f t="shared" si="1230"/>
        <v>1</v>
      </c>
      <c r="X90" s="17">
        <f t="shared" si="1231"/>
        <v>1</v>
      </c>
      <c r="Y90" s="17">
        <f t="shared" si="1232"/>
        <v>1</v>
      </c>
      <c r="Z90" s="17">
        <f t="shared" si="1233"/>
        <v>1</v>
      </c>
      <c r="AA90" s="17">
        <f t="shared" si="1234"/>
        <v>0</v>
      </c>
      <c r="AB90" s="17">
        <f t="shared" si="1235"/>
        <v>1</v>
      </c>
      <c r="AC90" s="17">
        <f t="shared" si="1236"/>
        <v>1</v>
      </c>
      <c r="AD90" s="17">
        <f t="shared" si="1237"/>
        <v>1</v>
      </c>
      <c r="AE90" s="17">
        <f t="shared" si="1238"/>
        <v>0</v>
      </c>
      <c r="AF90" s="17">
        <f t="shared" si="1239"/>
        <v>0</v>
      </c>
      <c r="AG90" s="17">
        <f t="shared" si="1240"/>
        <v>0</v>
      </c>
      <c r="AH90" s="17">
        <f t="shared" si="1241"/>
        <v>0</v>
      </c>
      <c r="AI90" s="17">
        <f t="shared" si="1242"/>
        <v>0</v>
      </c>
      <c r="AJ90" s="17">
        <f t="shared" si="1243"/>
        <v>0</v>
      </c>
      <c r="AK90" s="17">
        <f t="shared" si="1244"/>
        <v>0</v>
      </c>
      <c r="AL90" s="17">
        <f t="shared" si="1245"/>
        <v>0</v>
      </c>
      <c r="AM90" s="17">
        <f t="shared" si="1246"/>
        <v>0</v>
      </c>
      <c r="AN90" s="17">
        <f t="shared" si="1247"/>
        <v>0</v>
      </c>
      <c r="AO90" s="17">
        <f t="shared" si="1248"/>
        <v>0</v>
      </c>
      <c r="AP90" s="17">
        <f t="shared" si="1249"/>
        <v>0</v>
      </c>
      <c r="AQ90" s="17">
        <f t="shared" si="1250"/>
        <v>0</v>
      </c>
      <c r="AR90" s="17">
        <f t="shared" si="1251"/>
        <v>0</v>
      </c>
      <c r="AS90" s="17">
        <f t="shared" si="1252"/>
        <v>0</v>
      </c>
      <c r="AT90" s="17">
        <f t="shared" si="1253"/>
        <v>0</v>
      </c>
      <c r="AU90" s="54">
        <f t="shared" si="1254"/>
        <v>0</v>
      </c>
      <c r="AV90" s="58">
        <f t="shared" si="1006"/>
        <v>11</v>
      </c>
      <c r="AW90" s="58">
        <f t="shared" ca="1" si="1007"/>
        <v>0.84615384615384615</v>
      </c>
      <c r="AX90" s="50">
        <f t="shared" si="1255"/>
        <v>9</v>
      </c>
      <c r="AY90" s="17">
        <f t="shared" si="1256"/>
        <v>9</v>
      </c>
      <c r="AZ90" s="17">
        <f t="shared" si="1257"/>
        <v>9</v>
      </c>
      <c r="BA90" s="17">
        <f t="shared" si="1258"/>
        <v>0</v>
      </c>
      <c r="BB90" s="17">
        <f t="shared" si="1259"/>
        <v>10</v>
      </c>
      <c r="BC90" s="17">
        <f t="shared" si="1260"/>
        <v>11</v>
      </c>
      <c r="BD90" s="17">
        <f t="shared" si="1261"/>
        <v>8</v>
      </c>
      <c r="BE90" s="17">
        <f t="shared" si="1262"/>
        <v>9</v>
      </c>
      <c r="BF90" s="17">
        <f t="shared" si="1263"/>
        <v>9</v>
      </c>
      <c r="BG90" s="17">
        <f t="shared" si="1264"/>
        <v>5</v>
      </c>
      <c r="BH90" s="17">
        <f t="shared" si="1265"/>
        <v>0</v>
      </c>
      <c r="BI90" s="17">
        <f t="shared" si="1266"/>
        <v>7</v>
      </c>
      <c r="BJ90" s="17">
        <f t="shared" si="1267"/>
        <v>9</v>
      </c>
      <c r="BK90" s="17">
        <f t="shared" si="1268"/>
        <v>3</v>
      </c>
      <c r="BL90" s="17">
        <f t="shared" si="1269"/>
        <v>0</v>
      </c>
      <c r="BM90" s="17">
        <f t="shared" si="1270"/>
        <v>0</v>
      </c>
      <c r="BN90" s="17">
        <f t="shared" si="1271"/>
        <v>0</v>
      </c>
      <c r="BO90" s="17">
        <f t="shared" si="1272"/>
        <v>0</v>
      </c>
      <c r="BP90" s="17">
        <f t="shared" si="1273"/>
        <v>0</v>
      </c>
      <c r="BQ90" s="17">
        <f t="shared" si="1274"/>
        <v>0</v>
      </c>
      <c r="BR90" s="17">
        <f t="shared" si="1275"/>
        <v>0</v>
      </c>
      <c r="BS90" s="17">
        <f t="shared" si="1276"/>
        <v>0</v>
      </c>
      <c r="BT90" s="17">
        <f t="shared" si="1277"/>
        <v>0</v>
      </c>
      <c r="BU90" s="17">
        <f t="shared" si="1278"/>
        <v>0</v>
      </c>
      <c r="BV90" s="17">
        <f t="shared" si="1279"/>
        <v>0</v>
      </c>
      <c r="BW90" s="17">
        <f t="shared" si="1280"/>
        <v>0</v>
      </c>
      <c r="BX90" s="17">
        <f t="shared" si="1281"/>
        <v>0</v>
      </c>
      <c r="BY90" s="17">
        <f t="shared" si="1282"/>
        <v>0</v>
      </c>
      <c r="BZ90" s="17">
        <f t="shared" si="1283"/>
        <v>0</v>
      </c>
      <c r="CA90" s="17">
        <f t="shared" si="1284"/>
        <v>0</v>
      </c>
      <c r="CB90" s="54">
        <f t="shared" si="1285"/>
        <v>0</v>
      </c>
      <c r="CC90" s="58">
        <f t="shared" si="1115"/>
        <v>98</v>
      </c>
      <c r="CD90" s="58">
        <f t="shared" ca="1" si="1009"/>
        <v>7.5384615384615383</v>
      </c>
      <c r="JJ90" s="4" t="s">
        <v>13</v>
      </c>
      <c r="JK90" s="152" t="str">
        <f t="shared" si="1010"/>
        <v>ISB01-PHR-MIO-05</v>
      </c>
      <c r="JL90" s="163">
        <v>1</v>
      </c>
      <c r="JM90" s="158">
        <v>1</v>
      </c>
      <c r="JN90" s="158">
        <v>1</v>
      </c>
      <c r="JO90" s="159">
        <v>0</v>
      </c>
      <c r="JP90" s="158">
        <v>0</v>
      </c>
      <c r="JQ90" s="158">
        <v>1</v>
      </c>
      <c r="JR90" s="158">
        <v>1</v>
      </c>
      <c r="JS90" s="158">
        <v>1</v>
      </c>
      <c r="JT90" s="158">
        <v>1</v>
      </c>
      <c r="JU90" s="158">
        <v>1</v>
      </c>
      <c r="JV90" s="158">
        <v>0</v>
      </c>
      <c r="JW90" s="159">
        <v>1</v>
      </c>
      <c r="JX90" s="159">
        <v>1</v>
      </c>
      <c r="JY90" s="159">
        <v>1</v>
      </c>
      <c r="JZ90" s="158"/>
      <c r="KA90" s="158"/>
      <c r="KB90" s="158"/>
      <c r="KC90" s="158"/>
      <c r="KD90" s="158"/>
      <c r="KE90" s="158"/>
      <c r="KF90" s="158"/>
      <c r="KG90" s="158"/>
      <c r="KH90" s="159"/>
      <c r="KI90" s="159"/>
      <c r="KJ90" s="158"/>
      <c r="KK90" s="158"/>
      <c r="KL90" s="158"/>
      <c r="KM90" s="158"/>
      <c r="KN90" s="158"/>
      <c r="KO90" s="158"/>
      <c r="KP90" s="164"/>
      <c r="KQ90" s="157">
        <v>9</v>
      </c>
      <c r="KR90" s="157">
        <v>9</v>
      </c>
      <c r="KS90" s="157">
        <v>9</v>
      </c>
      <c r="KT90" s="157">
        <v>0</v>
      </c>
      <c r="KU90" s="157">
        <v>10</v>
      </c>
      <c r="KV90" s="157">
        <v>11</v>
      </c>
      <c r="KW90" s="157">
        <v>8</v>
      </c>
      <c r="KX90" s="157">
        <v>9</v>
      </c>
      <c r="KY90" s="157">
        <v>9</v>
      </c>
      <c r="KZ90" s="157">
        <v>5</v>
      </c>
      <c r="LA90" s="157">
        <v>0</v>
      </c>
      <c r="LB90" s="157">
        <v>7</v>
      </c>
      <c r="LC90" s="157">
        <v>9</v>
      </c>
      <c r="LD90" s="157">
        <v>3</v>
      </c>
      <c r="LE90" s="157"/>
      <c r="LF90" s="157"/>
      <c r="LG90" s="157"/>
      <c r="LH90" s="157"/>
      <c r="LI90" s="157"/>
      <c r="LJ90" s="157"/>
      <c r="LK90" s="157"/>
      <c r="LL90" s="157"/>
      <c r="LM90" s="157"/>
      <c r="LN90" s="157"/>
      <c r="LO90" s="157"/>
      <c r="LP90" s="157"/>
      <c r="LQ90" s="157"/>
      <c r="LR90" s="157"/>
      <c r="LS90" s="157"/>
      <c r="LT90" s="5"/>
      <c r="LU90" s="8"/>
    </row>
    <row r="91" spans="1:333" ht="16.2" customHeight="1">
      <c r="A91" s="38" t="s">
        <v>9</v>
      </c>
      <c r="B91" s="25" t="s">
        <v>105</v>
      </c>
      <c r="C91" s="25" t="s">
        <v>391</v>
      </c>
      <c r="D91" s="25" t="s">
        <v>339</v>
      </c>
      <c r="E91" s="27" t="s">
        <v>140</v>
      </c>
      <c r="F91" s="25" t="s">
        <v>502</v>
      </c>
      <c r="G91" s="25" t="s">
        <v>141</v>
      </c>
      <c r="H91" s="28">
        <v>45091</v>
      </c>
      <c r="I91" s="29" t="s">
        <v>340</v>
      </c>
      <c r="J91" s="30">
        <v>1</v>
      </c>
      <c r="K91" s="147">
        <v>0</v>
      </c>
      <c r="L91" s="147">
        <f t="shared" si="1219"/>
        <v>1</v>
      </c>
      <c r="M91" s="147">
        <f t="shared" si="1220"/>
        <v>1</v>
      </c>
      <c r="N91" s="147">
        <f t="shared" si="1221"/>
        <v>0</v>
      </c>
      <c r="O91" s="147">
        <f t="shared" si="1222"/>
        <v>1</v>
      </c>
      <c r="P91" s="148">
        <f t="shared" si="1223"/>
        <v>1</v>
      </c>
      <c r="Q91" s="50">
        <f t="shared" si="1224"/>
        <v>1</v>
      </c>
      <c r="R91" s="17">
        <f t="shared" si="1225"/>
        <v>1</v>
      </c>
      <c r="S91" s="17">
        <f t="shared" si="1226"/>
        <v>1</v>
      </c>
      <c r="T91" s="17">
        <f t="shared" si="1227"/>
        <v>0</v>
      </c>
      <c r="U91" s="17">
        <f t="shared" si="1228"/>
        <v>1</v>
      </c>
      <c r="V91" s="17">
        <f t="shared" si="1229"/>
        <v>1</v>
      </c>
      <c r="W91" s="17">
        <f t="shared" si="1230"/>
        <v>1</v>
      </c>
      <c r="X91" s="17">
        <f t="shared" si="1231"/>
        <v>1</v>
      </c>
      <c r="Y91" s="17">
        <f t="shared" si="1232"/>
        <v>1</v>
      </c>
      <c r="Z91" s="17">
        <f t="shared" si="1233"/>
        <v>1</v>
      </c>
      <c r="AA91" s="17">
        <f t="shared" si="1234"/>
        <v>0</v>
      </c>
      <c r="AB91" s="17">
        <f t="shared" si="1235"/>
        <v>1</v>
      </c>
      <c r="AC91" s="17">
        <f t="shared" si="1236"/>
        <v>1</v>
      </c>
      <c r="AD91" s="17">
        <f t="shared" si="1237"/>
        <v>1</v>
      </c>
      <c r="AE91" s="17">
        <f t="shared" si="1238"/>
        <v>0</v>
      </c>
      <c r="AF91" s="17">
        <f t="shared" si="1239"/>
        <v>0</v>
      </c>
      <c r="AG91" s="17">
        <f t="shared" si="1240"/>
        <v>0</v>
      </c>
      <c r="AH91" s="17">
        <f t="shared" si="1241"/>
        <v>0</v>
      </c>
      <c r="AI91" s="17">
        <f t="shared" si="1242"/>
        <v>0</v>
      </c>
      <c r="AJ91" s="17">
        <f t="shared" si="1243"/>
        <v>0</v>
      </c>
      <c r="AK91" s="17">
        <f t="shared" si="1244"/>
        <v>0</v>
      </c>
      <c r="AL91" s="17">
        <f t="shared" si="1245"/>
        <v>0</v>
      </c>
      <c r="AM91" s="17">
        <f t="shared" si="1246"/>
        <v>0</v>
      </c>
      <c r="AN91" s="17">
        <f t="shared" si="1247"/>
        <v>0</v>
      </c>
      <c r="AO91" s="17">
        <f t="shared" si="1248"/>
        <v>0</v>
      </c>
      <c r="AP91" s="17">
        <f t="shared" si="1249"/>
        <v>0</v>
      </c>
      <c r="AQ91" s="17">
        <f t="shared" si="1250"/>
        <v>0</v>
      </c>
      <c r="AR91" s="17">
        <f t="shared" si="1251"/>
        <v>0</v>
      </c>
      <c r="AS91" s="17">
        <f t="shared" si="1252"/>
        <v>0</v>
      </c>
      <c r="AT91" s="17">
        <f t="shared" si="1253"/>
        <v>0</v>
      </c>
      <c r="AU91" s="54">
        <f t="shared" si="1254"/>
        <v>0</v>
      </c>
      <c r="AV91" s="58">
        <f t="shared" si="1006"/>
        <v>12</v>
      </c>
      <c r="AW91" s="58">
        <f t="shared" ca="1" si="1007"/>
        <v>0.92307692307692313</v>
      </c>
      <c r="AX91" s="50">
        <f t="shared" si="1255"/>
        <v>13</v>
      </c>
      <c r="AY91" s="17">
        <f t="shared" si="1256"/>
        <v>10</v>
      </c>
      <c r="AZ91" s="17">
        <f t="shared" si="1257"/>
        <v>10</v>
      </c>
      <c r="BA91" s="17">
        <f t="shared" si="1258"/>
        <v>0</v>
      </c>
      <c r="BB91" s="17">
        <f t="shared" si="1259"/>
        <v>12</v>
      </c>
      <c r="BC91" s="17">
        <f t="shared" si="1260"/>
        <v>12</v>
      </c>
      <c r="BD91" s="17">
        <f t="shared" si="1261"/>
        <v>13</v>
      </c>
      <c r="BE91" s="17">
        <f t="shared" si="1262"/>
        <v>17</v>
      </c>
      <c r="BF91" s="17">
        <f t="shared" si="1263"/>
        <v>9</v>
      </c>
      <c r="BG91" s="17">
        <f t="shared" si="1264"/>
        <v>7</v>
      </c>
      <c r="BH91" s="17">
        <f t="shared" si="1265"/>
        <v>0</v>
      </c>
      <c r="BI91" s="17">
        <f t="shared" si="1266"/>
        <v>12</v>
      </c>
      <c r="BJ91" s="17">
        <f t="shared" si="1267"/>
        <v>8</v>
      </c>
      <c r="BK91" s="17">
        <f t="shared" si="1268"/>
        <v>0</v>
      </c>
      <c r="BL91" s="17">
        <f t="shared" si="1269"/>
        <v>0</v>
      </c>
      <c r="BM91" s="17">
        <f t="shared" si="1270"/>
        <v>0</v>
      </c>
      <c r="BN91" s="17">
        <f t="shared" si="1271"/>
        <v>0</v>
      </c>
      <c r="BO91" s="17">
        <f t="shared" si="1272"/>
        <v>0</v>
      </c>
      <c r="BP91" s="17">
        <f t="shared" si="1273"/>
        <v>0</v>
      </c>
      <c r="BQ91" s="17">
        <f t="shared" si="1274"/>
        <v>0</v>
      </c>
      <c r="BR91" s="17">
        <f t="shared" si="1275"/>
        <v>0</v>
      </c>
      <c r="BS91" s="17">
        <f t="shared" si="1276"/>
        <v>0</v>
      </c>
      <c r="BT91" s="17">
        <f t="shared" si="1277"/>
        <v>0</v>
      </c>
      <c r="BU91" s="17">
        <f t="shared" si="1278"/>
        <v>0</v>
      </c>
      <c r="BV91" s="17">
        <f t="shared" si="1279"/>
        <v>0</v>
      </c>
      <c r="BW91" s="17">
        <f t="shared" si="1280"/>
        <v>0</v>
      </c>
      <c r="BX91" s="17">
        <f t="shared" si="1281"/>
        <v>0</v>
      </c>
      <c r="BY91" s="17">
        <f t="shared" si="1282"/>
        <v>0</v>
      </c>
      <c r="BZ91" s="17">
        <f t="shared" si="1283"/>
        <v>0</v>
      </c>
      <c r="CA91" s="17">
        <f t="shared" si="1284"/>
        <v>0</v>
      </c>
      <c r="CB91" s="54">
        <f t="shared" si="1285"/>
        <v>0</v>
      </c>
      <c r="CC91" s="58">
        <f t="shared" si="1115"/>
        <v>123</v>
      </c>
      <c r="CD91" s="58">
        <f t="shared" ca="1" si="1009"/>
        <v>9.4615384615384617</v>
      </c>
      <c r="JJ91" s="4" t="s">
        <v>13</v>
      </c>
      <c r="JK91" s="152" t="str">
        <f t="shared" si="1010"/>
        <v>ISB01-PHR-MIO-06</v>
      </c>
      <c r="JL91" s="163">
        <v>1</v>
      </c>
      <c r="JM91" s="158">
        <v>1</v>
      </c>
      <c r="JN91" s="158">
        <v>1</v>
      </c>
      <c r="JO91" s="159">
        <v>0</v>
      </c>
      <c r="JP91" s="158">
        <v>1</v>
      </c>
      <c r="JQ91" s="158">
        <v>1</v>
      </c>
      <c r="JR91" s="158">
        <v>1</v>
      </c>
      <c r="JS91" s="158">
        <v>1</v>
      </c>
      <c r="JT91" s="158">
        <v>1</v>
      </c>
      <c r="JU91" s="158">
        <v>1</v>
      </c>
      <c r="JV91" s="158">
        <v>0</v>
      </c>
      <c r="JW91" s="159">
        <v>1</v>
      </c>
      <c r="JX91" s="159">
        <v>1</v>
      </c>
      <c r="JY91" s="159">
        <v>1</v>
      </c>
      <c r="JZ91" s="158"/>
      <c r="KA91" s="158"/>
      <c r="KB91" s="158"/>
      <c r="KC91" s="158"/>
      <c r="KD91" s="158"/>
      <c r="KE91" s="158"/>
      <c r="KF91" s="158"/>
      <c r="KG91" s="158"/>
      <c r="KH91" s="159"/>
      <c r="KI91" s="159"/>
      <c r="KJ91" s="158"/>
      <c r="KK91" s="158"/>
      <c r="KL91" s="158"/>
      <c r="KM91" s="158"/>
      <c r="KN91" s="158"/>
      <c r="KO91" s="158"/>
      <c r="KP91" s="164"/>
      <c r="KQ91" s="157">
        <v>13</v>
      </c>
      <c r="KR91" s="157">
        <v>10</v>
      </c>
      <c r="KS91" s="157">
        <v>10</v>
      </c>
      <c r="KT91" s="157">
        <v>0</v>
      </c>
      <c r="KU91" s="157">
        <v>12</v>
      </c>
      <c r="KV91" s="157">
        <v>12</v>
      </c>
      <c r="KW91" s="157">
        <v>13</v>
      </c>
      <c r="KX91" s="157">
        <v>17</v>
      </c>
      <c r="KY91" s="157">
        <v>9</v>
      </c>
      <c r="KZ91" s="157">
        <v>7</v>
      </c>
      <c r="LA91" s="157">
        <v>0</v>
      </c>
      <c r="LB91" s="157">
        <v>12</v>
      </c>
      <c r="LC91" s="157">
        <v>8</v>
      </c>
      <c r="LD91" s="157">
        <v>0</v>
      </c>
      <c r="LE91" s="157"/>
      <c r="LF91" s="157"/>
      <c r="LG91" s="157"/>
      <c r="LH91" s="157"/>
      <c r="LI91" s="157"/>
      <c r="LJ91" s="157"/>
      <c r="LK91" s="157"/>
      <c r="LL91" s="157"/>
      <c r="LM91" s="157"/>
      <c r="LN91" s="157"/>
      <c r="LO91" s="157"/>
      <c r="LP91" s="157"/>
      <c r="LQ91" s="157"/>
      <c r="LR91" s="157"/>
      <c r="LS91" s="157"/>
      <c r="LT91" s="5"/>
      <c r="LU91" s="8"/>
    </row>
    <row r="92" spans="1:333" ht="16.2" customHeight="1">
      <c r="A92" s="38" t="s">
        <v>9</v>
      </c>
      <c r="B92" s="25" t="s">
        <v>105</v>
      </c>
      <c r="C92" s="25" t="s">
        <v>391</v>
      </c>
      <c r="D92" s="25" t="s">
        <v>341</v>
      </c>
      <c r="E92" s="27" t="s">
        <v>142</v>
      </c>
      <c r="F92" s="25" t="s">
        <v>503</v>
      </c>
      <c r="G92" s="25" t="s">
        <v>342</v>
      </c>
      <c r="H92" s="28">
        <v>45721</v>
      </c>
      <c r="I92" s="29" t="s">
        <v>143</v>
      </c>
      <c r="J92" s="30">
        <v>1</v>
      </c>
      <c r="K92" s="147">
        <v>0</v>
      </c>
      <c r="L92" s="147">
        <f t="shared" si="1219"/>
        <v>1</v>
      </c>
      <c r="M92" s="147">
        <f t="shared" si="1220"/>
        <v>1</v>
      </c>
      <c r="N92" s="147">
        <f t="shared" si="1221"/>
        <v>1</v>
      </c>
      <c r="O92" s="147">
        <f t="shared" si="1222"/>
        <v>1</v>
      </c>
      <c r="P92" s="148">
        <f t="shared" si="1223"/>
        <v>1</v>
      </c>
      <c r="Q92" s="50">
        <f t="shared" si="1224"/>
        <v>1</v>
      </c>
      <c r="R92" s="17">
        <f t="shared" si="1225"/>
        <v>1</v>
      </c>
      <c r="S92" s="17">
        <f t="shared" si="1226"/>
        <v>0</v>
      </c>
      <c r="T92" s="17">
        <f t="shared" si="1227"/>
        <v>0</v>
      </c>
      <c r="U92" s="17">
        <f t="shared" si="1228"/>
        <v>1</v>
      </c>
      <c r="V92" s="17">
        <f t="shared" si="1229"/>
        <v>1</v>
      </c>
      <c r="W92" s="17">
        <f t="shared" si="1230"/>
        <v>1</v>
      </c>
      <c r="X92" s="17">
        <f t="shared" si="1231"/>
        <v>1</v>
      </c>
      <c r="Y92" s="17">
        <f t="shared" si="1232"/>
        <v>1</v>
      </c>
      <c r="Z92" s="17">
        <f t="shared" si="1233"/>
        <v>1</v>
      </c>
      <c r="AA92" s="17">
        <f t="shared" si="1234"/>
        <v>0</v>
      </c>
      <c r="AB92" s="17">
        <f t="shared" si="1235"/>
        <v>1</v>
      </c>
      <c r="AC92" s="17">
        <f t="shared" si="1236"/>
        <v>1</v>
      </c>
      <c r="AD92" s="17">
        <f t="shared" si="1237"/>
        <v>1</v>
      </c>
      <c r="AE92" s="17">
        <f t="shared" si="1238"/>
        <v>0</v>
      </c>
      <c r="AF92" s="17">
        <f t="shared" si="1239"/>
        <v>0</v>
      </c>
      <c r="AG92" s="17">
        <f t="shared" si="1240"/>
        <v>0</v>
      </c>
      <c r="AH92" s="17">
        <f t="shared" si="1241"/>
        <v>0</v>
      </c>
      <c r="AI92" s="17">
        <f t="shared" si="1242"/>
        <v>0</v>
      </c>
      <c r="AJ92" s="17">
        <f t="shared" si="1243"/>
        <v>0</v>
      </c>
      <c r="AK92" s="17">
        <f t="shared" si="1244"/>
        <v>0</v>
      </c>
      <c r="AL92" s="17">
        <f t="shared" si="1245"/>
        <v>0</v>
      </c>
      <c r="AM92" s="17">
        <f t="shared" si="1246"/>
        <v>0</v>
      </c>
      <c r="AN92" s="17">
        <f t="shared" si="1247"/>
        <v>0</v>
      </c>
      <c r="AO92" s="17">
        <f t="shared" si="1248"/>
        <v>0</v>
      </c>
      <c r="AP92" s="17">
        <f t="shared" si="1249"/>
        <v>0</v>
      </c>
      <c r="AQ92" s="17">
        <f t="shared" si="1250"/>
        <v>0</v>
      </c>
      <c r="AR92" s="17">
        <f t="shared" si="1251"/>
        <v>0</v>
      </c>
      <c r="AS92" s="17">
        <f t="shared" si="1252"/>
        <v>0</v>
      </c>
      <c r="AT92" s="17">
        <f t="shared" si="1253"/>
        <v>0</v>
      </c>
      <c r="AU92" s="54">
        <f t="shared" si="1254"/>
        <v>0</v>
      </c>
      <c r="AV92" s="58">
        <f t="shared" si="1006"/>
        <v>11</v>
      </c>
      <c r="AW92" s="58">
        <f t="shared" ca="1" si="1007"/>
        <v>0.84615384615384615</v>
      </c>
      <c r="AX92" s="50">
        <f t="shared" si="1255"/>
        <v>14</v>
      </c>
      <c r="AY92" s="17">
        <f t="shared" si="1256"/>
        <v>9</v>
      </c>
      <c r="AZ92" s="17">
        <f t="shared" si="1257"/>
        <v>0</v>
      </c>
      <c r="BA92" s="17">
        <f t="shared" si="1258"/>
        <v>0</v>
      </c>
      <c r="BB92" s="17">
        <f t="shared" si="1259"/>
        <v>14</v>
      </c>
      <c r="BC92" s="17">
        <f t="shared" si="1260"/>
        <v>8</v>
      </c>
      <c r="BD92" s="17">
        <f t="shared" si="1261"/>
        <v>12</v>
      </c>
      <c r="BE92" s="17">
        <f t="shared" si="1262"/>
        <v>12</v>
      </c>
      <c r="BF92" s="17">
        <f t="shared" si="1263"/>
        <v>6</v>
      </c>
      <c r="BG92" s="17">
        <f t="shared" si="1264"/>
        <v>11</v>
      </c>
      <c r="BH92" s="17">
        <f t="shared" si="1265"/>
        <v>0</v>
      </c>
      <c r="BI92" s="17">
        <f t="shared" si="1266"/>
        <v>11</v>
      </c>
      <c r="BJ92" s="17">
        <f t="shared" si="1267"/>
        <v>5</v>
      </c>
      <c r="BK92" s="17">
        <f t="shared" si="1268"/>
        <v>3</v>
      </c>
      <c r="BL92" s="17">
        <f t="shared" si="1269"/>
        <v>0</v>
      </c>
      <c r="BM92" s="17">
        <f t="shared" si="1270"/>
        <v>0</v>
      </c>
      <c r="BN92" s="17">
        <f t="shared" si="1271"/>
        <v>0</v>
      </c>
      <c r="BO92" s="17">
        <f t="shared" si="1272"/>
        <v>0</v>
      </c>
      <c r="BP92" s="17">
        <f t="shared" si="1273"/>
        <v>0</v>
      </c>
      <c r="BQ92" s="17">
        <f t="shared" si="1274"/>
        <v>0</v>
      </c>
      <c r="BR92" s="17">
        <f t="shared" si="1275"/>
        <v>0</v>
      </c>
      <c r="BS92" s="17">
        <f t="shared" si="1276"/>
        <v>0</v>
      </c>
      <c r="BT92" s="17">
        <f t="shared" si="1277"/>
        <v>0</v>
      </c>
      <c r="BU92" s="17">
        <f t="shared" si="1278"/>
        <v>0</v>
      </c>
      <c r="BV92" s="17">
        <f t="shared" si="1279"/>
        <v>0</v>
      </c>
      <c r="BW92" s="17">
        <f t="shared" si="1280"/>
        <v>0</v>
      </c>
      <c r="BX92" s="17">
        <f t="shared" si="1281"/>
        <v>0</v>
      </c>
      <c r="BY92" s="17">
        <f t="shared" si="1282"/>
        <v>0</v>
      </c>
      <c r="BZ92" s="17">
        <f t="shared" si="1283"/>
        <v>0</v>
      </c>
      <c r="CA92" s="17">
        <f t="shared" si="1284"/>
        <v>0</v>
      </c>
      <c r="CB92" s="54">
        <f t="shared" si="1285"/>
        <v>0</v>
      </c>
      <c r="CC92" s="58">
        <f t="shared" si="1115"/>
        <v>105</v>
      </c>
      <c r="CD92" s="58">
        <f t="shared" ca="1" si="1009"/>
        <v>8.0769230769230766</v>
      </c>
      <c r="JJ92" s="4" t="s">
        <v>13</v>
      </c>
      <c r="JK92" s="152" t="str">
        <f t="shared" si="1010"/>
        <v>ISB01-PHR-MIO-07</v>
      </c>
      <c r="JL92" s="163">
        <v>1</v>
      </c>
      <c r="JM92" s="158">
        <v>1</v>
      </c>
      <c r="JN92" s="158">
        <v>0</v>
      </c>
      <c r="JO92" s="159">
        <v>0</v>
      </c>
      <c r="JP92" s="158">
        <v>1</v>
      </c>
      <c r="JQ92" s="158">
        <v>1</v>
      </c>
      <c r="JR92" s="158">
        <v>1</v>
      </c>
      <c r="JS92" s="158">
        <v>1</v>
      </c>
      <c r="JT92" s="158">
        <v>1</v>
      </c>
      <c r="JU92" s="158">
        <v>1</v>
      </c>
      <c r="JV92" s="158">
        <v>0</v>
      </c>
      <c r="JW92" s="159">
        <v>1</v>
      </c>
      <c r="JX92" s="159">
        <v>1</v>
      </c>
      <c r="JY92" s="159">
        <v>1</v>
      </c>
      <c r="JZ92" s="158"/>
      <c r="KA92" s="158"/>
      <c r="KB92" s="158"/>
      <c r="KC92" s="158"/>
      <c r="KD92" s="158"/>
      <c r="KE92" s="158"/>
      <c r="KF92" s="158"/>
      <c r="KG92" s="158"/>
      <c r="KH92" s="159"/>
      <c r="KI92" s="159"/>
      <c r="KJ92" s="158"/>
      <c r="KK92" s="158"/>
      <c r="KL92" s="158"/>
      <c r="KM92" s="158"/>
      <c r="KN92" s="158"/>
      <c r="KO92" s="158"/>
      <c r="KP92" s="164"/>
      <c r="KQ92" s="157">
        <v>14</v>
      </c>
      <c r="KR92" s="157">
        <v>9</v>
      </c>
      <c r="KS92" s="157">
        <v>0</v>
      </c>
      <c r="KT92" s="157">
        <v>0</v>
      </c>
      <c r="KU92" s="157">
        <v>14</v>
      </c>
      <c r="KV92" s="157">
        <v>8</v>
      </c>
      <c r="KW92" s="157">
        <v>12</v>
      </c>
      <c r="KX92" s="157">
        <v>12</v>
      </c>
      <c r="KY92" s="157">
        <v>6</v>
      </c>
      <c r="KZ92" s="157">
        <v>11</v>
      </c>
      <c r="LA92" s="157">
        <v>0</v>
      </c>
      <c r="LB92" s="157">
        <v>11</v>
      </c>
      <c r="LC92" s="157">
        <v>5</v>
      </c>
      <c r="LD92" s="157">
        <v>3</v>
      </c>
      <c r="LE92" s="157"/>
      <c r="LF92" s="157"/>
      <c r="LG92" s="157"/>
      <c r="LH92" s="157"/>
      <c r="LI92" s="157"/>
      <c r="LJ92" s="157"/>
      <c r="LK92" s="157"/>
      <c r="LL92" s="157"/>
      <c r="LM92" s="157"/>
      <c r="LN92" s="157"/>
      <c r="LO92" s="157"/>
      <c r="LP92" s="157"/>
      <c r="LQ92" s="157"/>
      <c r="LR92" s="157"/>
      <c r="LS92" s="157"/>
      <c r="LT92" s="5"/>
      <c r="LU92" s="8"/>
    </row>
    <row r="93" spans="1:333" ht="16.2" customHeight="1">
      <c r="A93" s="38" t="s">
        <v>9</v>
      </c>
      <c r="B93" s="25" t="s">
        <v>105</v>
      </c>
      <c r="C93" s="25" t="s">
        <v>391</v>
      </c>
      <c r="D93" s="25" t="s">
        <v>343</v>
      </c>
      <c r="E93" s="27" t="s">
        <v>425</v>
      </c>
      <c r="F93" s="25" t="s">
        <v>504</v>
      </c>
      <c r="G93" s="25" t="s">
        <v>344</v>
      </c>
      <c r="H93" s="28">
        <v>45764</v>
      </c>
      <c r="I93" s="29" t="s">
        <v>143</v>
      </c>
      <c r="J93" s="30">
        <v>1</v>
      </c>
      <c r="K93" s="147">
        <v>0</v>
      </c>
      <c r="L93" s="147">
        <f t="shared" si="1219"/>
        <v>1</v>
      </c>
      <c r="M93" s="147">
        <f t="shared" si="1220"/>
        <v>1</v>
      </c>
      <c r="N93" s="147">
        <f t="shared" si="1221"/>
        <v>1</v>
      </c>
      <c r="O93" s="147">
        <f t="shared" si="1222"/>
        <v>1</v>
      </c>
      <c r="P93" s="148">
        <f t="shared" si="1223"/>
        <v>1</v>
      </c>
      <c r="Q93" s="50">
        <f t="shared" si="1224"/>
        <v>1</v>
      </c>
      <c r="R93" s="17">
        <f t="shared" si="1225"/>
        <v>1</v>
      </c>
      <c r="S93" s="17">
        <f t="shared" si="1226"/>
        <v>1</v>
      </c>
      <c r="T93" s="17">
        <f t="shared" si="1227"/>
        <v>0</v>
      </c>
      <c r="U93" s="17">
        <f t="shared" si="1228"/>
        <v>1</v>
      </c>
      <c r="V93" s="17">
        <f t="shared" si="1229"/>
        <v>1</v>
      </c>
      <c r="W93" s="17">
        <f t="shared" si="1230"/>
        <v>1</v>
      </c>
      <c r="X93" s="17">
        <f t="shared" si="1231"/>
        <v>1</v>
      </c>
      <c r="Y93" s="17">
        <f t="shared" si="1232"/>
        <v>1</v>
      </c>
      <c r="Z93" s="17">
        <f t="shared" si="1233"/>
        <v>1</v>
      </c>
      <c r="AA93" s="17">
        <f t="shared" si="1234"/>
        <v>0</v>
      </c>
      <c r="AB93" s="17">
        <f t="shared" si="1235"/>
        <v>1</v>
      </c>
      <c r="AC93" s="17">
        <f t="shared" si="1236"/>
        <v>1</v>
      </c>
      <c r="AD93" s="17">
        <f t="shared" si="1237"/>
        <v>1</v>
      </c>
      <c r="AE93" s="17">
        <f t="shared" si="1238"/>
        <v>0</v>
      </c>
      <c r="AF93" s="17">
        <f t="shared" si="1239"/>
        <v>0</v>
      </c>
      <c r="AG93" s="17">
        <f t="shared" si="1240"/>
        <v>0</v>
      </c>
      <c r="AH93" s="17">
        <f t="shared" si="1241"/>
        <v>0</v>
      </c>
      <c r="AI93" s="17">
        <f t="shared" si="1242"/>
        <v>0</v>
      </c>
      <c r="AJ93" s="17">
        <f t="shared" si="1243"/>
        <v>0</v>
      </c>
      <c r="AK93" s="17">
        <f t="shared" si="1244"/>
        <v>0</v>
      </c>
      <c r="AL93" s="17">
        <f t="shared" si="1245"/>
        <v>0</v>
      </c>
      <c r="AM93" s="17">
        <f t="shared" si="1246"/>
        <v>0</v>
      </c>
      <c r="AN93" s="17">
        <f t="shared" si="1247"/>
        <v>0</v>
      </c>
      <c r="AO93" s="17">
        <f t="shared" si="1248"/>
        <v>0</v>
      </c>
      <c r="AP93" s="17">
        <f t="shared" si="1249"/>
        <v>0</v>
      </c>
      <c r="AQ93" s="17">
        <f t="shared" si="1250"/>
        <v>0</v>
      </c>
      <c r="AR93" s="17">
        <f t="shared" si="1251"/>
        <v>0</v>
      </c>
      <c r="AS93" s="17">
        <f t="shared" si="1252"/>
        <v>0</v>
      </c>
      <c r="AT93" s="17">
        <f t="shared" si="1253"/>
        <v>0</v>
      </c>
      <c r="AU93" s="54">
        <f t="shared" si="1254"/>
        <v>0</v>
      </c>
      <c r="AV93" s="58">
        <f t="shared" si="1006"/>
        <v>12</v>
      </c>
      <c r="AW93" s="58">
        <f t="shared" ca="1" si="1007"/>
        <v>0.92307692307692313</v>
      </c>
      <c r="AX93" s="50">
        <f t="shared" si="1255"/>
        <v>9</v>
      </c>
      <c r="AY93" s="17">
        <f t="shared" si="1256"/>
        <v>0</v>
      </c>
      <c r="AZ93" s="17">
        <f t="shared" si="1257"/>
        <v>0</v>
      </c>
      <c r="BA93" s="17">
        <f t="shared" si="1258"/>
        <v>0</v>
      </c>
      <c r="BB93" s="17">
        <f t="shared" si="1259"/>
        <v>13</v>
      </c>
      <c r="BC93" s="17">
        <f t="shared" si="1260"/>
        <v>13</v>
      </c>
      <c r="BD93" s="17">
        <f t="shared" si="1261"/>
        <v>9</v>
      </c>
      <c r="BE93" s="17">
        <f t="shared" si="1262"/>
        <v>11</v>
      </c>
      <c r="BF93" s="17">
        <f t="shared" si="1263"/>
        <v>13</v>
      </c>
      <c r="BG93" s="17">
        <f t="shared" si="1264"/>
        <v>8</v>
      </c>
      <c r="BH93" s="17">
        <f t="shared" si="1265"/>
        <v>0</v>
      </c>
      <c r="BI93" s="17">
        <f t="shared" si="1266"/>
        <v>8</v>
      </c>
      <c r="BJ93" s="17">
        <f t="shared" si="1267"/>
        <v>5</v>
      </c>
      <c r="BK93" s="17">
        <f t="shared" si="1268"/>
        <v>4</v>
      </c>
      <c r="BL93" s="17">
        <f t="shared" si="1269"/>
        <v>0</v>
      </c>
      <c r="BM93" s="17">
        <f t="shared" si="1270"/>
        <v>0</v>
      </c>
      <c r="BN93" s="17">
        <f t="shared" si="1271"/>
        <v>0</v>
      </c>
      <c r="BO93" s="17">
        <f t="shared" si="1272"/>
        <v>0</v>
      </c>
      <c r="BP93" s="17">
        <f t="shared" si="1273"/>
        <v>0</v>
      </c>
      <c r="BQ93" s="17">
        <f t="shared" si="1274"/>
        <v>0</v>
      </c>
      <c r="BR93" s="17">
        <f t="shared" si="1275"/>
        <v>0</v>
      </c>
      <c r="BS93" s="17">
        <f t="shared" si="1276"/>
        <v>0</v>
      </c>
      <c r="BT93" s="17">
        <f t="shared" si="1277"/>
        <v>0</v>
      </c>
      <c r="BU93" s="17">
        <f t="shared" si="1278"/>
        <v>0</v>
      </c>
      <c r="BV93" s="17">
        <f t="shared" si="1279"/>
        <v>0</v>
      </c>
      <c r="BW93" s="17">
        <f t="shared" si="1280"/>
        <v>0</v>
      </c>
      <c r="BX93" s="17">
        <f t="shared" si="1281"/>
        <v>0</v>
      </c>
      <c r="BY93" s="17">
        <f t="shared" si="1282"/>
        <v>0</v>
      </c>
      <c r="BZ93" s="17">
        <f t="shared" si="1283"/>
        <v>0</v>
      </c>
      <c r="CA93" s="17">
        <f t="shared" si="1284"/>
        <v>0</v>
      </c>
      <c r="CB93" s="54">
        <f t="shared" si="1285"/>
        <v>0</v>
      </c>
      <c r="CC93" s="58">
        <f t="shared" si="1115"/>
        <v>93</v>
      </c>
      <c r="CD93" s="58">
        <f t="shared" ca="1" si="1009"/>
        <v>7.1538461538461542</v>
      </c>
      <c r="JJ93" s="4" t="s">
        <v>13</v>
      </c>
      <c r="JK93" s="152" t="str">
        <f t="shared" si="1010"/>
        <v>ISB01-PHR-MIO-08</v>
      </c>
      <c r="JL93" s="163">
        <v>1</v>
      </c>
      <c r="JM93" s="158">
        <v>1</v>
      </c>
      <c r="JN93" s="158">
        <v>1</v>
      </c>
      <c r="JO93" s="159">
        <v>0</v>
      </c>
      <c r="JP93" s="158">
        <v>1</v>
      </c>
      <c r="JQ93" s="158">
        <v>1</v>
      </c>
      <c r="JR93" s="158">
        <v>1</v>
      </c>
      <c r="JS93" s="158">
        <v>1</v>
      </c>
      <c r="JT93" s="158">
        <v>1</v>
      </c>
      <c r="JU93" s="158">
        <v>1</v>
      </c>
      <c r="JV93" s="158">
        <v>0</v>
      </c>
      <c r="JW93" s="159">
        <v>1</v>
      </c>
      <c r="JX93" s="159">
        <v>1</v>
      </c>
      <c r="JY93" s="159">
        <v>1</v>
      </c>
      <c r="JZ93" s="158"/>
      <c r="KA93" s="158"/>
      <c r="KB93" s="158"/>
      <c r="KC93" s="158"/>
      <c r="KD93" s="158"/>
      <c r="KE93" s="158"/>
      <c r="KF93" s="158"/>
      <c r="KG93" s="158"/>
      <c r="KH93" s="159"/>
      <c r="KI93" s="159"/>
      <c r="KJ93" s="158"/>
      <c r="KK93" s="158"/>
      <c r="KL93" s="158"/>
      <c r="KM93" s="158"/>
      <c r="KN93" s="158"/>
      <c r="KO93" s="158"/>
      <c r="KP93" s="164"/>
      <c r="KQ93" s="157">
        <v>9</v>
      </c>
      <c r="KR93" s="157">
        <v>0</v>
      </c>
      <c r="KS93" s="157">
        <v>0</v>
      </c>
      <c r="KT93" s="157">
        <v>0</v>
      </c>
      <c r="KU93" s="157">
        <v>13</v>
      </c>
      <c r="KV93" s="157">
        <v>13</v>
      </c>
      <c r="KW93" s="157">
        <v>9</v>
      </c>
      <c r="KX93" s="157">
        <v>11</v>
      </c>
      <c r="KY93" s="157">
        <v>13</v>
      </c>
      <c r="KZ93" s="157">
        <v>8</v>
      </c>
      <c r="LA93" s="157">
        <v>0</v>
      </c>
      <c r="LB93" s="157">
        <v>8</v>
      </c>
      <c r="LC93" s="157">
        <v>5</v>
      </c>
      <c r="LD93" s="157">
        <v>4</v>
      </c>
      <c r="LE93" s="157"/>
      <c r="LF93" s="157"/>
      <c r="LG93" s="157"/>
      <c r="LH93" s="157"/>
      <c r="LI93" s="157"/>
      <c r="LJ93" s="157"/>
      <c r="LK93" s="157"/>
      <c r="LL93" s="157"/>
      <c r="LM93" s="157"/>
      <c r="LN93" s="157"/>
      <c r="LO93" s="157"/>
      <c r="LP93" s="157"/>
      <c r="LQ93" s="157"/>
      <c r="LR93" s="157"/>
      <c r="LS93" s="157"/>
      <c r="LT93" s="5"/>
      <c r="LU93" s="8"/>
    </row>
    <row r="94" spans="1:333" ht="16.2" customHeight="1">
      <c r="A94" s="38" t="s">
        <v>9</v>
      </c>
      <c r="B94" s="25" t="s">
        <v>105</v>
      </c>
      <c r="C94" s="25" t="s">
        <v>391</v>
      </c>
      <c r="D94" s="25" t="s">
        <v>345</v>
      </c>
      <c r="E94" s="27" t="s">
        <v>144</v>
      </c>
      <c r="F94" s="25" t="s">
        <v>505</v>
      </c>
      <c r="G94" s="25" t="s">
        <v>137</v>
      </c>
      <c r="H94" s="28">
        <v>45149</v>
      </c>
      <c r="I94" s="29" t="s">
        <v>346</v>
      </c>
      <c r="J94" s="30">
        <v>1</v>
      </c>
      <c r="K94" s="147">
        <v>0</v>
      </c>
      <c r="L94" s="147">
        <f t="shared" si="1219"/>
        <v>0</v>
      </c>
      <c r="M94" s="147">
        <f t="shared" si="1220"/>
        <v>1</v>
      </c>
      <c r="N94" s="147">
        <f t="shared" si="1221"/>
        <v>0</v>
      </c>
      <c r="O94" s="147">
        <f t="shared" si="1222"/>
        <v>1</v>
      </c>
      <c r="P94" s="148">
        <f t="shared" si="1223"/>
        <v>1</v>
      </c>
      <c r="Q94" s="50">
        <f t="shared" si="1224"/>
        <v>1</v>
      </c>
      <c r="R94" s="17">
        <f t="shared" si="1225"/>
        <v>1</v>
      </c>
      <c r="S94" s="17">
        <f t="shared" si="1226"/>
        <v>1</v>
      </c>
      <c r="T94" s="17">
        <f t="shared" si="1227"/>
        <v>0</v>
      </c>
      <c r="U94" s="17">
        <f t="shared" si="1228"/>
        <v>1</v>
      </c>
      <c r="V94" s="17">
        <f t="shared" si="1229"/>
        <v>0</v>
      </c>
      <c r="W94" s="17">
        <f t="shared" si="1230"/>
        <v>1</v>
      </c>
      <c r="X94" s="17">
        <f t="shared" si="1231"/>
        <v>1</v>
      </c>
      <c r="Y94" s="17">
        <f t="shared" si="1232"/>
        <v>1</v>
      </c>
      <c r="Z94" s="17">
        <f t="shared" si="1233"/>
        <v>1</v>
      </c>
      <c r="AA94" s="17">
        <f t="shared" si="1234"/>
        <v>0</v>
      </c>
      <c r="AB94" s="17">
        <f t="shared" si="1235"/>
        <v>1</v>
      </c>
      <c r="AC94" s="17">
        <f t="shared" si="1236"/>
        <v>0</v>
      </c>
      <c r="AD94" s="17">
        <f t="shared" si="1237"/>
        <v>0</v>
      </c>
      <c r="AE94" s="17">
        <f t="shared" si="1238"/>
        <v>0</v>
      </c>
      <c r="AF94" s="17">
        <f t="shared" si="1239"/>
        <v>0</v>
      </c>
      <c r="AG94" s="17">
        <f t="shared" si="1240"/>
        <v>0</v>
      </c>
      <c r="AH94" s="17">
        <f t="shared" si="1241"/>
        <v>0</v>
      </c>
      <c r="AI94" s="17">
        <f t="shared" si="1242"/>
        <v>0</v>
      </c>
      <c r="AJ94" s="17">
        <f t="shared" si="1243"/>
        <v>0</v>
      </c>
      <c r="AK94" s="17">
        <f t="shared" si="1244"/>
        <v>0</v>
      </c>
      <c r="AL94" s="17">
        <f t="shared" si="1245"/>
        <v>0</v>
      </c>
      <c r="AM94" s="17">
        <f t="shared" si="1246"/>
        <v>0</v>
      </c>
      <c r="AN94" s="17">
        <f t="shared" si="1247"/>
        <v>0</v>
      </c>
      <c r="AO94" s="17">
        <f t="shared" si="1248"/>
        <v>0</v>
      </c>
      <c r="AP94" s="17">
        <f t="shared" si="1249"/>
        <v>0</v>
      </c>
      <c r="AQ94" s="17">
        <f t="shared" si="1250"/>
        <v>0</v>
      </c>
      <c r="AR94" s="17">
        <f t="shared" si="1251"/>
        <v>0</v>
      </c>
      <c r="AS94" s="17">
        <f t="shared" si="1252"/>
        <v>0</v>
      </c>
      <c r="AT94" s="17">
        <f t="shared" si="1253"/>
        <v>0</v>
      </c>
      <c r="AU94" s="54">
        <f t="shared" si="1254"/>
        <v>0</v>
      </c>
      <c r="AV94" s="58">
        <f t="shared" si="1006"/>
        <v>9</v>
      </c>
      <c r="AW94" s="58">
        <f t="shared" ca="1" si="1007"/>
        <v>0.69230769230769229</v>
      </c>
      <c r="AX94" s="50">
        <f t="shared" si="1255"/>
        <v>1</v>
      </c>
      <c r="AY94" s="17">
        <f t="shared" si="1256"/>
        <v>10</v>
      </c>
      <c r="AZ94" s="17">
        <f t="shared" si="1257"/>
        <v>6</v>
      </c>
      <c r="BA94" s="17">
        <f t="shared" si="1258"/>
        <v>0</v>
      </c>
      <c r="BB94" s="17">
        <f t="shared" si="1259"/>
        <v>6</v>
      </c>
      <c r="BC94" s="17">
        <f t="shared" si="1260"/>
        <v>6</v>
      </c>
      <c r="BD94" s="17">
        <f t="shared" si="1261"/>
        <v>0</v>
      </c>
      <c r="BE94" s="17">
        <f t="shared" si="1262"/>
        <v>0</v>
      </c>
      <c r="BF94" s="17">
        <f t="shared" si="1263"/>
        <v>2</v>
      </c>
      <c r="BG94" s="17">
        <f t="shared" si="1264"/>
        <v>4</v>
      </c>
      <c r="BH94" s="17">
        <f t="shared" si="1265"/>
        <v>0</v>
      </c>
      <c r="BI94" s="17">
        <f t="shared" si="1266"/>
        <v>5</v>
      </c>
      <c r="BJ94" s="17">
        <f t="shared" si="1267"/>
        <v>0</v>
      </c>
      <c r="BK94" s="17">
        <f t="shared" si="1268"/>
        <v>0</v>
      </c>
      <c r="BL94" s="17">
        <f t="shared" si="1269"/>
        <v>0</v>
      </c>
      <c r="BM94" s="17">
        <f t="shared" si="1270"/>
        <v>0</v>
      </c>
      <c r="BN94" s="17">
        <f t="shared" si="1271"/>
        <v>0</v>
      </c>
      <c r="BO94" s="17">
        <f t="shared" si="1272"/>
        <v>0</v>
      </c>
      <c r="BP94" s="17">
        <f t="shared" si="1273"/>
        <v>0</v>
      </c>
      <c r="BQ94" s="17">
        <f t="shared" si="1274"/>
        <v>0</v>
      </c>
      <c r="BR94" s="17">
        <f t="shared" si="1275"/>
        <v>0</v>
      </c>
      <c r="BS94" s="17">
        <f t="shared" si="1276"/>
        <v>0</v>
      </c>
      <c r="BT94" s="17">
        <f t="shared" si="1277"/>
        <v>0</v>
      </c>
      <c r="BU94" s="17">
        <f t="shared" si="1278"/>
        <v>0</v>
      </c>
      <c r="BV94" s="17">
        <f t="shared" si="1279"/>
        <v>0</v>
      </c>
      <c r="BW94" s="17">
        <f t="shared" si="1280"/>
        <v>0</v>
      </c>
      <c r="BX94" s="17">
        <f t="shared" si="1281"/>
        <v>0</v>
      </c>
      <c r="BY94" s="17">
        <f t="shared" si="1282"/>
        <v>0</v>
      </c>
      <c r="BZ94" s="17">
        <f t="shared" si="1283"/>
        <v>0</v>
      </c>
      <c r="CA94" s="17">
        <f t="shared" si="1284"/>
        <v>0</v>
      </c>
      <c r="CB94" s="54">
        <f t="shared" si="1285"/>
        <v>0</v>
      </c>
      <c r="CC94" s="58">
        <f t="shared" si="1115"/>
        <v>40</v>
      </c>
      <c r="CD94" s="58">
        <f t="shared" ca="1" si="1009"/>
        <v>3.0769230769230771</v>
      </c>
      <c r="JJ94" s="4" t="s">
        <v>13</v>
      </c>
      <c r="JK94" s="152" t="str">
        <f t="shared" si="1010"/>
        <v>ISB01-PHR-MIO-09</v>
      </c>
      <c r="JL94" s="163">
        <v>1</v>
      </c>
      <c r="JM94" s="158">
        <v>1</v>
      </c>
      <c r="JN94" s="158">
        <v>1</v>
      </c>
      <c r="JO94" s="159">
        <v>0</v>
      </c>
      <c r="JP94" s="158">
        <v>1</v>
      </c>
      <c r="JQ94" s="158">
        <v>0</v>
      </c>
      <c r="JR94" s="158">
        <v>1</v>
      </c>
      <c r="JS94" s="158">
        <v>1</v>
      </c>
      <c r="JT94" s="158">
        <v>1</v>
      </c>
      <c r="JU94" s="158">
        <v>1</v>
      </c>
      <c r="JV94" s="158">
        <v>0</v>
      </c>
      <c r="JW94" s="159">
        <v>1</v>
      </c>
      <c r="JX94" s="159">
        <v>0</v>
      </c>
      <c r="JY94" s="159">
        <v>0</v>
      </c>
      <c r="JZ94" s="158"/>
      <c r="KA94" s="158"/>
      <c r="KB94" s="158"/>
      <c r="KC94" s="158"/>
      <c r="KD94" s="158"/>
      <c r="KE94" s="158"/>
      <c r="KF94" s="158"/>
      <c r="KG94" s="158"/>
      <c r="KH94" s="159"/>
      <c r="KI94" s="159"/>
      <c r="KJ94" s="158"/>
      <c r="KK94" s="158"/>
      <c r="KL94" s="158"/>
      <c r="KM94" s="158"/>
      <c r="KN94" s="158"/>
      <c r="KO94" s="158"/>
      <c r="KP94" s="164"/>
      <c r="KQ94" s="157">
        <v>1</v>
      </c>
      <c r="KR94" s="157">
        <v>10</v>
      </c>
      <c r="KS94" s="157">
        <v>6</v>
      </c>
      <c r="KT94" s="157">
        <v>0</v>
      </c>
      <c r="KU94" s="157">
        <v>6</v>
      </c>
      <c r="KV94" s="157">
        <v>6</v>
      </c>
      <c r="KW94" s="157">
        <v>0</v>
      </c>
      <c r="KX94" s="157">
        <v>0</v>
      </c>
      <c r="KY94" s="157">
        <v>2</v>
      </c>
      <c r="KZ94" s="157">
        <v>4</v>
      </c>
      <c r="LA94" s="157">
        <v>0</v>
      </c>
      <c r="LB94" s="157">
        <v>5</v>
      </c>
      <c r="LC94" s="157">
        <v>0</v>
      </c>
      <c r="LD94" s="157">
        <v>0</v>
      </c>
      <c r="LE94" s="157"/>
      <c r="LF94" s="157"/>
      <c r="LG94" s="157"/>
      <c r="LH94" s="157"/>
      <c r="LI94" s="157"/>
      <c r="LJ94" s="157"/>
      <c r="LK94" s="157"/>
      <c r="LL94" s="157"/>
      <c r="LM94" s="157"/>
      <c r="LN94" s="157"/>
      <c r="LO94" s="157"/>
      <c r="LP94" s="157"/>
      <c r="LQ94" s="157"/>
      <c r="LR94" s="157"/>
      <c r="LS94" s="157"/>
      <c r="LT94" s="5"/>
      <c r="LU94" s="8"/>
    </row>
    <row r="95" spans="1:333" ht="16.2" customHeight="1">
      <c r="A95" s="38" t="s">
        <v>16</v>
      </c>
      <c r="B95" s="25" t="s">
        <v>105</v>
      </c>
      <c r="C95" s="25" t="s">
        <v>391</v>
      </c>
      <c r="D95" s="25" t="s">
        <v>145</v>
      </c>
      <c r="E95" s="27" t="s">
        <v>146</v>
      </c>
      <c r="F95" s="25" t="s">
        <v>506</v>
      </c>
      <c r="G95" s="25" t="s">
        <v>436</v>
      </c>
      <c r="H95" s="28" t="s">
        <v>436</v>
      </c>
      <c r="I95" s="29" t="s">
        <v>131</v>
      </c>
      <c r="J95" s="30">
        <v>0</v>
      </c>
      <c r="K95" s="147">
        <v>0</v>
      </c>
      <c r="L95" s="147">
        <f t="shared" si="1219"/>
        <v>0</v>
      </c>
      <c r="M95" s="147">
        <f t="shared" si="1220"/>
        <v>0</v>
      </c>
      <c r="N95" s="147">
        <f t="shared" si="1221"/>
        <v>0</v>
      </c>
      <c r="O95" s="147">
        <f t="shared" si="1222"/>
        <v>0</v>
      </c>
      <c r="P95" s="148">
        <f t="shared" si="1223"/>
        <v>0</v>
      </c>
      <c r="Q95" s="50">
        <f t="shared" si="1224"/>
        <v>0</v>
      </c>
      <c r="R95" s="17">
        <f t="shared" si="1225"/>
        <v>0</v>
      </c>
      <c r="S95" s="17">
        <f t="shared" si="1226"/>
        <v>0</v>
      </c>
      <c r="T95" s="17">
        <f t="shared" si="1227"/>
        <v>0</v>
      </c>
      <c r="U95" s="17">
        <f t="shared" si="1228"/>
        <v>0</v>
      </c>
      <c r="V95" s="17">
        <f t="shared" si="1229"/>
        <v>0</v>
      </c>
      <c r="W95" s="17">
        <f t="shared" si="1230"/>
        <v>0</v>
      </c>
      <c r="X95" s="17">
        <f t="shared" si="1231"/>
        <v>0</v>
      </c>
      <c r="Y95" s="17">
        <f t="shared" si="1232"/>
        <v>0</v>
      </c>
      <c r="Z95" s="17">
        <f t="shared" si="1233"/>
        <v>0</v>
      </c>
      <c r="AA95" s="17">
        <f t="shared" si="1234"/>
        <v>0</v>
      </c>
      <c r="AB95" s="17">
        <f t="shared" si="1235"/>
        <v>0</v>
      </c>
      <c r="AC95" s="17">
        <f t="shared" si="1236"/>
        <v>0</v>
      </c>
      <c r="AD95" s="17">
        <f t="shared" si="1237"/>
        <v>0</v>
      </c>
      <c r="AE95" s="17">
        <f t="shared" si="1238"/>
        <v>0</v>
      </c>
      <c r="AF95" s="17">
        <f t="shared" si="1239"/>
        <v>0</v>
      </c>
      <c r="AG95" s="17">
        <f t="shared" si="1240"/>
        <v>0</v>
      </c>
      <c r="AH95" s="17">
        <f t="shared" si="1241"/>
        <v>0</v>
      </c>
      <c r="AI95" s="17">
        <f t="shared" si="1242"/>
        <v>0</v>
      </c>
      <c r="AJ95" s="17">
        <f t="shared" si="1243"/>
        <v>0</v>
      </c>
      <c r="AK95" s="17">
        <f t="shared" si="1244"/>
        <v>0</v>
      </c>
      <c r="AL95" s="17">
        <f t="shared" si="1245"/>
        <v>0</v>
      </c>
      <c r="AM95" s="17">
        <f t="shared" si="1246"/>
        <v>0</v>
      </c>
      <c r="AN95" s="17">
        <f t="shared" si="1247"/>
        <v>0</v>
      </c>
      <c r="AO95" s="17">
        <f t="shared" si="1248"/>
        <v>0</v>
      </c>
      <c r="AP95" s="17">
        <f t="shared" si="1249"/>
        <v>0</v>
      </c>
      <c r="AQ95" s="17">
        <f t="shared" si="1250"/>
        <v>0</v>
      </c>
      <c r="AR95" s="17">
        <f t="shared" si="1251"/>
        <v>0</v>
      </c>
      <c r="AS95" s="17">
        <f t="shared" si="1252"/>
        <v>0</v>
      </c>
      <c r="AT95" s="17">
        <f t="shared" si="1253"/>
        <v>0</v>
      </c>
      <c r="AU95" s="54">
        <f t="shared" si="1254"/>
        <v>0</v>
      </c>
      <c r="AV95" s="58">
        <f t="shared" si="1006"/>
        <v>0</v>
      </c>
      <c r="AW95" s="58">
        <f t="shared" ca="1" si="1007"/>
        <v>0</v>
      </c>
      <c r="AX95" s="50">
        <f t="shared" si="1255"/>
        <v>0</v>
      </c>
      <c r="AY95" s="17">
        <f t="shared" si="1256"/>
        <v>0</v>
      </c>
      <c r="AZ95" s="17">
        <f t="shared" si="1257"/>
        <v>0</v>
      </c>
      <c r="BA95" s="17">
        <f t="shared" si="1258"/>
        <v>0</v>
      </c>
      <c r="BB95" s="17">
        <f t="shared" si="1259"/>
        <v>0</v>
      </c>
      <c r="BC95" s="17">
        <f t="shared" si="1260"/>
        <v>0</v>
      </c>
      <c r="BD95" s="17">
        <f t="shared" si="1261"/>
        <v>0</v>
      </c>
      <c r="BE95" s="17">
        <f t="shared" si="1262"/>
        <v>0</v>
      </c>
      <c r="BF95" s="17">
        <f t="shared" si="1263"/>
        <v>0</v>
      </c>
      <c r="BG95" s="17">
        <f t="shared" si="1264"/>
        <v>0</v>
      </c>
      <c r="BH95" s="17">
        <f t="shared" si="1265"/>
        <v>0</v>
      </c>
      <c r="BI95" s="17">
        <f t="shared" si="1266"/>
        <v>0</v>
      </c>
      <c r="BJ95" s="17">
        <f t="shared" si="1267"/>
        <v>0</v>
      </c>
      <c r="BK95" s="17">
        <f t="shared" si="1268"/>
        <v>0</v>
      </c>
      <c r="BL95" s="17">
        <f t="shared" si="1269"/>
        <v>0</v>
      </c>
      <c r="BM95" s="17">
        <f t="shared" si="1270"/>
        <v>0</v>
      </c>
      <c r="BN95" s="17">
        <f t="shared" si="1271"/>
        <v>0</v>
      </c>
      <c r="BO95" s="17">
        <f t="shared" si="1272"/>
        <v>0</v>
      </c>
      <c r="BP95" s="17">
        <f t="shared" si="1273"/>
        <v>0</v>
      </c>
      <c r="BQ95" s="17">
        <f t="shared" si="1274"/>
        <v>0</v>
      </c>
      <c r="BR95" s="17">
        <f t="shared" si="1275"/>
        <v>0</v>
      </c>
      <c r="BS95" s="17">
        <f t="shared" si="1276"/>
        <v>0</v>
      </c>
      <c r="BT95" s="17">
        <f t="shared" si="1277"/>
        <v>0</v>
      </c>
      <c r="BU95" s="17">
        <f t="shared" si="1278"/>
        <v>0</v>
      </c>
      <c r="BV95" s="17">
        <f t="shared" si="1279"/>
        <v>0</v>
      </c>
      <c r="BW95" s="17">
        <f t="shared" si="1280"/>
        <v>0</v>
      </c>
      <c r="BX95" s="17">
        <f t="shared" si="1281"/>
        <v>0</v>
      </c>
      <c r="BY95" s="17">
        <f t="shared" si="1282"/>
        <v>0</v>
      </c>
      <c r="BZ95" s="17">
        <f t="shared" si="1283"/>
        <v>0</v>
      </c>
      <c r="CA95" s="17">
        <f t="shared" si="1284"/>
        <v>0</v>
      </c>
      <c r="CB95" s="54">
        <f t="shared" si="1285"/>
        <v>0</v>
      </c>
      <c r="CC95" s="58">
        <f t="shared" si="1115"/>
        <v>0</v>
      </c>
      <c r="CD95" s="58">
        <f t="shared" ca="1" si="1009"/>
        <v>0</v>
      </c>
      <c r="JJ95" s="4" t="s">
        <v>13</v>
      </c>
      <c r="JK95" s="152" t="str">
        <f t="shared" si="1010"/>
        <v>ISB01-PHR-MIO-00</v>
      </c>
      <c r="JL95" s="163">
        <v>0</v>
      </c>
      <c r="JM95" s="158">
        <v>0</v>
      </c>
      <c r="JN95" s="158">
        <v>0</v>
      </c>
      <c r="JO95" s="159">
        <v>0</v>
      </c>
      <c r="JP95" s="158">
        <v>0</v>
      </c>
      <c r="JQ95" s="158">
        <v>0</v>
      </c>
      <c r="JR95" s="158">
        <v>0</v>
      </c>
      <c r="JS95" s="158">
        <v>0</v>
      </c>
      <c r="JT95" s="158">
        <v>0</v>
      </c>
      <c r="JU95" s="158">
        <v>0</v>
      </c>
      <c r="JV95" s="158">
        <v>0</v>
      </c>
      <c r="JW95" s="159">
        <v>0</v>
      </c>
      <c r="JX95" s="159">
        <v>0</v>
      </c>
      <c r="JY95" s="159">
        <v>0</v>
      </c>
      <c r="JZ95" s="158"/>
      <c r="KA95" s="158"/>
      <c r="KB95" s="158"/>
      <c r="KC95" s="158"/>
      <c r="KD95" s="158"/>
      <c r="KE95" s="158"/>
      <c r="KF95" s="158"/>
      <c r="KG95" s="158"/>
      <c r="KH95" s="159"/>
      <c r="KI95" s="159"/>
      <c r="KJ95" s="158"/>
      <c r="KK95" s="158"/>
      <c r="KL95" s="158"/>
      <c r="KM95" s="158"/>
      <c r="KN95" s="158"/>
      <c r="KO95" s="158"/>
      <c r="KP95" s="164"/>
      <c r="KQ95" s="157">
        <v>0</v>
      </c>
      <c r="KR95" s="157">
        <v>0</v>
      </c>
      <c r="KS95" s="157">
        <v>0</v>
      </c>
      <c r="KT95" s="157">
        <v>0</v>
      </c>
      <c r="KU95" s="157">
        <v>0</v>
      </c>
      <c r="KV95" s="157">
        <v>0</v>
      </c>
      <c r="KW95" s="157">
        <v>0</v>
      </c>
      <c r="KX95" s="157">
        <v>0</v>
      </c>
      <c r="KY95" s="157">
        <v>0</v>
      </c>
      <c r="KZ95" s="157">
        <v>0</v>
      </c>
      <c r="LA95" s="157">
        <v>0</v>
      </c>
      <c r="LB95" s="157">
        <v>0</v>
      </c>
      <c r="LC95" s="157">
        <v>0</v>
      </c>
      <c r="LD95" s="157">
        <v>0</v>
      </c>
      <c r="LE95" s="157"/>
      <c r="LF95" s="157"/>
      <c r="LG95" s="157"/>
      <c r="LH95" s="157"/>
      <c r="LI95" s="157"/>
      <c r="LJ95" s="157"/>
      <c r="LK95" s="157"/>
      <c r="LL95" s="157"/>
      <c r="LM95" s="157"/>
      <c r="LN95" s="157"/>
      <c r="LO95" s="157"/>
      <c r="LP95" s="157"/>
      <c r="LQ95" s="157"/>
      <c r="LR95" s="157"/>
      <c r="LS95" s="157"/>
      <c r="LT95" s="5"/>
      <c r="LU95" s="8"/>
    </row>
    <row r="96" spans="1:333" ht="16.2" customHeight="1">
      <c r="A96" s="37" t="s">
        <v>19</v>
      </c>
      <c r="B96" s="18" t="s">
        <v>105</v>
      </c>
      <c r="C96" s="19" t="s">
        <v>391</v>
      </c>
      <c r="D96" s="20" t="s">
        <v>348</v>
      </c>
      <c r="E96" s="21" t="s">
        <v>513</v>
      </c>
      <c r="F96" s="18" t="s">
        <v>514</v>
      </c>
      <c r="G96" s="18" t="s">
        <v>347</v>
      </c>
      <c r="H96" s="22">
        <v>45689</v>
      </c>
      <c r="I96" s="20" t="s">
        <v>131</v>
      </c>
      <c r="J96" s="23">
        <v>9</v>
      </c>
      <c r="K96" s="97">
        <f t="shared" ref="K96:L96" si="1286">SUM(K86:K95)</f>
        <v>1</v>
      </c>
      <c r="L96" s="97">
        <f t="shared" si="1286"/>
        <v>7</v>
      </c>
      <c r="M96" s="97">
        <f t="shared" ref="M96" si="1287">SUM(M86:M95)</f>
        <v>8</v>
      </c>
      <c r="N96" s="97">
        <f t="shared" ref="N96" si="1288">SUM(N86:N95)</f>
        <v>4</v>
      </c>
      <c r="O96" s="97">
        <f t="shared" ref="O96" si="1289">SUM(O86:O95)</f>
        <v>8</v>
      </c>
      <c r="P96" s="47">
        <f t="shared" ref="P96:AU96" si="1290">SUM(P86:P95)</f>
        <v>8</v>
      </c>
      <c r="Q96" s="51">
        <f t="shared" si="1290"/>
        <v>7</v>
      </c>
      <c r="R96" s="24">
        <f t="shared" si="1290"/>
        <v>8</v>
      </c>
      <c r="S96" s="24">
        <f t="shared" si="1290"/>
        <v>7</v>
      </c>
      <c r="T96" s="24">
        <f t="shared" si="1290"/>
        <v>0</v>
      </c>
      <c r="U96" s="24">
        <f t="shared" si="1290"/>
        <v>7</v>
      </c>
      <c r="V96" s="24">
        <f t="shared" si="1290"/>
        <v>7</v>
      </c>
      <c r="W96" s="24">
        <f t="shared" si="1290"/>
        <v>8</v>
      </c>
      <c r="X96" s="24">
        <f t="shared" si="1290"/>
        <v>8</v>
      </c>
      <c r="Y96" s="24">
        <f t="shared" si="1290"/>
        <v>7</v>
      </c>
      <c r="Z96" s="24">
        <f t="shared" si="1290"/>
        <v>7</v>
      </c>
      <c r="AA96" s="24">
        <f t="shared" si="1290"/>
        <v>0</v>
      </c>
      <c r="AB96" s="24">
        <f t="shared" si="1290"/>
        <v>8</v>
      </c>
      <c r="AC96" s="24">
        <f t="shared" si="1290"/>
        <v>7</v>
      </c>
      <c r="AD96" s="24">
        <f t="shared" si="1290"/>
        <v>7</v>
      </c>
      <c r="AE96" s="24">
        <f t="shared" si="1290"/>
        <v>0</v>
      </c>
      <c r="AF96" s="24">
        <f t="shared" si="1290"/>
        <v>0</v>
      </c>
      <c r="AG96" s="24">
        <f t="shared" si="1290"/>
        <v>0</v>
      </c>
      <c r="AH96" s="24">
        <f t="shared" si="1290"/>
        <v>0</v>
      </c>
      <c r="AI96" s="24">
        <f t="shared" si="1290"/>
        <v>0</v>
      </c>
      <c r="AJ96" s="24">
        <f t="shared" si="1290"/>
        <v>0</v>
      </c>
      <c r="AK96" s="24">
        <f t="shared" si="1290"/>
        <v>0</v>
      </c>
      <c r="AL96" s="24">
        <f t="shared" si="1290"/>
        <v>0</v>
      </c>
      <c r="AM96" s="24">
        <f t="shared" si="1290"/>
        <v>0</v>
      </c>
      <c r="AN96" s="24">
        <f t="shared" si="1290"/>
        <v>0</v>
      </c>
      <c r="AO96" s="24">
        <f t="shared" si="1290"/>
        <v>0</v>
      </c>
      <c r="AP96" s="24">
        <f t="shared" si="1290"/>
        <v>0</v>
      </c>
      <c r="AQ96" s="24">
        <f t="shared" si="1290"/>
        <v>0</v>
      </c>
      <c r="AR96" s="24">
        <f t="shared" si="1290"/>
        <v>0</v>
      </c>
      <c r="AS96" s="24">
        <f t="shared" si="1290"/>
        <v>0</v>
      </c>
      <c r="AT96" s="24">
        <f t="shared" si="1290"/>
        <v>0</v>
      </c>
      <c r="AU96" s="55">
        <f t="shared" si="1290"/>
        <v>0</v>
      </c>
      <c r="AV96" s="59">
        <f t="shared" si="1006"/>
        <v>88</v>
      </c>
      <c r="AW96" s="59">
        <f t="shared" ca="1" si="1007"/>
        <v>0.84615384615384615</v>
      </c>
      <c r="AX96" s="51">
        <f t="shared" ref="AX96" si="1291">SUM(AX86:AX95)</f>
        <v>56</v>
      </c>
      <c r="AY96" s="24">
        <f t="shared" ref="AY96" si="1292">SUM(AY86:AY95)</f>
        <v>47</v>
      </c>
      <c r="AZ96" s="24">
        <f t="shared" ref="AZ96" si="1293">SUM(AZ86:AZ95)</f>
        <v>44</v>
      </c>
      <c r="BA96" s="24">
        <f t="shared" ref="BA96" si="1294">SUM(BA86:BA95)</f>
        <v>0</v>
      </c>
      <c r="BB96" s="24">
        <f t="shared" ref="BB96" si="1295">SUM(BB86:BB95)</f>
        <v>82</v>
      </c>
      <c r="BC96" s="24">
        <f t="shared" ref="BC96" si="1296">SUM(BC86:BC95)</f>
        <v>74</v>
      </c>
      <c r="BD96" s="24">
        <f t="shared" ref="BD96" si="1297">SUM(BD86:BD95)</f>
        <v>71</v>
      </c>
      <c r="BE96" s="24">
        <f t="shared" ref="BE96" si="1298">SUM(BE86:BE95)</f>
        <v>73</v>
      </c>
      <c r="BF96" s="24">
        <f t="shared" ref="BF96" si="1299">SUM(BF86:BF95)</f>
        <v>51</v>
      </c>
      <c r="BG96" s="24">
        <f t="shared" ref="BG96" si="1300">SUM(BG86:BG95)</f>
        <v>42</v>
      </c>
      <c r="BH96" s="24">
        <f t="shared" ref="BH96" si="1301">SUM(BH86:BH95)</f>
        <v>0</v>
      </c>
      <c r="BI96" s="24">
        <f t="shared" ref="BI96" si="1302">SUM(BI86:BI95)</f>
        <v>56</v>
      </c>
      <c r="BJ96" s="24">
        <f t="shared" ref="BJ96" si="1303">SUM(BJ86:BJ95)</f>
        <v>42</v>
      </c>
      <c r="BK96" s="24">
        <f t="shared" ref="BK96" si="1304">SUM(BK86:BK95)</f>
        <v>11</v>
      </c>
      <c r="BL96" s="24">
        <f t="shared" ref="BL96" si="1305">SUM(BL86:BL95)</f>
        <v>0</v>
      </c>
      <c r="BM96" s="24">
        <f t="shared" ref="BM96" si="1306">SUM(BM86:BM95)</f>
        <v>0</v>
      </c>
      <c r="BN96" s="24">
        <f t="shared" ref="BN96" si="1307">SUM(BN86:BN95)</f>
        <v>0</v>
      </c>
      <c r="BO96" s="24">
        <f t="shared" ref="BO96" si="1308">SUM(BO86:BO95)</f>
        <v>0</v>
      </c>
      <c r="BP96" s="24">
        <f t="shared" ref="BP96" si="1309">SUM(BP86:BP95)</f>
        <v>0</v>
      </c>
      <c r="BQ96" s="24">
        <f t="shared" ref="BQ96" si="1310">SUM(BQ86:BQ95)</f>
        <v>0</v>
      </c>
      <c r="BR96" s="24">
        <f t="shared" ref="BR96" si="1311">SUM(BR86:BR95)</f>
        <v>0</v>
      </c>
      <c r="BS96" s="24">
        <f t="shared" ref="BS96" si="1312">SUM(BS86:BS95)</f>
        <v>0</v>
      </c>
      <c r="BT96" s="24">
        <f t="shared" ref="BT96" si="1313">SUM(BT86:BT95)</f>
        <v>0</v>
      </c>
      <c r="BU96" s="24">
        <f t="shared" ref="BU96" si="1314">SUM(BU86:BU95)</f>
        <v>0</v>
      </c>
      <c r="BV96" s="24">
        <f t="shared" ref="BV96" si="1315">SUM(BV86:BV95)</f>
        <v>0</v>
      </c>
      <c r="BW96" s="24">
        <f t="shared" ref="BW96" si="1316">SUM(BW86:BW95)</f>
        <v>0</v>
      </c>
      <c r="BX96" s="24">
        <f t="shared" ref="BX96" si="1317">SUM(BX86:BX95)</f>
        <v>0</v>
      </c>
      <c r="BY96" s="24">
        <f t="shared" ref="BY96" si="1318">SUM(BY86:BY95)</f>
        <v>0</v>
      </c>
      <c r="BZ96" s="24">
        <f t="shared" ref="BZ96" si="1319">SUM(BZ86:BZ95)</f>
        <v>0</v>
      </c>
      <c r="CA96" s="24">
        <f t="shared" ref="CA96" si="1320">SUM(CA86:CA95)</f>
        <v>0</v>
      </c>
      <c r="CB96" s="55">
        <f t="shared" ref="CB96" si="1321">SUM(CB86:CB95)</f>
        <v>0</v>
      </c>
      <c r="CC96" s="59">
        <f t="shared" si="1115"/>
        <v>649</v>
      </c>
      <c r="CD96" s="59">
        <f t="shared" ca="1" si="1009"/>
        <v>6.240384615384615</v>
      </c>
      <c r="JJ96" s="4" t="s">
        <v>13</v>
      </c>
      <c r="JK96" s="153" t="str">
        <f t="shared" si="1010"/>
        <v>ISB01-PHR-ASM-01</v>
      </c>
      <c r="JL96" s="163">
        <v>0</v>
      </c>
      <c r="JM96" s="158">
        <v>0</v>
      </c>
      <c r="JN96" s="158">
        <v>0</v>
      </c>
      <c r="JO96" s="159">
        <v>0</v>
      </c>
      <c r="JP96" s="158">
        <v>0</v>
      </c>
      <c r="JQ96" s="158">
        <v>0</v>
      </c>
      <c r="JR96" s="158">
        <v>0</v>
      </c>
      <c r="JS96" s="158">
        <v>0</v>
      </c>
      <c r="JT96" s="158">
        <v>0</v>
      </c>
      <c r="JU96" s="158">
        <v>0</v>
      </c>
      <c r="JV96" s="158">
        <v>0</v>
      </c>
      <c r="JW96" s="159">
        <v>0</v>
      </c>
      <c r="JX96" s="159">
        <v>0</v>
      </c>
      <c r="JY96" s="159">
        <v>0</v>
      </c>
      <c r="JZ96" s="158"/>
      <c r="KA96" s="158"/>
      <c r="KB96" s="158"/>
      <c r="KC96" s="158"/>
      <c r="KD96" s="158"/>
      <c r="KE96" s="158"/>
      <c r="KF96" s="158"/>
      <c r="KG96" s="158"/>
      <c r="KH96" s="159"/>
      <c r="KI96" s="159"/>
      <c r="KJ96" s="158"/>
      <c r="KK96" s="158"/>
      <c r="KL96" s="158"/>
      <c r="KM96" s="158"/>
      <c r="KN96" s="158"/>
      <c r="KO96" s="158"/>
      <c r="KP96" s="164"/>
      <c r="KQ96" s="157">
        <v>0</v>
      </c>
      <c r="KR96" s="157">
        <v>0</v>
      </c>
      <c r="KS96" s="157">
        <v>0</v>
      </c>
      <c r="KT96" s="157">
        <v>0</v>
      </c>
      <c r="KU96" s="157">
        <v>0</v>
      </c>
      <c r="KV96" s="157">
        <v>0</v>
      </c>
      <c r="KW96" s="157">
        <v>0</v>
      </c>
      <c r="KX96" s="157">
        <v>0</v>
      </c>
      <c r="KY96" s="157">
        <v>0</v>
      </c>
      <c r="KZ96" s="157">
        <v>0</v>
      </c>
      <c r="LA96" s="157">
        <v>0</v>
      </c>
      <c r="LB96" s="157">
        <v>0</v>
      </c>
      <c r="LC96" s="157">
        <v>0</v>
      </c>
      <c r="LD96" s="157">
        <v>0</v>
      </c>
      <c r="LE96" s="157"/>
      <c r="LF96" s="157"/>
      <c r="LG96" s="157"/>
      <c r="LH96" s="157"/>
      <c r="LI96" s="157"/>
      <c r="LJ96" s="157"/>
      <c r="LK96" s="157"/>
      <c r="LL96" s="157"/>
      <c r="LM96" s="157"/>
      <c r="LN96" s="157"/>
      <c r="LO96" s="157"/>
      <c r="LP96" s="157"/>
      <c r="LQ96" s="157"/>
      <c r="LR96" s="157"/>
      <c r="LS96" s="157"/>
      <c r="LT96" s="5"/>
      <c r="LU96" s="8"/>
    </row>
    <row r="97" spans="1:333" ht="16.2" customHeight="1">
      <c r="A97" s="38" t="s">
        <v>9</v>
      </c>
      <c r="B97" s="25" t="s">
        <v>105</v>
      </c>
      <c r="C97" s="26" t="s">
        <v>392</v>
      </c>
      <c r="D97" s="25" t="s">
        <v>349</v>
      </c>
      <c r="E97" s="27" t="s">
        <v>147</v>
      </c>
      <c r="F97" s="25" t="s">
        <v>547</v>
      </c>
      <c r="G97" s="25" t="s">
        <v>148</v>
      </c>
      <c r="H97" s="28">
        <v>43284</v>
      </c>
      <c r="I97" s="29" t="s">
        <v>350</v>
      </c>
      <c r="J97" s="30">
        <v>1</v>
      </c>
      <c r="K97" s="147">
        <v>1</v>
      </c>
      <c r="L97" s="147">
        <f t="shared" ref="L97:L106" si="1322">IFERROR(IF(OR(AD97&gt;0),1,0),0)</f>
        <v>0</v>
      </c>
      <c r="M97" s="147">
        <f t="shared" ref="M97:M106" si="1323">IFERROR(IF(OR(AV97&gt;0),1,0),0)</f>
        <v>1</v>
      </c>
      <c r="N97" s="147">
        <f t="shared" ref="N97:N106" si="1324">IFERROR(IF(OR(BK97&gt;0),1,0),0)</f>
        <v>0</v>
      </c>
      <c r="O97" s="147">
        <f t="shared" ref="O97:O106" si="1325">IFERROR(IF(OR(CC97&gt;0),1,0),0)</f>
        <v>1</v>
      </c>
      <c r="P97" s="148">
        <f t="shared" ref="P97:P106" si="1326">IFERROR(IF(OR(AV97&gt;0,CC97&gt;0),1,0),0)</f>
        <v>1</v>
      </c>
      <c r="Q97" s="50">
        <f t="shared" ref="Q97:Q106" si="1327">JL97</f>
        <v>0</v>
      </c>
      <c r="R97" s="17">
        <f t="shared" ref="R97:R106" si="1328">JM97</f>
        <v>0</v>
      </c>
      <c r="S97" s="17">
        <f t="shared" ref="S97:S106" si="1329">JN97</f>
        <v>1</v>
      </c>
      <c r="T97" s="17">
        <f t="shared" ref="T97:T106" si="1330">JO97</f>
        <v>0</v>
      </c>
      <c r="U97" s="17">
        <f t="shared" ref="U97:U106" si="1331">JP97</f>
        <v>0</v>
      </c>
      <c r="V97" s="17">
        <f t="shared" ref="V97:V106" si="1332">JQ97</f>
        <v>0</v>
      </c>
      <c r="W97" s="17">
        <f t="shared" ref="W97:W106" si="1333">JR97</f>
        <v>0</v>
      </c>
      <c r="X97" s="17">
        <f t="shared" ref="X97:X106" si="1334">JS97</f>
        <v>0</v>
      </c>
      <c r="Y97" s="17">
        <f t="shared" ref="Y97:Y106" si="1335">JT97</f>
        <v>0</v>
      </c>
      <c r="Z97" s="17">
        <f t="shared" ref="Z97:Z106" si="1336">JU97</f>
        <v>0</v>
      </c>
      <c r="AA97" s="17">
        <f t="shared" ref="AA97:AA106" si="1337">JV97</f>
        <v>0</v>
      </c>
      <c r="AB97" s="17">
        <f t="shared" ref="AB97:AB106" si="1338">JW97</f>
        <v>0</v>
      </c>
      <c r="AC97" s="17">
        <f t="shared" ref="AC97:AC106" si="1339">JX97</f>
        <v>0</v>
      </c>
      <c r="AD97" s="17">
        <f t="shared" ref="AD97:AD106" si="1340">JY97</f>
        <v>0</v>
      </c>
      <c r="AE97" s="17">
        <f t="shared" ref="AE97:AE106" si="1341">JZ97</f>
        <v>0</v>
      </c>
      <c r="AF97" s="17">
        <f t="shared" ref="AF97:AF106" si="1342">KA97</f>
        <v>0</v>
      </c>
      <c r="AG97" s="17">
        <f t="shared" ref="AG97:AG106" si="1343">KB97</f>
        <v>0</v>
      </c>
      <c r="AH97" s="17">
        <f t="shared" ref="AH97:AH106" si="1344">KC97</f>
        <v>0</v>
      </c>
      <c r="AI97" s="17">
        <f t="shared" ref="AI97:AI106" si="1345">KD97</f>
        <v>0</v>
      </c>
      <c r="AJ97" s="17">
        <f t="shared" ref="AJ97:AJ106" si="1346">KE97</f>
        <v>0</v>
      </c>
      <c r="AK97" s="17">
        <f t="shared" ref="AK97:AK106" si="1347">KF97</f>
        <v>0</v>
      </c>
      <c r="AL97" s="17">
        <f t="shared" ref="AL97:AL106" si="1348">KG97</f>
        <v>0</v>
      </c>
      <c r="AM97" s="17">
        <f t="shared" ref="AM97:AM106" si="1349">KH97</f>
        <v>0</v>
      </c>
      <c r="AN97" s="17">
        <f t="shared" ref="AN97:AN106" si="1350">KI97</f>
        <v>0</v>
      </c>
      <c r="AO97" s="17">
        <f t="shared" ref="AO97:AO106" si="1351">KJ97</f>
        <v>0</v>
      </c>
      <c r="AP97" s="17">
        <f t="shared" ref="AP97:AP106" si="1352">KK97</f>
        <v>0</v>
      </c>
      <c r="AQ97" s="17">
        <f t="shared" ref="AQ97:AQ106" si="1353">KL97</f>
        <v>0</v>
      </c>
      <c r="AR97" s="17">
        <f t="shared" ref="AR97:AR106" si="1354">KM97</f>
        <v>0</v>
      </c>
      <c r="AS97" s="17">
        <f t="shared" ref="AS97:AS106" si="1355">KN97</f>
        <v>0</v>
      </c>
      <c r="AT97" s="17">
        <f t="shared" ref="AT97:AT106" si="1356">KO97</f>
        <v>0</v>
      </c>
      <c r="AU97" s="54">
        <f t="shared" ref="AU97:AU106" si="1357">KP97</f>
        <v>0</v>
      </c>
      <c r="AV97" s="58">
        <f t="shared" si="1006"/>
        <v>1</v>
      </c>
      <c r="AW97" s="58">
        <f t="shared" ca="1" si="1007"/>
        <v>0</v>
      </c>
      <c r="AX97" s="50">
        <f t="shared" ref="AX97:AX106" si="1358">KQ97</f>
        <v>3</v>
      </c>
      <c r="AY97" s="17">
        <f t="shared" ref="AY97:AY106" si="1359">KR97</f>
        <v>12</v>
      </c>
      <c r="AZ97" s="17">
        <f t="shared" ref="AZ97:AZ106" si="1360">KS97</f>
        <v>0</v>
      </c>
      <c r="BA97" s="17">
        <f t="shared" ref="BA97:BA106" si="1361">KT97</f>
        <v>0</v>
      </c>
      <c r="BB97" s="17">
        <f t="shared" ref="BB97:BB106" si="1362">KU97</f>
        <v>0</v>
      </c>
      <c r="BC97" s="17">
        <f t="shared" ref="BC97:BC106" si="1363">KV97</f>
        <v>0</v>
      </c>
      <c r="BD97" s="17">
        <f t="shared" ref="BD97:BD106" si="1364">KW97</f>
        <v>0</v>
      </c>
      <c r="BE97" s="17">
        <f t="shared" ref="BE97:BE106" si="1365">KX97</f>
        <v>0</v>
      </c>
      <c r="BF97" s="17">
        <f t="shared" ref="BF97:BF106" si="1366">KY97</f>
        <v>0</v>
      </c>
      <c r="BG97" s="17">
        <f t="shared" ref="BG97:BG106" si="1367">KZ97</f>
        <v>0</v>
      </c>
      <c r="BH97" s="17">
        <f t="shared" ref="BH97:BH106" si="1368">LA97</f>
        <v>0</v>
      </c>
      <c r="BI97" s="17">
        <f t="shared" ref="BI97:BI106" si="1369">LB97</f>
        <v>0</v>
      </c>
      <c r="BJ97" s="17">
        <f t="shared" ref="BJ97:BJ106" si="1370">LC97</f>
        <v>0</v>
      </c>
      <c r="BK97" s="17">
        <f t="shared" ref="BK97:BK106" si="1371">LD97</f>
        <v>0</v>
      </c>
      <c r="BL97" s="17">
        <f t="shared" ref="BL97:BL106" si="1372">LE97</f>
        <v>0</v>
      </c>
      <c r="BM97" s="17">
        <f t="shared" ref="BM97:BM106" si="1373">LF97</f>
        <v>0</v>
      </c>
      <c r="BN97" s="17">
        <f t="shared" ref="BN97:BN106" si="1374">LG97</f>
        <v>0</v>
      </c>
      <c r="BO97" s="17">
        <f t="shared" ref="BO97:BO106" si="1375">LH97</f>
        <v>0</v>
      </c>
      <c r="BP97" s="17">
        <f t="shared" ref="BP97:BP106" si="1376">LI97</f>
        <v>0</v>
      </c>
      <c r="BQ97" s="17">
        <f t="shared" ref="BQ97:BQ106" si="1377">LJ97</f>
        <v>0</v>
      </c>
      <c r="BR97" s="17">
        <f t="shared" ref="BR97:BR106" si="1378">LK97</f>
        <v>0</v>
      </c>
      <c r="BS97" s="17">
        <f t="shared" ref="BS97:BS106" si="1379">LL97</f>
        <v>0</v>
      </c>
      <c r="BT97" s="17">
        <f t="shared" ref="BT97:BT106" si="1380">LM97</f>
        <v>0</v>
      </c>
      <c r="BU97" s="17">
        <f t="shared" ref="BU97:BU106" si="1381">LN97</f>
        <v>0</v>
      </c>
      <c r="BV97" s="17">
        <f t="shared" ref="BV97:BV106" si="1382">LO97</f>
        <v>0</v>
      </c>
      <c r="BW97" s="17">
        <f t="shared" ref="BW97:BW106" si="1383">LP97</f>
        <v>0</v>
      </c>
      <c r="BX97" s="17">
        <f t="shared" ref="BX97:BX106" si="1384">LQ97</f>
        <v>0</v>
      </c>
      <c r="BY97" s="17">
        <f t="shared" ref="BY97:BY106" si="1385">LR97</f>
        <v>0</v>
      </c>
      <c r="BZ97" s="17">
        <f t="shared" ref="BZ97:BZ106" si="1386">LS97</f>
        <v>0</v>
      </c>
      <c r="CA97" s="17">
        <f t="shared" ref="CA97:CA106" si="1387">LT97</f>
        <v>0</v>
      </c>
      <c r="CB97" s="54">
        <f t="shared" ref="CB97:CB106" si="1388">LU97</f>
        <v>0</v>
      </c>
      <c r="CC97" s="58">
        <f t="shared" si="1115"/>
        <v>15</v>
      </c>
      <c r="CD97" s="58">
        <f t="shared" ca="1" si="1009"/>
        <v>0</v>
      </c>
      <c r="JJ97" s="4" t="s">
        <v>13</v>
      </c>
      <c r="JK97" s="152" t="str">
        <f t="shared" si="1010"/>
        <v>PSH01-PHR-MIO-01</v>
      </c>
      <c r="JL97" s="163">
        <v>0</v>
      </c>
      <c r="JM97" s="158">
        <v>0</v>
      </c>
      <c r="JN97" s="158">
        <v>1</v>
      </c>
      <c r="JO97" s="159">
        <v>0</v>
      </c>
      <c r="JP97" s="158">
        <v>0</v>
      </c>
      <c r="JQ97" s="158">
        <v>0</v>
      </c>
      <c r="JR97" s="158">
        <v>0</v>
      </c>
      <c r="JS97" s="158">
        <v>0</v>
      </c>
      <c r="JT97" s="158">
        <v>0</v>
      </c>
      <c r="JU97" s="158">
        <v>0</v>
      </c>
      <c r="JV97" s="158">
        <v>0</v>
      </c>
      <c r="JW97" s="159">
        <v>0</v>
      </c>
      <c r="JX97" s="159">
        <v>0</v>
      </c>
      <c r="JY97" s="159">
        <v>0</v>
      </c>
      <c r="JZ97" s="158"/>
      <c r="KA97" s="158"/>
      <c r="KB97" s="158"/>
      <c r="KC97" s="158"/>
      <c r="KD97" s="158"/>
      <c r="KE97" s="158"/>
      <c r="KF97" s="158"/>
      <c r="KG97" s="158"/>
      <c r="KH97" s="159"/>
      <c r="KI97" s="159"/>
      <c r="KJ97" s="158"/>
      <c r="KK97" s="158"/>
      <c r="KL97" s="158"/>
      <c r="KM97" s="158"/>
      <c r="KN97" s="158"/>
      <c r="KO97" s="158"/>
      <c r="KP97" s="164"/>
      <c r="KQ97" s="157">
        <v>3</v>
      </c>
      <c r="KR97" s="157">
        <v>12</v>
      </c>
      <c r="KS97" s="157">
        <v>0</v>
      </c>
      <c r="KT97" s="157">
        <v>0</v>
      </c>
      <c r="KU97" s="157">
        <v>0</v>
      </c>
      <c r="KV97" s="157">
        <v>0</v>
      </c>
      <c r="KW97" s="157">
        <v>0</v>
      </c>
      <c r="KX97" s="157">
        <v>0</v>
      </c>
      <c r="KY97" s="157">
        <v>0</v>
      </c>
      <c r="KZ97" s="157">
        <v>0</v>
      </c>
      <c r="LA97" s="157">
        <v>0</v>
      </c>
      <c r="LB97" s="157">
        <v>0</v>
      </c>
      <c r="LC97" s="157">
        <v>0</v>
      </c>
      <c r="LD97" s="157">
        <v>0</v>
      </c>
      <c r="LE97" s="157"/>
      <c r="LF97" s="157"/>
      <c r="LG97" s="157"/>
      <c r="LH97" s="157"/>
      <c r="LI97" s="157"/>
      <c r="LJ97" s="157"/>
      <c r="LK97" s="157"/>
      <c r="LL97" s="157"/>
      <c r="LM97" s="157"/>
      <c r="LN97" s="157"/>
      <c r="LO97" s="157"/>
      <c r="LP97" s="157"/>
      <c r="LQ97" s="157"/>
      <c r="LR97" s="157"/>
      <c r="LS97" s="157"/>
      <c r="LT97" s="5"/>
      <c r="LU97" s="8"/>
    </row>
    <row r="98" spans="1:333" ht="16.2" customHeight="1">
      <c r="A98" s="38" t="s">
        <v>9</v>
      </c>
      <c r="B98" s="25" t="s">
        <v>105</v>
      </c>
      <c r="C98" s="26" t="s">
        <v>392</v>
      </c>
      <c r="D98" s="25" t="s">
        <v>351</v>
      </c>
      <c r="E98" s="27" t="s">
        <v>149</v>
      </c>
      <c r="F98" s="25" t="s">
        <v>507</v>
      </c>
      <c r="G98" s="25" t="s">
        <v>150</v>
      </c>
      <c r="H98" s="28">
        <v>44196</v>
      </c>
      <c r="I98" s="29" t="s">
        <v>352</v>
      </c>
      <c r="J98" s="30">
        <v>1</v>
      </c>
      <c r="K98" s="147">
        <v>0</v>
      </c>
      <c r="L98" s="147">
        <f t="shared" si="1322"/>
        <v>1</v>
      </c>
      <c r="M98" s="147">
        <f t="shared" si="1323"/>
        <v>1</v>
      </c>
      <c r="N98" s="147">
        <f t="shared" si="1324"/>
        <v>1</v>
      </c>
      <c r="O98" s="147">
        <f t="shared" si="1325"/>
        <v>1</v>
      </c>
      <c r="P98" s="148">
        <f t="shared" si="1326"/>
        <v>1</v>
      </c>
      <c r="Q98" s="50">
        <f t="shared" si="1327"/>
        <v>1</v>
      </c>
      <c r="R98" s="17">
        <f t="shared" si="1328"/>
        <v>1</v>
      </c>
      <c r="S98" s="17">
        <f t="shared" si="1329"/>
        <v>1</v>
      </c>
      <c r="T98" s="17">
        <f t="shared" si="1330"/>
        <v>0</v>
      </c>
      <c r="U98" s="17">
        <f t="shared" si="1331"/>
        <v>1</v>
      </c>
      <c r="V98" s="17">
        <f t="shared" si="1332"/>
        <v>1</v>
      </c>
      <c r="W98" s="17">
        <f t="shared" si="1333"/>
        <v>1</v>
      </c>
      <c r="X98" s="17">
        <f t="shared" si="1334"/>
        <v>1</v>
      </c>
      <c r="Y98" s="17">
        <f t="shared" si="1335"/>
        <v>1</v>
      </c>
      <c r="Z98" s="17">
        <f t="shared" si="1336"/>
        <v>1</v>
      </c>
      <c r="AA98" s="17">
        <f t="shared" si="1337"/>
        <v>0</v>
      </c>
      <c r="AB98" s="17">
        <f t="shared" si="1338"/>
        <v>1</v>
      </c>
      <c r="AC98" s="17">
        <f t="shared" si="1339"/>
        <v>1</v>
      </c>
      <c r="AD98" s="17">
        <f t="shared" si="1340"/>
        <v>1</v>
      </c>
      <c r="AE98" s="17">
        <f t="shared" si="1341"/>
        <v>0</v>
      </c>
      <c r="AF98" s="17">
        <f t="shared" si="1342"/>
        <v>0</v>
      </c>
      <c r="AG98" s="17">
        <f t="shared" si="1343"/>
        <v>0</v>
      </c>
      <c r="AH98" s="17">
        <f t="shared" si="1344"/>
        <v>0</v>
      </c>
      <c r="AI98" s="17">
        <f t="shared" si="1345"/>
        <v>0</v>
      </c>
      <c r="AJ98" s="17">
        <f t="shared" si="1346"/>
        <v>0</v>
      </c>
      <c r="AK98" s="17">
        <f t="shared" si="1347"/>
        <v>0</v>
      </c>
      <c r="AL98" s="17">
        <f t="shared" si="1348"/>
        <v>0</v>
      </c>
      <c r="AM98" s="17">
        <f t="shared" si="1349"/>
        <v>0</v>
      </c>
      <c r="AN98" s="17">
        <f t="shared" si="1350"/>
        <v>0</v>
      </c>
      <c r="AO98" s="17">
        <f t="shared" si="1351"/>
        <v>0</v>
      </c>
      <c r="AP98" s="17">
        <f t="shared" si="1352"/>
        <v>0</v>
      </c>
      <c r="AQ98" s="17">
        <f t="shared" si="1353"/>
        <v>0</v>
      </c>
      <c r="AR98" s="17">
        <f t="shared" si="1354"/>
        <v>0</v>
      </c>
      <c r="AS98" s="17">
        <f t="shared" si="1355"/>
        <v>0</v>
      </c>
      <c r="AT98" s="17">
        <f t="shared" si="1356"/>
        <v>0</v>
      </c>
      <c r="AU98" s="54">
        <f t="shared" si="1357"/>
        <v>0</v>
      </c>
      <c r="AV98" s="58">
        <f t="shared" si="1006"/>
        <v>12</v>
      </c>
      <c r="AW98" s="58">
        <f t="shared" ca="1" si="1007"/>
        <v>0.92307692307692313</v>
      </c>
      <c r="AX98" s="50">
        <f t="shared" si="1358"/>
        <v>11</v>
      </c>
      <c r="AY98" s="17">
        <f t="shared" si="1359"/>
        <v>10</v>
      </c>
      <c r="AZ98" s="17">
        <f t="shared" si="1360"/>
        <v>10</v>
      </c>
      <c r="BA98" s="17">
        <f t="shared" si="1361"/>
        <v>0</v>
      </c>
      <c r="BB98" s="17">
        <f t="shared" si="1362"/>
        <v>9</v>
      </c>
      <c r="BC98" s="17">
        <f t="shared" si="1363"/>
        <v>11</v>
      </c>
      <c r="BD98" s="17">
        <f t="shared" si="1364"/>
        <v>10</v>
      </c>
      <c r="BE98" s="17">
        <f t="shared" si="1365"/>
        <v>10</v>
      </c>
      <c r="BF98" s="17">
        <f t="shared" si="1366"/>
        <v>10</v>
      </c>
      <c r="BG98" s="17">
        <f t="shared" si="1367"/>
        <v>10</v>
      </c>
      <c r="BH98" s="17">
        <f t="shared" si="1368"/>
        <v>0</v>
      </c>
      <c r="BI98" s="17">
        <f t="shared" si="1369"/>
        <v>10</v>
      </c>
      <c r="BJ98" s="17">
        <f t="shared" si="1370"/>
        <v>11</v>
      </c>
      <c r="BK98" s="17">
        <f t="shared" si="1371"/>
        <v>2</v>
      </c>
      <c r="BL98" s="17">
        <f t="shared" si="1372"/>
        <v>0</v>
      </c>
      <c r="BM98" s="17">
        <f t="shared" si="1373"/>
        <v>0</v>
      </c>
      <c r="BN98" s="17">
        <f t="shared" si="1374"/>
        <v>0</v>
      </c>
      <c r="BO98" s="17">
        <f t="shared" si="1375"/>
        <v>0</v>
      </c>
      <c r="BP98" s="17">
        <f t="shared" si="1376"/>
        <v>0</v>
      </c>
      <c r="BQ98" s="17">
        <f t="shared" si="1377"/>
        <v>0</v>
      </c>
      <c r="BR98" s="17">
        <f t="shared" si="1378"/>
        <v>0</v>
      </c>
      <c r="BS98" s="17">
        <f t="shared" si="1379"/>
        <v>0</v>
      </c>
      <c r="BT98" s="17">
        <f t="shared" si="1380"/>
        <v>0</v>
      </c>
      <c r="BU98" s="17">
        <f t="shared" si="1381"/>
        <v>0</v>
      </c>
      <c r="BV98" s="17">
        <f t="shared" si="1382"/>
        <v>0</v>
      </c>
      <c r="BW98" s="17">
        <f t="shared" si="1383"/>
        <v>0</v>
      </c>
      <c r="BX98" s="17">
        <f t="shared" si="1384"/>
        <v>0</v>
      </c>
      <c r="BY98" s="17">
        <f t="shared" si="1385"/>
        <v>0</v>
      </c>
      <c r="BZ98" s="17">
        <f t="shared" si="1386"/>
        <v>0</v>
      </c>
      <c r="CA98" s="17">
        <f t="shared" si="1387"/>
        <v>0</v>
      </c>
      <c r="CB98" s="54">
        <f t="shared" si="1388"/>
        <v>0</v>
      </c>
      <c r="CC98" s="58">
        <f t="shared" si="1115"/>
        <v>114</v>
      </c>
      <c r="CD98" s="58">
        <f t="shared" ca="1" si="1009"/>
        <v>8.7692307692307701</v>
      </c>
      <c r="JJ98" s="4" t="s">
        <v>13</v>
      </c>
      <c r="JK98" s="152" t="str">
        <f t="shared" si="1010"/>
        <v>PSH01-PHR-MIO-02</v>
      </c>
      <c r="JL98" s="163">
        <v>1</v>
      </c>
      <c r="JM98" s="158">
        <v>1</v>
      </c>
      <c r="JN98" s="158">
        <v>1</v>
      </c>
      <c r="JO98" s="159">
        <v>0</v>
      </c>
      <c r="JP98" s="158">
        <v>1</v>
      </c>
      <c r="JQ98" s="158">
        <v>1</v>
      </c>
      <c r="JR98" s="158">
        <v>1</v>
      </c>
      <c r="JS98" s="158">
        <v>1</v>
      </c>
      <c r="JT98" s="158">
        <v>1</v>
      </c>
      <c r="JU98" s="158">
        <v>1</v>
      </c>
      <c r="JV98" s="158">
        <v>0</v>
      </c>
      <c r="JW98" s="159">
        <v>1</v>
      </c>
      <c r="JX98" s="159">
        <v>1</v>
      </c>
      <c r="JY98" s="159">
        <v>1</v>
      </c>
      <c r="JZ98" s="158"/>
      <c r="KA98" s="158"/>
      <c r="KB98" s="158"/>
      <c r="KC98" s="158"/>
      <c r="KD98" s="158"/>
      <c r="KE98" s="158"/>
      <c r="KF98" s="158"/>
      <c r="KG98" s="158"/>
      <c r="KH98" s="159"/>
      <c r="KI98" s="159"/>
      <c r="KJ98" s="158"/>
      <c r="KK98" s="158"/>
      <c r="KL98" s="158"/>
      <c r="KM98" s="158"/>
      <c r="KN98" s="158"/>
      <c r="KO98" s="158"/>
      <c r="KP98" s="164"/>
      <c r="KQ98" s="157">
        <v>11</v>
      </c>
      <c r="KR98" s="157">
        <v>10</v>
      </c>
      <c r="KS98" s="157">
        <v>10</v>
      </c>
      <c r="KT98" s="157">
        <v>0</v>
      </c>
      <c r="KU98" s="157">
        <v>9</v>
      </c>
      <c r="KV98" s="157">
        <v>11</v>
      </c>
      <c r="KW98" s="157">
        <v>10</v>
      </c>
      <c r="KX98" s="157">
        <v>10</v>
      </c>
      <c r="KY98" s="157">
        <v>10</v>
      </c>
      <c r="KZ98" s="157">
        <v>10</v>
      </c>
      <c r="LA98" s="157">
        <v>0</v>
      </c>
      <c r="LB98" s="157">
        <v>10</v>
      </c>
      <c r="LC98" s="157">
        <v>11</v>
      </c>
      <c r="LD98" s="157">
        <v>2</v>
      </c>
      <c r="LE98" s="157"/>
      <c r="LF98" s="157"/>
      <c r="LG98" s="157"/>
      <c r="LH98" s="157"/>
      <c r="LI98" s="157"/>
      <c r="LJ98" s="157"/>
      <c r="LK98" s="157"/>
      <c r="LL98" s="157"/>
      <c r="LM98" s="157"/>
      <c r="LN98" s="157"/>
      <c r="LO98" s="157"/>
      <c r="LP98" s="157"/>
      <c r="LQ98" s="157"/>
      <c r="LR98" s="157"/>
      <c r="LS98" s="157"/>
      <c r="LT98" s="5"/>
      <c r="LU98" s="8"/>
    </row>
    <row r="99" spans="1:333" ht="16.2" customHeight="1">
      <c r="A99" s="38" t="s">
        <v>9</v>
      </c>
      <c r="B99" s="25" t="s">
        <v>105</v>
      </c>
      <c r="C99" s="26" t="s">
        <v>392</v>
      </c>
      <c r="D99" s="25" t="s">
        <v>353</v>
      </c>
      <c r="E99" s="27" t="s">
        <v>151</v>
      </c>
      <c r="F99" s="25" t="s">
        <v>542</v>
      </c>
      <c r="G99" s="25" t="s">
        <v>523</v>
      </c>
      <c r="H99" s="28"/>
      <c r="I99" s="25" t="s">
        <v>354</v>
      </c>
      <c r="J99" s="30">
        <v>1</v>
      </c>
      <c r="K99" s="147">
        <v>1</v>
      </c>
      <c r="L99" s="147">
        <f t="shared" si="1322"/>
        <v>0</v>
      </c>
      <c r="M99" s="147">
        <f t="shared" si="1323"/>
        <v>0</v>
      </c>
      <c r="N99" s="147">
        <f t="shared" si="1324"/>
        <v>0</v>
      </c>
      <c r="O99" s="147">
        <f t="shared" si="1325"/>
        <v>0</v>
      </c>
      <c r="P99" s="148">
        <f t="shared" si="1326"/>
        <v>0</v>
      </c>
      <c r="Q99" s="50">
        <f t="shared" si="1327"/>
        <v>0</v>
      </c>
      <c r="R99" s="17">
        <f t="shared" si="1328"/>
        <v>0</v>
      </c>
      <c r="S99" s="17">
        <f t="shared" si="1329"/>
        <v>0</v>
      </c>
      <c r="T99" s="17">
        <f t="shared" si="1330"/>
        <v>0</v>
      </c>
      <c r="U99" s="17">
        <f t="shared" si="1331"/>
        <v>0</v>
      </c>
      <c r="V99" s="17">
        <f t="shared" si="1332"/>
        <v>0</v>
      </c>
      <c r="W99" s="17">
        <f t="shared" si="1333"/>
        <v>0</v>
      </c>
      <c r="X99" s="17">
        <f t="shared" si="1334"/>
        <v>0</v>
      </c>
      <c r="Y99" s="17">
        <f t="shared" si="1335"/>
        <v>0</v>
      </c>
      <c r="Z99" s="17">
        <f t="shared" si="1336"/>
        <v>0</v>
      </c>
      <c r="AA99" s="17">
        <f t="shared" si="1337"/>
        <v>0</v>
      </c>
      <c r="AB99" s="17">
        <f t="shared" si="1338"/>
        <v>0</v>
      </c>
      <c r="AC99" s="17">
        <f t="shared" si="1339"/>
        <v>0</v>
      </c>
      <c r="AD99" s="17">
        <f t="shared" si="1340"/>
        <v>0</v>
      </c>
      <c r="AE99" s="17">
        <f t="shared" si="1341"/>
        <v>0</v>
      </c>
      <c r="AF99" s="17">
        <f t="shared" si="1342"/>
        <v>0</v>
      </c>
      <c r="AG99" s="17">
        <f t="shared" si="1343"/>
        <v>0</v>
      </c>
      <c r="AH99" s="17">
        <f t="shared" si="1344"/>
        <v>0</v>
      </c>
      <c r="AI99" s="17">
        <f t="shared" si="1345"/>
        <v>0</v>
      </c>
      <c r="AJ99" s="17">
        <f t="shared" si="1346"/>
        <v>0</v>
      </c>
      <c r="AK99" s="17">
        <f t="shared" si="1347"/>
        <v>0</v>
      </c>
      <c r="AL99" s="17">
        <f t="shared" si="1348"/>
        <v>0</v>
      </c>
      <c r="AM99" s="17">
        <f t="shared" si="1349"/>
        <v>0</v>
      </c>
      <c r="AN99" s="17">
        <f t="shared" si="1350"/>
        <v>0</v>
      </c>
      <c r="AO99" s="17">
        <f t="shared" si="1351"/>
        <v>0</v>
      </c>
      <c r="AP99" s="17">
        <f t="shared" si="1352"/>
        <v>0</v>
      </c>
      <c r="AQ99" s="17">
        <f t="shared" si="1353"/>
        <v>0</v>
      </c>
      <c r="AR99" s="17">
        <f t="shared" si="1354"/>
        <v>0</v>
      </c>
      <c r="AS99" s="17">
        <f t="shared" si="1355"/>
        <v>0</v>
      </c>
      <c r="AT99" s="17">
        <f t="shared" si="1356"/>
        <v>0</v>
      </c>
      <c r="AU99" s="54">
        <f t="shared" si="1357"/>
        <v>0</v>
      </c>
      <c r="AV99" s="58">
        <f t="shared" si="1006"/>
        <v>0</v>
      </c>
      <c r="AW99" s="58">
        <f t="shared" ca="1" si="1007"/>
        <v>0</v>
      </c>
      <c r="AX99" s="50">
        <f t="shared" si="1358"/>
        <v>0</v>
      </c>
      <c r="AY99" s="17">
        <f t="shared" si="1359"/>
        <v>0</v>
      </c>
      <c r="AZ99" s="17">
        <f t="shared" si="1360"/>
        <v>0</v>
      </c>
      <c r="BA99" s="17">
        <f t="shared" si="1361"/>
        <v>0</v>
      </c>
      <c r="BB99" s="17">
        <f t="shared" si="1362"/>
        <v>0</v>
      </c>
      <c r="BC99" s="17">
        <f t="shared" si="1363"/>
        <v>0</v>
      </c>
      <c r="BD99" s="17">
        <f t="shared" si="1364"/>
        <v>0</v>
      </c>
      <c r="BE99" s="17">
        <f t="shared" si="1365"/>
        <v>0</v>
      </c>
      <c r="BF99" s="17">
        <f t="shared" si="1366"/>
        <v>0</v>
      </c>
      <c r="BG99" s="17">
        <f t="shared" si="1367"/>
        <v>0</v>
      </c>
      <c r="BH99" s="17">
        <f t="shared" si="1368"/>
        <v>0</v>
      </c>
      <c r="BI99" s="17">
        <f t="shared" si="1369"/>
        <v>0</v>
      </c>
      <c r="BJ99" s="17">
        <f t="shared" si="1370"/>
        <v>0</v>
      </c>
      <c r="BK99" s="17">
        <f t="shared" si="1371"/>
        <v>0</v>
      </c>
      <c r="BL99" s="17">
        <f t="shared" si="1372"/>
        <v>0</v>
      </c>
      <c r="BM99" s="17">
        <f t="shared" si="1373"/>
        <v>0</v>
      </c>
      <c r="BN99" s="17">
        <f t="shared" si="1374"/>
        <v>0</v>
      </c>
      <c r="BO99" s="17">
        <f t="shared" si="1375"/>
        <v>0</v>
      </c>
      <c r="BP99" s="17">
        <f t="shared" si="1376"/>
        <v>0</v>
      </c>
      <c r="BQ99" s="17">
        <f t="shared" si="1377"/>
        <v>0</v>
      </c>
      <c r="BR99" s="17">
        <f t="shared" si="1378"/>
        <v>0</v>
      </c>
      <c r="BS99" s="17">
        <f t="shared" si="1379"/>
        <v>0</v>
      </c>
      <c r="BT99" s="17">
        <f t="shared" si="1380"/>
        <v>0</v>
      </c>
      <c r="BU99" s="17">
        <f t="shared" si="1381"/>
        <v>0</v>
      </c>
      <c r="BV99" s="17">
        <f t="shared" si="1382"/>
        <v>0</v>
      </c>
      <c r="BW99" s="17">
        <f t="shared" si="1383"/>
        <v>0</v>
      </c>
      <c r="BX99" s="17">
        <f t="shared" si="1384"/>
        <v>0</v>
      </c>
      <c r="BY99" s="17">
        <f t="shared" si="1385"/>
        <v>0</v>
      </c>
      <c r="BZ99" s="17">
        <f t="shared" si="1386"/>
        <v>0</v>
      </c>
      <c r="CA99" s="17">
        <f t="shared" si="1387"/>
        <v>0</v>
      </c>
      <c r="CB99" s="54">
        <f t="shared" si="1388"/>
        <v>0</v>
      </c>
      <c r="CC99" s="58">
        <f t="shared" si="1115"/>
        <v>0</v>
      </c>
      <c r="CD99" s="58">
        <f t="shared" ca="1" si="1009"/>
        <v>0</v>
      </c>
      <c r="JJ99" s="4" t="s">
        <v>13</v>
      </c>
      <c r="JK99" s="171" t="str">
        <f t="shared" si="1010"/>
        <v>PSH01-PHR-MIO-03</v>
      </c>
      <c r="JL99" s="50">
        <v>0</v>
      </c>
      <c r="JM99" s="17">
        <v>0</v>
      </c>
      <c r="JN99" s="17">
        <v>0</v>
      </c>
      <c r="JO99" s="159">
        <v>0</v>
      </c>
      <c r="JP99" s="17">
        <v>0</v>
      </c>
      <c r="JQ99" s="17">
        <v>0</v>
      </c>
      <c r="JR99" s="17">
        <v>0</v>
      </c>
      <c r="JS99" s="17">
        <v>0</v>
      </c>
      <c r="JT99" s="17">
        <v>0</v>
      </c>
      <c r="JU99" s="17">
        <v>0</v>
      </c>
      <c r="JV99" s="17">
        <v>0</v>
      </c>
      <c r="JW99" s="159">
        <v>0</v>
      </c>
      <c r="JX99" s="159">
        <v>0</v>
      </c>
      <c r="JY99" s="159">
        <v>0</v>
      </c>
      <c r="JZ99" s="17"/>
      <c r="KA99" s="17"/>
      <c r="KB99" s="17"/>
      <c r="KC99" s="17"/>
      <c r="KD99" s="17"/>
      <c r="KE99" s="17"/>
      <c r="KF99" s="17"/>
      <c r="KG99" s="17"/>
      <c r="KH99" s="63"/>
      <c r="KI99" s="63"/>
      <c r="KJ99" s="17"/>
      <c r="KK99" s="17"/>
      <c r="KL99" s="17"/>
      <c r="KM99" s="17"/>
      <c r="KN99" s="17"/>
      <c r="KO99" s="17"/>
      <c r="KP99" s="172"/>
      <c r="KQ99" s="173">
        <v>0</v>
      </c>
      <c r="KR99" s="173">
        <v>0</v>
      </c>
      <c r="KS99" s="173">
        <v>0</v>
      </c>
      <c r="KT99" s="173">
        <v>0</v>
      </c>
      <c r="KU99" s="173">
        <v>0</v>
      </c>
      <c r="KV99" s="157">
        <v>0</v>
      </c>
      <c r="KW99" s="173">
        <v>0</v>
      </c>
      <c r="KX99" s="173">
        <v>0</v>
      </c>
      <c r="KY99" s="173">
        <v>0</v>
      </c>
      <c r="KZ99" s="173">
        <v>0</v>
      </c>
      <c r="LA99" s="173">
        <v>0</v>
      </c>
      <c r="LB99" s="173">
        <v>0</v>
      </c>
      <c r="LC99" s="173">
        <v>0</v>
      </c>
      <c r="LD99" s="173">
        <v>0</v>
      </c>
      <c r="LE99" s="173"/>
      <c r="LF99" s="173"/>
      <c r="LG99" s="173"/>
      <c r="LH99" s="173"/>
      <c r="LI99" s="173"/>
      <c r="LJ99" s="173"/>
      <c r="LK99" s="173"/>
      <c r="LL99" s="173"/>
      <c r="LM99" s="173"/>
      <c r="LN99" s="173"/>
      <c r="LO99" s="173"/>
      <c r="LP99" s="173"/>
      <c r="LQ99" s="157"/>
      <c r="LR99" s="173"/>
      <c r="LS99" s="173"/>
      <c r="LT99" s="174"/>
      <c r="LU99" s="175"/>
    </row>
    <row r="100" spans="1:333" ht="16.2" customHeight="1">
      <c r="A100" s="38" t="s">
        <v>9</v>
      </c>
      <c r="B100" s="25" t="s">
        <v>105</v>
      </c>
      <c r="C100" s="26" t="s">
        <v>392</v>
      </c>
      <c r="D100" s="25" t="s">
        <v>355</v>
      </c>
      <c r="E100" s="27" t="s">
        <v>426</v>
      </c>
      <c r="F100" s="25" t="s">
        <v>544</v>
      </c>
      <c r="G100" s="25" t="s">
        <v>356</v>
      </c>
      <c r="H100" s="28">
        <v>45999</v>
      </c>
      <c r="I100" s="29" t="s">
        <v>357</v>
      </c>
      <c r="J100" s="30">
        <v>1</v>
      </c>
      <c r="K100" s="147">
        <v>1</v>
      </c>
      <c r="L100" s="147">
        <f t="shared" si="1322"/>
        <v>0</v>
      </c>
      <c r="M100" s="147">
        <f t="shared" si="1323"/>
        <v>0</v>
      </c>
      <c r="N100" s="147">
        <f t="shared" si="1324"/>
        <v>0</v>
      </c>
      <c r="O100" s="147">
        <f t="shared" si="1325"/>
        <v>0</v>
      </c>
      <c r="P100" s="148">
        <f t="shared" si="1326"/>
        <v>0</v>
      </c>
      <c r="Q100" s="50">
        <f t="shared" si="1327"/>
        <v>0</v>
      </c>
      <c r="R100" s="17">
        <f t="shared" si="1328"/>
        <v>0</v>
      </c>
      <c r="S100" s="17">
        <f t="shared" si="1329"/>
        <v>0</v>
      </c>
      <c r="T100" s="17">
        <f t="shared" si="1330"/>
        <v>0</v>
      </c>
      <c r="U100" s="17">
        <f t="shared" si="1331"/>
        <v>0</v>
      </c>
      <c r="V100" s="17">
        <f t="shared" si="1332"/>
        <v>0</v>
      </c>
      <c r="W100" s="17">
        <f t="shared" si="1333"/>
        <v>0</v>
      </c>
      <c r="X100" s="17">
        <f t="shared" si="1334"/>
        <v>0</v>
      </c>
      <c r="Y100" s="17">
        <f t="shared" si="1335"/>
        <v>0</v>
      </c>
      <c r="Z100" s="17">
        <f t="shared" si="1336"/>
        <v>0</v>
      </c>
      <c r="AA100" s="17">
        <f t="shared" si="1337"/>
        <v>0</v>
      </c>
      <c r="AB100" s="17">
        <f t="shared" si="1338"/>
        <v>0</v>
      </c>
      <c r="AC100" s="17">
        <f t="shared" si="1339"/>
        <v>0</v>
      </c>
      <c r="AD100" s="17">
        <f t="shared" si="1340"/>
        <v>0</v>
      </c>
      <c r="AE100" s="17">
        <f t="shared" si="1341"/>
        <v>0</v>
      </c>
      <c r="AF100" s="17">
        <f t="shared" si="1342"/>
        <v>0</v>
      </c>
      <c r="AG100" s="17">
        <f t="shared" si="1343"/>
        <v>0</v>
      </c>
      <c r="AH100" s="17">
        <f t="shared" si="1344"/>
        <v>0</v>
      </c>
      <c r="AI100" s="17">
        <f t="shared" si="1345"/>
        <v>0</v>
      </c>
      <c r="AJ100" s="17">
        <f t="shared" si="1346"/>
        <v>0</v>
      </c>
      <c r="AK100" s="17">
        <f t="shared" si="1347"/>
        <v>0</v>
      </c>
      <c r="AL100" s="17">
        <f t="shared" si="1348"/>
        <v>0</v>
      </c>
      <c r="AM100" s="17">
        <f t="shared" si="1349"/>
        <v>0</v>
      </c>
      <c r="AN100" s="17">
        <f t="shared" si="1350"/>
        <v>0</v>
      </c>
      <c r="AO100" s="17">
        <f t="shared" si="1351"/>
        <v>0</v>
      </c>
      <c r="AP100" s="17">
        <f t="shared" si="1352"/>
        <v>0</v>
      </c>
      <c r="AQ100" s="17">
        <f t="shared" si="1353"/>
        <v>0</v>
      </c>
      <c r="AR100" s="17">
        <f t="shared" si="1354"/>
        <v>0</v>
      </c>
      <c r="AS100" s="17">
        <f t="shared" si="1355"/>
        <v>0</v>
      </c>
      <c r="AT100" s="17">
        <f t="shared" si="1356"/>
        <v>0</v>
      </c>
      <c r="AU100" s="54">
        <f t="shared" si="1357"/>
        <v>0</v>
      </c>
      <c r="AV100" s="58">
        <f t="shared" si="1006"/>
        <v>0</v>
      </c>
      <c r="AW100" s="58">
        <f t="shared" ca="1" si="1007"/>
        <v>0</v>
      </c>
      <c r="AX100" s="50">
        <f t="shared" si="1358"/>
        <v>0</v>
      </c>
      <c r="AY100" s="17">
        <f t="shared" si="1359"/>
        <v>0</v>
      </c>
      <c r="AZ100" s="17">
        <f t="shared" si="1360"/>
        <v>0</v>
      </c>
      <c r="BA100" s="17">
        <f t="shared" si="1361"/>
        <v>0</v>
      </c>
      <c r="BB100" s="17">
        <f t="shared" si="1362"/>
        <v>0</v>
      </c>
      <c r="BC100" s="17">
        <f t="shared" si="1363"/>
        <v>0</v>
      </c>
      <c r="BD100" s="17">
        <f t="shared" si="1364"/>
        <v>0</v>
      </c>
      <c r="BE100" s="17">
        <f t="shared" si="1365"/>
        <v>0</v>
      </c>
      <c r="BF100" s="17">
        <f t="shared" si="1366"/>
        <v>0</v>
      </c>
      <c r="BG100" s="17">
        <f t="shared" si="1367"/>
        <v>0</v>
      </c>
      <c r="BH100" s="17">
        <f t="shared" si="1368"/>
        <v>0</v>
      </c>
      <c r="BI100" s="17">
        <f t="shared" si="1369"/>
        <v>0</v>
      </c>
      <c r="BJ100" s="17">
        <f t="shared" si="1370"/>
        <v>0</v>
      </c>
      <c r="BK100" s="17">
        <f t="shared" si="1371"/>
        <v>0</v>
      </c>
      <c r="BL100" s="17">
        <f t="shared" si="1372"/>
        <v>0</v>
      </c>
      <c r="BM100" s="17">
        <f t="shared" si="1373"/>
        <v>0</v>
      </c>
      <c r="BN100" s="17">
        <f t="shared" si="1374"/>
        <v>0</v>
      </c>
      <c r="BO100" s="17">
        <f t="shared" si="1375"/>
        <v>0</v>
      </c>
      <c r="BP100" s="17">
        <f t="shared" si="1376"/>
        <v>0</v>
      </c>
      <c r="BQ100" s="17">
        <f t="shared" si="1377"/>
        <v>0</v>
      </c>
      <c r="BR100" s="17">
        <f t="shared" si="1378"/>
        <v>0</v>
      </c>
      <c r="BS100" s="17">
        <f t="shared" si="1379"/>
        <v>0</v>
      </c>
      <c r="BT100" s="17">
        <f t="shared" si="1380"/>
        <v>0</v>
      </c>
      <c r="BU100" s="17">
        <f t="shared" si="1381"/>
        <v>0</v>
      </c>
      <c r="BV100" s="17">
        <f t="shared" si="1382"/>
        <v>0</v>
      </c>
      <c r="BW100" s="17">
        <f t="shared" si="1383"/>
        <v>0</v>
      </c>
      <c r="BX100" s="17">
        <f t="shared" si="1384"/>
        <v>0</v>
      </c>
      <c r="BY100" s="17">
        <f t="shared" si="1385"/>
        <v>0</v>
      </c>
      <c r="BZ100" s="17">
        <f t="shared" si="1386"/>
        <v>0</v>
      </c>
      <c r="CA100" s="17">
        <f t="shared" si="1387"/>
        <v>0</v>
      </c>
      <c r="CB100" s="54">
        <f t="shared" si="1388"/>
        <v>0</v>
      </c>
      <c r="CC100" s="58">
        <f t="shared" si="1115"/>
        <v>0</v>
      </c>
      <c r="CD100" s="58">
        <f t="shared" ca="1" si="1009"/>
        <v>0</v>
      </c>
      <c r="JJ100" s="4" t="s">
        <v>13</v>
      </c>
      <c r="JK100" s="152" t="str">
        <f t="shared" si="1010"/>
        <v>PSH01-PHR-MIO-05</v>
      </c>
      <c r="JL100" s="163">
        <v>0</v>
      </c>
      <c r="JM100" s="158">
        <v>0</v>
      </c>
      <c r="JN100" s="158">
        <v>0</v>
      </c>
      <c r="JO100" s="159">
        <v>0</v>
      </c>
      <c r="JP100" s="158">
        <v>0</v>
      </c>
      <c r="JQ100" s="158">
        <v>0</v>
      </c>
      <c r="JR100" s="158">
        <v>0</v>
      </c>
      <c r="JS100" s="158">
        <v>0</v>
      </c>
      <c r="JT100" s="158">
        <v>0</v>
      </c>
      <c r="JU100" s="158">
        <v>0</v>
      </c>
      <c r="JV100" s="158">
        <v>0</v>
      </c>
      <c r="JW100" s="159">
        <v>0</v>
      </c>
      <c r="JX100" s="159">
        <v>0</v>
      </c>
      <c r="JY100" s="159">
        <v>0</v>
      </c>
      <c r="JZ100" s="158"/>
      <c r="KA100" s="158"/>
      <c r="KB100" s="158"/>
      <c r="KC100" s="158"/>
      <c r="KD100" s="158"/>
      <c r="KE100" s="158"/>
      <c r="KF100" s="158"/>
      <c r="KG100" s="158"/>
      <c r="KH100" s="159"/>
      <c r="KI100" s="159"/>
      <c r="KJ100" s="158"/>
      <c r="KK100" s="158"/>
      <c r="KL100" s="158"/>
      <c r="KM100" s="158"/>
      <c r="KN100" s="158"/>
      <c r="KO100" s="158"/>
      <c r="KP100" s="164"/>
      <c r="KQ100" s="157">
        <v>0</v>
      </c>
      <c r="KR100" s="157">
        <v>0</v>
      </c>
      <c r="KS100" s="157">
        <v>0</v>
      </c>
      <c r="KT100" s="157">
        <v>0</v>
      </c>
      <c r="KU100" s="157">
        <v>0</v>
      </c>
      <c r="KV100" s="157">
        <v>0</v>
      </c>
      <c r="KW100" s="157">
        <v>0</v>
      </c>
      <c r="KX100" s="157">
        <v>0</v>
      </c>
      <c r="KY100" s="157">
        <v>0</v>
      </c>
      <c r="KZ100" s="157">
        <v>0</v>
      </c>
      <c r="LA100" s="157">
        <v>0</v>
      </c>
      <c r="LB100" s="157">
        <v>0</v>
      </c>
      <c r="LC100" s="157">
        <v>0</v>
      </c>
      <c r="LD100" s="157">
        <v>0</v>
      </c>
      <c r="LE100" s="157"/>
      <c r="LF100" s="157"/>
      <c r="LG100" s="157"/>
      <c r="LH100" s="157"/>
      <c r="LI100" s="157"/>
      <c r="LJ100" s="157"/>
      <c r="LK100" s="157"/>
      <c r="LL100" s="157"/>
      <c r="LM100" s="157"/>
      <c r="LN100" s="157"/>
      <c r="LO100" s="157"/>
      <c r="LP100" s="157"/>
      <c r="LQ100" s="157"/>
      <c r="LR100" s="157"/>
      <c r="LS100" s="157"/>
      <c r="LT100" s="5"/>
      <c r="LU100" s="8"/>
    </row>
    <row r="101" spans="1:333" ht="16.2" customHeight="1">
      <c r="A101" s="38" t="s">
        <v>9</v>
      </c>
      <c r="B101" s="25" t="s">
        <v>105</v>
      </c>
      <c r="C101" s="25" t="s">
        <v>392</v>
      </c>
      <c r="D101" s="25" t="s">
        <v>358</v>
      </c>
      <c r="E101" s="27" t="s">
        <v>152</v>
      </c>
      <c r="F101" s="25" t="s">
        <v>508</v>
      </c>
      <c r="G101" s="25" t="s">
        <v>359</v>
      </c>
      <c r="H101" s="28">
        <v>45931</v>
      </c>
      <c r="I101" s="29" t="s">
        <v>360</v>
      </c>
      <c r="J101" s="30">
        <v>1</v>
      </c>
      <c r="K101" s="147">
        <v>0</v>
      </c>
      <c r="L101" s="147">
        <f t="shared" si="1322"/>
        <v>1</v>
      </c>
      <c r="M101" s="147">
        <f t="shared" si="1323"/>
        <v>1</v>
      </c>
      <c r="N101" s="147">
        <f t="shared" si="1324"/>
        <v>0</v>
      </c>
      <c r="O101" s="147">
        <f t="shared" si="1325"/>
        <v>1</v>
      </c>
      <c r="P101" s="148">
        <f t="shared" si="1326"/>
        <v>1</v>
      </c>
      <c r="Q101" s="50">
        <f t="shared" si="1327"/>
        <v>1</v>
      </c>
      <c r="R101" s="17">
        <f t="shared" si="1328"/>
        <v>1</v>
      </c>
      <c r="S101" s="17">
        <f t="shared" si="1329"/>
        <v>1</v>
      </c>
      <c r="T101" s="17">
        <f t="shared" si="1330"/>
        <v>0</v>
      </c>
      <c r="U101" s="17">
        <f t="shared" si="1331"/>
        <v>1</v>
      </c>
      <c r="V101" s="17">
        <f t="shared" si="1332"/>
        <v>1</v>
      </c>
      <c r="W101" s="17">
        <f t="shared" si="1333"/>
        <v>1</v>
      </c>
      <c r="X101" s="17">
        <f t="shared" si="1334"/>
        <v>1</v>
      </c>
      <c r="Y101" s="17">
        <f t="shared" si="1335"/>
        <v>1</v>
      </c>
      <c r="Z101" s="17">
        <f t="shared" si="1336"/>
        <v>1</v>
      </c>
      <c r="AA101" s="17">
        <f t="shared" si="1337"/>
        <v>0</v>
      </c>
      <c r="AB101" s="17">
        <f t="shared" si="1338"/>
        <v>1</v>
      </c>
      <c r="AC101" s="17">
        <f t="shared" si="1339"/>
        <v>1</v>
      </c>
      <c r="AD101" s="17">
        <f t="shared" si="1340"/>
        <v>1</v>
      </c>
      <c r="AE101" s="17">
        <f t="shared" si="1341"/>
        <v>0</v>
      </c>
      <c r="AF101" s="17">
        <f t="shared" si="1342"/>
        <v>0</v>
      </c>
      <c r="AG101" s="17">
        <f t="shared" si="1343"/>
        <v>0</v>
      </c>
      <c r="AH101" s="17">
        <f t="shared" si="1344"/>
        <v>0</v>
      </c>
      <c r="AI101" s="17">
        <f t="shared" si="1345"/>
        <v>0</v>
      </c>
      <c r="AJ101" s="17">
        <f t="shared" si="1346"/>
        <v>0</v>
      </c>
      <c r="AK101" s="17">
        <f t="shared" si="1347"/>
        <v>0</v>
      </c>
      <c r="AL101" s="17">
        <f t="shared" si="1348"/>
        <v>0</v>
      </c>
      <c r="AM101" s="17">
        <f t="shared" si="1349"/>
        <v>0</v>
      </c>
      <c r="AN101" s="17">
        <f t="shared" si="1350"/>
        <v>0</v>
      </c>
      <c r="AO101" s="17">
        <f t="shared" si="1351"/>
        <v>0</v>
      </c>
      <c r="AP101" s="17">
        <f t="shared" si="1352"/>
        <v>0</v>
      </c>
      <c r="AQ101" s="17">
        <f t="shared" si="1353"/>
        <v>0</v>
      </c>
      <c r="AR101" s="17">
        <f t="shared" si="1354"/>
        <v>0</v>
      </c>
      <c r="AS101" s="17">
        <f t="shared" si="1355"/>
        <v>0</v>
      </c>
      <c r="AT101" s="17">
        <f t="shared" si="1356"/>
        <v>0</v>
      </c>
      <c r="AU101" s="54">
        <f t="shared" si="1357"/>
        <v>0</v>
      </c>
      <c r="AV101" s="58">
        <f t="shared" ref="AV101:AV109" si="1389">SUM(Q101:AU101)</f>
        <v>12</v>
      </c>
      <c r="AW101" s="58">
        <f t="shared" ca="1" si="1007"/>
        <v>0.92307692307692313</v>
      </c>
      <c r="AX101" s="50">
        <f t="shared" si="1358"/>
        <v>8</v>
      </c>
      <c r="AY101" s="17">
        <f t="shared" si="1359"/>
        <v>7</v>
      </c>
      <c r="AZ101" s="17">
        <f t="shared" si="1360"/>
        <v>9</v>
      </c>
      <c r="BA101" s="17">
        <f t="shared" si="1361"/>
        <v>0</v>
      </c>
      <c r="BB101" s="17">
        <f t="shared" si="1362"/>
        <v>8</v>
      </c>
      <c r="BC101" s="17">
        <f t="shared" si="1363"/>
        <v>8</v>
      </c>
      <c r="BD101" s="17">
        <f t="shared" si="1364"/>
        <v>7</v>
      </c>
      <c r="BE101" s="17">
        <f t="shared" si="1365"/>
        <v>9</v>
      </c>
      <c r="BF101" s="17">
        <f t="shared" si="1366"/>
        <v>7</v>
      </c>
      <c r="BG101" s="17">
        <f t="shared" si="1367"/>
        <v>8</v>
      </c>
      <c r="BH101" s="17">
        <f t="shared" si="1368"/>
        <v>0</v>
      </c>
      <c r="BI101" s="17">
        <f t="shared" si="1369"/>
        <v>8</v>
      </c>
      <c r="BJ101" s="17">
        <f t="shared" si="1370"/>
        <v>8</v>
      </c>
      <c r="BK101" s="17">
        <f t="shared" si="1371"/>
        <v>0</v>
      </c>
      <c r="BL101" s="17">
        <f t="shared" si="1372"/>
        <v>0</v>
      </c>
      <c r="BM101" s="17">
        <f t="shared" si="1373"/>
        <v>0</v>
      </c>
      <c r="BN101" s="17">
        <f t="shared" si="1374"/>
        <v>0</v>
      </c>
      <c r="BO101" s="17">
        <f t="shared" si="1375"/>
        <v>0</v>
      </c>
      <c r="BP101" s="17">
        <f t="shared" si="1376"/>
        <v>0</v>
      </c>
      <c r="BQ101" s="17">
        <f t="shared" si="1377"/>
        <v>0</v>
      </c>
      <c r="BR101" s="17">
        <f t="shared" si="1378"/>
        <v>0</v>
      </c>
      <c r="BS101" s="17">
        <f t="shared" si="1379"/>
        <v>0</v>
      </c>
      <c r="BT101" s="17">
        <f t="shared" si="1380"/>
        <v>0</v>
      </c>
      <c r="BU101" s="17">
        <f t="shared" si="1381"/>
        <v>0</v>
      </c>
      <c r="BV101" s="17">
        <f t="shared" si="1382"/>
        <v>0</v>
      </c>
      <c r="BW101" s="17">
        <f t="shared" si="1383"/>
        <v>0</v>
      </c>
      <c r="BX101" s="17">
        <f t="shared" si="1384"/>
        <v>0</v>
      </c>
      <c r="BY101" s="17">
        <f t="shared" si="1385"/>
        <v>0</v>
      </c>
      <c r="BZ101" s="17">
        <f t="shared" si="1386"/>
        <v>0</v>
      </c>
      <c r="CA101" s="17">
        <f t="shared" si="1387"/>
        <v>0</v>
      </c>
      <c r="CB101" s="54">
        <f t="shared" si="1388"/>
        <v>0</v>
      </c>
      <c r="CC101" s="58">
        <f t="shared" si="1115"/>
        <v>87</v>
      </c>
      <c r="CD101" s="58">
        <f t="shared" ca="1" si="1009"/>
        <v>6.6923076923076925</v>
      </c>
      <c r="JJ101" s="4" t="s">
        <v>13</v>
      </c>
      <c r="JK101" s="152" t="str">
        <f t="shared" ref="JK101:JK109" si="1390">D101</f>
        <v>PSH01-PHR-MIO-04</v>
      </c>
      <c r="JL101" s="163">
        <v>1</v>
      </c>
      <c r="JM101" s="158">
        <v>1</v>
      </c>
      <c r="JN101" s="158">
        <v>1</v>
      </c>
      <c r="JO101" s="159">
        <v>0</v>
      </c>
      <c r="JP101" s="158">
        <v>1</v>
      </c>
      <c r="JQ101" s="158">
        <v>1</v>
      </c>
      <c r="JR101" s="158">
        <v>1</v>
      </c>
      <c r="JS101" s="158">
        <v>1</v>
      </c>
      <c r="JT101" s="158">
        <v>1</v>
      </c>
      <c r="JU101" s="158">
        <v>1</v>
      </c>
      <c r="JV101" s="158">
        <v>0</v>
      </c>
      <c r="JW101" s="159">
        <v>1</v>
      </c>
      <c r="JX101" s="159">
        <v>1</v>
      </c>
      <c r="JY101" s="159">
        <v>1</v>
      </c>
      <c r="JZ101" s="158"/>
      <c r="KA101" s="158"/>
      <c r="KB101" s="158"/>
      <c r="KC101" s="158"/>
      <c r="KD101" s="158"/>
      <c r="KE101" s="158"/>
      <c r="KF101" s="158"/>
      <c r="KG101" s="158"/>
      <c r="KH101" s="159"/>
      <c r="KI101" s="159"/>
      <c r="KJ101" s="158"/>
      <c r="KK101" s="158"/>
      <c r="KL101" s="158"/>
      <c r="KM101" s="158"/>
      <c r="KN101" s="158"/>
      <c r="KO101" s="158"/>
      <c r="KP101" s="164"/>
      <c r="KQ101" s="157">
        <v>8</v>
      </c>
      <c r="KR101" s="157">
        <v>7</v>
      </c>
      <c r="KS101" s="157">
        <v>9</v>
      </c>
      <c r="KT101" s="157">
        <v>0</v>
      </c>
      <c r="KU101" s="157">
        <v>8</v>
      </c>
      <c r="KV101" s="157">
        <v>8</v>
      </c>
      <c r="KW101" s="157">
        <v>7</v>
      </c>
      <c r="KX101" s="157">
        <v>9</v>
      </c>
      <c r="KY101" s="157">
        <v>7</v>
      </c>
      <c r="KZ101" s="157">
        <v>8</v>
      </c>
      <c r="LA101" s="157">
        <v>0</v>
      </c>
      <c r="LB101" s="157">
        <v>8</v>
      </c>
      <c r="LC101" s="157">
        <v>8</v>
      </c>
      <c r="LD101" s="157">
        <v>0</v>
      </c>
      <c r="LE101" s="157"/>
      <c r="LF101" s="157"/>
      <c r="LG101" s="157"/>
      <c r="LH101" s="157"/>
      <c r="LI101" s="157"/>
      <c r="LJ101" s="157"/>
      <c r="LK101" s="157"/>
      <c r="LL101" s="157"/>
      <c r="LM101" s="157"/>
      <c r="LN101" s="157"/>
      <c r="LO101" s="157"/>
      <c r="LP101" s="157"/>
      <c r="LQ101" s="157"/>
      <c r="LR101" s="157"/>
      <c r="LS101" s="157"/>
      <c r="LT101" s="5"/>
      <c r="LU101" s="8"/>
    </row>
    <row r="102" spans="1:333" ht="16.2" customHeight="1">
      <c r="A102" s="38" t="s">
        <v>9</v>
      </c>
      <c r="B102" s="25" t="s">
        <v>105</v>
      </c>
      <c r="C102" s="25" t="s">
        <v>392</v>
      </c>
      <c r="D102" s="25" t="s">
        <v>361</v>
      </c>
      <c r="E102" s="27" t="s">
        <v>153</v>
      </c>
      <c r="F102" s="25" t="s">
        <v>509</v>
      </c>
      <c r="G102" s="25" t="s">
        <v>362</v>
      </c>
      <c r="H102" s="28">
        <v>46146</v>
      </c>
      <c r="I102" s="29" t="s">
        <v>363</v>
      </c>
      <c r="J102" s="30">
        <v>1</v>
      </c>
      <c r="K102" s="147">
        <v>0</v>
      </c>
      <c r="L102" s="147">
        <f t="shared" si="1322"/>
        <v>1</v>
      </c>
      <c r="M102" s="147">
        <f t="shared" si="1323"/>
        <v>1</v>
      </c>
      <c r="N102" s="147">
        <f t="shared" si="1324"/>
        <v>0</v>
      </c>
      <c r="O102" s="147">
        <f t="shared" si="1325"/>
        <v>1</v>
      </c>
      <c r="P102" s="148">
        <f t="shared" si="1326"/>
        <v>1</v>
      </c>
      <c r="Q102" s="50">
        <f t="shared" si="1327"/>
        <v>0</v>
      </c>
      <c r="R102" s="17">
        <f t="shared" si="1328"/>
        <v>1</v>
      </c>
      <c r="S102" s="17">
        <f t="shared" si="1329"/>
        <v>1</v>
      </c>
      <c r="T102" s="17">
        <f t="shared" si="1330"/>
        <v>0</v>
      </c>
      <c r="U102" s="17">
        <f t="shared" si="1331"/>
        <v>1</v>
      </c>
      <c r="V102" s="17">
        <f t="shared" si="1332"/>
        <v>0</v>
      </c>
      <c r="W102" s="17">
        <f t="shared" si="1333"/>
        <v>1</v>
      </c>
      <c r="X102" s="17">
        <f t="shared" si="1334"/>
        <v>1</v>
      </c>
      <c r="Y102" s="17">
        <f t="shared" si="1335"/>
        <v>0</v>
      </c>
      <c r="Z102" s="17">
        <f t="shared" si="1336"/>
        <v>1</v>
      </c>
      <c r="AA102" s="17">
        <f t="shared" si="1337"/>
        <v>0</v>
      </c>
      <c r="AB102" s="17">
        <f t="shared" si="1338"/>
        <v>1</v>
      </c>
      <c r="AC102" s="17">
        <f t="shared" si="1339"/>
        <v>1</v>
      </c>
      <c r="AD102" s="17">
        <f t="shared" si="1340"/>
        <v>1</v>
      </c>
      <c r="AE102" s="17">
        <f t="shared" si="1341"/>
        <v>0</v>
      </c>
      <c r="AF102" s="17">
        <f t="shared" si="1342"/>
        <v>0</v>
      </c>
      <c r="AG102" s="17">
        <f t="shared" si="1343"/>
        <v>0</v>
      </c>
      <c r="AH102" s="17">
        <f t="shared" si="1344"/>
        <v>0</v>
      </c>
      <c r="AI102" s="17">
        <f t="shared" si="1345"/>
        <v>0</v>
      </c>
      <c r="AJ102" s="17">
        <f t="shared" si="1346"/>
        <v>0</v>
      </c>
      <c r="AK102" s="17">
        <f t="shared" si="1347"/>
        <v>0</v>
      </c>
      <c r="AL102" s="17">
        <f t="shared" si="1348"/>
        <v>0</v>
      </c>
      <c r="AM102" s="17">
        <f t="shared" si="1349"/>
        <v>0</v>
      </c>
      <c r="AN102" s="17">
        <f t="shared" si="1350"/>
        <v>0</v>
      </c>
      <c r="AO102" s="17">
        <f t="shared" si="1351"/>
        <v>0</v>
      </c>
      <c r="AP102" s="17">
        <f t="shared" si="1352"/>
        <v>0</v>
      </c>
      <c r="AQ102" s="17">
        <f t="shared" si="1353"/>
        <v>0</v>
      </c>
      <c r="AR102" s="17">
        <f t="shared" si="1354"/>
        <v>0</v>
      </c>
      <c r="AS102" s="17">
        <f t="shared" si="1355"/>
        <v>0</v>
      </c>
      <c r="AT102" s="17">
        <f t="shared" si="1356"/>
        <v>0</v>
      </c>
      <c r="AU102" s="54">
        <f t="shared" si="1357"/>
        <v>0</v>
      </c>
      <c r="AV102" s="58">
        <f t="shared" si="1389"/>
        <v>9</v>
      </c>
      <c r="AW102" s="58">
        <f t="shared" ca="1" si="1007"/>
        <v>0.69230769230769229</v>
      </c>
      <c r="AX102" s="50">
        <f t="shared" si="1358"/>
        <v>5</v>
      </c>
      <c r="AY102" s="17">
        <f t="shared" si="1359"/>
        <v>4</v>
      </c>
      <c r="AZ102" s="17">
        <f t="shared" si="1360"/>
        <v>11</v>
      </c>
      <c r="BA102" s="17">
        <f t="shared" si="1361"/>
        <v>0</v>
      </c>
      <c r="BB102" s="17">
        <f t="shared" si="1362"/>
        <v>6</v>
      </c>
      <c r="BC102" s="17">
        <f t="shared" si="1363"/>
        <v>0</v>
      </c>
      <c r="BD102" s="17">
        <f t="shared" si="1364"/>
        <v>4</v>
      </c>
      <c r="BE102" s="17">
        <f t="shared" si="1365"/>
        <v>4</v>
      </c>
      <c r="BF102" s="17">
        <f t="shared" si="1366"/>
        <v>10</v>
      </c>
      <c r="BG102" s="17">
        <f t="shared" si="1367"/>
        <v>6</v>
      </c>
      <c r="BH102" s="17">
        <f t="shared" si="1368"/>
        <v>0</v>
      </c>
      <c r="BI102" s="17">
        <f t="shared" si="1369"/>
        <v>9</v>
      </c>
      <c r="BJ102" s="17">
        <f t="shared" si="1370"/>
        <v>9</v>
      </c>
      <c r="BK102" s="17">
        <f t="shared" si="1371"/>
        <v>0</v>
      </c>
      <c r="BL102" s="17">
        <f t="shared" si="1372"/>
        <v>0</v>
      </c>
      <c r="BM102" s="17">
        <f t="shared" si="1373"/>
        <v>0</v>
      </c>
      <c r="BN102" s="17">
        <f t="shared" si="1374"/>
        <v>0</v>
      </c>
      <c r="BO102" s="17">
        <f t="shared" si="1375"/>
        <v>0</v>
      </c>
      <c r="BP102" s="17">
        <f t="shared" si="1376"/>
        <v>0</v>
      </c>
      <c r="BQ102" s="17">
        <f t="shared" si="1377"/>
        <v>0</v>
      </c>
      <c r="BR102" s="17">
        <f t="shared" si="1378"/>
        <v>0</v>
      </c>
      <c r="BS102" s="17">
        <f t="shared" si="1379"/>
        <v>0</v>
      </c>
      <c r="BT102" s="17">
        <f t="shared" si="1380"/>
        <v>0</v>
      </c>
      <c r="BU102" s="17">
        <f t="shared" si="1381"/>
        <v>0</v>
      </c>
      <c r="BV102" s="17">
        <f t="shared" si="1382"/>
        <v>0</v>
      </c>
      <c r="BW102" s="17">
        <f t="shared" si="1383"/>
        <v>0</v>
      </c>
      <c r="BX102" s="17">
        <f t="shared" si="1384"/>
        <v>0</v>
      </c>
      <c r="BY102" s="17">
        <f t="shared" si="1385"/>
        <v>0</v>
      </c>
      <c r="BZ102" s="17">
        <f t="shared" si="1386"/>
        <v>0</v>
      </c>
      <c r="CA102" s="17">
        <f t="shared" si="1387"/>
        <v>0</v>
      </c>
      <c r="CB102" s="54">
        <f t="shared" si="1388"/>
        <v>0</v>
      </c>
      <c r="CC102" s="58">
        <f t="shared" si="1115"/>
        <v>68</v>
      </c>
      <c r="CD102" s="58">
        <f t="shared" ca="1" si="1009"/>
        <v>5.2307692307692308</v>
      </c>
      <c r="JJ102" s="4" t="s">
        <v>13</v>
      </c>
      <c r="JK102" s="152" t="str">
        <f t="shared" si="1390"/>
        <v>PSH01-PHR-MIO-06</v>
      </c>
      <c r="JL102" s="163">
        <v>0</v>
      </c>
      <c r="JM102" s="158">
        <v>1</v>
      </c>
      <c r="JN102" s="158">
        <v>1</v>
      </c>
      <c r="JO102" s="159">
        <v>0</v>
      </c>
      <c r="JP102" s="158">
        <v>1</v>
      </c>
      <c r="JQ102" s="158">
        <v>0</v>
      </c>
      <c r="JR102" s="158">
        <v>1</v>
      </c>
      <c r="JS102" s="158">
        <v>1</v>
      </c>
      <c r="JT102" s="158">
        <v>0</v>
      </c>
      <c r="JU102" s="158">
        <v>1</v>
      </c>
      <c r="JV102" s="158">
        <v>0</v>
      </c>
      <c r="JW102" s="159">
        <v>1</v>
      </c>
      <c r="JX102" s="159">
        <v>1</v>
      </c>
      <c r="JY102" s="159">
        <v>1</v>
      </c>
      <c r="JZ102" s="158"/>
      <c r="KA102" s="158"/>
      <c r="KB102" s="158"/>
      <c r="KC102" s="158"/>
      <c r="KD102" s="158"/>
      <c r="KE102" s="158"/>
      <c r="KF102" s="158"/>
      <c r="KG102" s="158"/>
      <c r="KH102" s="159"/>
      <c r="KI102" s="159"/>
      <c r="KJ102" s="158"/>
      <c r="KK102" s="158"/>
      <c r="KL102" s="158"/>
      <c r="KM102" s="158"/>
      <c r="KN102" s="158"/>
      <c r="KO102" s="158"/>
      <c r="KP102" s="164"/>
      <c r="KQ102" s="157">
        <v>5</v>
      </c>
      <c r="KR102" s="157">
        <v>4</v>
      </c>
      <c r="KS102" s="157">
        <v>11</v>
      </c>
      <c r="KT102" s="157">
        <v>0</v>
      </c>
      <c r="KU102" s="157">
        <v>6</v>
      </c>
      <c r="KV102" s="157">
        <v>0</v>
      </c>
      <c r="KW102" s="157">
        <v>4</v>
      </c>
      <c r="KX102" s="157">
        <v>4</v>
      </c>
      <c r="KY102" s="157">
        <v>10</v>
      </c>
      <c r="KZ102" s="157">
        <v>6</v>
      </c>
      <c r="LA102" s="157">
        <v>0</v>
      </c>
      <c r="LB102" s="157">
        <v>9</v>
      </c>
      <c r="LC102" s="157">
        <v>9</v>
      </c>
      <c r="LD102" s="157">
        <v>0</v>
      </c>
      <c r="LE102" s="157"/>
      <c r="LF102" s="157"/>
      <c r="LG102" s="157"/>
      <c r="LH102" s="157"/>
      <c r="LI102" s="157"/>
      <c r="LJ102" s="157"/>
      <c r="LK102" s="157"/>
      <c r="LL102" s="157"/>
      <c r="LM102" s="157"/>
      <c r="LN102" s="157"/>
      <c r="LO102" s="157"/>
      <c r="LP102" s="157"/>
      <c r="LQ102" s="157"/>
      <c r="LR102" s="157"/>
      <c r="LS102" s="157"/>
      <c r="LT102" s="5"/>
      <c r="LU102" s="8"/>
    </row>
    <row r="103" spans="1:333" ht="16.2" customHeight="1">
      <c r="A103" s="38" t="s">
        <v>9</v>
      </c>
      <c r="B103" s="25" t="s">
        <v>105</v>
      </c>
      <c r="C103" s="26" t="s">
        <v>392</v>
      </c>
      <c r="D103" s="25" t="s">
        <v>364</v>
      </c>
      <c r="E103" s="27" t="s">
        <v>154</v>
      </c>
      <c r="F103" s="25" t="s">
        <v>539</v>
      </c>
      <c r="G103" s="25" t="s">
        <v>432</v>
      </c>
      <c r="H103" s="28">
        <v>46258</v>
      </c>
      <c r="I103" s="29" t="s">
        <v>365</v>
      </c>
      <c r="J103" s="30">
        <v>1</v>
      </c>
      <c r="K103" s="147">
        <v>0</v>
      </c>
      <c r="L103" s="147">
        <f t="shared" si="1322"/>
        <v>1</v>
      </c>
      <c r="M103" s="147">
        <f t="shared" si="1323"/>
        <v>1</v>
      </c>
      <c r="N103" s="147">
        <f t="shared" si="1324"/>
        <v>1</v>
      </c>
      <c r="O103" s="147">
        <f t="shared" si="1325"/>
        <v>1</v>
      </c>
      <c r="P103" s="148">
        <f t="shared" si="1326"/>
        <v>1</v>
      </c>
      <c r="Q103" s="50">
        <f t="shared" si="1327"/>
        <v>1</v>
      </c>
      <c r="R103" s="17">
        <f t="shared" si="1328"/>
        <v>1</v>
      </c>
      <c r="S103" s="17">
        <f t="shared" si="1329"/>
        <v>1</v>
      </c>
      <c r="T103" s="17">
        <f t="shared" si="1330"/>
        <v>0</v>
      </c>
      <c r="U103" s="17">
        <f t="shared" si="1331"/>
        <v>1</v>
      </c>
      <c r="V103" s="17">
        <f t="shared" si="1332"/>
        <v>1</v>
      </c>
      <c r="W103" s="17">
        <f t="shared" si="1333"/>
        <v>1</v>
      </c>
      <c r="X103" s="17">
        <f t="shared" si="1334"/>
        <v>1</v>
      </c>
      <c r="Y103" s="17">
        <f t="shared" si="1335"/>
        <v>1</v>
      </c>
      <c r="Z103" s="17">
        <f t="shared" si="1336"/>
        <v>1</v>
      </c>
      <c r="AA103" s="17">
        <f t="shared" si="1337"/>
        <v>0</v>
      </c>
      <c r="AB103" s="17">
        <f t="shared" si="1338"/>
        <v>1</v>
      </c>
      <c r="AC103" s="17">
        <f t="shared" si="1339"/>
        <v>1</v>
      </c>
      <c r="AD103" s="17">
        <f t="shared" si="1340"/>
        <v>1</v>
      </c>
      <c r="AE103" s="17">
        <f t="shared" si="1341"/>
        <v>0</v>
      </c>
      <c r="AF103" s="17">
        <f t="shared" si="1342"/>
        <v>0</v>
      </c>
      <c r="AG103" s="17">
        <f t="shared" si="1343"/>
        <v>0</v>
      </c>
      <c r="AH103" s="17">
        <f t="shared" si="1344"/>
        <v>0</v>
      </c>
      <c r="AI103" s="17">
        <f t="shared" si="1345"/>
        <v>0</v>
      </c>
      <c r="AJ103" s="17">
        <f t="shared" si="1346"/>
        <v>0</v>
      </c>
      <c r="AK103" s="17">
        <f t="shared" si="1347"/>
        <v>0</v>
      </c>
      <c r="AL103" s="17">
        <f t="shared" si="1348"/>
        <v>0</v>
      </c>
      <c r="AM103" s="17">
        <f t="shared" si="1349"/>
        <v>0</v>
      </c>
      <c r="AN103" s="17">
        <f t="shared" si="1350"/>
        <v>0</v>
      </c>
      <c r="AO103" s="17">
        <f t="shared" si="1351"/>
        <v>0</v>
      </c>
      <c r="AP103" s="17">
        <f t="shared" si="1352"/>
        <v>0</v>
      </c>
      <c r="AQ103" s="17">
        <f t="shared" si="1353"/>
        <v>0</v>
      </c>
      <c r="AR103" s="17">
        <f t="shared" si="1354"/>
        <v>0</v>
      </c>
      <c r="AS103" s="17">
        <f t="shared" si="1355"/>
        <v>0</v>
      </c>
      <c r="AT103" s="17">
        <f t="shared" si="1356"/>
        <v>0</v>
      </c>
      <c r="AU103" s="54">
        <f t="shared" si="1357"/>
        <v>0</v>
      </c>
      <c r="AV103" s="58">
        <f t="shared" si="1389"/>
        <v>12</v>
      </c>
      <c r="AW103" s="58">
        <f t="shared" ca="1" si="1007"/>
        <v>0.92307692307692313</v>
      </c>
      <c r="AX103" s="50">
        <f t="shared" si="1358"/>
        <v>13</v>
      </c>
      <c r="AY103" s="17">
        <f t="shared" si="1359"/>
        <v>15</v>
      </c>
      <c r="AZ103" s="17">
        <f t="shared" si="1360"/>
        <v>0</v>
      </c>
      <c r="BA103" s="17">
        <f t="shared" si="1361"/>
        <v>0</v>
      </c>
      <c r="BB103" s="17">
        <f t="shared" si="1362"/>
        <v>13</v>
      </c>
      <c r="BC103" s="17">
        <f t="shared" si="1363"/>
        <v>13</v>
      </c>
      <c r="BD103" s="17">
        <f t="shared" si="1364"/>
        <v>14</v>
      </c>
      <c r="BE103" s="17">
        <f t="shared" si="1365"/>
        <v>14</v>
      </c>
      <c r="BF103" s="17">
        <f t="shared" si="1366"/>
        <v>13</v>
      </c>
      <c r="BG103" s="17">
        <f t="shared" si="1367"/>
        <v>14</v>
      </c>
      <c r="BH103" s="17">
        <f t="shared" si="1368"/>
        <v>0</v>
      </c>
      <c r="BI103" s="17">
        <f t="shared" si="1369"/>
        <v>12</v>
      </c>
      <c r="BJ103" s="17">
        <f t="shared" si="1370"/>
        <v>11</v>
      </c>
      <c r="BK103" s="17">
        <f t="shared" si="1371"/>
        <v>4</v>
      </c>
      <c r="BL103" s="17">
        <f t="shared" si="1372"/>
        <v>0</v>
      </c>
      <c r="BM103" s="17">
        <f t="shared" si="1373"/>
        <v>0</v>
      </c>
      <c r="BN103" s="17">
        <f t="shared" si="1374"/>
        <v>0</v>
      </c>
      <c r="BO103" s="17">
        <f t="shared" si="1375"/>
        <v>0</v>
      </c>
      <c r="BP103" s="17">
        <f t="shared" si="1376"/>
        <v>0</v>
      </c>
      <c r="BQ103" s="17">
        <f t="shared" si="1377"/>
        <v>0</v>
      </c>
      <c r="BR103" s="17">
        <f t="shared" si="1378"/>
        <v>0</v>
      </c>
      <c r="BS103" s="17">
        <f t="shared" si="1379"/>
        <v>0</v>
      </c>
      <c r="BT103" s="17">
        <f t="shared" si="1380"/>
        <v>0</v>
      </c>
      <c r="BU103" s="17">
        <f t="shared" si="1381"/>
        <v>0</v>
      </c>
      <c r="BV103" s="17">
        <f t="shared" si="1382"/>
        <v>0</v>
      </c>
      <c r="BW103" s="17">
        <f t="shared" si="1383"/>
        <v>0</v>
      </c>
      <c r="BX103" s="17">
        <f t="shared" si="1384"/>
        <v>0</v>
      </c>
      <c r="BY103" s="17">
        <f t="shared" si="1385"/>
        <v>0</v>
      </c>
      <c r="BZ103" s="17">
        <f t="shared" si="1386"/>
        <v>0</v>
      </c>
      <c r="CA103" s="17">
        <f t="shared" si="1387"/>
        <v>0</v>
      </c>
      <c r="CB103" s="54">
        <f t="shared" si="1388"/>
        <v>0</v>
      </c>
      <c r="CC103" s="58">
        <f t="shared" si="1115"/>
        <v>136</v>
      </c>
      <c r="CD103" s="58">
        <f t="shared" ca="1" si="1009"/>
        <v>10.461538461538462</v>
      </c>
      <c r="JJ103" s="4" t="s">
        <v>13</v>
      </c>
      <c r="JK103" s="152" t="str">
        <f t="shared" si="1390"/>
        <v>PSH01-PHR-MIO-07</v>
      </c>
      <c r="JL103" s="163">
        <v>1</v>
      </c>
      <c r="JM103" s="158">
        <v>1</v>
      </c>
      <c r="JN103" s="158">
        <v>1</v>
      </c>
      <c r="JO103" s="159">
        <v>0</v>
      </c>
      <c r="JP103" s="158">
        <v>1</v>
      </c>
      <c r="JQ103" s="158">
        <v>1</v>
      </c>
      <c r="JR103" s="158">
        <v>1</v>
      </c>
      <c r="JS103" s="158">
        <v>1</v>
      </c>
      <c r="JT103" s="158">
        <v>1</v>
      </c>
      <c r="JU103" s="158">
        <v>1</v>
      </c>
      <c r="JV103" s="158">
        <v>0</v>
      </c>
      <c r="JW103" s="159">
        <v>1</v>
      </c>
      <c r="JX103" s="159">
        <v>1</v>
      </c>
      <c r="JY103" s="159">
        <v>1</v>
      </c>
      <c r="JZ103" s="158"/>
      <c r="KA103" s="158"/>
      <c r="KB103" s="158"/>
      <c r="KC103" s="158"/>
      <c r="KD103" s="158"/>
      <c r="KE103" s="158"/>
      <c r="KF103" s="158"/>
      <c r="KG103" s="158"/>
      <c r="KH103" s="159"/>
      <c r="KI103" s="159"/>
      <c r="KJ103" s="158"/>
      <c r="KK103" s="158"/>
      <c r="KL103" s="158"/>
      <c r="KM103" s="158"/>
      <c r="KN103" s="158"/>
      <c r="KO103" s="158"/>
      <c r="KP103" s="164"/>
      <c r="KQ103" s="157">
        <v>13</v>
      </c>
      <c r="KR103" s="157">
        <v>15</v>
      </c>
      <c r="KS103" s="157">
        <v>0</v>
      </c>
      <c r="KT103" s="157">
        <v>0</v>
      </c>
      <c r="KU103" s="157">
        <v>13</v>
      </c>
      <c r="KV103" s="157">
        <v>13</v>
      </c>
      <c r="KW103" s="157">
        <v>14</v>
      </c>
      <c r="KX103" s="157">
        <v>14</v>
      </c>
      <c r="KY103" s="157">
        <v>13</v>
      </c>
      <c r="KZ103" s="157">
        <v>14</v>
      </c>
      <c r="LA103" s="157">
        <v>0</v>
      </c>
      <c r="LB103" s="157">
        <v>12</v>
      </c>
      <c r="LC103" s="157">
        <v>11</v>
      </c>
      <c r="LD103" s="157">
        <v>4</v>
      </c>
      <c r="LE103" s="157"/>
      <c r="LF103" s="157"/>
      <c r="LG103" s="157"/>
      <c r="LH103" s="157"/>
      <c r="LI103" s="157"/>
      <c r="LJ103" s="157"/>
      <c r="LK103" s="157"/>
      <c r="LL103" s="157"/>
      <c r="LM103" s="157"/>
      <c r="LN103" s="157"/>
      <c r="LO103" s="157"/>
      <c r="LP103" s="157"/>
      <c r="LQ103" s="157"/>
      <c r="LR103" s="157"/>
      <c r="LS103" s="157"/>
      <c r="LT103" s="5"/>
      <c r="LU103" s="8"/>
    </row>
    <row r="104" spans="1:333" ht="16.2" customHeight="1">
      <c r="A104" s="38" t="s">
        <v>9</v>
      </c>
      <c r="B104" s="25" t="s">
        <v>105</v>
      </c>
      <c r="C104" s="26" t="s">
        <v>392</v>
      </c>
      <c r="D104" s="25" t="s">
        <v>366</v>
      </c>
      <c r="E104" s="27" t="s">
        <v>155</v>
      </c>
      <c r="F104" s="25" t="s">
        <v>510</v>
      </c>
      <c r="G104" s="25" t="s">
        <v>432</v>
      </c>
      <c r="H104" s="28" t="s">
        <v>433</v>
      </c>
      <c r="I104" s="29" t="s">
        <v>367</v>
      </c>
      <c r="J104" s="30">
        <v>1</v>
      </c>
      <c r="K104" s="147">
        <v>1</v>
      </c>
      <c r="L104" s="147">
        <f t="shared" si="1322"/>
        <v>0</v>
      </c>
      <c r="M104" s="147">
        <f t="shared" si="1323"/>
        <v>0</v>
      </c>
      <c r="N104" s="147">
        <f t="shared" si="1324"/>
        <v>0</v>
      </c>
      <c r="O104" s="147">
        <f t="shared" si="1325"/>
        <v>0</v>
      </c>
      <c r="P104" s="148">
        <f t="shared" si="1326"/>
        <v>0</v>
      </c>
      <c r="Q104" s="50">
        <f t="shared" si="1327"/>
        <v>0</v>
      </c>
      <c r="R104" s="17">
        <f t="shared" si="1328"/>
        <v>0</v>
      </c>
      <c r="S104" s="17">
        <f t="shared" si="1329"/>
        <v>0</v>
      </c>
      <c r="T104" s="17">
        <f t="shared" si="1330"/>
        <v>0</v>
      </c>
      <c r="U104" s="17">
        <f t="shared" si="1331"/>
        <v>0</v>
      </c>
      <c r="V104" s="17">
        <f t="shared" si="1332"/>
        <v>0</v>
      </c>
      <c r="W104" s="17">
        <f t="shared" si="1333"/>
        <v>0</v>
      </c>
      <c r="X104" s="17">
        <f t="shared" si="1334"/>
        <v>0</v>
      </c>
      <c r="Y104" s="17">
        <f t="shared" si="1335"/>
        <v>0</v>
      </c>
      <c r="Z104" s="17">
        <f t="shared" si="1336"/>
        <v>0</v>
      </c>
      <c r="AA104" s="17">
        <f t="shared" si="1337"/>
        <v>0</v>
      </c>
      <c r="AB104" s="17">
        <f t="shared" si="1338"/>
        <v>0</v>
      </c>
      <c r="AC104" s="17">
        <f t="shared" si="1339"/>
        <v>0</v>
      </c>
      <c r="AD104" s="17">
        <f t="shared" si="1340"/>
        <v>0</v>
      </c>
      <c r="AE104" s="17">
        <f t="shared" si="1341"/>
        <v>0</v>
      </c>
      <c r="AF104" s="17">
        <f t="shared" si="1342"/>
        <v>0</v>
      </c>
      <c r="AG104" s="17">
        <f t="shared" si="1343"/>
        <v>0</v>
      </c>
      <c r="AH104" s="17">
        <f t="shared" si="1344"/>
        <v>0</v>
      </c>
      <c r="AI104" s="17">
        <f t="shared" si="1345"/>
        <v>0</v>
      </c>
      <c r="AJ104" s="17">
        <f t="shared" si="1346"/>
        <v>0</v>
      </c>
      <c r="AK104" s="17">
        <f t="shared" si="1347"/>
        <v>0</v>
      </c>
      <c r="AL104" s="17">
        <f t="shared" si="1348"/>
        <v>0</v>
      </c>
      <c r="AM104" s="17">
        <f t="shared" si="1349"/>
        <v>0</v>
      </c>
      <c r="AN104" s="17">
        <f t="shared" si="1350"/>
        <v>0</v>
      </c>
      <c r="AO104" s="17">
        <f t="shared" si="1351"/>
        <v>0</v>
      </c>
      <c r="AP104" s="17">
        <f t="shared" si="1352"/>
        <v>0</v>
      </c>
      <c r="AQ104" s="17">
        <f t="shared" si="1353"/>
        <v>0</v>
      </c>
      <c r="AR104" s="17">
        <f t="shared" si="1354"/>
        <v>0</v>
      </c>
      <c r="AS104" s="17">
        <f t="shared" si="1355"/>
        <v>0</v>
      </c>
      <c r="AT104" s="17">
        <f t="shared" si="1356"/>
        <v>0</v>
      </c>
      <c r="AU104" s="54">
        <f t="shared" si="1357"/>
        <v>0</v>
      </c>
      <c r="AV104" s="58">
        <f t="shared" si="1389"/>
        <v>0</v>
      </c>
      <c r="AW104" s="58">
        <f t="shared" ca="1" si="1007"/>
        <v>0</v>
      </c>
      <c r="AX104" s="50">
        <f t="shared" si="1358"/>
        <v>0</v>
      </c>
      <c r="AY104" s="17">
        <f t="shared" si="1359"/>
        <v>0</v>
      </c>
      <c r="AZ104" s="17">
        <f t="shared" si="1360"/>
        <v>0</v>
      </c>
      <c r="BA104" s="17">
        <f t="shared" si="1361"/>
        <v>0</v>
      </c>
      <c r="BB104" s="17">
        <f t="shared" si="1362"/>
        <v>0</v>
      </c>
      <c r="BC104" s="17">
        <f t="shared" si="1363"/>
        <v>0</v>
      </c>
      <c r="BD104" s="17">
        <f t="shared" si="1364"/>
        <v>0</v>
      </c>
      <c r="BE104" s="17">
        <f t="shared" si="1365"/>
        <v>0</v>
      </c>
      <c r="BF104" s="17">
        <f t="shared" si="1366"/>
        <v>0</v>
      </c>
      <c r="BG104" s="17">
        <f t="shared" si="1367"/>
        <v>0</v>
      </c>
      <c r="BH104" s="17">
        <f t="shared" si="1368"/>
        <v>0</v>
      </c>
      <c r="BI104" s="17">
        <f t="shared" si="1369"/>
        <v>0</v>
      </c>
      <c r="BJ104" s="17">
        <f t="shared" si="1370"/>
        <v>0</v>
      </c>
      <c r="BK104" s="17">
        <f t="shared" si="1371"/>
        <v>0</v>
      </c>
      <c r="BL104" s="17">
        <f t="shared" si="1372"/>
        <v>0</v>
      </c>
      <c r="BM104" s="17">
        <f t="shared" si="1373"/>
        <v>0</v>
      </c>
      <c r="BN104" s="17">
        <f t="shared" si="1374"/>
        <v>0</v>
      </c>
      <c r="BO104" s="17">
        <f t="shared" si="1375"/>
        <v>0</v>
      </c>
      <c r="BP104" s="17">
        <f t="shared" si="1376"/>
        <v>0</v>
      </c>
      <c r="BQ104" s="17">
        <f t="shared" si="1377"/>
        <v>0</v>
      </c>
      <c r="BR104" s="17">
        <f t="shared" si="1378"/>
        <v>0</v>
      </c>
      <c r="BS104" s="17">
        <f t="shared" si="1379"/>
        <v>0</v>
      </c>
      <c r="BT104" s="17">
        <f t="shared" si="1380"/>
        <v>0</v>
      </c>
      <c r="BU104" s="17">
        <f t="shared" si="1381"/>
        <v>0</v>
      </c>
      <c r="BV104" s="17">
        <f t="shared" si="1382"/>
        <v>0</v>
      </c>
      <c r="BW104" s="17">
        <f t="shared" si="1383"/>
        <v>0</v>
      </c>
      <c r="BX104" s="17">
        <f t="shared" si="1384"/>
        <v>0</v>
      </c>
      <c r="BY104" s="17">
        <f t="shared" si="1385"/>
        <v>0</v>
      </c>
      <c r="BZ104" s="17">
        <f t="shared" si="1386"/>
        <v>0</v>
      </c>
      <c r="CA104" s="17">
        <f t="shared" si="1387"/>
        <v>0</v>
      </c>
      <c r="CB104" s="54">
        <f t="shared" si="1388"/>
        <v>0</v>
      </c>
      <c r="CC104" s="58">
        <f t="shared" si="1115"/>
        <v>0</v>
      </c>
      <c r="CD104" s="58">
        <f t="shared" ca="1" si="1009"/>
        <v>0</v>
      </c>
      <c r="JJ104" s="4" t="s">
        <v>13</v>
      </c>
      <c r="JK104" s="152" t="str">
        <f t="shared" si="1390"/>
        <v>PSH01-PHR-MIO-09</v>
      </c>
      <c r="JL104" s="163">
        <v>0</v>
      </c>
      <c r="JM104" s="158">
        <v>0</v>
      </c>
      <c r="JN104" s="158">
        <v>0</v>
      </c>
      <c r="JO104" s="159">
        <v>0</v>
      </c>
      <c r="JP104" s="158">
        <v>0</v>
      </c>
      <c r="JQ104" s="158">
        <v>0</v>
      </c>
      <c r="JR104" s="158">
        <v>0</v>
      </c>
      <c r="JS104" s="158">
        <v>0</v>
      </c>
      <c r="JT104" s="158">
        <v>0</v>
      </c>
      <c r="JU104" s="158">
        <v>0</v>
      </c>
      <c r="JV104" s="158">
        <v>0</v>
      </c>
      <c r="JW104" s="159">
        <v>0</v>
      </c>
      <c r="JX104" s="159">
        <v>0</v>
      </c>
      <c r="JY104" s="159">
        <v>0</v>
      </c>
      <c r="JZ104" s="158"/>
      <c r="KA104" s="158"/>
      <c r="KB104" s="158"/>
      <c r="KC104" s="158"/>
      <c r="KD104" s="158"/>
      <c r="KE104" s="158"/>
      <c r="KF104" s="158"/>
      <c r="KG104" s="158"/>
      <c r="KH104" s="159"/>
      <c r="KI104" s="159"/>
      <c r="KJ104" s="158"/>
      <c r="KK104" s="158"/>
      <c r="KL104" s="158"/>
      <c r="KM104" s="158"/>
      <c r="KN104" s="158"/>
      <c r="KO104" s="158"/>
      <c r="KP104" s="164"/>
      <c r="KQ104" s="157">
        <v>0</v>
      </c>
      <c r="KR104" s="157">
        <v>0</v>
      </c>
      <c r="KS104" s="157">
        <v>0</v>
      </c>
      <c r="KT104" s="157">
        <v>0</v>
      </c>
      <c r="KU104" s="157">
        <v>0</v>
      </c>
      <c r="KV104" s="157">
        <v>0</v>
      </c>
      <c r="KW104" s="157">
        <v>0</v>
      </c>
      <c r="KX104" s="157">
        <v>0</v>
      </c>
      <c r="KY104" s="157">
        <v>0</v>
      </c>
      <c r="KZ104" s="157">
        <v>0</v>
      </c>
      <c r="LA104" s="157">
        <v>0</v>
      </c>
      <c r="LB104" s="157">
        <v>0</v>
      </c>
      <c r="LC104" s="157">
        <v>0</v>
      </c>
      <c r="LD104" s="157">
        <v>0</v>
      </c>
      <c r="LE104" s="157"/>
      <c r="LF104" s="157"/>
      <c r="LG104" s="157"/>
      <c r="LH104" s="157"/>
      <c r="LI104" s="157"/>
      <c r="LJ104" s="157"/>
      <c r="LK104" s="157"/>
      <c r="LL104" s="157"/>
      <c r="LM104" s="157"/>
      <c r="LN104" s="157"/>
      <c r="LO104" s="157"/>
      <c r="LP104" s="157"/>
      <c r="LQ104" s="157"/>
      <c r="LR104" s="157"/>
      <c r="LS104" s="157"/>
      <c r="LT104" s="5"/>
      <c r="LU104" s="8"/>
    </row>
    <row r="105" spans="1:333" ht="16.2" customHeight="1">
      <c r="A105" s="38" t="s">
        <v>9</v>
      </c>
      <c r="B105" s="25" t="s">
        <v>105</v>
      </c>
      <c r="C105" s="25" t="s">
        <v>392</v>
      </c>
      <c r="D105" s="25" t="s">
        <v>304</v>
      </c>
      <c r="E105" s="27" t="s">
        <v>427</v>
      </c>
      <c r="F105" s="25" t="s">
        <v>540</v>
      </c>
      <c r="G105" s="25" t="s">
        <v>432</v>
      </c>
      <c r="H105" s="28" t="s">
        <v>433</v>
      </c>
      <c r="I105" s="29" t="s">
        <v>368</v>
      </c>
      <c r="J105" s="30">
        <v>1</v>
      </c>
      <c r="K105" s="147">
        <v>1</v>
      </c>
      <c r="L105" s="147">
        <f t="shared" si="1322"/>
        <v>0</v>
      </c>
      <c r="M105" s="147">
        <f t="shared" si="1323"/>
        <v>0</v>
      </c>
      <c r="N105" s="147">
        <f t="shared" si="1324"/>
        <v>0</v>
      </c>
      <c r="O105" s="147">
        <f t="shared" si="1325"/>
        <v>0</v>
      </c>
      <c r="P105" s="148">
        <f t="shared" si="1326"/>
        <v>0</v>
      </c>
      <c r="Q105" s="50">
        <f t="shared" si="1327"/>
        <v>0</v>
      </c>
      <c r="R105" s="17">
        <f t="shared" si="1328"/>
        <v>0</v>
      </c>
      <c r="S105" s="17">
        <f t="shared" si="1329"/>
        <v>0</v>
      </c>
      <c r="T105" s="17">
        <f t="shared" si="1330"/>
        <v>0</v>
      </c>
      <c r="U105" s="17">
        <f t="shared" si="1331"/>
        <v>0</v>
      </c>
      <c r="V105" s="17">
        <f t="shared" si="1332"/>
        <v>0</v>
      </c>
      <c r="W105" s="17">
        <f t="shared" si="1333"/>
        <v>0</v>
      </c>
      <c r="X105" s="17">
        <f t="shared" si="1334"/>
        <v>0</v>
      </c>
      <c r="Y105" s="17">
        <f t="shared" si="1335"/>
        <v>0</v>
      </c>
      <c r="Z105" s="17">
        <f t="shared" si="1336"/>
        <v>0</v>
      </c>
      <c r="AA105" s="17">
        <f t="shared" si="1337"/>
        <v>0</v>
      </c>
      <c r="AB105" s="17">
        <f t="shared" si="1338"/>
        <v>0</v>
      </c>
      <c r="AC105" s="17">
        <f t="shared" si="1339"/>
        <v>0</v>
      </c>
      <c r="AD105" s="17">
        <f t="shared" si="1340"/>
        <v>0</v>
      </c>
      <c r="AE105" s="17">
        <f t="shared" si="1341"/>
        <v>0</v>
      </c>
      <c r="AF105" s="17">
        <f t="shared" si="1342"/>
        <v>0</v>
      </c>
      <c r="AG105" s="17">
        <f t="shared" si="1343"/>
        <v>0</v>
      </c>
      <c r="AH105" s="17">
        <f t="shared" si="1344"/>
        <v>0</v>
      </c>
      <c r="AI105" s="17">
        <f t="shared" si="1345"/>
        <v>0</v>
      </c>
      <c r="AJ105" s="17">
        <f t="shared" si="1346"/>
        <v>0</v>
      </c>
      <c r="AK105" s="17">
        <f t="shared" si="1347"/>
        <v>0</v>
      </c>
      <c r="AL105" s="17">
        <f t="shared" si="1348"/>
        <v>0</v>
      </c>
      <c r="AM105" s="17">
        <f t="shared" si="1349"/>
        <v>0</v>
      </c>
      <c r="AN105" s="17">
        <f t="shared" si="1350"/>
        <v>0</v>
      </c>
      <c r="AO105" s="17">
        <f t="shared" si="1351"/>
        <v>0</v>
      </c>
      <c r="AP105" s="17">
        <f t="shared" si="1352"/>
        <v>0</v>
      </c>
      <c r="AQ105" s="17">
        <f t="shared" si="1353"/>
        <v>0</v>
      </c>
      <c r="AR105" s="17">
        <f t="shared" si="1354"/>
        <v>0</v>
      </c>
      <c r="AS105" s="17">
        <f t="shared" si="1355"/>
        <v>0</v>
      </c>
      <c r="AT105" s="17">
        <f t="shared" si="1356"/>
        <v>0</v>
      </c>
      <c r="AU105" s="54">
        <f t="shared" si="1357"/>
        <v>0</v>
      </c>
      <c r="AV105" s="58">
        <f t="shared" si="1389"/>
        <v>0</v>
      </c>
      <c r="AW105" s="58">
        <f t="shared" ca="1" si="1007"/>
        <v>0</v>
      </c>
      <c r="AX105" s="50">
        <f t="shared" si="1358"/>
        <v>0</v>
      </c>
      <c r="AY105" s="17">
        <f t="shared" si="1359"/>
        <v>0</v>
      </c>
      <c r="AZ105" s="17">
        <f t="shared" si="1360"/>
        <v>0</v>
      </c>
      <c r="BA105" s="17">
        <f t="shared" si="1361"/>
        <v>0</v>
      </c>
      <c r="BB105" s="17">
        <f t="shared" si="1362"/>
        <v>0</v>
      </c>
      <c r="BC105" s="17">
        <f t="shared" si="1363"/>
        <v>0</v>
      </c>
      <c r="BD105" s="17">
        <f t="shared" si="1364"/>
        <v>0</v>
      </c>
      <c r="BE105" s="17">
        <f t="shared" si="1365"/>
        <v>0</v>
      </c>
      <c r="BF105" s="17">
        <f t="shared" si="1366"/>
        <v>0</v>
      </c>
      <c r="BG105" s="17">
        <f t="shared" si="1367"/>
        <v>0</v>
      </c>
      <c r="BH105" s="17">
        <f t="shared" si="1368"/>
        <v>0</v>
      </c>
      <c r="BI105" s="17">
        <f t="shared" si="1369"/>
        <v>0</v>
      </c>
      <c r="BJ105" s="17">
        <f t="shared" si="1370"/>
        <v>0</v>
      </c>
      <c r="BK105" s="17">
        <f t="shared" si="1371"/>
        <v>0</v>
      </c>
      <c r="BL105" s="17">
        <f t="shared" si="1372"/>
        <v>0</v>
      </c>
      <c r="BM105" s="17">
        <f t="shared" si="1373"/>
        <v>0</v>
      </c>
      <c r="BN105" s="17">
        <f t="shared" si="1374"/>
        <v>0</v>
      </c>
      <c r="BO105" s="17">
        <f t="shared" si="1375"/>
        <v>0</v>
      </c>
      <c r="BP105" s="17">
        <f t="shared" si="1376"/>
        <v>0</v>
      </c>
      <c r="BQ105" s="17">
        <f t="shared" si="1377"/>
        <v>0</v>
      </c>
      <c r="BR105" s="17">
        <f t="shared" si="1378"/>
        <v>0</v>
      </c>
      <c r="BS105" s="17">
        <f t="shared" si="1379"/>
        <v>0</v>
      </c>
      <c r="BT105" s="17">
        <f t="shared" si="1380"/>
        <v>0</v>
      </c>
      <c r="BU105" s="17">
        <f t="shared" si="1381"/>
        <v>0</v>
      </c>
      <c r="BV105" s="17">
        <f t="shared" si="1382"/>
        <v>0</v>
      </c>
      <c r="BW105" s="17">
        <f t="shared" si="1383"/>
        <v>0</v>
      </c>
      <c r="BX105" s="17">
        <f t="shared" si="1384"/>
        <v>0</v>
      </c>
      <c r="BY105" s="17">
        <f t="shared" si="1385"/>
        <v>0</v>
      </c>
      <c r="BZ105" s="17">
        <f t="shared" si="1386"/>
        <v>0</v>
      </c>
      <c r="CA105" s="17">
        <f t="shared" si="1387"/>
        <v>0</v>
      </c>
      <c r="CB105" s="54">
        <f t="shared" si="1388"/>
        <v>0</v>
      </c>
      <c r="CC105" s="58">
        <f t="shared" si="1115"/>
        <v>0</v>
      </c>
      <c r="CD105" s="58">
        <f t="shared" ca="1" si="1009"/>
        <v>0</v>
      </c>
      <c r="JJ105" s="4" t="s">
        <v>13</v>
      </c>
      <c r="JK105" s="152" t="str">
        <f t="shared" si="1390"/>
        <v>PSH01-PHR-MIO-08</v>
      </c>
      <c r="JL105" s="163">
        <v>0</v>
      </c>
      <c r="JM105" s="158">
        <v>0</v>
      </c>
      <c r="JN105" s="158">
        <v>0</v>
      </c>
      <c r="JO105" s="159">
        <v>0</v>
      </c>
      <c r="JP105" s="158">
        <v>0</v>
      </c>
      <c r="JQ105" s="158">
        <v>0</v>
      </c>
      <c r="JR105" s="158">
        <v>0</v>
      </c>
      <c r="JS105" s="158">
        <v>0</v>
      </c>
      <c r="JT105" s="158">
        <v>0</v>
      </c>
      <c r="JU105" s="158">
        <v>0</v>
      </c>
      <c r="JV105" s="158">
        <v>0</v>
      </c>
      <c r="JW105" s="159">
        <v>0</v>
      </c>
      <c r="JX105" s="159">
        <v>0</v>
      </c>
      <c r="JY105" s="159">
        <v>0</v>
      </c>
      <c r="JZ105" s="158"/>
      <c r="KA105" s="158"/>
      <c r="KB105" s="158"/>
      <c r="KC105" s="158"/>
      <c r="KD105" s="158"/>
      <c r="KE105" s="158"/>
      <c r="KF105" s="158"/>
      <c r="KG105" s="158"/>
      <c r="KH105" s="159"/>
      <c r="KI105" s="159"/>
      <c r="KJ105" s="158"/>
      <c r="KK105" s="158"/>
      <c r="KL105" s="158"/>
      <c r="KM105" s="158"/>
      <c r="KN105" s="158"/>
      <c r="KO105" s="158"/>
      <c r="KP105" s="164"/>
      <c r="KQ105" s="157">
        <v>0</v>
      </c>
      <c r="KR105" s="157">
        <v>0</v>
      </c>
      <c r="KS105" s="157">
        <v>0</v>
      </c>
      <c r="KT105" s="157">
        <v>0</v>
      </c>
      <c r="KU105" s="157">
        <v>0</v>
      </c>
      <c r="KV105" s="157">
        <v>0</v>
      </c>
      <c r="KW105" s="157">
        <v>0</v>
      </c>
      <c r="KX105" s="157">
        <v>0</v>
      </c>
      <c r="KY105" s="157">
        <v>0</v>
      </c>
      <c r="KZ105" s="157">
        <v>0</v>
      </c>
      <c r="LA105" s="157">
        <v>0</v>
      </c>
      <c r="LB105" s="157">
        <v>0</v>
      </c>
      <c r="LC105" s="157">
        <v>0</v>
      </c>
      <c r="LD105" s="157">
        <v>0</v>
      </c>
      <c r="LE105" s="157"/>
      <c r="LF105" s="157"/>
      <c r="LG105" s="157"/>
      <c r="LH105" s="157"/>
      <c r="LI105" s="157"/>
      <c r="LJ105" s="157"/>
      <c r="LK105" s="157"/>
      <c r="LL105" s="157"/>
      <c r="LM105" s="157"/>
      <c r="LN105" s="157"/>
      <c r="LO105" s="157"/>
      <c r="LP105" s="157"/>
      <c r="LQ105" s="157"/>
      <c r="LR105" s="157"/>
      <c r="LS105" s="157"/>
      <c r="LT105" s="5"/>
      <c r="LU105" s="8"/>
    </row>
    <row r="106" spans="1:333" ht="16.2" customHeight="1">
      <c r="A106" s="40" t="s">
        <v>16</v>
      </c>
      <c r="B106" s="26" t="s">
        <v>105</v>
      </c>
      <c r="C106" s="26" t="s">
        <v>392</v>
      </c>
      <c r="D106" s="25" t="s">
        <v>156</v>
      </c>
      <c r="E106" s="27" t="s">
        <v>157</v>
      </c>
      <c r="F106" s="25" t="s">
        <v>511</v>
      </c>
      <c r="G106" s="25" t="s">
        <v>436</v>
      </c>
      <c r="H106" s="28" t="s">
        <v>436</v>
      </c>
      <c r="I106" s="29" t="s">
        <v>115</v>
      </c>
      <c r="J106" s="30">
        <v>0</v>
      </c>
      <c r="K106" s="147">
        <v>0</v>
      </c>
      <c r="L106" s="147">
        <f t="shared" si="1322"/>
        <v>0</v>
      </c>
      <c r="M106" s="147">
        <f t="shared" si="1323"/>
        <v>0</v>
      </c>
      <c r="N106" s="147">
        <f t="shared" si="1324"/>
        <v>0</v>
      </c>
      <c r="O106" s="147">
        <f t="shared" si="1325"/>
        <v>0</v>
      </c>
      <c r="P106" s="148">
        <f t="shared" si="1326"/>
        <v>0</v>
      </c>
      <c r="Q106" s="50">
        <f t="shared" si="1327"/>
        <v>0</v>
      </c>
      <c r="R106" s="17">
        <f t="shared" si="1328"/>
        <v>0</v>
      </c>
      <c r="S106" s="17">
        <f t="shared" si="1329"/>
        <v>0</v>
      </c>
      <c r="T106" s="17">
        <f t="shared" si="1330"/>
        <v>0</v>
      </c>
      <c r="U106" s="17">
        <f t="shared" si="1331"/>
        <v>0</v>
      </c>
      <c r="V106" s="17">
        <f t="shared" si="1332"/>
        <v>0</v>
      </c>
      <c r="W106" s="17">
        <f t="shared" si="1333"/>
        <v>0</v>
      </c>
      <c r="X106" s="17">
        <f t="shared" si="1334"/>
        <v>0</v>
      </c>
      <c r="Y106" s="17">
        <f t="shared" si="1335"/>
        <v>0</v>
      </c>
      <c r="Z106" s="17">
        <f t="shared" si="1336"/>
        <v>0</v>
      </c>
      <c r="AA106" s="17">
        <f t="shared" si="1337"/>
        <v>0</v>
      </c>
      <c r="AB106" s="17">
        <f t="shared" si="1338"/>
        <v>0</v>
      </c>
      <c r="AC106" s="17">
        <f t="shared" si="1339"/>
        <v>0</v>
      </c>
      <c r="AD106" s="17">
        <f t="shared" si="1340"/>
        <v>0</v>
      </c>
      <c r="AE106" s="17">
        <f t="shared" si="1341"/>
        <v>0</v>
      </c>
      <c r="AF106" s="17">
        <f t="shared" si="1342"/>
        <v>0</v>
      </c>
      <c r="AG106" s="17">
        <f t="shared" si="1343"/>
        <v>0</v>
      </c>
      <c r="AH106" s="17">
        <f t="shared" si="1344"/>
        <v>0</v>
      </c>
      <c r="AI106" s="17">
        <f t="shared" si="1345"/>
        <v>0</v>
      </c>
      <c r="AJ106" s="17">
        <f t="shared" si="1346"/>
        <v>0</v>
      </c>
      <c r="AK106" s="17">
        <f t="shared" si="1347"/>
        <v>0</v>
      </c>
      <c r="AL106" s="17">
        <f t="shared" si="1348"/>
        <v>0</v>
      </c>
      <c r="AM106" s="17">
        <f t="shared" si="1349"/>
        <v>0</v>
      </c>
      <c r="AN106" s="17">
        <f t="shared" si="1350"/>
        <v>0</v>
      </c>
      <c r="AO106" s="17">
        <f t="shared" si="1351"/>
        <v>0</v>
      </c>
      <c r="AP106" s="17">
        <f t="shared" si="1352"/>
        <v>0</v>
      </c>
      <c r="AQ106" s="17">
        <f t="shared" si="1353"/>
        <v>0</v>
      </c>
      <c r="AR106" s="17">
        <f t="shared" si="1354"/>
        <v>0</v>
      </c>
      <c r="AS106" s="17">
        <f t="shared" si="1355"/>
        <v>0</v>
      </c>
      <c r="AT106" s="17">
        <f t="shared" si="1356"/>
        <v>0</v>
      </c>
      <c r="AU106" s="54">
        <f t="shared" si="1357"/>
        <v>0</v>
      </c>
      <c r="AV106" s="58">
        <f t="shared" si="1389"/>
        <v>0</v>
      </c>
      <c r="AW106" s="58">
        <f t="shared" ca="1" si="1007"/>
        <v>0</v>
      </c>
      <c r="AX106" s="50">
        <f t="shared" si="1358"/>
        <v>0</v>
      </c>
      <c r="AY106" s="17">
        <f t="shared" si="1359"/>
        <v>0</v>
      </c>
      <c r="AZ106" s="17">
        <f t="shared" si="1360"/>
        <v>0</v>
      </c>
      <c r="BA106" s="17">
        <f t="shared" si="1361"/>
        <v>0</v>
      </c>
      <c r="BB106" s="17">
        <f t="shared" si="1362"/>
        <v>0</v>
      </c>
      <c r="BC106" s="17">
        <f t="shared" si="1363"/>
        <v>0</v>
      </c>
      <c r="BD106" s="17">
        <f t="shared" si="1364"/>
        <v>0</v>
      </c>
      <c r="BE106" s="17">
        <f t="shared" si="1365"/>
        <v>0</v>
      </c>
      <c r="BF106" s="17">
        <f t="shared" si="1366"/>
        <v>0</v>
      </c>
      <c r="BG106" s="17">
        <f t="shared" si="1367"/>
        <v>0</v>
      </c>
      <c r="BH106" s="17">
        <f t="shared" si="1368"/>
        <v>0</v>
      </c>
      <c r="BI106" s="17">
        <f t="shared" si="1369"/>
        <v>0</v>
      </c>
      <c r="BJ106" s="17">
        <f t="shared" si="1370"/>
        <v>0</v>
      </c>
      <c r="BK106" s="17">
        <f t="shared" si="1371"/>
        <v>0</v>
      </c>
      <c r="BL106" s="17">
        <f t="shared" si="1372"/>
        <v>0</v>
      </c>
      <c r="BM106" s="17">
        <f t="shared" si="1373"/>
        <v>0</v>
      </c>
      <c r="BN106" s="17">
        <f t="shared" si="1374"/>
        <v>0</v>
      </c>
      <c r="BO106" s="17">
        <f t="shared" si="1375"/>
        <v>0</v>
      </c>
      <c r="BP106" s="17">
        <f t="shared" si="1376"/>
        <v>0</v>
      </c>
      <c r="BQ106" s="17">
        <f t="shared" si="1377"/>
        <v>0</v>
      </c>
      <c r="BR106" s="17">
        <f t="shared" si="1378"/>
        <v>0</v>
      </c>
      <c r="BS106" s="17">
        <f t="shared" si="1379"/>
        <v>0</v>
      </c>
      <c r="BT106" s="17">
        <f t="shared" si="1380"/>
        <v>0</v>
      </c>
      <c r="BU106" s="17">
        <f t="shared" si="1381"/>
        <v>0</v>
      </c>
      <c r="BV106" s="17">
        <f t="shared" si="1382"/>
        <v>0</v>
      </c>
      <c r="BW106" s="17">
        <f t="shared" si="1383"/>
        <v>0</v>
      </c>
      <c r="BX106" s="17">
        <f t="shared" si="1384"/>
        <v>0</v>
      </c>
      <c r="BY106" s="17">
        <f t="shared" si="1385"/>
        <v>0</v>
      </c>
      <c r="BZ106" s="17">
        <f t="shared" si="1386"/>
        <v>0</v>
      </c>
      <c r="CA106" s="17">
        <f t="shared" si="1387"/>
        <v>0</v>
      </c>
      <c r="CB106" s="54">
        <f t="shared" si="1388"/>
        <v>0</v>
      </c>
      <c r="CC106" s="58">
        <f t="shared" si="1115"/>
        <v>0</v>
      </c>
      <c r="CD106" s="58">
        <f t="shared" ca="1" si="1009"/>
        <v>0</v>
      </c>
      <c r="JJ106" s="4" t="s">
        <v>13</v>
      </c>
      <c r="JK106" s="152" t="str">
        <f t="shared" si="1390"/>
        <v>PSH01-PHR-MIO-00</v>
      </c>
      <c r="JL106" s="163">
        <v>0</v>
      </c>
      <c r="JM106" s="158">
        <v>0</v>
      </c>
      <c r="JN106" s="158">
        <v>0</v>
      </c>
      <c r="JO106" s="159">
        <v>0</v>
      </c>
      <c r="JP106" s="158">
        <v>0</v>
      </c>
      <c r="JQ106" s="158">
        <v>0</v>
      </c>
      <c r="JR106" s="158">
        <v>0</v>
      </c>
      <c r="JS106" s="158">
        <v>0</v>
      </c>
      <c r="JT106" s="158">
        <v>0</v>
      </c>
      <c r="JU106" s="158">
        <v>0</v>
      </c>
      <c r="JV106" s="158">
        <v>0</v>
      </c>
      <c r="JW106" s="159">
        <v>0</v>
      </c>
      <c r="JX106" s="159">
        <v>0</v>
      </c>
      <c r="JY106" s="159">
        <v>0</v>
      </c>
      <c r="JZ106" s="158"/>
      <c r="KA106" s="158"/>
      <c r="KB106" s="158"/>
      <c r="KC106" s="158"/>
      <c r="KD106" s="158"/>
      <c r="KE106" s="158"/>
      <c r="KF106" s="158"/>
      <c r="KG106" s="158"/>
      <c r="KH106" s="159"/>
      <c r="KI106" s="159"/>
      <c r="KJ106" s="158"/>
      <c r="KK106" s="158"/>
      <c r="KL106" s="158"/>
      <c r="KM106" s="158"/>
      <c r="KN106" s="158"/>
      <c r="KO106" s="158"/>
      <c r="KP106" s="164"/>
      <c r="KQ106" s="157">
        <v>0</v>
      </c>
      <c r="KR106" s="157">
        <v>0</v>
      </c>
      <c r="KS106" s="157">
        <v>0</v>
      </c>
      <c r="KT106" s="157">
        <v>0</v>
      </c>
      <c r="KU106" s="157">
        <v>0</v>
      </c>
      <c r="KV106" s="157">
        <v>0</v>
      </c>
      <c r="KW106" s="157">
        <v>0</v>
      </c>
      <c r="KX106" s="157">
        <v>0</v>
      </c>
      <c r="KY106" s="157">
        <v>0</v>
      </c>
      <c r="KZ106" s="157">
        <v>0</v>
      </c>
      <c r="LA106" s="157">
        <v>0</v>
      </c>
      <c r="LB106" s="157">
        <v>0</v>
      </c>
      <c r="LC106" s="157">
        <v>0</v>
      </c>
      <c r="LD106" s="157">
        <v>0</v>
      </c>
      <c r="LE106" s="157"/>
      <c r="LF106" s="157"/>
      <c r="LG106" s="157"/>
      <c r="LH106" s="157"/>
      <c r="LI106" s="157"/>
      <c r="LJ106" s="157"/>
      <c r="LK106" s="157"/>
      <c r="LL106" s="157"/>
      <c r="LM106" s="157"/>
      <c r="LN106" s="157"/>
      <c r="LO106" s="157"/>
      <c r="LP106" s="157"/>
      <c r="LQ106" s="157"/>
      <c r="LR106" s="157"/>
      <c r="LS106" s="157"/>
      <c r="LT106" s="5"/>
      <c r="LU106" s="8"/>
    </row>
    <row r="107" spans="1:333" ht="16.2" customHeight="1">
      <c r="A107" s="37" t="s">
        <v>19</v>
      </c>
      <c r="B107" s="18" t="s">
        <v>105</v>
      </c>
      <c r="C107" s="18" t="s">
        <v>392</v>
      </c>
      <c r="D107" s="20" t="s">
        <v>370</v>
      </c>
      <c r="E107" s="20" t="s">
        <v>377</v>
      </c>
      <c r="F107" s="18" t="s">
        <v>371</v>
      </c>
      <c r="G107" s="18" t="s">
        <v>369</v>
      </c>
      <c r="H107" s="22">
        <v>45722</v>
      </c>
      <c r="I107" s="20" t="s">
        <v>115</v>
      </c>
      <c r="J107" s="23">
        <v>9</v>
      </c>
      <c r="K107" s="97">
        <f t="shared" ref="K107:AU107" si="1391">SUM(K97:K106)</f>
        <v>5</v>
      </c>
      <c r="L107" s="97">
        <f t="shared" si="1391"/>
        <v>4</v>
      </c>
      <c r="M107" s="97">
        <f t="shared" si="1391"/>
        <v>5</v>
      </c>
      <c r="N107" s="97">
        <f t="shared" si="1391"/>
        <v>2</v>
      </c>
      <c r="O107" s="97">
        <f t="shared" si="1391"/>
        <v>5</v>
      </c>
      <c r="P107" s="47">
        <f t="shared" si="1391"/>
        <v>5</v>
      </c>
      <c r="Q107" s="51">
        <f t="shared" si="1391"/>
        <v>3</v>
      </c>
      <c r="R107" s="24">
        <f t="shared" si="1391"/>
        <v>4</v>
      </c>
      <c r="S107" s="24">
        <f t="shared" si="1391"/>
        <v>5</v>
      </c>
      <c r="T107" s="24">
        <f t="shared" si="1391"/>
        <v>0</v>
      </c>
      <c r="U107" s="24">
        <f t="shared" si="1391"/>
        <v>4</v>
      </c>
      <c r="V107" s="24">
        <f t="shared" si="1391"/>
        <v>3</v>
      </c>
      <c r="W107" s="24">
        <f t="shared" si="1391"/>
        <v>4</v>
      </c>
      <c r="X107" s="24">
        <f t="shared" si="1391"/>
        <v>4</v>
      </c>
      <c r="Y107" s="24">
        <f t="shared" si="1391"/>
        <v>3</v>
      </c>
      <c r="Z107" s="24">
        <f t="shared" si="1391"/>
        <v>4</v>
      </c>
      <c r="AA107" s="24">
        <f t="shared" si="1391"/>
        <v>0</v>
      </c>
      <c r="AB107" s="24">
        <f t="shared" si="1391"/>
        <v>4</v>
      </c>
      <c r="AC107" s="24">
        <f t="shared" si="1391"/>
        <v>4</v>
      </c>
      <c r="AD107" s="24">
        <f t="shared" si="1391"/>
        <v>4</v>
      </c>
      <c r="AE107" s="24">
        <f t="shared" si="1391"/>
        <v>0</v>
      </c>
      <c r="AF107" s="24">
        <f t="shared" si="1391"/>
        <v>0</v>
      </c>
      <c r="AG107" s="24">
        <f t="shared" si="1391"/>
        <v>0</v>
      </c>
      <c r="AH107" s="24">
        <f t="shared" si="1391"/>
        <v>0</v>
      </c>
      <c r="AI107" s="24">
        <f t="shared" si="1391"/>
        <v>0</v>
      </c>
      <c r="AJ107" s="24">
        <f t="shared" si="1391"/>
        <v>0</v>
      </c>
      <c r="AK107" s="24">
        <f t="shared" si="1391"/>
        <v>0</v>
      </c>
      <c r="AL107" s="24">
        <f t="shared" si="1391"/>
        <v>0</v>
      </c>
      <c r="AM107" s="24">
        <f t="shared" si="1391"/>
        <v>0</v>
      </c>
      <c r="AN107" s="24">
        <f t="shared" si="1391"/>
        <v>0</v>
      </c>
      <c r="AO107" s="24">
        <f t="shared" si="1391"/>
        <v>0</v>
      </c>
      <c r="AP107" s="24">
        <f t="shared" si="1391"/>
        <v>0</v>
      </c>
      <c r="AQ107" s="24">
        <f t="shared" si="1391"/>
        <v>0</v>
      </c>
      <c r="AR107" s="24">
        <f t="shared" si="1391"/>
        <v>0</v>
      </c>
      <c r="AS107" s="24">
        <f t="shared" si="1391"/>
        <v>0</v>
      </c>
      <c r="AT107" s="24">
        <f t="shared" si="1391"/>
        <v>0</v>
      </c>
      <c r="AU107" s="55">
        <f t="shared" si="1391"/>
        <v>0</v>
      </c>
      <c r="AV107" s="59">
        <f t="shared" si="1389"/>
        <v>46</v>
      </c>
      <c r="AW107" s="59">
        <f t="shared" ca="1" si="1007"/>
        <v>0.88461538461538458</v>
      </c>
      <c r="AX107" s="51">
        <f t="shared" ref="AX107:CB107" si="1392">SUM(AX97:AX106)</f>
        <v>40</v>
      </c>
      <c r="AY107" s="24">
        <f t="shared" si="1392"/>
        <v>48</v>
      </c>
      <c r="AZ107" s="24">
        <f t="shared" si="1392"/>
        <v>30</v>
      </c>
      <c r="BA107" s="24">
        <f t="shared" si="1392"/>
        <v>0</v>
      </c>
      <c r="BB107" s="24">
        <f t="shared" si="1392"/>
        <v>36</v>
      </c>
      <c r="BC107" s="24">
        <f t="shared" si="1392"/>
        <v>32</v>
      </c>
      <c r="BD107" s="24">
        <f t="shared" si="1392"/>
        <v>35</v>
      </c>
      <c r="BE107" s="24">
        <f t="shared" si="1392"/>
        <v>37</v>
      </c>
      <c r="BF107" s="24">
        <f t="shared" si="1392"/>
        <v>40</v>
      </c>
      <c r="BG107" s="24">
        <f t="shared" si="1392"/>
        <v>38</v>
      </c>
      <c r="BH107" s="24">
        <f t="shared" si="1392"/>
        <v>0</v>
      </c>
      <c r="BI107" s="24">
        <f t="shared" si="1392"/>
        <v>39</v>
      </c>
      <c r="BJ107" s="24">
        <f t="shared" si="1392"/>
        <v>39</v>
      </c>
      <c r="BK107" s="24">
        <f t="shared" si="1392"/>
        <v>6</v>
      </c>
      <c r="BL107" s="24">
        <f t="shared" si="1392"/>
        <v>0</v>
      </c>
      <c r="BM107" s="24">
        <f t="shared" si="1392"/>
        <v>0</v>
      </c>
      <c r="BN107" s="24">
        <f t="shared" si="1392"/>
        <v>0</v>
      </c>
      <c r="BO107" s="24">
        <f t="shared" si="1392"/>
        <v>0</v>
      </c>
      <c r="BP107" s="24">
        <f t="shared" si="1392"/>
        <v>0</v>
      </c>
      <c r="BQ107" s="24">
        <f t="shared" si="1392"/>
        <v>0</v>
      </c>
      <c r="BR107" s="24">
        <f t="shared" si="1392"/>
        <v>0</v>
      </c>
      <c r="BS107" s="24">
        <f t="shared" si="1392"/>
        <v>0</v>
      </c>
      <c r="BT107" s="24">
        <f t="shared" si="1392"/>
        <v>0</v>
      </c>
      <c r="BU107" s="24">
        <f t="shared" si="1392"/>
        <v>0</v>
      </c>
      <c r="BV107" s="24">
        <f t="shared" si="1392"/>
        <v>0</v>
      </c>
      <c r="BW107" s="24">
        <f t="shared" si="1392"/>
        <v>0</v>
      </c>
      <c r="BX107" s="24">
        <f t="shared" si="1392"/>
        <v>0</v>
      </c>
      <c r="BY107" s="24">
        <f t="shared" si="1392"/>
        <v>0</v>
      </c>
      <c r="BZ107" s="24">
        <f t="shared" si="1392"/>
        <v>0</v>
      </c>
      <c r="CA107" s="24">
        <f t="shared" si="1392"/>
        <v>0</v>
      </c>
      <c r="CB107" s="55">
        <f t="shared" si="1392"/>
        <v>0</v>
      </c>
      <c r="CC107" s="59">
        <f t="shared" si="1115"/>
        <v>420</v>
      </c>
      <c r="CD107" s="59">
        <f t="shared" ca="1" si="1009"/>
        <v>8.0769230769230766</v>
      </c>
      <c r="JJ107" s="4" t="s">
        <v>13</v>
      </c>
      <c r="JK107" s="153" t="str">
        <f t="shared" si="1390"/>
        <v>PSH01-PHR-ASM-01</v>
      </c>
      <c r="JL107" s="163">
        <v>0</v>
      </c>
      <c r="JM107" s="158">
        <v>0</v>
      </c>
      <c r="JN107" s="158">
        <v>0</v>
      </c>
      <c r="JO107" s="159">
        <v>0</v>
      </c>
      <c r="JP107" s="158">
        <v>0</v>
      </c>
      <c r="JQ107" s="158">
        <v>0</v>
      </c>
      <c r="JR107" s="158">
        <v>0</v>
      </c>
      <c r="JS107" s="158">
        <v>0</v>
      </c>
      <c r="JT107" s="158">
        <v>0</v>
      </c>
      <c r="JU107" s="158">
        <v>0</v>
      </c>
      <c r="JV107" s="158">
        <v>0</v>
      </c>
      <c r="JW107" s="159">
        <v>0</v>
      </c>
      <c r="JX107" s="159">
        <v>0</v>
      </c>
      <c r="JY107" s="159">
        <v>0</v>
      </c>
      <c r="JZ107" s="158"/>
      <c r="KA107" s="158"/>
      <c r="KB107" s="158"/>
      <c r="KC107" s="158"/>
      <c r="KD107" s="158"/>
      <c r="KE107" s="158"/>
      <c r="KF107" s="158"/>
      <c r="KG107" s="158"/>
      <c r="KH107" s="159"/>
      <c r="KI107" s="159"/>
      <c r="KJ107" s="158"/>
      <c r="KK107" s="158"/>
      <c r="KL107" s="158"/>
      <c r="KM107" s="158"/>
      <c r="KN107" s="158"/>
      <c r="KO107" s="158"/>
      <c r="KP107" s="164"/>
      <c r="KQ107" s="157">
        <v>0</v>
      </c>
      <c r="KR107" s="157">
        <v>0</v>
      </c>
      <c r="KS107" s="157">
        <v>0</v>
      </c>
      <c r="KT107" s="157">
        <v>0</v>
      </c>
      <c r="KU107" s="157">
        <v>0</v>
      </c>
      <c r="KV107" s="157">
        <v>0</v>
      </c>
      <c r="KW107" s="157">
        <v>0</v>
      </c>
      <c r="KX107" s="157">
        <v>0</v>
      </c>
      <c r="KY107" s="157">
        <v>0</v>
      </c>
      <c r="KZ107" s="157">
        <v>0</v>
      </c>
      <c r="LA107" s="157">
        <v>0</v>
      </c>
      <c r="LB107" s="157">
        <v>0</v>
      </c>
      <c r="LC107" s="157">
        <v>0</v>
      </c>
      <c r="LD107" s="157">
        <v>0</v>
      </c>
      <c r="LE107" s="157"/>
      <c r="LF107" s="157"/>
      <c r="LG107" s="157"/>
      <c r="LH107" s="157"/>
      <c r="LI107" s="157"/>
      <c r="LJ107" s="157"/>
      <c r="LK107" s="157"/>
      <c r="LL107" s="157"/>
      <c r="LM107" s="157"/>
      <c r="LN107" s="157"/>
      <c r="LO107" s="157"/>
      <c r="LP107" s="157"/>
      <c r="LQ107" s="157"/>
      <c r="LR107" s="157"/>
      <c r="LS107" s="157"/>
      <c r="LT107" s="5"/>
      <c r="LU107" s="8"/>
    </row>
    <row r="108" spans="1:333" ht="15.6" customHeight="1">
      <c r="A108" s="39" t="s">
        <v>51</v>
      </c>
      <c r="B108" s="31" t="s">
        <v>105</v>
      </c>
      <c r="C108" s="32" t="s">
        <v>391</v>
      </c>
      <c r="D108" s="31" t="s">
        <v>372</v>
      </c>
      <c r="E108" s="33" t="s">
        <v>158</v>
      </c>
      <c r="F108" s="31" t="s">
        <v>373</v>
      </c>
      <c r="G108" s="31" t="s">
        <v>374</v>
      </c>
      <c r="H108" s="34">
        <v>46060</v>
      </c>
      <c r="I108" s="31" t="s">
        <v>131</v>
      </c>
      <c r="J108" s="35">
        <f t="shared" ref="J108:AU108" si="1393">J107+J96+J85+J77</f>
        <v>30</v>
      </c>
      <c r="K108" s="98">
        <f t="shared" si="1393"/>
        <v>7</v>
      </c>
      <c r="L108" s="98">
        <f t="shared" si="1393"/>
        <v>20</v>
      </c>
      <c r="M108" s="98">
        <f t="shared" si="1393"/>
        <v>24</v>
      </c>
      <c r="N108" s="98">
        <f t="shared" si="1393"/>
        <v>12</v>
      </c>
      <c r="O108" s="98">
        <f t="shared" si="1393"/>
        <v>24</v>
      </c>
      <c r="P108" s="48">
        <f t="shared" si="1393"/>
        <v>24</v>
      </c>
      <c r="Q108" s="52">
        <f t="shared" si="1393"/>
        <v>20</v>
      </c>
      <c r="R108" s="36">
        <f t="shared" si="1393"/>
        <v>22</v>
      </c>
      <c r="S108" s="36">
        <f t="shared" si="1393"/>
        <v>22</v>
      </c>
      <c r="T108" s="36">
        <f t="shared" si="1393"/>
        <v>0</v>
      </c>
      <c r="U108" s="36">
        <f t="shared" si="1393"/>
        <v>21</v>
      </c>
      <c r="V108" s="36">
        <f t="shared" si="1393"/>
        <v>20</v>
      </c>
      <c r="W108" s="36">
        <f t="shared" si="1393"/>
        <v>23</v>
      </c>
      <c r="X108" s="36">
        <f t="shared" si="1393"/>
        <v>22</v>
      </c>
      <c r="Y108" s="36">
        <f t="shared" si="1393"/>
        <v>21</v>
      </c>
      <c r="Z108" s="36">
        <f t="shared" si="1393"/>
        <v>21</v>
      </c>
      <c r="AA108" s="36">
        <f t="shared" si="1393"/>
        <v>0</v>
      </c>
      <c r="AB108" s="36">
        <f t="shared" si="1393"/>
        <v>21</v>
      </c>
      <c r="AC108" s="36">
        <f t="shared" si="1393"/>
        <v>22</v>
      </c>
      <c r="AD108" s="36">
        <f t="shared" si="1393"/>
        <v>20</v>
      </c>
      <c r="AE108" s="36">
        <f t="shared" si="1393"/>
        <v>0</v>
      </c>
      <c r="AF108" s="36">
        <f t="shared" si="1393"/>
        <v>0</v>
      </c>
      <c r="AG108" s="36">
        <f t="shared" si="1393"/>
        <v>0</v>
      </c>
      <c r="AH108" s="36">
        <f t="shared" si="1393"/>
        <v>0</v>
      </c>
      <c r="AI108" s="36">
        <f t="shared" si="1393"/>
        <v>0</v>
      </c>
      <c r="AJ108" s="36">
        <f t="shared" si="1393"/>
        <v>0</v>
      </c>
      <c r="AK108" s="36">
        <f t="shared" si="1393"/>
        <v>0</v>
      </c>
      <c r="AL108" s="36">
        <f t="shared" si="1393"/>
        <v>0</v>
      </c>
      <c r="AM108" s="36">
        <f t="shared" si="1393"/>
        <v>0</v>
      </c>
      <c r="AN108" s="36">
        <f t="shared" si="1393"/>
        <v>0</v>
      </c>
      <c r="AO108" s="36">
        <f t="shared" si="1393"/>
        <v>0</v>
      </c>
      <c r="AP108" s="36">
        <f t="shared" si="1393"/>
        <v>0</v>
      </c>
      <c r="AQ108" s="36">
        <f t="shared" si="1393"/>
        <v>0</v>
      </c>
      <c r="AR108" s="36">
        <f t="shared" si="1393"/>
        <v>0</v>
      </c>
      <c r="AS108" s="36">
        <f t="shared" si="1393"/>
        <v>0</v>
      </c>
      <c r="AT108" s="36">
        <f t="shared" si="1393"/>
        <v>0</v>
      </c>
      <c r="AU108" s="56">
        <f t="shared" si="1393"/>
        <v>0</v>
      </c>
      <c r="AV108" s="60">
        <f t="shared" si="1389"/>
        <v>255</v>
      </c>
      <c r="AW108" s="60">
        <f t="shared" ca="1" si="1007"/>
        <v>0.85284280936454859</v>
      </c>
      <c r="AX108" s="52">
        <f t="shared" ref="AX108:CB108" si="1394">AX107+AX96+AX85+AX77</f>
        <v>201</v>
      </c>
      <c r="AY108" s="36">
        <f t="shared" si="1394"/>
        <v>154</v>
      </c>
      <c r="AZ108" s="36">
        <f t="shared" si="1394"/>
        <v>174</v>
      </c>
      <c r="BA108" s="36">
        <f t="shared" si="1394"/>
        <v>0</v>
      </c>
      <c r="BB108" s="36">
        <f t="shared" si="1394"/>
        <v>236</v>
      </c>
      <c r="BC108" s="36">
        <f t="shared" si="1394"/>
        <v>207</v>
      </c>
      <c r="BD108" s="36">
        <f t="shared" si="1394"/>
        <v>196</v>
      </c>
      <c r="BE108" s="36">
        <f t="shared" si="1394"/>
        <v>212</v>
      </c>
      <c r="BF108" s="36">
        <f t="shared" si="1394"/>
        <v>130</v>
      </c>
      <c r="BG108" s="36">
        <f t="shared" si="1394"/>
        <v>182</v>
      </c>
      <c r="BH108" s="36">
        <f t="shared" si="1394"/>
        <v>0</v>
      </c>
      <c r="BI108" s="36">
        <f t="shared" si="1394"/>
        <v>191</v>
      </c>
      <c r="BJ108" s="36">
        <f t="shared" si="1394"/>
        <v>175</v>
      </c>
      <c r="BK108" s="36">
        <f t="shared" si="1394"/>
        <v>28</v>
      </c>
      <c r="BL108" s="36">
        <f t="shared" si="1394"/>
        <v>0</v>
      </c>
      <c r="BM108" s="36">
        <f t="shared" si="1394"/>
        <v>0</v>
      </c>
      <c r="BN108" s="36">
        <f t="shared" si="1394"/>
        <v>0</v>
      </c>
      <c r="BO108" s="36">
        <f t="shared" si="1394"/>
        <v>0</v>
      </c>
      <c r="BP108" s="36">
        <f t="shared" si="1394"/>
        <v>0</v>
      </c>
      <c r="BQ108" s="36">
        <f t="shared" si="1394"/>
        <v>0</v>
      </c>
      <c r="BR108" s="36">
        <f t="shared" si="1394"/>
        <v>0</v>
      </c>
      <c r="BS108" s="36">
        <f t="shared" si="1394"/>
        <v>0</v>
      </c>
      <c r="BT108" s="36">
        <f t="shared" si="1394"/>
        <v>0</v>
      </c>
      <c r="BU108" s="36">
        <f t="shared" si="1394"/>
        <v>0</v>
      </c>
      <c r="BV108" s="36">
        <f t="shared" si="1394"/>
        <v>0</v>
      </c>
      <c r="BW108" s="36">
        <f t="shared" si="1394"/>
        <v>0</v>
      </c>
      <c r="BX108" s="36">
        <f t="shared" si="1394"/>
        <v>0</v>
      </c>
      <c r="BY108" s="36">
        <f t="shared" si="1394"/>
        <v>0</v>
      </c>
      <c r="BZ108" s="36">
        <f t="shared" si="1394"/>
        <v>0</v>
      </c>
      <c r="CA108" s="36">
        <f t="shared" si="1394"/>
        <v>0</v>
      </c>
      <c r="CB108" s="56">
        <f t="shared" si="1394"/>
        <v>0</v>
      </c>
      <c r="CC108" s="60">
        <f t="shared" si="1115"/>
        <v>2086</v>
      </c>
      <c r="CD108" s="60">
        <f t="shared" ca="1" si="1009"/>
        <v>6.9765886287625412</v>
      </c>
      <c r="JJ108" s="4" t="s">
        <v>13</v>
      </c>
      <c r="JK108" s="154" t="str">
        <f t="shared" si="1390"/>
        <v>NTH-A-PHR-RSM-01</v>
      </c>
      <c r="JL108" s="163">
        <v>0</v>
      </c>
      <c r="JM108" s="158">
        <v>0</v>
      </c>
      <c r="JN108" s="158">
        <v>0</v>
      </c>
      <c r="JO108" s="159">
        <v>0</v>
      </c>
      <c r="JP108" s="158">
        <v>0</v>
      </c>
      <c r="JQ108" s="158">
        <v>0</v>
      </c>
      <c r="JR108" s="158">
        <v>0</v>
      </c>
      <c r="JS108" s="158">
        <v>0</v>
      </c>
      <c r="JT108" s="158">
        <v>0</v>
      </c>
      <c r="JU108" s="158">
        <v>0</v>
      </c>
      <c r="JV108" s="158">
        <v>0</v>
      </c>
      <c r="JW108" s="159">
        <v>0</v>
      </c>
      <c r="JX108" s="159">
        <v>0</v>
      </c>
      <c r="JY108" s="159">
        <v>0</v>
      </c>
      <c r="JZ108" s="158"/>
      <c r="KA108" s="158"/>
      <c r="KB108" s="158"/>
      <c r="KC108" s="158"/>
      <c r="KD108" s="158"/>
      <c r="KE108" s="158"/>
      <c r="KF108" s="158"/>
      <c r="KG108" s="158"/>
      <c r="KH108" s="159"/>
      <c r="KI108" s="159"/>
      <c r="KJ108" s="158"/>
      <c r="KK108" s="158"/>
      <c r="KL108" s="158"/>
      <c r="KM108" s="158"/>
      <c r="KN108" s="158"/>
      <c r="KO108" s="158"/>
      <c r="KP108" s="164"/>
      <c r="KQ108" s="157">
        <v>0</v>
      </c>
      <c r="KR108" s="157">
        <v>0</v>
      </c>
      <c r="KS108" s="157">
        <v>0</v>
      </c>
      <c r="KT108" s="157">
        <v>0</v>
      </c>
      <c r="KU108" s="157">
        <v>0</v>
      </c>
      <c r="KV108" s="157">
        <v>0</v>
      </c>
      <c r="KW108" s="157">
        <v>0</v>
      </c>
      <c r="KX108" s="157">
        <v>0</v>
      </c>
      <c r="KY108" s="157">
        <v>0</v>
      </c>
      <c r="KZ108" s="157">
        <v>0</v>
      </c>
      <c r="LA108" s="157">
        <v>0</v>
      </c>
      <c r="LB108" s="157">
        <v>0</v>
      </c>
      <c r="LC108" s="157">
        <v>0</v>
      </c>
      <c r="LD108" s="157">
        <v>0</v>
      </c>
      <c r="LE108" s="157"/>
      <c r="LF108" s="157"/>
      <c r="LG108" s="157"/>
      <c r="LH108" s="157"/>
      <c r="LI108" s="157"/>
      <c r="LJ108" s="157"/>
      <c r="LK108" s="157"/>
      <c r="LL108" s="157"/>
      <c r="LM108" s="157"/>
      <c r="LN108" s="157"/>
      <c r="LO108" s="157"/>
      <c r="LP108" s="157"/>
      <c r="LQ108" s="157"/>
      <c r="LR108" s="157"/>
      <c r="LS108" s="157"/>
      <c r="LT108" s="5"/>
      <c r="LU108" s="8"/>
    </row>
    <row r="109" spans="1:333" ht="16.2" customHeight="1" thickBot="1">
      <c r="A109" s="41" t="s">
        <v>160</v>
      </c>
      <c r="B109" s="42" t="s">
        <v>161</v>
      </c>
      <c r="C109" s="42" t="s">
        <v>393</v>
      </c>
      <c r="D109" s="42" t="s">
        <v>375</v>
      </c>
      <c r="E109" s="43" t="s">
        <v>378</v>
      </c>
      <c r="F109" s="42" t="s">
        <v>376</v>
      </c>
      <c r="G109" s="42" t="s">
        <v>262</v>
      </c>
      <c r="H109" s="44">
        <v>46020</v>
      </c>
      <c r="I109" s="42" t="s">
        <v>159</v>
      </c>
      <c r="J109" s="45">
        <v>76</v>
      </c>
      <c r="K109" s="99">
        <f t="shared" ref="K109:AU109" si="1395">K108+K69+K33</f>
        <v>17</v>
      </c>
      <c r="L109" s="99">
        <f t="shared" si="1395"/>
        <v>50</v>
      </c>
      <c r="M109" s="99">
        <f t="shared" si="1395"/>
        <v>60</v>
      </c>
      <c r="N109" s="99">
        <f t="shared" si="1395"/>
        <v>24</v>
      </c>
      <c r="O109" s="99">
        <f t="shared" si="1395"/>
        <v>61</v>
      </c>
      <c r="P109" s="49">
        <f t="shared" si="1395"/>
        <v>61</v>
      </c>
      <c r="Q109" s="53">
        <f t="shared" si="1395"/>
        <v>54</v>
      </c>
      <c r="R109" s="46">
        <f t="shared" si="1395"/>
        <v>56</v>
      </c>
      <c r="S109" s="46">
        <f t="shared" si="1395"/>
        <v>57</v>
      </c>
      <c r="T109" s="46">
        <f t="shared" si="1395"/>
        <v>0</v>
      </c>
      <c r="U109" s="46">
        <f t="shared" si="1395"/>
        <v>57</v>
      </c>
      <c r="V109" s="46">
        <f t="shared" si="1395"/>
        <v>55</v>
      </c>
      <c r="W109" s="46">
        <f t="shared" si="1395"/>
        <v>57</v>
      </c>
      <c r="X109" s="46">
        <f t="shared" si="1395"/>
        <v>55</v>
      </c>
      <c r="Y109" s="46">
        <f t="shared" si="1395"/>
        <v>54</v>
      </c>
      <c r="Z109" s="46">
        <f t="shared" si="1395"/>
        <v>55</v>
      </c>
      <c r="AA109" s="46">
        <f t="shared" si="1395"/>
        <v>0</v>
      </c>
      <c r="AB109" s="46">
        <f t="shared" si="1395"/>
        <v>56</v>
      </c>
      <c r="AC109" s="46">
        <f t="shared" si="1395"/>
        <v>56</v>
      </c>
      <c r="AD109" s="46">
        <f t="shared" si="1395"/>
        <v>50</v>
      </c>
      <c r="AE109" s="46">
        <f t="shared" si="1395"/>
        <v>0</v>
      </c>
      <c r="AF109" s="46">
        <f t="shared" si="1395"/>
        <v>0</v>
      </c>
      <c r="AG109" s="46">
        <f t="shared" si="1395"/>
        <v>0</v>
      </c>
      <c r="AH109" s="46">
        <f t="shared" si="1395"/>
        <v>0</v>
      </c>
      <c r="AI109" s="46">
        <f t="shared" si="1395"/>
        <v>0</v>
      </c>
      <c r="AJ109" s="46">
        <f t="shared" si="1395"/>
        <v>0</v>
      </c>
      <c r="AK109" s="46">
        <f t="shared" si="1395"/>
        <v>0</v>
      </c>
      <c r="AL109" s="46">
        <f t="shared" si="1395"/>
        <v>0</v>
      </c>
      <c r="AM109" s="46">
        <f t="shared" si="1395"/>
        <v>0</v>
      </c>
      <c r="AN109" s="46">
        <f t="shared" si="1395"/>
        <v>0</v>
      </c>
      <c r="AO109" s="46">
        <f t="shared" si="1395"/>
        <v>0</v>
      </c>
      <c r="AP109" s="46">
        <f t="shared" si="1395"/>
        <v>0</v>
      </c>
      <c r="AQ109" s="46">
        <f t="shared" si="1395"/>
        <v>0</v>
      </c>
      <c r="AR109" s="46">
        <f t="shared" si="1395"/>
        <v>0</v>
      </c>
      <c r="AS109" s="46">
        <f t="shared" si="1395"/>
        <v>0</v>
      </c>
      <c r="AT109" s="46">
        <f t="shared" si="1395"/>
        <v>0</v>
      </c>
      <c r="AU109" s="57">
        <f t="shared" si="1395"/>
        <v>0</v>
      </c>
      <c r="AV109" s="61">
        <f t="shared" si="1389"/>
        <v>662</v>
      </c>
      <c r="AW109" s="61">
        <f t="shared" ca="1" si="1007"/>
        <v>0.86310299869621898</v>
      </c>
      <c r="AX109" s="53">
        <f t="shared" ref="AX109:CB109" si="1396">AX108+AX69+AX33</f>
        <v>538</v>
      </c>
      <c r="AY109" s="46">
        <f t="shared" si="1396"/>
        <v>507</v>
      </c>
      <c r="AZ109" s="46">
        <f t="shared" si="1396"/>
        <v>430</v>
      </c>
      <c r="BA109" s="46">
        <f t="shared" si="1396"/>
        <v>0</v>
      </c>
      <c r="BB109" s="46">
        <f t="shared" si="1396"/>
        <v>546</v>
      </c>
      <c r="BC109" s="46">
        <f t="shared" si="1396"/>
        <v>585</v>
      </c>
      <c r="BD109" s="46">
        <f t="shared" si="1396"/>
        <v>535</v>
      </c>
      <c r="BE109" s="46">
        <f t="shared" si="1396"/>
        <v>497</v>
      </c>
      <c r="BF109" s="46">
        <f t="shared" si="1396"/>
        <v>460</v>
      </c>
      <c r="BG109" s="46">
        <f t="shared" si="1396"/>
        <v>475</v>
      </c>
      <c r="BH109" s="46">
        <f t="shared" si="1396"/>
        <v>0</v>
      </c>
      <c r="BI109" s="46">
        <f t="shared" si="1396"/>
        <v>548</v>
      </c>
      <c r="BJ109" s="46">
        <f t="shared" si="1396"/>
        <v>503</v>
      </c>
      <c r="BK109" s="46">
        <f t="shared" si="1396"/>
        <v>63</v>
      </c>
      <c r="BL109" s="46">
        <f t="shared" si="1396"/>
        <v>0</v>
      </c>
      <c r="BM109" s="46">
        <f t="shared" si="1396"/>
        <v>0</v>
      </c>
      <c r="BN109" s="46">
        <f t="shared" si="1396"/>
        <v>0</v>
      </c>
      <c r="BO109" s="46">
        <f t="shared" si="1396"/>
        <v>0</v>
      </c>
      <c r="BP109" s="46">
        <f t="shared" si="1396"/>
        <v>0</v>
      </c>
      <c r="BQ109" s="46">
        <f t="shared" si="1396"/>
        <v>0</v>
      </c>
      <c r="BR109" s="46">
        <f t="shared" si="1396"/>
        <v>0</v>
      </c>
      <c r="BS109" s="46">
        <f t="shared" si="1396"/>
        <v>0</v>
      </c>
      <c r="BT109" s="46">
        <f t="shared" si="1396"/>
        <v>0</v>
      </c>
      <c r="BU109" s="46">
        <f t="shared" si="1396"/>
        <v>0</v>
      </c>
      <c r="BV109" s="46">
        <f t="shared" si="1396"/>
        <v>0</v>
      </c>
      <c r="BW109" s="46">
        <f t="shared" si="1396"/>
        <v>0</v>
      </c>
      <c r="BX109" s="46">
        <f t="shared" si="1396"/>
        <v>0</v>
      </c>
      <c r="BY109" s="46">
        <f t="shared" si="1396"/>
        <v>0</v>
      </c>
      <c r="BZ109" s="46">
        <f t="shared" si="1396"/>
        <v>0</v>
      </c>
      <c r="CA109" s="46">
        <f t="shared" si="1396"/>
        <v>0</v>
      </c>
      <c r="CB109" s="57">
        <f t="shared" si="1396"/>
        <v>0</v>
      </c>
      <c r="CC109" s="61">
        <f t="shared" si="1115"/>
        <v>5687</v>
      </c>
      <c r="CD109" s="61">
        <f t="shared" ca="1" si="1009"/>
        <v>7.4146023468057365</v>
      </c>
      <c r="CG109" s="177"/>
      <c r="CH109" s="178"/>
      <c r="JJ109" s="4" t="s">
        <v>13</v>
      </c>
      <c r="JK109" s="155" t="str">
        <f t="shared" si="1390"/>
        <v>NATL-PHR-DGM</v>
      </c>
      <c r="JL109" s="165">
        <v>0</v>
      </c>
      <c r="JM109" s="166">
        <v>0</v>
      </c>
      <c r="JN109" s="166">
        <v>0</v>
      </c>
      <c r="JO109" s="159">
        <v>0</v>
      </c>
      <c r="JP109" s="166">
        <v>0</v>
      </c>
      <c r="JQ109" s="166">
        <v>0</v>
      </c>
      <c r="JR109" s="166">
        <v>0</v>
      </c>
      <c r="JS109" s="166">
        <v>0</v>
      </c>
      <c r="JT109" s="166">
        <v>0</v>
      </c>
      <c r="JU109" s="166">
        <v>0</v>
      </c>
      <c r="JV109" s="166">
        <v>0</v>
      </c>
      <c r="JW109" s="159">
        <v>0</v>
      </c>
      <c r="JX109" s="159">
        <v>0</v>
      </c>
      <c r="JY109" s="159">
        <v>0</v>
      </c>
      <c r="JZ109" s="166"/>
      <c r="KA109" s="166"/>
      <c r="KB109" s="166"/>
      <c r="KC109" s="166"/>
      <c r="KD109" s="166"/>
      <c r="KE109" s="166"/>
      <c r="KF109" s="166"/>
      <c r="KG109" s="166"/>
      <c r="KH109" s="170"/>
      <c r="KI109" s="170"/>
      <c r="KJ109" s="166"/>
      <c r="KK109" s="166"/>
      <c r="KL109" s="166"/>
      <c r="KM109" s="166"/>
      <c r="KN109" s="166"/>
      <c r="KO109" s="166"/>
      <c r="KP109" s="167"/>
      <c r="KQ109" s="157">
        <v>0</v>
      </c>
      <c r="KR109" s="157">
        <v>0</v>
      </c>
      <c r="KS109" s="157">
        <v>0</v>
      </c>
      <c r="KT109" s="157">
        <v>0</v>
      </c>
      <c r="KU109" s="157">
        <v>0</v>
      </c>
      <c r="KV109" s="157">
        <v>0</v>
      </c>
      <c r="KW109" s="157">
        <v>0</v>
      </c>
      <c r="KX109" s="157">
        <v>0</v>
      </c>
      <c r="KY109" s="157">
        <v>0</v>
      </c>
      <c r="KZ109" s="157">
        <v>0</v>
      </c>
      <c r="LA109" s="157">
        <v>0</v>
      </c>
      <c r="LB109" s="157">
        <v>0</v>
      </c>
      <c r="LC109" s="157">
        <v>0</v>
      </c>
      <c r="LD109" s="157">
        <v>0</v>
      </c>
      <c r="LE109" s="157"/>
      <c r="LF109" s="157"/>
      <c r="LG109" s="157"/>
      <c r="LH109" s="157"/>
      <c r="LI109" s="157"/>
      <c r="LJ109" s="157"/>
      <c r="LK109" s="157"/>
      <c r="LL109" s="157"/>
      <c r="LM109" s="157"/>
      <c r="LN109" s="157"/>
      <c r="LO109" s="157"/>
      <c r="LP109" s="157"/>
      <c r="LQ109" s="157"/>
      <c r="LR109" s="157"/>
      <c r="LS109" s="157"/>
      <c r="LT109" s="9"/>
      <c r="LU109" s="10"/>
    </row>
    <row r="110" spans="1:333" ht="15" thickBot="1">
      <c r="JJ110" s="11"/>
      <c r="JK110" s="12"/>
      <c r="JL110" s="13">
        <f t="shared" ref="JL110:KQ110" si="1397">_xlfn.AGGREGATE(9,3,JL4:JL109)</f>
        <v>54</v>
      </c>
      <c r="JM110" s="13">
        <f t="shared" si="1397"/>
        <v>56</v>
      </c>
      <c r="JN110" s="13">
        <f t="shared" si="1397"/>
        <v>57</v>
      </c>
      <c r="JO110" s="13">
        <f t="shared" si="1397"/>
        <v>0</v>
      </c>
      <c r="JP110" s="13">
        <f t="shared" si="1397"/>
        <v>57</v>
      </c>
      <c r="JQ110" s="13">
        <f t="shared" si="1397"/>
        <v>55</v>
      </c>
      <c r="JR110" s="13">
        <f t="shared" si="1397"/>
        <v>57</v>
      </c>
      <c r="JS110" s="13">
        <f t="shared" si="1397"/>
        <v>55</v>
      </c>
      <c r="JT110" s="13">
        <f t="shared" si="1397"/>
        <v>54</v>
      </c>
      <c r="JU110" s="13">
        <f t="shared" si="1397"/>
        <v>55</v>
      </c>
      <c r="JV110" s="13">
        <f t="shared" si="1397"/>
        <v>0</v>
      </c>
      <c r="JW110" s="13">
        <f t="shared" si="1397"/>
        <v>56</v>
      </c>
      <c r="JX110" s="13">
        <f t="shared" si="1397"/>
        <v>56</v>
      </c>
      <c r="JY110" s="13">
        <f t="shared" si="1397"/>
        <v>50</v>
      </c>
      <c r="JZ110" s="13">
        <f t="shared" si="1397"/>
        <v>0</v>
      </c>
      <c r="KA110" s="13">
        <f t="shared" si="1397"/>
        <v>0</v>
      </c>
      <c r="KB110" s="13">
        <f t="shared" si="1397"/>
        <v>0</v>
      </c>
      <c r="KC110" s="13">
        <f t="shared" si="1397"/>
        <v>0</v>
      </c>
      <c r="KD110" s="13">
        <f t="shared" si="1397"/>
        <v>0</v>
      </c>
      <c r="KE110" s="13">
        <f t="shared" si="1397"/>
        <v>0</v>
      </c>
      <c r="KF110" s="13">
        <f t="shared" si="1397"/>
        <v>0</v>
      </c>
      <c r="KG110" s="13">
        <f t="shared" si="1397"/>
        <v>0</v>
      </c>
      <c r="KH110" s="13">
        <f t="shared" si="1397"/>
        <v>0</v>
      </c>
      <c r="KI110" s="13">
        <f t="shared" si="1397"/>
        <v>0</v>
      </c>
      <c r="KJ110" s="13">
        <f t="shared" si="1397"/>
        <v>0</v>
      </c>
      <c r="KK110" s="13">
        <f t="shared" si="1397"/>
        <v>0</v>
      </c>
      <c r="KL110" s="13">
        <f t="shared" si="1397"/>
        <v>0</v>
      </c>
      <c r="KM110" s="13">
        <f t="shared" si="1397"/>
        <v>0</v>
      </c>
      <c r="KN110" s="13">
        <f t="shared" si="1397"/>
        <v>0</v>
      </c>
      <c r="KO110" s="13">
        <f t="shared" si="1397"/>
        <v>0</v>
      </c>
      <c r="KP110" s="13">
        <f t="shared" si="1397"/>
        <v>0</v>
      </c>
      <c r="KQ110" s="13">
        <f t="shared" si="1397"/>
        <v>538</v>
      </c>
      <c r="KR110" s="13">
        <f t="shared" ref="KR110:LU110" si="1398">_xlfn.AGGREGATE(9,3,KR4:KR109)</f>
        <v>507</v>
      </c>
      <c r="KS110" s="13">
        <f t="shared" si="1398"/>
        <v>430</v>
      </c>
      <c r="KT110" s="13">
        <f t="shared" si="1398"/>
        <v>0</v>
      </c>
      <c r="KU110" s="13">
        <f t="shared" si="1398"/>
        <v>546</v>
      </c>
      <c r="KV110" s="13">
        <f t="shared" si="1398"/>
        <v>585</v>
      </c>
      <c r="KW110" s="13">
        <f t="shared" si="1398"/>
        <v>535</v>
      </c>
      <c r="KX110" s="13">
        <f t="shared" si="1398"/>
        <v>497</v>
      </c>
      <c r="KY110" s="13">
        <f t="shared" si="1398"/>
        <v>460</v>
      </c>
      <c r="KZ110" s="13">
        <f t="shared" si="1398"/>
        <v>475</v>
      </c>
      <c r="LA110" s="13">
        <f t="shared" si="1398"/>
        <v>0</v>
      </c>
      <c r="LB110" s="13">
        <f t="shared" si="1398"/>
        <v>548</v>
      </c>
      <c r="LC110" s="13">
        <f t="shared" si="1398"/>
        <v>503</v>
      </c>
      <c r="LD110" s="13">
        <f t="shared" si="1398"/>
        <v>63</v>
      </c>
      <c r="LE110" s="13">
        <f t="shared" si="1398"/>
        <v>0</v>
      </c>
      <c r="LF110" s="13">
        <f t="shared" si="1398"/>
        <v>0</v>
      </c>
      <c r="LG110" s="13">
        <f t="shared" si="1398"/>
        <v>0</v>
      </c>
      <c r="LH110" s="13">
        <f t="shared" si="1398"/>
        <v>0</v>
      </c>
      <c r="LI110" s="13">
        <f t="shared" si="1398"/>
        <v>0</v>
      </c>
      <c r="LJ110" s="13">
        <f t="shared" si="1398"/>
        <v>0</v>
      </c>
      <c r="LK110" s="13">
        <f t="shared" si="1398"/>
        <v>0</v>
      </c>
      <c r="LL110" s="13">
        <f t="shared" si="1398"/>
        <v>0</v>
      </c>
      <c r="LM110" s="13">
        <f t="shared" si="1398"/>
        <v>0</v>
      </c>
      <c r="LN110" s="13">
        <f t="shared" si="1398"/>
        <v>0</v>
      </c>
      <c r="LO110" s="13">
        <f t="shared" si="1398"/>
        <v>0</v>
      </c>
      <c r="LP110" s="13">
        <f t="shared" si="1398"/>
        <v>0</v>
      </c>
      <c r="LQ110" s="13">
        <f t="shared" si="1398"/>
        <v>0</v>
      </c>
      <c r="LR110" s="13">
        <f t="shared" si="1398"/>
        <v>0</v>
      </c>
      <c r="LS110" s="13">
        <f t="shared" si="1398"/>
        <v>0</v>
      </c>
      <c r="LT110" s="13">
        <f t="shared" si="1398"/>
        <v>0</v>
      </c>
      <c r="LU110" s="14">
        <f t="shared" si="1398"/>
        <v>0</v>
      </c>
    </row>
    <row r="112" spans="1:333">
      <c r="KQ112">
        <v>386</v>
      </c>
      <c r="KR112">
        <v>406</v>
      </c>
      <c r="KS112">
        <v>393</v>
      </c>
      <c r="KT112">
        <v>356</v>
      </c>
      <c r="KU112">
        <v>2</v>
      </c>
      <c r="KV112">
        <v>440</v>
      </c>
      <c r="KW112">
        <v>494</v>
      </c>
      <c r="KX112">
        <v>524</v>
      </c>
      <c r="KY112">
        <v>569</v>
      </c>
      <c r="KZ112">
        <v>406</v>
      </c>
      <c r="LA112">
        <v>462</v>
      </c>
      <c r="LB112">
        <v>0</v>
      </c>
      <c r="LC112">
        <v>474</v>
      </c>
      <c r="LD112">
        <v>553</v>
      </c>
      <c r="LE112">
        <v>548</v>
      </c>
      <c r="LF112">
        <v>741</v>
      </c>
      <c r="LG112">
        <v>397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</row>
    <row r="113" spans="14:333">
      <c r="JL113">
        <v>51</v>
      </c>
      <c r="JM113">
        <v>56</v>
      </c>
      <c r="JN113">
        <v>62</v>
      </c>
      <c r="JO113">
        <v>61</v>
      </c>
      <c r="JP113">
        <v>0</v>
      </c>
      <c r="JQ113">
        <v>63</v>
      </c>
      <c r="JR113">
        <v>61</v>
      </c>
      <c r="JS113">
        <v>65</v>
      </c>
      <c r="JT113">
        <v>64</v>
      </c>
      <c r="JU113">
        <v>62</v>
      </c>
      <c r="JV113">
        <v>64</v>
      </c>
      <c r="JW113">
        <v>1</v>
      </c>
      <c r="JX113">
        <v>65</v>
      </c>
      <c r="JY113">
        <v>65</v>
      </c>
      <c r="JZ113">
        <v>68</v>
      </c>
      <c r="KA113">
        <v>68</v>
      </c>
      <c r="KB113">
        <v>65</v>
      </c>
      <c r="KC113">
        <v>66</v>
      </c>
      <c r="KD113">
        <v>0</v>
      </c>
      <c r="KE113">
        <v>67</v>
      </c>
      <c r="KF113">
        <v>66</v>
      </c>
      <c r="KG113">
        <v>64</v>
      </c>
      <c r="KH113">
        <v>69</v>
      </c>
      <c r="KI113">
        <v>69</v>
      </c>
      <c r="KJ113">
        <v>66</v>
      </c>
      <c r="KK113">
        <v>0</v>
      </c>
      <c r="KL113">
        <v>68</v>
      </c>
      <c r="KM113">
        <v>0</v>
      </c>
      <c r="KN113">
        <v>0</v>
      </c>
      <c r="KO113">
        <v>0</v>
      </c>
      <c r="KP113">
        <v>0</v>
      </c>
      <c r="KQ113">
        <v>414</v>
      </c>
      <c r="KR113">
        <v>433</v>
      </c>
      <c r="KS113">
        <v>444</v>
      </c>
      <c r="KT113">
        <v>396</v>
      </c>
      <c r="KU113">
        <v>2</v>
      </c>
      <c r="KV113">
        <v>472</v>
      </c>
      <c r="KW113">
        <v>501</v>
      </c>
      <c r="KX113">
        <v>555</v>
      </c>
      <c r="KY113">
        <v>588</v>
      </c>
      <c r="KZ113">
        <v>406</v>
      </c>
      <c r="LA113">
        <v>488</v>
      </c>
      <c r="LB113">
        <v>0</v>
      </c>
      <c r="LC113">
        <v>474</v>
      </c>
      <c r="LD113">
        <v>557</v>
      </c>
      <c r="LE113">
        <v>548</v>
      </c>
      <c r="LF113">
        <v>678</v>
      </c>
      <c r="LG113">
        <v>608</v>
      </c>
      <c r="LH113">
        <v>453</v>
      </c>
      <c r="LI113">
        <v>0</v>
      </c>
      <c r="LJ113">
        <v>568</v>
      </c>
      <c r="LK113">
        <v>588</v>
      </c>
      <c r="LL113">
        <v>666</v>
      </c>
      <c r="LM113">
        <v>669</v>
      </c>
      <c r="LN113">
        <v>634</v>
      </c>
      <c r="LO113">
        <v>463</v>
      </c>
      <c r="LP113">
        <v>0</v>
      </c>
      <c r="LQ113">
        <v>328</v>
      </c>
      <c r="LR113">
        <v>0</v>
      </c>
      <c r="LS113">
        <v>0</v>
      </c>
      <c r="LT113">
        <v>0</v>
      </c>
      <c r="LU113">
        <v>0</v>
      </c>
    </row>
    <row r="118" spans="14:333" ht="12" customHeight="1"/>
    <row r="123" spans="14:333">
      <c r="N123">
        <f>9+6</f>
        <v>15</v>
      </c>
    </row>
  </sheetData>
  <mergeCells count="6">
    <mergeCell ref="A2:P2"/>
    <mergeCell ref="JL2:KP2"/>
    <mergeCell ref="KQ2:LU2"/>
    <mergeCell ref="Q2:AW2"/>
    <mergeCell ref="AX2:CD2"/>
    <mergeCell ref="JJ2:JK2"/>
  </mergeCells>
  <pageMargins left="0.7" right="0.7" top="0.75" bottom="0.75" header="0.3" footer="0.3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A5C30-FCC8-421C-B49B-36976A4E5308}">
  <sheetPr codeName="Sheet3">
    <tabColor rgb="FF00B0F0"/>
    <pageSetUpPr fitToPage="1"/>
  </sheetPr>
  <dimension ref="A1:Y29"/>
  <sheetViews>
    <sheetView zoomScale="70" zoomScaleNormal="70" workbookViewId="0">
      <selection activeCell="P6" sqref="P6"/>
    </sheetView>
  </sheetViews>
  <sheetFormatPr defaultColWidth="5.88671875" defaultRowHeight="14.4"/>
  <cols>
    <col min="1" max="1" width="9.5546875" customWidth="1"/>
    <col min="2" max="2" width="15.88671875" customWidth="1"/>
    <col min="3" max="3" width="30.77734375" bestFit="1" customWidth="1"/>
    <col min="4" max="4" width="34.44140625" bestFit="1" customWidth="1"/>
    <col min="5" max="5" width="8.44140625" bestFit="1" customWidth="1"/>
    <col min="6" max="6" width="11.5546875" customWidth="1"/>
    <col min="7" max="7" width="10.44140625" customWidth="1"/>
    <col min="8" max="8" width="8.44140625" hidden="1" customWidth="1"/>
    <col min="9" max="9" width="15.109375" customWidth="1"/>
    <col min="10" max="10" width="12.6640625" customWidth="1"/>
    <col min="11" max="11" width="12.6640625" bestFit="1" customWidth="1"/>
    <col min="12" max="12" width="9.77734375" bestFit="1" customWidth="1"/>
    <col min="13" max="13" width="9.6640625" hidden="1" customWidth="1"/>
    <col min="14" max="14" width="15.21875" customWidth="1"/>
    <col min="15" max="15" width="13.88671875" bestFit="1" customWidth="1"/>
    <col min="16" max="16" width="9.77734375" bestFit="1" customWidth="1"/>
    <col min="17" max="17" width="14.88671875" bestFit="1" customWidth="1"/>
    <col min="18" max="18" width="9.77734375" customWidth="1"/>
    <col min="19" max="19" width="9.6640625" bestFit="1" customWidth="1"/>
    <col min="20" max="20" width="42.5546875" hidden="1" customWidth="1"/>
    <col min="21" max="21" width="29" bestFit="1" customWidth="1"/>
    <col min="22" max="22" width="13.21875" customWidth="1"/>
    <col min="23" max="23" width="13.77734375" customWidth="1"/>
    <col min="24" max="24" width="12.44140625" customWidth="1"/>
    <col min="25" max="25" width="14.109375" bestFit="1" customWidth="1"/>
    <col min="26" max="26" width="13.88671875" bestFit="1" customWidth="1"/>
    <col min="27" max="27" width="14.109375" bestFit="1" customWidth="1"/>
    <col min="28" max="28" width="11.33203125" bestFit="1" customWidth="1"/>
    <col min="29" max="29" width="13.5546875" bestFit="1" customWidth="1"/>
    <col min="30" max="30" width="14.21875" bestFit="1" customWidth="1"/>
    <col min="31" max="31" width="13.44140625" bestFit="1" customWidth="1"/>
    <col min="32" max="32" width="11.33203125" bestFit="1" customWidth="1"/>
    <col min="33" max="33" width="13.44140625" bestFit="1" customWidth="1"/>
    <col min="34" max="34" width="13.109375" bestFit="1" customWidth="1"/>
    <col min="35" max="35" width="14.21875" bestFit="1" customWidth="1"/>
    <col min="36" max="36" width="11.33203125" bestFit="1" customWidth="1"/>
    <col min="37" max="37" width="13.5546875" bestFit="1" customWidth="1"/>
    <col min="38" max="38" width="14.21875" bestFit="1" customWidth="1"/>
    <col min="39" max="39" width="13.44140625" bestFit="1" customWidth="1"/>
    <col min="40" max="40" width="12.44140625" bestFit="1" customWidth="1"/>
    <col min="41" max="41" width="11.5546875" customWidth="1"/>
    <col min="42" max="42" width="9.5546875" bestFit="1" customWidth="1"/>
    <col min="43" max="43" width="9.109375" customWidth="1"/>
    <col min="44" max="44" width="38.44140625" bestFit="1" customWidth="1"/>
    <col min="45" max="45" width="18.44140625" bestFit="1" customWidth="1"/>
    <col min="46" max="46" width="17" bestFit="1" customWidth="1"/>
    <col min="47" max="47" width="22.5546875" bestFit="1" customWidth="1"/>
    <col min="48" max="48" width="25" bestFit="1" customWidth="1"/>
    <col min="49" max="49" width="18.33203125" bestFit="1" customWidth="1"/>
    <col min="50" max="50" width="24.109375" customWidth="1"/>
    <col min="51" max="51" width="15.88671875" customWidth="1"/>
    <col min="52" max="52" width="12.6640625" bestFit="1" customWidth="1"/>
    <col min="53" max="53" width="9.5546875" bestFit="1" customWidth="1"/>
    <col min="54" max="54" width="6.21875" bestFit="1" customWidth="1"/>
    <col min="55" max="55" width="6.21875" customWidth="1"/>
    <col min="56" max="56" width="22.88671875" customWidth="1"/>
    <col min="57" max="57" width="15.5546875" bestFit="1" customWidth="1"/>
    <col min="58" max="58" width="21.77734375" bestFit="1" customWidth="1"/>
    <col min="59" max="59" width="17.77734375" bestFit="1" customWidth="1"/>
    <col min="60" max="60" width="15.21875" bestFit="1" customWidth="1"/>
    <col min="61" max="61" width="19.33203125" bestFit="1" customWidth="1"/>
    <col min="62" max="62" width="14.5546875" bestFit="1" customWidth="1"/>
    <col min="63" max="63" width="13.77734375" bestFit="1" customWidth="1"/>
    <col min="64" max="69" width="9.88671875" bestFit="1" customWidth="1"/>
    <col min="70" max="70" width="16.21875" bestFit="1" customWidth="1"/>
    <col min="71" max="71" width="50.77734375" bestFit="1" customWidth="1"/>
    <col min="72" max="72" width="12.44140625" bestFit="1" customWidth="1"/>
    <col min="73" max="73" width="12.21875" bestFit="1" customWidth="1"/>
    <col min="74" max="74" width="12" bestFit="1" customWidth="1"/>
    <col min="75" max="75" width="15.21875" bestFit="1" customWidth="1"/>
    <col min="76" max="76" width="11.77734375" bestFit="1" customWidth="1"/>
    <col min="77" max="77" width="11.5546875" bestFit="1" customWidth="1"/>
    <col min="78" max="78" width="15.21875" bestFit="1" customWidth="1"/>
    <col min="79" max="79" width="11.77734375" bestFit="1" customWidth="1"/>
    <col min="80" max="80" width="11.5546875" bestFit="1" customWidth="1"/>
    <col min="81" max="81" width="15.21875" bestFit="1" customWidth="1"/>
    <col min="82" max="83" width="11.5546875" bestFit="1" customWidth="1"/>
    <col min="84" max="84" width="15.21875" bestFit="1" customWidth="1"/>
    <col min="85" max="85" width="11.44140625" customWidth="1"/>
    <col min="86" max="86" width="11.5546875" bestFit="1" customWidth="1"/>
    <col min="87" max="87" width="15.21875" bestFit="1" customWidth="1"/>
    <col min="88" max="88" width="11.77734375" bestFit="1" customWidth="1"/>
    <col min="89" max="89" width="11.5546875" bestFit="1" customWidth="1"/>
    <col min="90" max="90" width="15.21875" bestFit="1" customWidth="1"/>
    <col min="91" max="91" width="12.44140625" bestFit="1" customWidth="1"/>
    <col min="92" max="92" width="11.5546875" bestFit="1" customWidth="1"/>
    <col min="93" max="93" width="15.21875" bestFit="1" customWidth="1"/>
    <col min="94" max="94" width="11.77734375" bestFit="1" customWidth="1"/>
    <col min="95" max="95" width="11.5546875" bestFit="1" customWidth="1"/>
    <col min="96" max="97" width="16.6640625" bestFit="1" customWidth="1"/>
    <col min="98" max="98" width="14.44140625" bestFit="1" customWidth="1"/>
    <col min="99" max="99" width="16" bestFit="1" customWidth="1"/>
    <col min="100" max="100" width="11.77734375" bestFit="1" customWidth="1"/>
    <col min="101" max="101" width="14.44140625" bestFit="1" customWidth="1"/>
    <col min="102" max="102" width="15.21875" bestFit="1" customWidth="1"/>
    <col min="103" max="103" width="9.109375" customWidth="1"/>
    <col min="104" max="104" width="11.5546875" bestFit="1" customWidth="1"/>
    <col min="105" max="105" width="15.21875" bestFit="1" customWidth="1"/>
    <col min="106" max="106" width="11.44140625" bestFit="1" customWidth="1"/>
    <col min="107" max="107" width="11.5546875" bestFit="1" customWidth="1"/>
    <col min="108" max="108" width="24.21875" bestFit="1" customWidth="1"/>
    <col min="109" max="109" width="16.88671875" bestFit="1" customWidth="1"/>
    <col min="110" max="110" width="17" bestFit="1" customWidth="1"/>
    <col min="111" max="112" width="15.44140625" customWidth="1"/>
    <col min="113" max="113" width="58.109375" customWidth="1"/>
    <col min="114" max="114" width="8.88671875" customWidth="1"/>
    <col min="115" max="115" width="13.44140625" bestFit="1" customWidth="1"/>
    <col min="116" max="117" width="12.44140625" bestFit="1" customWidth="1"/>
    <col min="118" max="118" width="13.44140625" bestFit="1" customWidth="1"/>
    <col min="119" max="119" width="12.44140625" bestFit="1" customWidth="1"/>
    <col min="120" max="120" width="13.44140625" bestFit="1" customWidth="1"/>
    <col min="121" max="121" width="13.88671875" bestFit="1" customWidth="1"/>
    <col min="122" max="122" width="14.44140625" bestFit="1" customWidth="1"/>
    <col min="123" max="123" width="8.88671875" customWidth="1"/>
    <col min="124" max="124" width="44.44140625" customWidth="1"/>
    <col min="125" max="125" width="17.21875" bestFit="1" customWidth="1"/>
    <col min="126" max="126" width="18.44140625" bestFit="1" customWidth="1"/>
    <col min="127" max="127" width="12.6640625" bestFit="1" customWidth="1"/>
    <col min="128" max="128" width="18.6640625" bestFit="1" customWidth="1"/>
    <col min="129" max="130" width="18.5546875" customWidth="1"/>
    <col min="131" max="131" width="8.88671875" customWidth="1"/>
    <col min="132" max="144" width="14.109375" bestFit="1" customWidth="1"/>
    <col min="145" max="145" width="8.88671875" customWidth="1"/>
    <col min="146" max="157" width="13.33203125" bestFit="1" customWidth="1"/>
    <col min="158" max="158" width="8.88671875" customWidth="1"/>
    <col min="159" max="159" width="13.21875" customWidth="1"/>
    <col min="160" max="161" width="12.33203125" customWidth="1"/>
    <col min="162" max="162" width="11.109375" customWidth="1"/>
    <col min="163" max="163" width="13.33203125" bestFit="1" customWidth="1"/>
    <col min="164" max="164" width="17.5546875" bestFit="1" customWidth="1"/>
    <col min="165" max="165" width="18" bestFit="1" customWidth="1"/>
    <col min="166" max="166" width="20.88671875" bestFit="1" customWidth="1"/>
    <col min="167" max="167" width="26.6640625" bestFit="1" customWidth="1"/>
    <col min="168" max="183" width="9.109375" customWidth="1"/>
    <col min="184" max="202" width="8.88671875" customWidth="1"/>
    <col min="203" max="203" width="7.88671875" bestFit="1" customWidth="1"/>
    <col min="204" max="204" width="9.33203125" bestFit="1" customWidth="1"/>
    <col min="205" max="205" width="51" bestFit="1" customWidth="1"/>
    <col min="206" max="206" width="14.44140625" bestFit="1" customWidth="1"/>
    <col min="207" max="214" width="14.88671875" bestFit="1" customWidth="1"/>
    <col min="215" max="215" width="15.88671875" bestFit="1" customWidth="1"/>
    <col min="216" max="216" width="15.44140625" bestFit="1" customWidth="1"/>
    <col min="217" max="224" width="15.88671875" bestFit="1" customWidth="1"/>
    <col min="225" max="225" width="16.21875" bestFit="1" customWidth="1"/>
    <col min="226" max="226" width="15.88671875" bestFit="1" customWidth="1"/>
    <col min="227" max="235" width="16.21875" bestFit="1" customWidth="1"/>
    <col min="236" max="236" width="15.88671875" bestFit="1" customWidth="1"/>
    <col min="237" max="245" width="8.21875" bestFit="1" customWidth="1"/>
    <col min="246" max="246" width="7.77734375" bestFit="1" customWidth="1"/>
    <col min="247" max="255" width="8.21875" bestFit="1" customWidth="1"/>
    <col min="256" max="256" width="7.77734375" bestFit="1" customWidth="1"/>
    <col min="257" max="259" width="7.77734375" customWidth="1"/>
    <col min="260" max="266" width="8.21875" bestFit="1" customWidth="1"/>
    <col min="267" max="267" width="7.77734375" bestFit="1" customWidth="1"/>
    <col min="268" max="268" width="25.77734375" bestFit="1" customWidth="1"/>
    <col min="269" max="269" width="10.6640625" customWidth="1"/>
    <col min="270" max="270" width="63.33203125" bestFit="1" customWidth="1"/>
    <col min="271" max="271" width="13.5546875" bestFit="1" customWidth="1"/>
    <col min="272" max="274" width="14.109375" bestFit="1" customWidth="1"/>
    <col min="275" max="275" width="13.109375" bestFit="1" customWidth="1"/>
    <col min="276" max="276" width="13.5546875" bestFit="1" customWidth="1"/>
    <col min="277" max="277" width="8.5546875" customWidth="1"/>
    <col min="278" max="278" width="16.21875" bestFit="1" customWidth="1"/>
    <col min="279" max="280" width="16" bestFit="1" customWidth="1"/>
    <col min="281" max="281" width="15.5546875" bestFit="1" customWidth="1"/>
    <col min="282" max="282" width="15" bestFit="1" customWidth="1"/>
    <col min="283" max="283" width="14.5546875" bestFit="1" customWidth="1"/>
    <col min="284" max="284" width="15" bestFit="1" customWidth="1"/>
    <col min="285" max="285" width="14.5546875" bestFit="1" customWidth="1"/>
    <col min="286" max="289" width="15" bestFit="1" customWidth="1"/>
    <col min="290" max="290" width="14.5546875" bestFit="1" customWidth="1"/>
    <col min="291" max="294" width="15" bestFit="1" customWidth="1"/>
    <col min="295" max="295" width="13.5546875" bestFit="1" customWidth="1"/>
    <col min="296" max="298" width="14.109375" bestFit="1" customWidth="1"/>
    <col min="299" max="299" width="13.109375" bestFit="1" customWidth="1"/>
    <col min="300" max="302" width="13.5546875" bestFit="1" customWidth="1"/>
    <col min="303" max="303" width="13.109375" bestFit="1" customWidth="1"/>
    <col min="304" max="304" width="13.5546875" bestFit="1" customWidth="1"/>
    <col min="305" max="305" width="12.77734375" bestFit="1" customWidth="1"/>
    <col min="306" max="306" width="13.5546875" bestFit="1" customWidth="1"/>
    <col min="307" max="307" width="13.109375" bestFit="1" customWidth="1"/>
    <col min="308" max="308" width="13.5546875" bestFit="1" customWidth="1"/>
    <col min="309" max="311" width="13.109375" bestFit="1" customWidth="1"/>
    <col min="312" max="312" width="8.5546875" customWidth="1"/>
    <col min="313" max="313" width="30.44140625" bestFit="1" customWidth="1"/>
    <col min="314" max="315" width="14.6640625" bestFit="1" customWidth="1"/>
    <col min="316" max="316" width="5.88671875" customWidth="1"/>
    <col min="317" max="317" width="9.33203125" bestFit="1" customWidth="1"/>
    <col min="318" max="318" width="40.109375" customWidth="1"/>
    <col min="319" max="319" width="16.6640625" bestFit="1" customWidth="1"/>
    <col min="320" max="320" width="15" bestFit="1" customWidth="1"/>
    <col min="321" max="321" width="10.5546875" bestFit="1" customWidth="1"/>
    <col min="322" max="322" width="20.77734375" bestFit="1" customWidth="1"/>
    <col min="323" max="323" width="17.109375" bestFit="1" customWidth="1"/>
    <col min="324" max="324" width="15" bestFit="1" customWidth="1"/>
    <col min="325" max="325" width="14.5546875" bestFit="1" customWidth="1"/>
    <col min="326" max="326" width="20.77734375" bestFit="1" customWidth="1"/>
    <col min="327" max="327" width="15.21875" bestFit="1" customWidth="1"/>
    <col min="328" max="328" width="15" bestFit="1" customWidth="1"/>
    <col min="329" max="329" width="10.5546875" bestFit="1" customWidth="1"/>
    <col min="330" max="330" width="20.77734375" bestFit="1" customWidth="1"/>
    <col min="331" max="331" width="15.6640625" bestFit="1" customWidth="1"/>
    <col min="332" max="332" width="15" bestFit="1" customWidth="1"/>
    <col min="333" max="333" width="14.5546875" bestFit="1" customWidth="1"/>
    <col min="334" max="334" width="20.77734375" bestFit="1" customWidth="1"/>
    <col min="335" max="335" width="15.21875" bestFit="1" customWidth="1"/>
    <col min="336" max="336" width="15" bestFit="1" customWidth="1"/>
    <col min="337" max="337" width="10.5546875" bestFit="1" customWidth="1"/>
    <col min="338" max="338" width="20.77734375" bestFit="1" customWidth="1"/>
    <col min="339" max="339" width="15.21875" bestFit="1" customWidth="1"/>
    <col min="340" max="340" width="15" bestFit="1" customWidth="1"/>
    <col min="341" max="341" width="10.5546875" bestFit="1" customWidth="1"/>
    <col min="342" max="342" width="20.77734375" bestFit="1" customWidth="1"/>
    <col min="343" max="343" width="15.21875" bestFit="1" customWidth="1"/>
    <col min="344" max="344" width="15" bestFit="1" customWidth="1"/>
    <col min="345" max="345" width="10.5546875" bestFit="1" customWidth="1"/>
    <col min="346" max="346" width="11.33203125" bestFit="1" customWidth="1"/>
    <col min="347" max="347" width="15.6640625" bestFit="1" customWidth="1"/>
    <col min="348" max="348" width="15.77734375" bestFit="1" customWidth="1"/>
    <col min="349" max="349" width="12.33203125" bestFit="1" customWidth="1"/>
    <col min="350" max="350" width="19.77734375" bestFit="1" customWidth="1"/>
    <col min="351" max="351" width="15.21875" bestFit="1" customWidth="1"/>
    <col min="352" max="352" width="15" bestFit="1" customWidth="1"/>
    <col min="353" max="353" width="10.5546875" bestFit="1" customWidth="1"/>
    <col min="354" max="354" width="20.77734375" bestFit="1" customWidth="1"/>
    <col min="355" max="355" width="15.21875" bestFit="1" customWidth="1"/>
    <col min="356" max="356" width="15" bestFit="1" customWidth="1"/>
    <col min="357" max="357" width="12.77734375" bestFit="1" customWidth="1"/>
    <col min="358" max="358" width="19.77734375" bestFit="1" customWidth="1"/>
    <col min="359" max="359" width="15.21875" bestFit="1" customWidth="1"/>
    <col min="360" max="360" width="15" bestFit="1" customWidth="1"/>
    <col min="361" max="361" width="10.5546875" bestFit="1" customWidth="1"/>
    <col min="362" max="362" width="20.77734375" bestFit="1" customWidth="1"/>
    <col min="363" max="363" width="15.21875" bestFit="1" customWidth="1"/>
    <col min="364" max="364" width="15" bestFit="1" customWidth="1"/>
    <col min="365" max="365" width="12.6640625" bestFit="1" customWidth="1"/>
    <col min="366" max="366" width="20.77734375" bestFit="1" customWidth="1"/>
    <col min="367" max="367" width="15.21875" bestFit="1" customWidth="1"/>
    <col min="368" max="368" width="15" bestFit="1" customWidth="1"/>
    <col min="369" max="369" width="10.5546875" bestFit="1" customWidth="1"/>
    <col min="370" max="370" width="20.77734375" bestFit="1" customWidth="1"/>
    <col min="371" max="372" width="15" bestFit="1" customWidth="1"/>
    <col min="373" max="373" width="12.33203125" bestFit="1" customWidth="1"/>
    <col min="374" max="374" width="20.77734375" bestFit="1" customWidth="1"/>
    <col min="375" max="375" width="15.21875" bestFit="1" customWidth="1"/>
    <col min="376" max="376" width="15" bestFit="1" customWidth="1"/>
    <col min="377" max="377" width="10.5546875" bestFit="1" customWidth="1"/>
    <col min="378" max="378" width="20.77734375" bestFit="1" customWidth="1"/>
    <col min="379" max="379" width="15.6640625" bestFit="1" customWidth="1"/>
    <col min="380" max="380" width="15" bestFit="1" customWidth="1"/>
    <col min="381" max="381" width="10.5546875" bestFit="1" customWidth="1"/>
    <col min="382" max="382" width="20.77734375" bestFit="1" customWidth="1"/>
    <col min="383" max="383" width="15.21875" bestFit="1" customWidth="1"/>
    <col min="384" max="384" width="15" bestFit="1" customWidth="1"/>
    <col min="385" max="385" width="10.5546875" bestFit="1" customWidth="1"/>
    <col min="386" max="386" width="20.77734375" bestFit="1" customWidth="1"/>
    <col min="387" max="387" width="14.88671875" bestFit="1" customWidth="1"/>
    <col min="388" max="388" width="15" bestFit="1" customWidth="1"/>
    <col min="389" max="389" width="12.33203125" bestFit="1" customWidth="1"/>
    <col min="390" max="390" width="14" bestFit="1" customWidth="1"/>
    <col min="391" max="391" width="15.21875" bestFit="1" customWidth="1"/>
    <col min="392" max="392" width="15" bestFit="1" customWidth="1"/>
    <col min="393" max="393" width="10.5546875" bestFit="1" customWidth="1"/>
    <col min="394" max="394" width="20.77734375" bestFit="1" customWidth="1"/>
    <col min="395" max="395" width="15.109375" bestFit="1" customWidth="1"/>
    <col min="396" max="396" width="15" bestFit="1" customWidth="1"/>
    <col min="397" max="397" width="12.33203125" bestFit="1" customWidth="1"/>
    <col min="398" max="398" width="20.77734375" bestFit="1" customWidth="1"/>
    <col min="399" max="399" width="15.21875" bestFit="1" customWidth="1"/>
    <col min="400" max="400" width="15" bestFit="1" customWidth="1"/>
    <col min="401" max="401" width="10.5546875" bestFit="1" customWidth="1"/>
    <col min="402" max="402" width="20.77734375" bestFit="1" customWidth="1"/>
    <col min="403" max="403" width="15.109375" bestFit="1" customWidth="1"/>
    <col min="404" max="404" width="15" bestFit="1" customWidth="1"/>
    <col min="405" max="405" width="12.33203125" bestFit="1" customWidth="1"/>
    <col min="406" max="406" width="20.77734375" bestFit="1" customWidth="1"/>
    <col min="407" max="407" width="15.21875" bestFit="1" customWidth="1"/>
    <col min="408" max="408" width="15" bestFit="1" customWidth="1"/>
    <col min="409" max="409" width="10.5546875" bestFit="1" customWidth="1"/>
    <col min="410" max="410" width="20.77734375" bestFit="1" customWidth="1"/>
    <col min="411" max="411" width="15.109375" bestFit="1" customWidth="1"/>
    <col min="412" max="412" width="15" bestFit="1" customWidth="1"/>
    <col min="413" max="413" width="12.33203125" bestFit="1" customWidth="1"/>
    <col min="414" max="414" width="20.77734375" bestFit="1" customWidth="1"/>
    <col min="415" max="419" width="5.88671875" customWidth="1"/>
    <col min="420" max="420" width="9.88671875" bestFit="1" customWidth="1"/>
    <col min="421" max="421" width="10.109375" bestFit="1" customWidth="1"/>
    <col min="422" max="422" width="47.33203125" bestFit="1" customWidth="1"/>
    <col min="423" max="423" width="17.109375" bestFit="1" customWidth="1"/>
    <col min="424" max="425" width="18.33203125" bestFit="1" customWidth="1"/>
    <col min="426" max="426" width="17.88671875" bestFit="1" customWidth="1"/>
    <col min="427" max="427" width="18.109375" bestFit="1" customWidth="1"/>
    <col min="428" max="428" width="18.33203125" bestFit="1" customWidth="1"/>
    <col min="429" max="429" width="17.88671875" bestFit="1" customWidth="1"/>
    <col min="430" max="430" width="18.109375" bestFit="1" customWidth="1"/>
    <col min="431" max="431" width="17.88671875" bestFit="1" customWidth="1"/>
    <col min="432" max="432" width="17.6640625" bestFit="1" customWidth="1"/>
    <col min="433" max="433" width="18.33203125" bestFit="1" customWidth="1"/>
    <col min="434" max="434" width="17.88671875" bestFit="1" customWidth="1"/>
    <col min="435" max="435" width="15.77734375" bestFit="1" customWidth="1"/>
    <col min="436" max="436" width="5.88671875" customWidth="1"/>
    <col min="437" max="437" width="10.109375" bestFit="1" customWidth="1"/>
    <col min="438" max="438" width="55.44140625" bestFit="1" customWidth="1"/>
    <col min="439" max="441" width="19.77734375" bestFit="1" customWidth="1"/>
    <col min="442" max="442" width="20.21875" bestFit="1" customWidth="1"/>
    <col min="443" max="444" width="19.77734375" bestFit="1" customWidth="1"/>
    <col min="445" max="445" width="20.21875" bestFit="1" customWidth="1"/>
    <col min="446" max="446" width="19.77734375" bestFit="1" customWidth="1"/>
    <col min="447" max="447" width="20.21875" bestFit="1" customWidth="1"/>
    <col min="448" max="448" width="19" bestFit="1" customWidth="1"/>
    <col min="449" max="449" width="19.77734375" bestFit="1" customWidth="1"/>
    <col min="450" max="450" width="20.21875" bestFit="1" customWidth="1"/>
    <col min="451" max="452" width="5.88671875" customWidth="1"/>
    <col min="453" max="453" width="10.109375" bestFit="1" customWidth="1"/>
    <col min="454" max="454" width="55.44140625" bestFit="1" customWidth="1"/>
    <col min="455" max="457" width="19.77734375" bestFit="1" customWidth="1"/>
    <col min="458" max="458" width="20.21875" bestFit="1" customWidth="1"/>
    <col min="459" max="460" width="19.77734375" bestFit="1" customWidth="1"/>
    <col min="461" max="461" width="20.21875" bestFit="1" customWidth="1"/>
    <col min="462" max="462" width="19.77734375" bestFit="1" customWidth="1"/>
    <col min="463" max="463" width="20.21875" bestFit="1" customWidth="1"/>
    <col min="464" max="464" width="19" bestFit="1" customWidth="1"/>
    <col min="465" max="465" width="19.77734375" bestFit="1" customWidth="1"/>
    <col min="466" max="466" width="20.21875" bestFit="1" customWidth="1"/>
    <col min="467" max="471" width="5.88671875" customWidth="1"/>
    <col min="472" max="472" width="10.109375" bestFit="1" customWidth="1"/>
    <col min="473" max="473" width="47.33203125" bestFit="1" customWidth="1"/>
    <col min="474" max="474" width="17.109375" bestFit="1" customWidth="1"/>
    <col min="475" max="476" width="18.33203125" bestFit="1" customWidth="1"/>
    <col min="477" max="477" width="17.88671875" bestFit="1" customWidth="1"/>
    <col min="478" max="478" width="18.109375" bestFit="1" customWidth="1"/>
    <col min="479" max="479" width="18.33203125" bestFit="1" customWidth="1"/>
    <col min="480" max="480" width="17.88671875" bestFit="1" customWidth="1"/>
    <col min="481" max="481" width="18.109375" bestFit="1" customWidth="1"/>
    <col min="482" max="482" width="17.88671875" bestFit="1" customWidth="1"/>
    <col min="483" max="483" width="17.6640625" bestFit="1" customWidth="1"/>
    <col min="484" max="484" width="18.33203125" bestFit="1" customWidth="1"/>
    <col min="485" max="485" width="17.88671875" bestFit="1" customWidth="1"/>
    <col min="486" max="486" width="15.77734375" bestFit="1" customWidth="1"/>
    <col min="487" max="487" width="5.88671875" customWidth="1"/>
    <col min="488" max="488" width="13.21875" bestFit="1" customWidth="1"/>
    <col min="489" max="492" width="12" bestFit="1" customWidth="1"/>
    <col min="493" max="493" width="5.88671875" customWidth="1"/>
    <col min="494" max="494" width="11.6640625" bestFit="1" customWidth="1"/>
    <col min="495" max="540" width="5.88671875" customWidth="1"/>
  </cols>
  <sheetData>
    <row r="1" spans="1:25" ht="30.6" thickBot="1">
      <c r="A1" s="204" t="str">
        <f>Pharma!A2</f>
        <v>PHARMA Team – IKON MTD Call Performance Summary Till 14-OCT-2026</v>
      </c>
      <c r="B1" s="205"/>
      <c r="C1" s="205"/>
      <c r="D1" s="205"/>
      <c r="E1" s="205"/>
      <c r="F1" s="205"/>
      <c r="G1" s="205"/>
      <c r="H1" s="206"/>
      <c r="I1" s="199" t="s">
        <v>162</v>
      </c>
      <c r="J1" s="200"/>
      <c r="K1" s="201"/>
      <c r="L1" s="202"/>
      <c r="M1" s="203"/>
      <c r="N1" s="215" t="s">
        <v>527</v>
      </c>
      <c r="O1" s="216"/>
      <c r="P1" s="216"/>
      <c r="Q1" s="216"/>
      <c r="R1" s="216"/>
      <c r="S1" s="216"/>
      <c r="T1" s="217"/>
      <c r="U1" s="196" t="s">
        <v>411</v>
      </c>
      <c r="Y1" s="168" t="s">
        <v>519</v>
      </c>
    </row>
    <row r="2" spans="1:25" ht="28.8" thickBot="1">
      <c r="A2" s="207"/>
      <c r="B2" s="208"/>
      <c r="C2" s="208"/>
      <c r="D2" s="208"/>
      <c r="E2" s="208"/>
      <c r="F2" s="208"/>
      <c r="G2" s="208"/>
      <c r="H2" s="209"/>
      <c r="I2" s="210">
        <v>46309</v>
      </c>
      <c r="J2" s="211"/>
      <c r="K2" s="212"/>
      <c r="L2" s="213"/>
      <c r="M2" s="214"/>
      <c r="N2" s="218">
        <f>I2</f>
        <v>46309</v>
      </c>
      <c r="O2" s="219"/>
      <c r="P2" s="219"/>
      <c r="Q2" s="219"/>
      <c r="R2" s="219"/>
      <c r="S2" s="219"/>
      <c r="T2" s="220"/>
      <c r="U2" s="197"/>
    </row>
    <row r="3" spans="1:25" ht="105.6" thickBot="1">
      <c r="A3" s="82" t="str">
        <f>Pharma!A3</f>
        <v>Desig</v>
      </c>
      <c r="B3" s="83" t="str">
        <f>Pharma!B3</f>
        <v>Zone</v>
      </c>
      <c r="C3" s="84" t="str">
        <f>Pharma!C3</f>
        <v>PHR Region</v>
      </c>
      <c r="D3" s="83" t="str">
        <f>Pharma!F3</f>
        <v>F.F Name</v>
      </c>
      <c r="E3" s="176" t="str">
        <f>Pharma!J3</f>
        <v>Reps</v>
      </c>
      <c r="F3" s="87" t="str">
        <f>Pharma!K3</f>
        <v># Of 
Vacant</v>
      </c>
      <c r="G3" s="100" t="s">
        <v>420</v>
      </c>
      <c r="H3" s="87" t="str">
        <f>Pharma!P3</f>
        <v>IKON
Used</v>
      </c>
      <c r="I3" s="149" t="s">
        <v>416</v>
      </c>
      <c r="J3" s="90" t="s">
        <v>406</v>
      </c>
      <c r="K3" s="85" t="s">
        <v>408</v>
      </c>
      <c r="L3" s="103" t="s">
        <v>407</v>
      </c>
      <c r="M3" s="139" t="s">
        <v>418</v>
      </c>
      <c r="N3" s="150" t="s">
        <v>417</v>
      </c>
      <c r="O3" s="135" t="s">
        <v>409</v>
      </c>
      <c r="P3" s="136" t="s">
        <v>405</v>
      </c>
      <c r="Q3" s="136" t="s">
        <v>410</v>
      </c>
      <c r="R3" s="137" t="s">
        <v>407</v>
      </c>
      <c r="S3" s="138" t="s">
        <v>418</v>
      </c>
      <c r="T3" s="128" t="s">
        <v>419</v>
      </c>
      <c r="U3" s="198"/>
    </row>
    <row r="4" spans="1:25" s="15" customFormat="1" ht="35.4" customHeight="1">
      <c r="A4" s="102" t="str">
        <f>Pharma!A10</f>
        <v>ASM</v>
      </c>
      <c r="B4" s="79" t="str">
        <f>Pharma!B10</f>
        <v>South</v>
      </c>
      <c r="C4" s="80" t="str">
        <f>Pharma!C10</f>
        <v xml:space="preserve">Karachi-1 </v>
      </c>
      <c r="D4" s="79" t="str">
        <f>Pharma!F10</f>
        <v>VACANT ASM KHI-01</v>
      </c>
      <c r="E4" s="81">
        <f>Pharma!J10</f>
        <v>5</v>
      </c>
      <c r="F4" s="88">
        <f>Pharma!K10</f>
        <v>4</v>
      </c>
      <c r="G4" s="88">
        <f t="shared" ref="G4:G11" si="0">E4-J4-F4</f>
        <v>1</v>
      </c>
      <c r="H4" s="88">
        <f>Pharma!P10</f>
        <v>1</v>
      </c>
      <c r="I4" s="91">
        <f>Pharma!AC10</f>
        <v>0</v>
      </c>
      <c r="J4" s="91">
        <f>Pharma!AD10</f>
        <v>0</v>
      </c>
      <c r="K4" s="81">
        <f>Pharma!AV10</f>
        <v>10</v>
      </c>
      <c r="L4" s="92">
        <f>Pharma!M10</f>
        <v>1</v>
      </c>
      <c r="M4" s="81">
        <f ca="1">Pharma!AW10</f>
        <v>0.76923076923076927</v>
      </c>
      <c r="N4" s="91">
        <f>Pharma!BJ10</f>
        <v>0</v>
      </c>
      <c r="O4" s="91">
        <f>Pharma!BK10</f>
        <v>0</v>
      </c>
      <c r="P4" s="81">
        <f>Pharma!N10</f>
        <v>0</v>
      </c>
      <c r="Q4" s="81">
        <f>Pharma!CC10</f>
        <v>58</v>
      </c>
      <c r="R4" s="92">
        <f>Pharma!O10</f>
        <v>1</v>
      </c>
      <c r="S4" s="92">
        <f ca="1">Pharma!CD10</f>
        <v>4.4615384615384617</v>
      </c>
      <c r="T4" s="134" t="str">
        <f ca="1">IF(S4&gt;=12,"🟢 Excellent",IF(S4&gt;=6,"🟡 Needs Improvement","🔴 Critical"))</f>
        <v>🔴 Critical</v>
      </c>
      <c r="U4" s="104"/>
    </row>
    <row r="5" spans="1:25" s="15" customFormat="1" ht="35.4" customHeight="1">
      <c r="A5" s="101" t="str">
        <f>Pharma!A16</f>
        <v>ASM</v>
      </c>
      <c r="B5" s="76" t="str">
        <f>Pharma!B16</f>
        <v>South</v>
      </c>
      <c r="C5" s="77" t="str">
        <f>Pharma!C16</f>
        <v xml:space="preserve">Karachi-2 </v>
      </c>
      <c r="D5" s="76" t="str">
        <f>Pharma!F16</f>
        <v>M. ALI ANIS</v>
      </c>
      <c r="E5" s="78">
        <f>Pharma!J16</f>
        <v>4</v>
      </c>
      <c r="F5" s="89">
        <f>Pharma!K16</f>
        <v>1</v>
      </c>
      <c r="G5" s="89">
        <f t="shared" si="0"/>
        <v>1</v>
      </c>
      <c r="H5" s="89">
        <f>Pharma!P16</f>
        <v>3</v>
      </c>
      <c r="I5" s="93">
        <f>Pharma!AC16</f>
        <v>3</v>
      </c>
      <c r="J5" s="93">
        <f>Pharma!AD16</f>
        <v>2</v>
      </c>
      <c r="K5" s="78">
        <f>Pharma!AV16</f>
        <v>32</v>
      </c>
      <c r="L5" s="94">
        <f>Pharma!M16</f>
        <v>3</v>
      </c>
      <c r="M5" s="78">
        <f ca="1">Pharma!AW16</f>
        <v>0.8205128205128206</v>
      </c>
      <c r="N5" s="93">
        <f>Pharma!BJ16</f>
        <v>32</v>
      </c>
      <c r="O5" s="93">
        <f>Pharma!BK16</f>
        <v>1</v>
      </c>
      <c r="P5" s="78">
        <f>Pharma!N16</f>
        <v>1</v>
      </c>
      <c r="Q5" s="78">
        <f>Pharma!CC16</f>
        <v>263</v>
      </c>
      <c r="R5" s="94">
        <f>Pharma!O16</f>
        <v>3</v>
      </c>
      <c r="S5" s="94">
        <f ca="1">Pharma!CD16</f>
        <v>6.7435897435897436</v>
      </c>
      <c r="T5" s="130" t="str">
        <f t="shared" ref="T5:T20" ca="1" si="1">IF(S5&gt;=12,"🟢 Excellent",IF(S5&gt;=6,"🟡 Needs Improvement","🔴 Critical"))</f>
        <v>🟡 Needs Improvement</v>
      </c>
      <c r="U5" s="105"/>
    </row>
    <row r="6" spans="1:25" s="15" customFormat="1" ht="35.4" customHeight="1">
      <c r="A6" s="101" t="str">
        <f>Pharma!A24</f>
        <v>ASM</v>
      </c>
      <c r="B6" s="76" t="str">
        <f>Pharma!B24</f>
        <v>South</v>
      </c>
      <c r="C6" s="77" t="str">
        <f>Pharma!C24</f>
        <v xml:space="preserve">Hyderabad </v>
      </c>
      <c r="D6" s="76" t="str">
        <f>Pharma!F24</f>
        <v>IMRAN QURESHI</v>
      </c>
      <c r="E6" s="78">
        <f>Pharma!J24</f>
        <v>6</v>
      </c>
      <c r="F6" s="89">
        <f>Pharma!K24</f>
        <v>1</v>
      </c>
      <c r="G6" s="89">
        <f t="shared" si="0"/>
        <v>0</v>
      </c>
      <c r="H6" s="89">
        <f>Pharma!P24</f>
        <v>5</v>
      </c>
      <c r="I6" s="93">
        <f>Pharma!AC24</f>
        <v>5</v>
      </c>
      <c r="J6" s="93">
        <f>Pharma!AD24</f>
        <v>5</v>
      </c>
      <c r="K6" s="78">
        <f>Pharma!AV24</f>
        <v>59</v>
      </c>
      <c r="L6" s="94">
        <f>Pharma!M24</f>
        <v>5</v>
      </c>
      <c r="M6" s="78">
        <f ca="1">Pharma!AW24</f>
        <v>0.90769230769230769</v>
      </c>
      <c r="N6" s="93">
        <f>Pharma!BJ24</f>
        <v>34</v>
      </c>
      <c r="O6" s="93">
        <f>Pharma!BK24</f>
        <v>3</v>
      </c>
      <c r="P6" s="78">
        <f>Pharma!N24</f>
        <v>1</v>
      </c>
      <c r="Q6" s="78">
        <f>Pharma!CC24</f>
        <v>472</v>
      </c>
      <c r="R6" s="94">
        <f>Pharma!O24</f>
        <v>5</v>
      </c>
      <c r="S6" s="94">
        <f ca="1">Pharma!CD24</f>
        <v>7.2615384615384615</v>
      </c>
      <c r="T6" s="130" t="str">
        <f t="shared" ca="1" si="1"/>
        <v>🟡 Needs Improvement</v>
      </c>
      <c r="U6" s="105"/>
    </row>
    <row r="7" spans="1:25" s="15" customFormat="1" ht="35.4" customHeight="1" thickBot="1">
      <c r="A7" s="112" t="str">
        <f>Pharma!A32</f>
        <v>ASM</v>
      </c>
      <c r="B7" s="113" t="str">
        <f>Pharma!B32</f>
        <v>South</v>
      </c>
      <c r="C7" s="127" t="str">
        <f>Pharma!C32</f>
        <v xml:space="preserve">Sukkur </v>
      </c>
      <c r="D7" s="113" t="str">
        <f>Pharma!F32</f>
        <v>TAHIR HUSSAIN</v>
      </c>
      <c r="E7" s="114">
        <f>Pharma!J32</f>
        <v>6</v>
      </c>
      <c r="F7" s="115">
        <f>Pharma!K32</f>
        <v>1</v>
      </c>
      <c r="G7" s="115">
        <f t="shared" si="0"/>
        <v>1</v>
      </c>
      <c r="H7" s="115">
        <f>Pharma!P32</f>
        <v>6</v>
      </c>
      <c r="I7" s="116">
        <f>Pharma!AC32</f>
        <v>5</v>
      </c>
      <c r="J7" s="116">
        <f>Pharma!AD32</f>
        <v>4</v>
      </c>
      <c r="K7" s="114">
        <f>Pharma!AV32</f>
        <v>57</v>
      </c>
      <c r="L7" s="117">
        <f>Pharma!M32</f>
        <v>5</v>
      </c>
      <c r="M7" s="114">
        <f ca="1">Pharma!AW32</f>
        <v>0.87692307692307703</v>
      </c>
      <c r="N7" s="116">
        <f>Pharma!BJ32</f>
        <v>24</v>
      </c>
      <c r="O7" s="116">
        <f>Pharma!BK32</f>
        <v>3</v>
      </c>
      <c r="P7" s="114">
        <f>Pharma!N32</f>
        <v>1</v>
      </c>
      <c r="Q7" s="114">
        <f>Pharma!CC32</f>
        <v>326</v>
      </c>
      <c r="R7" s="117">
        <f>Pharma!O32</f>
        <v>6</v>
      </c>
      <c r="S7" s="117">
        <f ca="1">Pharma!CD32</f>
        <v>5.0153846153846153</v>
      </c>
      <c r="T7" s="131" t="str">
        <f t="shared" ca="1" si="1"/>
        <v>🔴 Critical</v>
      </c>
      <c r="U7" s="118"/>
    </row>
    <row r="8" spans="1:25" s="15" customFormat="1" ht="35.4" customHeight="1" thickBot="1">
      <c r="A8" s="119" t="str">
        <f>Pharma!A33</f>
        <v>RSM</v>
      </c>
      <c r="B8" s="120" t="str">
        <f>Pharma!B33</f>
        <v>South</v>
      </c>
      <c r="C8" s="121" t="str">
        <f>Pharma!C33</f>
        <v xml:space="preserve">Karachi </v>
      </c>
      <c r="D8" s="120" t="str">
        <f>Pharma!F33</f>
        <v>Mr. Zahid Ali Shah</v>
      </c>
      <c r="E8" s="122">
        <f>Pharma!J33</f>
        <v>21</v>
      </c>
      <c r="F8" s="123">
        <f>Pharma!K33</f>
        <v>7</v>
      </c>
      <c r="G8" s="123">
        <f t="shared" si="0"/>
        <v>3</v>
      </c>
      <c r="H8" s="123">
        <f>Pharma!P33</f>
        <v>15</v>
      </c>
      <c r="I8" s="124">
        <f>Pharma!AC33</f>
        <v>13</v>
      </c>
      <c r="J8" s="124">
        <f>Pharma!AD33</f>
        <v>11</v>
      </c>
      <c r="K8" s="122">
        <f>Pharma!AV33</f>
        <v>158</v>
      </c>
      <c r="L8" s="125">
        <f>Pharma!M33</f>
        <v>14</v>
      </c>
      <c r="M8" s="122">
        <f ca="1">Pharma!AW33</f>
        <v>0.86813186813186805</v>
      </c>
      <c r="N8" s="124">
        <f>Pharma!BJ33</f>
        <v>90</v>
      </c>
      <c r="O8" s="124">
        <f>Pharma!BK33</f>
        <v>7</v>
      </c>
      <c r="P8" s="122">
        <f>Pharma!N33</f>
        <v>3</v>
      </c>
      <c r="Q8" s="122">
        <f>Pharma!CC33</f>
        <v>1119</v>
      </c>
      <c r="R8" s="125">
        <f>Pharma!O33</f>
        <v>15</v>
      </c>
      <c r="S8" s="125">
        <f ca="1">Pharma!CD33</f>
        <v>6.1483516483516487</v>
      </c>
      <c r="T8" s="132" t="str">
        <f t="shared" ca="1" si="1"/>
        <v>🟡 Needs Improvement</v>
      </c>
      <c r="U8" s="126"/>
    </row>
    <row r="9" spans="1:25" s="15" customFormat="1" ht="35.4" customHeight="1">
      <c r="A9" s="102" t="str">
        <f>Pharma!A40</f>
        <v>ASM</v>
      </c>
      <c r="B9" s="79" t="str">
        <f>Pharma!B40</f>
        <v>Central</v>
      </c>
      <c r="C9" s="80" t="str">
        <f>Pharma!C40</f>
        <v xml:space="preserve">Lahore-1 </v>
      </c>
      <c r="D9" s="79" t="str">
        <f>Pharma!F40</f>
        <v>SHAHID SULTAN</v>
      </c>
      <c r="E9" s="81">
        <f>Pharma!J40</f>
        <v>5</v>
      </c>
      <c r="F9" s="88">
        <f>Pharma!K40</f>
        <v>1</v>
      </c>
      <c r="G9" s="88">
        <f t="shared" si="0"/>
        <v>1</v>
      </c>
      <c r="H9" s="88">
        <f>Pharma!P40</f>
        <v>4</v>
      </c>
      <c r="I9" s="91">
        <f>Pharma!AC40</f>
        <v>4</v>
      </c>
      <c r="J9" s="91">
        <f>Pharma!AD40</f>
        <v>3</v>
      </c>
      <c r="K9" s="81">
        <f>Pharma!AV40</f>
        <v>42</v>
      </c>
      <c r="L9" s="92">
        <f>Pharma!M40</f>
        <v>4</v>
      </c>
      <c r="M9" s="81">
        <f ca="1">Pharma!AW40</f>
        <v>0.80769230769230771</v>
      </c>
      <c r="N9" s="91">
        <f>Pharma!BJ40</f>
        <v>37</v>
      </c>
      <c r="O9" s="91">
        <f>Pharma!BK40</f>
        <v>13</v>
      </c>
      <c r="P9" s="81">
        <f>Pharma!N40</f>
        <v>3</v>
      </c>
      <c r="Q9" s="81">
        <f>Pharma!CC40</f>
        <v>418</v>
      </c>
      <c r="R9" s="92">
        <f>Pharma!O40</f>
        <v>4</v>
      </c>
      <c r="S9" s="92">
        <f ca="1">Pharma!CD40</f>
        <v>8.0384615384615383</v>
      </c>
      <c r="T9" s="129" t="str">
        <f t="shared" ca="1" si="1"/>
        <v>🟡 Needs Improvement</v>
      </c>
      <c r="U9" s="104"/>
    </row>
    <row r="10" spans="1:25" s="15" customFormat="1" ht="35.4" customHeight="1">
      <c r="A10" s="101" t="str">
        <f>Pharma!A47</f>
        <v>ASM</v>
      </c>
      <c r="B10" s="76" t="str">
        <f>Pharma!B47</f>
        <v>Central</v>
      </c>
      <c r="C10" s="77" t="str">
        <f>Pharma!C47</f>
        <v xml:space="preserve">Lahore-2 </v>
      </c>
      <c r="D10" s="76" t="str">
        <f>Pharma!F47</f>
        <v>M. KHURRAM NAZIR</v>
      </c>
      <c r="E10" s="78">
        <f>Pharma!J47</f>
        <v>5</v>
      </c>
      <c r="F10" s="89">
        <f>Pharma!K47</f>
        <v>1</v>
      </c>
      <c r="G10" s="89">
        <f t="shared" si="0"/>
        <v>1</v>
      </c>
      <c r="H10" s="89">
        <f>Pharma!P47</f>
        <v>4</v>
      </c>
      <c r="I10" s="93">
        <f>Pharma!AC47</f>
        <v>3</v>
      </c>
      <c r="J10" s="93">
        <f>Pharma!AD47</f>
        <v>3</v>
      </c>
      <c r="K10" s="78">
        <f>Pharma!AV47</f>
        <v>41</v>
      </c>
      <c r="L10" s="94">
        <f>Pharma!M47</f>
        <v>4</v>
      </c>
      <c r="M10" s="78">
        <f ca="1">Pharma!AW47</f>
        <v>0.78846153846153844</v>
      </c>
      <c r="N10" s="93">
        <f>Pharma!BJ47</f>
        <v>33</v>
      </c>
      <c r="O10" s="93">
        <f>Pharma!BK47</f>
        <v>1</v>
      </c>
      <c r="P10" s="78">
        <f>Pharma!N47</f>
        <v>1</v>
      </c>
      <c r="Q10" s="78">
        <f>Pharma!CC47</f>
        <v>309</v>
      </c>
      <c r="R10" s="94">
        <f>Pharma!O47</f>
        <v>4</v>
      </c>
      <c r="S10" s="94">
        <f ca="1">Pharma!CD47</f>
        <v>5.9423076923076925</v>
      </c>
      <c r="T10" s="130" t="str">
        <f t="shared" ca="1" si="1"/>
        <v>🔴 Critical</v>
      </c>
      <c r="U10" s="105"/>
    </row>
    <row r="11" spans="1:25" s="15" customFormat="1" ht="35.4" customHeight="1">
      <c r="A11" s="101" t="str">
        <f>Pharma!A54</f>
        <v>ASM</v>
      </c>
      <c r="B11" s="76" t="str">
        <f>Pharma!B54</f>
        <v>Central</v>
      </c>
      <c r="C11" s="77" t="str">
        <f>Pharma!C54</f>
        <v xml:space="preserve">Gujranwala-1 </v>
      </c>
      <c r="D11" s="76" t="str">
        <f>Pharma!F54</f>
        <v>UMAR SHARIF</v>
      </c>
      <c r="E11" s="78">
        <f>Pharma!J54</f>
        <v>5</v>
      </c>
      <c r="F11" s="89">
        <f>Pharma!K54</f>
        <v>1</v>
      </c>
      <c r="G11" s="89">
        <f t="shared" si="0"/>
        <v>1</v>
      </c>
      <c r="H11" s="89">
        <f>Pharma!P54</f>
        <v>4</v>
      </c>
      <c r="I11" s="93">
        <f>Pharma!AC54</f>
        <v>4</v>
      </c>
      <c r="J11" s="93">
        <f>Pharma!AD54</f>
        <v>3</v>
      </c>
      <c r="K11" s="78">
        <f>Pharma!AV54</f>
        <v>47</v>
      </c>
      <c r="L11" s="94">
        <f>Pharma!M54</f>
        <v>4</v>
      </c>
      <c r="M11" s="78">
        <f ca="1">Pharma!AW54</f>
        <v>0.90384615384615385</v>
      </c>
      <c r="N11" s="93">
        <f>Pharma!BJ54</f>
        <v>54</v>
      </c>
      <c r="O11" s="93">
        <f>Pharma!BK54</f>
        <v>8</v>
      </c>
      <c r="P11" s="78">
        <f>Pharma!N54</f>
        <v>1</v>
      </c>
      <c r="Q11" s="78">
        <f>Pharma!CC54</f>
        <v>486</v>
      </c>
      <c r="R11" s="94">
        <f>Pharma!O54</f>
        <v>4</v>
      </c>
      <c r="S11" s="94">
        <f ca="1">Pharma!CD54</f>
        <v>9.3461538461538467</v>
      </c>
      <c r="T11" s="130" t="str">
        <f t="shared" ca="1" si="1"/>
        <v>🟡 Needs Improvement</v>
      </c>
      <c r="U11" s="105"/>
    </row>
    <row r="12" spans="1:25" s="15" customFormat="1" ht="35.4" customHeight="1">
      <c r="A12" s="101" t="str">
        <f>Pharma!A61</f>
        <v>ASM</v>
      </c>
      <c r="B12" s="76" t="str">
        <f>Pharma!B61</f>
        <v>Central</v>
      </c>
      <c r="C12" s="77" t="str">
        <f>Pharma!C61</f>
        <v xml:space="preserve">Bahawalpur </v>
      </c>
      <c r="D12" s="76" t="str">
        <f>Pharma!F61</f>
        <v>WAJIH UL MALIK</v>
      </c>
      <c r="E12" s="78">
        <f>Pharma!J61</f>
        <v>5</v>
      </c>
      <c r="F12" s="89">
        <f>Pharma!K61</f>
        <v>0</v>
      </c>
      <c r="G12" s="89">
        <f t="shared" ref="G12:G20" si="2">E12-J12-F12</f>
        <v>0</v>
      </c>
      <c r="H12" s="89">
        <f>Pharma!P61</f>
        <v>5</v>
      </c>
      <c r="I12" s="93">
        <f>Pharma!AC61</f>
        <v>5</v>
      </c>
      <c r="J12" s="93">
        <f>Pharma!AD61</f>
        <v>5</v>
      </c>
      <c r="K12" s="78">
        <f>Pharma!AV61</f>
        <v>60</v>
      </c>
      <c r="L12" s="94">
        <f>Pharma!M61</f>
        <v>5</v>
      </c>
      <c r="M12" s="78">
        <f ca="1">Pharma!AW61</f>
        <v>0.92307692307692302</v>
      </c>
      <c r="N12" s="93">
        <f>Pharma!BJ61</f>
        <v>65</v>
      </c>
      <c r="O12" s="93">
        <f>Pharma!BK61</f>
        <v>5</v>
      </c>
      <c r="P12" s="78">
        <f>Pharma!N61</f>
        <v>3</v>
      </c>
      <c r="Q12" s="78">
        <f>Pharma!CC61</f>
        <v>711</v>
      </c>
      <c r="R12" s="94">
        <f>Pharma!O61</f>
        <v>5</v>
      </c>
      <c r="S12" s="94">
        <f ca="1">Pharma!CD61</f>
        <v>10.938461538461539</v>
      </c>
      <c r="T12" s="130" t="str">
        <f t="shared" ca="1" si="1"/>
        <v>🟡 Needs Improvement</v>
      </c>
      <c r="U12" s="105"/>
    </row>
    <row r="13" spans="1:25" s="15" customFormat="1" ht="35.4" customHeight="1" thickBot="1">
      <c r="A13" s="112" t="str">
        <f>Pharma!A68</f>
        <v>ASM</v>
      </c>
      <c r="B13" s="113" t="str">
        <f>Pharma!B68</f>
        <v>Central</v>
      </c>
      <c r="C13" s="127" t="str">
        <f>Pharma!C68</f>
        <v xml:space="preserve">Multan </v>
      </c>
      <c r="D13" s="113" t="str">
        <f>Pharma!F68</f>
        <v>M. SAJID</v>
      </c>
      <c r="E13" s="114">
        <f>Pharma!J68</f>
        <v>5</v>
      </c>
      <c r="F13" s="115">
        <f>Pharma!K68</f>
        <v>0</v>
      </c>
      <c r="G13" s="115">
        <f t="shared" si="2"/>
        <v>0</v>
      </c>
      <c r="H13" s="115">
        <f>Pharma!P68</f>
        <v>5</v>
      </c>
      <c r="I13" s="116">
        <f>Pharma!AC68</f>
        <v>5</v>
      </c>
      <c r="J13" s="116">
        <f>Pharma!AD68</f>
        <v>5</v>
      </c>
      <c r="K13" s="114">
        <f>Pharma!AV68</f>
        <v>59</v>
      </c>
      <c r="L13" s="117">
        <f>Pharma!M68</f>
        <v>5</v>
      </c>
      <c r="M13" s="114">
        <f ca="1">Pharma!AW68</f>
        <v>0.90769230769230769</v>
      </c>
      <c r="N13" s="116">
        <f>Pharma!BJ68</f>
        <v>49</v>
      </c>
      <c r="O13" s="116">
        <f>Pharma!BK68</f>
        <v>1</v>
      </c>
      <c r="P13" s="114">
        <f>Pharma!N68</f>
        <v>1</v>
      </c>
      <c r="Q13" s="114">
        <f>Pharma!CC68</f>
        <v>558</v>
      </c>
      <c r="R13" s="117">
        <f>Pharma!O68</f>
        <v>5</v>
      </c>
      <c r="S13" s="117">
        <f ca="1">Pharma!CD68</f>
        <v>8.5846153846153843</v>
      </c>
      <c r="T13" s="131" t="str">
        <f t="shared" ca="1" si="1"/>
        <v>🟡 Needs Improvement</v>
      </c>
      <c r="U13" s="118"/>
    </row>
    <row r="14" spans="1:25" s="15" customFormat="1" ht="35.4" customHeight="1" thickBot="1">
      <c r="A14" s="119" t="str">
        <f>Pharma!A69</f>
        <v>RSM</v>
      </c>
      <c r="B14" s="120" t="str">
        <f>Pharma!B69</f>
        <v>Central</v>
      </c>
      <c r="C14" s="121" t="str">
        <f>Pharma!C69</f>
        <v xml:space="preserve">Lahore </v>
      </c>
      <c r="D14" s="120" t="s">
        <v>517</v>
      </c>
      <c r="E14" s="122">
        <f>Pharma!J69</f>
        <v>25</v>
      </c>
      <c r="F14" s="123">
        <f>Pharma!K69</f>
        <v>3</v>
      </c>
      <c r="G14" s="123">
        <f t="shared" si="2"/>
        <v>3</v>
      </c>
      <c r="H14" s="123">
        <f>Pharma!P69</f>
        <v>22</v>
      </c>
      <c r="I14" s="124">
        <f>Pharma!AC69</f>
        <v>21</v>
      </c>
      <c r="J14" s="124">
        <f>Pharma!AD69</f>
        <v>19</v>
      </c>
      <c r="K14" s="122">
        <f>Pharma!AV69</f>
        <v>249</v>
      </c>
      <c r="L14" s="125">
        <f>Pharma!M69</f>
        <v>22</v>
      </c>
      <c r="M14" s="122">
        <f ca="1">Pharma!AW69</f>
        <v>0.87062937062937062</v>
      </c>
      <c r="N14" s="124">
        <f>Pharma!BJ69</f>
        <v>238</v>
      </c>
      <c r="O14" s="124">
        <f>Pharma!BK69</f>
        <v>28</v>
      </c>
      <c r="P14" s="122">
        <f>Pharma!N69</f>
        <v>9</v>
      </c>
      <c r="Q14" s="122">
        <f>Pharma!CC69</f>
        <v>2482</v>
      </c>
      <c r="R14" s="125">
        <f>Pharma!O69</f>
        <v>22</v>
      </c>
      <c r="S14" s="125">
        <f ca="1">Pharma!CD69</f>
        <v>8.6783216783216783</v>
      </c>
      <c r="T14" s="132" t="str">
        <f t="shared" ca="1" si="1"/>
        <v>🟡 Needs Improvement</v>
      </c>
      <c r="U14" s="126"/>
    </row>
    <row r="15" spans="1:25" s="15" customFormat="1" ht="35.4" customHeight="1">
      <c r="A15" s="102" t="str">
        <f>Pharma!A77</f>
        <v>ASM</v>
      </c>
      <c r="B15" s="79" t="str">
        <f>Pharma!B77</f>
        <v>North</v>
      </c>
      <c r="C15" s="80" t="str">
        <f>Pharma!C77</f>
        <v xml:space="preserve">Faisalabad </v>
      </c>
      <c r="D15" s="79" t="str">
        <f>Pharma!F77</f>
        <v>M. IMRAN</v>
      </c>
      <c r="E15" s="81">
        <f>Pharma!J77</f>
        <v>6</v>
      </c>
      <c r="F15" s="88">
        <f>Pharma!K77</f>
        <v>0</v>
      </c>
      <c r="G15" s="88">
        <f t="shared" si="2"/>
        <v>1</v>
      </c>
      <c r="H15" s="88">
        <f>Pharma!P77</f>
        <v>6</v>
      </c>
      <c r="I15" s="91">
        <f>Pharma!AC77</f>
        <v>6</v>
      </c>
      <c r="J15" s="91">
        <f>Pharma!AD77</f>
        <v>5</v>
      </c>
      <c r="K15" s="81">
        <f>Pharma!AV77</f>
        <v>65</v>
      </c>
      <c r="L15" s="92">
        <f>Pharma!M77</f>
        <v>6</v>
      </c>
      <c r="M15" s="81">
        <f ca="1">Pharma!AW77</f>
        <v>0.83333333333333337</v>
      </c>
      <c r="N15" s="91">
        <f>Pharma!BJ77</f>
        <v>56</v>
      </c>
      <c r="O15" s="91">
        <f>Pharma!BK77</f>
        <v>9</v>
      </c>
      <c r="P15" s="81">
        <f>Pharma!N77</f>
        <v>5</v>
      </c>
      <c r="Q15" s="81">
        <f>Pharma!CC77</f>
        <v>595</v>
      </c>
      <c r="R15" s="92">
        <f>Pharma!O77</f>
        <v>6</v>
      </c>
      <c r="S15" s="92">
        <f ca="1">Pharma!CD77</f>
        <v>7.6282051282051277</v>
      </c>
      <c r="T15" s="129" t="str">
        <f t="shared" ca="1" si="1"/>
        <v>🟡 Needs Improvement</v>
      </c>
      <c r="U15" s="104"/>
    </row>
    <row r="16" spans="1:25" s="15" customFormat="1" ht="35.4" customHeight="1">
      <c r="A16" s="101" t="str">
        <f>Pharma!A85</f>
        <v>ASM</v>
      </c>
      <c r="B16" s="76" t="str">
        <f>Pharma!B85</f>
        <v>North</v>
      </c>
      <c r="C16" s="77" t="str">
        <f>Pharma!C85</f>
        <v xml:space="preserve">Sargodha </v>
      </c>
      <c r="D16" s="76" t="str">
        <f>Pharma!F85</f>
        <v>AMIR ABBAS</v>
      </c>
      <c r="E16" s="78">
        <f>Pharma!J85</f>
        <v>6</v>
      </c>
      <c r="F16" s="89">
        <f>Pharma!K85</f>
        <v>1</v>
      </c>
      <c r="G16" s="89">
        <f t="shared" si="2"/>
        <v>1</v>
      </c>
      <c r="H16" s="89">
        <f>Pharma!P85</f>
        <v>5</v>
      </c>
      <c r="I16" s="93">
        <f>Pharma!AC85</f>
        <v>5</v>
      </c>
      <c r="J16" s="93">
        <f>Pharma!AD85</f>
        <v>4</v>
      </c>
      <c r="K16" s="78">
        <f>Pharma!AV85</f>
        <v>56</v>
      </c>
      <c r="L16" s="94">
        <f>Pharma!M85</f>
        <v>5</v>
      </c>
      <c r="M16" s="78">
        <f ca="1">Pharma!AW85</f>
        <v>0.86153846153846148</v>
      </c>
      <c r="N16" s="93">
        <f>Pharma!BJ85</f>
        <v>38</v>
      </c>
      <c r="O16" s="93">
        <f>Pharma!BK85</f>
        <v>2</v>
      </c>
      <c r="P16" s="78">
        <f>Pharma!N85</f>
        <v>1</v>
      </c>
      <c r="Q16" s="78">
        <f>Pharma!CC85</f>
        <v>422</v>
      </c>
      <c r="R16" s="94">
        <f>Pharma!O85</f>
        <v>5</v>
      </c>
      <c r="S16" s="94">
        <f ca="1">Pharma!CD85</f>
        <v>6.4923076923076923</v>
      </c>
      <c r="T16" s="130" t="str">
        <f t="shared" ca="1" si="1"/>
        <v>🟡 Needs Improvement</v>
      </c>
      <c r="U16" s="105"/>
    </row>
    <row r="17" spans="1:21" s="15" customFormat="1" ht="35.4" customHeight="1">
      <c r="A17" s="101" t="str">
        <f>Pharma!A96</f>
        <v>ASM</v>
      </c>
      <c r="B17" s="76" t="str">
        <f>Pharma!B96</f>
        <v>North</v>
      </c>
      <c r="C17" s="77" t="str">
        <f>Pharma!C96</f>
        <v xml:space="preserve">Islamabad </v>
      </c>
      <c r="D17" s="76" t="str">
        <f>Pharma!F96</f>
        <v>MS. AMNA YASIR</v>
      </c>
      <c r="E17" s="78">
        <f>Pharma!J96</f>
        <v>9</v>
      </c>
      <c r="F17" s="89">
        <f>Pharma!K96</f>
        <v>1</v>
      </c>
      <c r="G17" s="89">
        <f t="shared" si="2"/>
        <v>1</v>
      </c>
      <c r="H17" s="89">
        <f>Pharma!P96</f>
        <v>8</v>
      </c>
      <c r="I17" s="93">
        <f>Pharma!AC96</f>
        <v>7</v>
      </c>
      <c r="J17" s="93">
        <f>Pharma!AD96</f>
        <v>7</v>
      </c>
      <c r="K17" s="78">
        <f>Pharma!AV96</f>
        <v>88</v>
      </c>
      <c r="L17" s="94">
        <f>Pharma!M96</f>
        <v>8</v>
      </c>
      <c r="M17" s="78">
        <f ca="1">Pharma!AW96</f>
        <v>0.84615384615384615</v>
      </c>
      <c r="N17" s="93">
        <f>Pharma!BJ96</f>
        <v>42</v>
      </c>
      <c r="O17" s="93">
        <f>Pharma!BK96</f>
        <v>11</v>
      </c>
      <c r="P17" s="78">
        <f>Pharma!N96</f>
        <v>4</v>
      </c>
      <c r="Q17" s="78">
        <f>Pharma!CC96</f>
        <v>649</v>
      </c>
      <c r="R17" s="94">
        <f>Pharma!O96</f>
        <v>8</v>
      </c>
      <c r="S17" s="94">
        <f ca="1">Pharma!CD96</f>
        <v>6.240384615384615</v>
      </c>
      <c r="T17" s="130" t="str">
        <f t="shared" ca="1" si="1"/>
        <v>🟡 Needs Improvement</v>
      </c>
      <c r="U17" s="105"/>
    </row>
    <row r="18" spans="1:21" s="15" customFormat="1" ht="35.4" customHeight="1" thickBot="1">
      <c r="A18" s="112" t="str">
        <f>Pharma!A107</f>
        <v>ASM</v>
      </c>
      <c r="B18" s="113" t="str">
        <f>Pharma!B107</f>
        <v>North</v>
      </c>
      <c r="C18" s="113" t="str">
        <f>Pharma!C107</f>
        <v xml:space="preserve">Peshawar </v>
      </c>
      <c r="D18" s="113" t="s">
        <v>515</v>
      </c>
      <c r="E18" s="114">
        <f>Pharma!J107</f>
        <v>9</v>
      </c>
      <c r="F18" s="115">
        <f>Pharma!K107</f>
        <v>5</v>
      </c>
      <c r="G18" s="115">
        <f t="shared" si="2"/>
        <v>0</v>
      </c>
      <c r="H18" s="115">
        <f>Pharma!P107</f>
        <v>5</v>
      </c>
      <c r="I18" s="116">
        <f>Pharma!AC107</f>
        <v>4</v>
      </c>
      <c r="J18" s="116">
        <f>Pharma!AD107</f>
        <v>4</v>
      </c>
      <c r="K18" s="114">
        <f>Pharma!AV107</f>
        <v>46</v>
      </c>
      <c r="L18" s="117">
        <f>Pharma!M107</f>
        <v>5</v>
      </c>
      <c r="M18" s="114">
        <f ca="1">Pharma!AW107</f>
        <v>0.88461538461538458</v>
      </c>
      <c r="N18" s="116">
        <f>Pharma!BJ107</f>
        <v>39</v>
      </c>
      <c r="O18" s="116">
        <f>Pharma!BK107</f>
        <v>6</v>
      </c>
      <c r="P18" s="114">
        <f>Pharma!N107</f>
        <v>2</v>
      </c>
      <c r="Q18" s="114">
        <f>Pharma!CC107</f>
        <v>420</v>
      </c>
      <c r="R18" s="117">
        <f>Pharma!O107</f>
        <v>5</v>
      </c>
      <c r="S18" s="117">
        <f ca="1">Pharma!CD107</f>
        <v>8.0769230769230766</v>
      </c>
      <c r="T18" s="131" t="str">
        <f t="shared" ca="1" si="1"/>
        <v>🟡 Needs Improvement</v>
      </c>
      <c r="U18" s="118"/>
    </row>
    <row r="19" spans="1:21" s="15" customFormat="1" ht="35.4" customHeight="1" thickBot="1">
      <c r="A19" s="119" t="str">
        <f>Pharma!A108</f>
        <v>RSM</v>
      </c>
      <c r="B19" s="120" t="str">
        <f>Pharma!B108</f>
        <v>North</v>
      </c>
      <c r="C19" s="121" t="str">
        <f>Pharma!C108</f>
        <v xml:space="preserve">Islamabad </v>
      </c>
      <c r="D19" s="120" t="s">
        <v>516</v>
      </c>
      <c r="E19" s="122">
        <f>Pharma!J108</f>
        <v>30</v>
      </c>
      <c r="F19" s="123">
        <f>Pharma!K108</f>
        <v>7</v>
      </c>
      <c r="G19" s="123">
        <f t="shared" si="2"/>
        <v>3</v>
      </c>
      <c r="H19" s="123">
        <f>Pharma!P108</f>
        <v>24</v>
      </c>
      <c r="I19" s="124">
        <f>Pharma!AC108</f>
        <v>22</v>
      </c>
      <c r="J19" s="124">
        <f>Pharma!AD108</f>
        <v>20</v>
      </c>
      <c r="K19" s="122">
        <f>Pharma!AV108</f>
        <v>255</v>
      </c>
      <c r="L19" s="125">
        <f>Pharma!M108</f>
        <v>24</v>
      </c>
      <c r="M19" s="122">
        <f ca="1">Pharma!AW108</f>
        <v>0.85284280936454859</v>
      </c>
      <c r="N19" s="124">
        <f>Pharma!BJ108</f>
        <v>175</v>
      </c>
      <c r="O19" s="124">
        <f>Pharma!BK108</f>
        <v>28</v>
      </c>
      <c r="P19" s="122">
        <f>Pharma!N108</f>
        <v>12</v>
      </c>
      <c r="Q19" s="122">
        <f>Pharma!CC108</f>
        <v>2086</v>
      </c>
      <c r="R19" s="125">
        <f>Pharma!O108</f>
        <v>24</v>
      </c>
      <c r="S19" s="125">
        <f ca="1">Pharma!CD108</f>
        <v>6.9765886287625412</v>
      </c>
      <c r="T19" s="132" t="str">
        <f t="shared" ca="1" si="1"/>
        <v>🟡 Needs Improvement</v>
      </c>
      <c r="U19" s="126"/>
    </row>
    <row r="20" spans="1:21" s="15" customFormat="1" ht="35.4" customHeight="1" thickBot="1">
      <c r="A20" s="106" t="str">
        <f>Pharma!A109</f>
        <v>HOD</v>
      </c>
      <c r="B20" s="107" t="str">
        <f>Pharma!B109</f>
        <v>National</v>
      </c>
      <c r="C20" s="107" t="str">
        <f>Pharma!C109</f>
        <v xml:space="preserve">National Pharma </v>
      </c>
      <c r="D20" s="107" t="str">
        <f>Pharma!F109</f>
        <v>M. Qaiser Hassan</v>
      </c>
      <c r="E20" s="108">
        <f>Pharma!J109</f>
        <v>76</v>
      </c>
      <c r="F20" s="109">
        <f>Pharma!K109</f>
        <v>17</v>
      </c>
      <c r="G20" s="109">
        <f t="shared" si="2"/>
        <v>9</v>
      </c>
      <c r="H20" s="109">
        <f>Pharma!P109</f>
        <v>61</v>
      </c>
      <c r="I20" s="110">
        <f>Pharma!AC109</f>
        <v>56</v>
      </c>
      <c r="J20" s="110">
        <f>Pharma!AD109</f>
        <v>50</v>
      </c>
      <c r="K20" s="108">
        <f>Pharma!AV109</f>
        <v>662</v>
      </c>
      <c r="L20" s="111">
        <f>Pharma!M109</f>
        <v>60</v>
      </c>
      <c r="M20" s="108">
        <f ca="1">Pharma!AW109</f>
        <v>0.86310299869621898</v>
      </c>
      <c r="N20" s="110">
        <f>Pharma!BJ109</f>
        <v>503</v>
      </c>
      <c r="O20" s="110">
        <f>Pharma!BK109</f>
        <v>63</v>
      </c>
      <c r="P20" s="108">
        <f>Pharma!N109</f>
        <v>24</v>
      </c>
      <c r="Q20" s="108">
        <f>Pharma!CC109</f>
        <v>5687</v>
      </c>
      <c r="R20" s="111">
        <f>Pharma!O109</f>
        <v>61</v>
      </c>
      <c r="S20" s="111">
        <f ca="1">Pharma!CD109</f>
        <v>7.4146023468057365</v>
      </c>
      <c r="T20" s="133" t="str">
        <f t="shared" ca="1" si="1"/>
        <v>🟡 Needs Improvement</v>
      </c>
      <c r="U20" s="16"/>
    </row>
    <row r="21" spans="1:21" ht="31.2"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</row>
    <row r="22" spans="1:21">
      <c r="F22" s="177"/>
    </row>
    <row r="29" spans="1:21" ht="12" customHeight="1"/>
  </sheetData>
  <autoFilter ref="A3:Y20" xr:uid="{A3FA5C30-FCC8-421C-B49B-36976A4E5308}"/>
  <mergeCells count="6">
    <mergeCell ref="U1:U3"/>
    <mergeCell ref="I1:M1"/>
    <mergeCell ref="A1:H2"/>
    <mergeCell ref="I2:M2"/>
    <mergeCell ref="N1:T1"/>
    <mergeCell ref="N2:T2"/>
  </mergeCells>
  <pageMargins left="0.17" right="0.17" top="0.45" bottom="0.17" header="0.48" footer="0.17"/>
  <pageSetup paperSize="9" scale="4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BA5C0-66CD-4B1B-BBFF-5DA36D4F9E9B}">
  <sheetPr codeName="Sheet4">
    <tabColor rgb="FF00B0F0"/>
    <pageSetUpPr fitToPage="1"/>
  </sheetPr>
  <dimension ref="A1:M29"/>
  <sheetViews>
    <sheetView view="pageBreakPreview" zoomScale="60" zoomScaleNormal="55" workbookViewId="0">
      <selection activeCell="I4" sqref="I4"/>
    </sheetView>
  </sheetViews>
  <sheetFormatPr defaultColWidth="5.88671875" defaultRowHeight="14.4"/>
  <cols>
    <col min="1" max="1" width="9.5546875" customWidth="1"/>
    <col min="2" max="2" width="15.88671875" customWidth="1"/>
    <col min="3" max="3" width="30.77734375" bestFit="1" customWidth="1"/>
    <col min="4" max="4" width="32.6640625" bestFit="1" customWidth="1"/>
    <col min="5" max="5" width="8.44140625" bestFit="1" customWidth="1"/>
    <col min="6" max="6" width="12" customWidth="1"/>
    <col min="7" max="7" width="10.44140625" hidden="1" customWidth="1"/>
    <col min="8" max="8" width="11.21875" bestFit="1" customWidth="1"/>
    <col min="9" max="9" width="12.6640625" bestFit="1" customWidth="1"/>
    <col min="10" max="10" width="10.33203125" bestFit="1" customWidth="1"/>
    <col min="11" max="11" width="14" bestFit="1" customWidth="1"/>
    <col min="12" max="12" width="9.77734375" bestFit="1" customWidth="1"/>
    <col min="13" max="13" width="36.44140625" customWidth="1"/>
    <col min="14" max="14" width="13.21875" customWidth="1"/>
    <col min="15" max="15" width="13.77734375" customWidth="1"/>
    <col min="16" max="16" width="12.44140625" customWidth="1"/>
    <col min="17" max="17" width="14.109375" bestFit="1" customWidth="1"/>
    <col min="18" max="18" width="13.88671875" bestFit="1" customWidth="1"/>
    <col min="19" max="19" width="14.109375" bestFit="1" customWidth="1"/>
    <col min="20" max="20" width="11.33203125" bestFit="1" customWidth="1"/>
    <col min="21" max="21" width="13.5546875" bestFit="1" customWidth="1"/>
    <col min="22" max="22" width="14.21875" bestFit="1" customWidth="1"/>
    <col min="23" max="23" width="13.44140625" bestFit="1" customWidth="1"/>
    <col min="24" max="24" width="11.33203125" bestFit="1" customWidth="1"/>
    <col min="25" max="25" width="13.44140625" bestFit="1" customWidth="1"/>
    <col min="26" max="26" width="13.109375" bestFit="1" customWidth="1"/>
    <col min="27" max="27" width="14.21875" bestFit="1" customWidth="1"/>
    <col min="28" max="28" width="11.33203125" bestFit="1" customWidth="1"/>
    <col min="29" max="29" width="13.5546875" bestFit="1" customWidth="1"/>
    <col min="30" max="30" width="14.21875" bestFit="1" customWidth="1"/>
    <col min="31" max="31" width="13.44140625" bestFit="1" customWidth="1"/>
    <col min="32" max="32" width="12.44140625" bestFit="1" customWidth="1"/>
    <col min="33" max="33" width="11.5546875" customWidth="1"/>
    <col min="34" max="34" width="9.5546875" bestFit="1" customWidth="1"/>
    <col min="35" max="35" width="9.109375" customWidth="1"/>
    <col min="36" max="36" width="38.44140625" bestFit="1" customWidth="1"/>
    <col min="37" max="37" width="18.44140625" bestFit="1" customWidth="1"/>
    <col min="38" max="38" width="17" bestFit="1" customWidth="1"/>
    <col min="39" max="39" width="22.5546875" bestFit="1" customWidth="1"/>
    <col min="40" max="40" width="25" bestFit="1" customWidth="1"/>
    <col min="41" max="41" width="18.33203125" bestFit="1" customWidth="1"/>
    <col min="42" max="42" width="24.109375" customWidth="1"/>
    <col min="43" max="43" width="15.88671875" customWidth="1"/>
    <col min="44" max="44" width="12.6640625" bestFit="1" customWidth="1"/>
    <col min="45" max="45" width="9.5546875" bestFit="1" customWidth="1"/>
    <col min="46" max="46" width="6.21875" bestFit="1" customWidth="1"/>
    <col min="47" max="47" width="6.21875" customWidth="1"/>
    <col min="48" max="48" width="22.88671875" customWidth="1"/>
    <col min="49" max="49" width="15.5546875" bestFit="1" customWidth="1"/>
    <col min="50" max="50" width="21.77734375" bestFit="1" customWidth="1"/>
    <col min="51" max="51" width="17.77734375" bestFit="1" customWidth="1"/>
    <col min="52" max="52" width="15.21875" bestFit="1" customWidth="1"/>
    <col min="53" max="53" width="19.33203125" bestFit="1" customWidth="1"/>
    <col min="54" max="54" width="14.5546875" bestFit="1" customWidth="1"/>
    <col min="55" max="55" width="13.77734375" bestFit="1" customWidth="1"/>
    <col min="56" max="61" width="9.88671875" bestFit="1" customWidth="1"/>
    <col min="62" max="62" width="16.21875" bestFit="1" customWidth="1"/>
    <col min="63" max="63" width="50.77734375" bestFit="1" customWidth="1"/>
    <col min="64" max="64" width="12.44140625" bestFit="1" customWidth="1"/>
    <col min="65" max="65" width="12.21875" bestFit="1" customWidth="1"/>
    <col min="66" max="66" width="12" bestFit="1" customWidth="1"/>
    <col min="67" max="67" width="15.21875" bestFit="1" customWidth="1"/>
    <col min="68" max="68" width="11.77734375" bestFit="1" customWidth="1"/>
    <col min="69" max="69" width="11.5546875" bestFit="1" customWidth="1"/>
    <col min="70" max="70" width="15.21875" bestFit="1" customWidth="1"/>
    <col min="71" max="71" width="11.77734375" bestFit="1" customWidth="1"/>
    <col min="72" max="72" width="11.5546875" bestFit="1" customWidth="1"/>
    <col min="73" max="73" width="15.21875" bestFit="1" customWidth="1"/>
    <col min="74" max="75" width="11.5546875" bestFit="1" customWidth="1"/>
    <col min="76" max="76" width="15.21875" bestFit="1" customWidth="1"/>
    <col min="77" max="77" width="11.44140625" customWidth="1"/>
    <col min="78" max="78" width="11.5546875" bestFit="1" customWidth="1"/>
    <col min="79" max="79" width="15.21875" bestFit="1" customWidth="1"/>
    <col min="80" max="80" width="11.77734375" bestFit="1" customWidth="1"/>
    <col min="81" max="81" width="11.5546875" bestFit="1" customWidth="1"/>
    <col min="82" max="82" width="15.21875" bestFit="1" customWidth="1"/>
    <col min="83" max="83" width="12.44140625" bestFit="1" customWidth="1"/>
    <col min="84" max="84" width="11.5546875" bestFit="1" customWidth="1"/>
    <col min="85" max="85" width="15.21875" bestFit="1" customWidth="1"/>
    <col min="86" max="86" width="11.77734375" bestFit="1" customWidth="1"/>
    <col min="87" max="87" width="11.5546875" bestFit="1" customWidth="1"/>
    <col min="88" max="89" width="16.6640625" bestFit="1" customWidth="1"/>
    <col min="90" max="90" width="14.44140625" bestFit="1" customWidth="1"/>
    <col min="91" max="91" width="16" bestFit="1" customWidth="1"/>
    <col min="92" max="92" width="11.77734375" bestFit="1" customWidth="1"/>
    <col min="93" max="93" width="14.44140625" bestFit="1" customWidth="1"/>
    <col min="94" max="94" width="15.21875" bestFit="1" customWidth="1"/>
    <col min="95" max="95" width="9.109375" customWidth="1"/>
    <col min="96" max="96" width="11.5546875" bestFit="1" customWidth="1"/>
    <col min="97" max="97" width="15.21875" bestFit="1" customWidth="1"/>
    <col min="98" max="98" width="11.44140625" bestFit="1" customWidth="1"/>
    <col min="99" max="99" width="11.5546875" bestFit="1" customWidth="1"/>
    <col min="100" max="100" width="24.21875" bestFit="1" customWidth="1"/>
    <col min="101" max="101" width="16.88671875" bestFit="1" customWidth="1"/>
    <col min="102" max="102" width="17" bestFit="1" customWidth="1"/>
    <col min="103" max="104" width="15.44140625" customWidth="1"/>
    <col min="105" max="105" width="58.109375" customWidth="1"/>
    <col min="106" max="106" width="8.88671875" customWidth="1"/>
    <col min="107" max="107" width="13.44140625" bestFit="1" customWidth="1"/>
    <col min="108" max="109" width="12.44140625" bestFit="1" customWidth="1"/>
    <col min="110" max="110" width="13.44140625" bestFit="1" customWidth="1"/>
    <col min="111" max="111" width="12.44140625" bestFit="1" customWidth="1"/>
    <col min="112" max="112" width="13.44140625" bestFit="1" customWidth="1"/>
    <col min="113" max="113" width="13.88671875" bestFit="1" customWidth="1"/>
    <col min="114" max="114" width="14.44140625" bestFit="1" customWidth="1"/>
    <col min="115" max="115" width="8.88671875" customWidth="1"/>
    <col min="116" max="116" width="44.44140625" customWidth="1"/>
    <col min="117" max="117" width="17.21875" bestFit="1" customWidth="1"/>
    <col min="118" max="118" width="18.44140625" bestFit="1" customWidth="1"/>
    <col min="119" max="119" width="12.6640625" bestFit="1" customWidth="1"/>
    <col min="120" max="120" width="18.6640625" bestFit="1" customWidth="1"/>
    <col min="121" max="122" width="18.5546875" customWidth="1"/>
    <col min="123" max="123" width="8.88671875" customWidth="1"/>
    <col min="124" max="136" width="14.109375" bestFit="1" customWidth="1"/>
    <col min="137" max="137" width="8.88671875" customWidth="1"/>
    <col min="138" max="149" width="13.33203125" bestFit="1" customWidth="1"/>
    <col min="150" max="150" width="8.88671875" customWidth="1"/>
    <col min="151" max="151" width="13.21875" customWidth="1"/>
    <col min="152" max="153" width="12.33203125" customWidth="1"/>
    <col min="154" max="154" width="11.109375" customWidth="1"/>
    <col min="155" max="155" width="13.33203125" bestFit="1" customWidth="1"/>
    <col min="156" max="156" width="17.5546875" bestFit="1" customWidth="1"/>
    <col min="157" max="157" width="18" bestFit="1" customWidth="1"/>
    <col min="158" max="158" width="20.88671875" bestFit="1" customWidth="1"/>
    <col min="159" max="159" width="26.6640625" bestFit="1" customWidth="1"/>
    <col min="160" max="175" width="9.109375" customWidth="1"/>
    <col min="176" max="194" width="8.88671875" customWidth="1"/>
    <col min="195" max="195" width="7.88671875" bestFit="1" customWidth="1"/>
    <col min="196" max="196" width="9.33203125" bestFit="1" customWidth="1"/>
    <col min="197" max="197" width="51" bestFit="1" customWidth="1"/>
    <col min="198" max="198" width="14.44140625" bestFit="1" customWidth="1"/>
    <col min="199" max="206" width="14.88671875" bestFit="1" customWidth="1"/>
    <col min="207" max="207" width="15.88671875" bestFit="1" customWidth="1"/>
    <col min="208" max="208" width="15.44140625" bestFit="1" customWidth="1"/>
    <col min="209" max="216" width="15.88671875" bestFit="1" customWidth="1"/>
    <col min="217" max="217" width="16.21875" bestFit="1" customWidth="1"/>
    <col min="218" max="218" width="15.88671875" bestFit="1" customWidth="1"/>
    <col min="219" max="227" width="16.21875" bestFit="1" customWidth="1"/>
    <col min="228" max="228" width="15.88671875" bestFit="1" customWidth="1"/>
    <col min="229" max="237" width="8.21875" bestFit="1" customWidth="1"/>
    <col min="238" max="238" width="7.77734375" bestFit="1" customWidth="1"/>
    <col min="239" max="247" width="8.21875" bestFit="1" customWidth="1"/>
    <col min="248" max="248" width="7.77734375" bestFit="1" customWidth="1"/>
    <col min="249" max="251" width="7.77734375" customWidth="1"/>
    <col min="252" max="258" width="8.21875" bestFit="1" customWidth="1"/>
    <col min="259" max="259" width="7.77734375" bestFit="1" customWidth="1"/>
    <col min="260" max="260" width="25.77734375" bestFit="1" customWidth="1"/>
    <col min="261" max="261" width="10.6640625" customWidth="1"/>
    <col min="262" max="262" width="63.33203125" bestFit="1" customWidth="1"/>
    <col min="263" max="263" width="13.5546875" bestFit="1" customWidth="1"/>
    <col min="264" max="266" width="14.109375" bestFit="1" customWidth="1"/>
    <col min="267" max="267" width="13.109375" bestFit="1" customWidth="1"/>
    <col min="268" max="268" width="13.5546875" bestFit="1" customWidth="1"/>
    <col min="269" max="269" width="8.5546875" customWidth="1"/>
    <col min="270" max="270" width="16.21875" bestFit="1" customWidth="1"/>
    <col min="271" max="272" width="16" bestFit="1" customWidth="1"/>
    <col min="273" max="273" width="15.5546875" bestFit="1" customWidth="1"/>
    <col min="274" max="274" width="15" bestFit="1" customWidth="1"/>
    <col min="275" max="275" width="14.5546875" bestFit="1" customWidth="1"/>
    <col min="276" max="276" width="15" bestFit="1" customWidth="1"/>
    <col min="277" max="277" width="14.5546875" bestFit="1" customWidth="1"/>
    <col min="278" max="281" width="15" bestFit="1" customWidth="1"/>
    <col min="282" max="282" width="14.5546875" bestFit="1" customWidth="1"/>
    <col min="283" max="286" width="15" bestFit="1" customWidth="1"/>
    <col min="287" max="287" width="13.5546875" bestFit="1" customWidth="1"/>
    <col min="288" max="290" width="14.109375" bestFit="1" customWidth="1"/>
    <col min="291" max="291" width="13.109375" bestFit="1" customWidth="1"/>
    <col min="292" max="294" width="13.5546875" bestFit="1" customWidth="1"/>
    <col min="295" max="295" width="13.109375" bestFit="1" customWidth="1"/>
    <col min="296" max="296" width="13.5546875" bestFit="1" customWidth="1"/>
    <col min="297" max="297" width="12.77734375" bestFit="1" customWidth="1"/>
    <col min="298" max="298" width="13.5546875" bestFit="1" customWidth="1"/>
    <col min="299" max="299" width="13.109375" bestFit="1" customWidth="1"/>
    <col min="300" max="300" width="13.5546875" bestFit="1" customWidth="1"/>
    <col min="301" max="303" width="13.109375" bestFit="1" customWidth="1"/>
    <col min="304" max="304" width="8.5546875" customWidth="1"/>
    <col min="305" max="305" width="30.44140625" bestFit="1" customWidth="1"/>
    <col min="306" max="307" width="14.6640625" bestFit="1" customWidth="1"/>
    <col min="308" max="308" width="5.88671875" customWidth="1"/>
    <col min="309" max="309" width="9.33203125" bestFit="1" customWidth="1"/>
    <col min="310" max="310" width="40.109375" customWidth="1"/>
    <col min="311" max="311" width="16.6640625" bestFit="1" customWidth="1"/>
    <col min="312" max="312" width="15" bestFit="1" customWidth="1"/>
    <col min="313" max="313" width="10.5546875" bestFit="1" customWidth="1"/>
    <col min="314" max="314" width="20.77734375" bestFit="1" customWidth="1"/>
    <col min="315" max="315" width="17.109375" bestFit="1" customWidth="1"/>
    <col min="316" max="316" width="15" bestFit="1" customWidth="1"/>
    <col min="317" max="317" width="14.5546875" bestFit="1" customWidth="1"/>
    <col min="318" max="318" width="20.77734375" bestFit="1" customWidth="1"/>
    <col min="319" max="319" width="15.21875" bestFit="1" customWidth="1"/>
    <col min="320" max="320" width="15" bestFit="1" customWidth="1"/>
    <col min="321" max="321" width="10.5546875" bestFit="1" customWidth="1"/>
    <col min="322" max="322" width="20.77734375" bestFit="1" customWidth="1"/>
    <col min="323" max="323" width="15.6640625" bestFit="1" customWidth="1"/>
    <col min="324" max="324" width="15" bestFit="1" customWidth="1"/>
    <col min="325" max="325" width="14.5546875" bestFit="1" customWidth="1"/>
    <col min="326" max="326" width="20.77734375" bestFit="1" customWidth="1"/>
    <col min="327" max="327" width="15.21875" bestFit="1" customWidth="1"/>
    <col min="328" max="328" width="15" bestFit="1" customWidth="1"/>
    <col min="329" max="329" width="10.5546875" bestFit="1" customWidth="1"/>
    <col min="330" max="330" width="20.77734375" bestFit="1" customWidth="1"/>
    <col min="331" max="331" width="15.21875" bestFit="1" customWidth="1"/>
    <col min="332" max="332" width="15" bestFit="1" customWidth="1"/>
    <col min="333" max="333" width="10.5546875" bestFit="1" customWidth="1"/>
    <col min="334" max="334" width="20.77734375" bestFit="1" customWidth="1"/>
    <col min="335" max="335" width="15.21875" bestFit="1" customWidth="1"/>
    <col min="336" max="336" width="15" bestFit="1" customWidth="1"/>
    <col min="337" max="337" width="10.5546875" bestFit="1" customWidth="1"/>
    <col min="338" max="338" width="11.33203125" bestFit="1" customWidth="1"/>
    <col min="339" max="339" width="15.6640625" bestFit="1" customWidth="1"/>
    <col min="340" max="340" width="15.77734375" bestFit="1" customWidth="1"/>
    <col min="341" max="341" width="12.33203125" bestFit="1" customWidth="1"/>
    <col min="342" max="342" width="19.77734375" bestFit="1" customWidth="1"/>
    <col min="343" max="343" width="15.21875" bestFit="1" customWidth="1"/>
    <col min="344" max="344" width="15" bestFit="1" customWidth="1"/>
    <col min="345" max="345" width="10.5546875" bestFit="1" customWidth="1"/>
    <col min="346" max="346" width="20.77734375" bestFit="1" customWidth="1"/>
    <col min="347" max="347" width="15.21875" bestFit="1" customWidth="1"/>
    <col min="348" max="348" width="15" bestFit="1" customWidth="1"/>
    <col min="349" max="349" width="12.77734375" bestFit="1" customWidth="1"/>
    <col min="350" max="350" width="19.77734375" bestFit="1" customWidth="1"/>
    <col min="351" max="351" width="15.21875" bestFit="1" customWidth="1"/>
    <col min="352" max="352" width="15" bestFit="1" customWidth="1"/>
    <col min="353" max="353" width="10.5546875" bestFit="1" customWidth="1"/>
    <col min="354" max="354" width="20.77734375" bestFit="1" customWidth="1"/>
    <col min="355" max="355" width="15.21875" bestFit="1" customWidth="1"/>
    <col min="356" max="356" width="15" bestFit="1" customWidth="1"/>
    <col min="357" max="357" width="12.6640625" bestFit="1" customWidth="1"/>
    <col min="358" max="358" width="20.77734375" bestFit="1" customWidth="1"/>
    <col min="359" max="359" width="15.21875" bestFit="1" customWidth="1"/>
    <col min="360" max="360" width="15" bestFit="1" customWidth="1"/>
    <col min="361" max="361" width="10.5546875" bestFit="1" customWidth="1"/>
    <col min="362" max="362" width="20.77734375" bestFit="1" customWidth="1"/>
    <col min="363" max="364" width="15" bestFit="1" customWidth="1"/>
    <col min="365" max="365" width="12.33203125" bestFit="1" customWidth="1"/>
    <col min="366" max="366" width="20.77734375" bestFit="1" customWidth="1"/>
    <col min="367" max="367" width="15.21875" bestFit="1" customWidth="1"/>
    <col min="368" max="368" width="15" bestFit="1" customWidth="1"/>
    <col min="369" max="369" width="10.5546875" bestFit="1" customWidth="1"/>
    <col min="370" max="370" width="20.77734375" bestFit="1" customWidth="1"/>
    <col min="371" max="371" width="15.6640625" bestFit="1" customWidth="1"/>
    <col min="372" max="372" width="15" bestFit="1" customWidth="1"/>
    <col min="373" max="373" width="10.5546875" bestFit="1" customWidth="1"/>
    <col min="374" max="374" width="20.77734375" bestFit="1" customWidth="1"/>
    <col min="375" max="375" width="15.21875" bestFit="1" customWidth="1"/>
    <col min="376" max="376" width="15" bestFit="1" customWidth="1"/>
    <col min="377" max="377" width="10.5546875" bestFit="1" customWidth="1"/>
    <col min="378" max="378" width="20.77734375" bestFit="1" customWidth="1"/>
    <col min="379" max="379" width="14.88671875" bestFit="1" customWidth="1"/>
    <col min="380" max="380" width="15" bestFit="1" customWidth="1"/>
    <col min="381" max="381" width="12.33203125" bestFit="1" customWidth="1"/>
    <col min="382" max="382" width="14" bestFit="1" customWidth="1"/>
    <col min="383" max="383" width="15.21875" bestFit="1" customWidth="1"/>
    <col min="384" max="384" width="15" bestFit="1" customWidth="1"/>
    <col min="385" max="385" width="10.5546875" bestFit="1" customWidth="1"/>
    <col min="386" max="386" width="20.77734375" bestFit="1" customWidth="1"/>
    <col min="387" max="387" width="15.109375" bestFit="1" customWidth="1"/>
    <col min="388" max="388" width="15" bestFit="1" customWidth="1"/>
    <col min="389" max="389" width="12.33203125" bestFit="1" customWidth="1"/>
    <col min="390" max="390" width="20.77734375" bestFit="1" customWidth="1"/>
    <col min="391" max="391" width="15.21875" bestFit="1" customWidth="1"/>
    <col min="392" max="392" width="15" bestFit="1" customWidth="1"/>
    <col min="393" max="393" width="10.5546875" bestFit="1" customWidth="1"/>
    <col min="394" max="394" width="20.77734375" bestFit="1" customWidth="1"/>
    <col min="395" max="395" width="15.109375" bestFit="1" customWidth="1"/>
    <col min="396" max="396" width="15" bestFit="1" customWidth="1"/>
    <col min="397" max="397" width="12.33203125" bestFit="1" customWidth="1"/>
    <col min="398" max="398" width="20.77734375" bestFit="1" customWidth="1"/>
    <col min="399" max="399" width="15.21875" bestFit="1" customWidth="1"/>
    <col min="400" max="400" width="15" bestFit="1" customWidth="1"/>
    <col min="401" max="401" width="10.5546875" bestFit="1" customWidth="1"/>
    <col min="402" max="402" width="20.77734375" bestFit="1" customWidth="1"/>
    <col min="403" max="403" width="15.109375" bestFit="1" customWidth="1"/>
    <col min="404" max="404" width="15" bestFit="1" customWidth="1"/>
    <col min="405" max="405" width="12.33203125" bestFit="1" customWidth="1"/>
    <col min="406" max="406" width="20.77734375" bestFit="1" customWidth="1"/>
    <col min="407" max="411" width="5.88671875" customWidth="1"/>
    <col min="412" max="412" width="9.88671875" bestFit="1" customWidth="1"/>
    <col min="413" max="413" width="10.109375" bestFit="1" customWidth="1"/>
    <col min="414" max="414" width="47.33203125" bestFit="1" customWidth="1"/>
    <col min="415" max="415" width="17.109375" bestFit="1" customWidth="1"/>
    <col min="416" max="417" width="18.33203125" bestFit="1" customWidth="1"/>
    <col min="418" max="418" width="17.88671875" bestFit="1" customWidth="1"/>
    <col min="419" max="419" width="18.109375" bestFit="1" customWidth="1"/>
    <col min="420" max="420" width="18.33203125" bestFit="1" customWidth="1"/>
    <col min="421" max="421" width="17.88671875" bestFit="1" customWidth="1"/>
    <col min="422" max="422" width="18.109375" bestFit="1" customWidth="1"/>
    <col min="423" max="423" width="17.88671875" bestFit="1" customWidth="1"/>
    <col min="424" max="424" width="17.6640625" bestFit="1" customWidth="1"/>
    <col min="425" max="425" width="18.33203125" bestFit="1" customWidth="1"/>
    <col min="426" max="426" width="17.88671875" bestFit="1" customWidth="1"/>
    <col min="427" max="427" width="15.77734375" bestFit="1" customWidth="1"/>
    <col min="428" max="428" width="5.88671875" customWidth="1"/>
    <col min="429" max="429" width="10.109375" bestFit="1" customWidth="1"/>
    <col min="430" max="430" width="55.44140625" bestFit="1" customWidth="1"/>
    <col min="431" max="433" width="19.77734375" bestFit="1" customWidth="1"/>
    <col min="434" max="434" width="20.21875" bestFit="1" customWidth="1"/>
    <col min="435" max="436" width="19.77734375" bestFit="1" customWidth="1"/>
    <col min="437" max="437" width="20.21875" bestFit="1" customWidth="1"/>
    <col min="438" max="438" width="19.77734375" bestFit="1" customWidth="1"/>
    <col min="439" max="439" width="20.21875" bestFit="1" customWidth="1"/>
    <col min="440" max="440" width="19" bestFit="1" customWidth="1"/>
    <col min="441" max="441" width="19.77734375" bestFit="1" customWidth="1"/>
    <col min="442" max="442" width="20.21875" bestFit="1" customWidth="1"/>
    <col min="443" max="444" width="5.88671875" customWidth="1"/>
    <col min="445" max="445" width="10.109375" bestFit="1" customWidth="1"/>
    <col min="446" max="446" width="55.44140625" bestFit="1" customWidth="1"/>
    <col min="447" max="449" width="19.77734375" bestFit="1" customWidth="1"/>
    <col min="450" max="450" width="20.21875" bestFit="1" customWidth="1"/>
    <col min="451" max="452" width="19.77734375" bestFit="1" customWidth="1"/>
    <col min="453" max="453" width="20.21875" bestFit="1" customWidth="1"/>
    <col min="454" max="454" width="19.77734375" bestFit="1" customWidth="1"/>
    <col min="455" max="455" width="20.21875" bestFit="1" customWidth="1"/>
    <col min="456" max="456" width="19" bestFit="1" customWidth="1"/>
    <col min="457" max="457" width="19.77734375" bestFit="1" customWidth="1"/>
    <col min="458" max="458" width="20.21875" bestFit="1" customWidth="1"/>
    <col min="459" max="463" width="5.88671875" customWidth="1"/>
    <col min="464" max="464" width="10.109375" bestFit="1" customWidth="1"/>
    <col min="465" max="465" width="47.33203125" bestFit="1" customWidth="1"/>
    <col min="466" max="466" width="17.109375" bestFit="1" customWidth="1"/>
    <col min="467" max="468" width="18.33203125" bestFit="1" customWidth="1"/>
    <col min="469" max="469" width="17.88671875" bestFit="1" customWidth="1"/>
    <col min="470" max="470" width="18.109375" bestFit="1" customWidth="1"/>
    <col min="471" max="471" width="18.33203125" bestFit="1" customWidth="1"/>
    <col min="472" max="472" width="17.88671875" bestFit="1" customWidth="1"/>
    <col min="473" max="473" width="18.109375" bestFit="1" customWidth="1"/>
    <col min="474" max="474" width="17.88671875" bestFit="1" customWidth="1"/>
    <col min="475" max="475" width="17.6640625" bestFit="1" customWidth="1"/>
    <col min="476" max="476" width="18.33203125" bestFit="1" customWidth="1"/>
    <col min="477" max="477" width="17.88671875" bestFit="1" customWidth="1"/>
    <col min="478" max="478" width="15.77734375" bestFit="1" customWidth="1"/>
    <col min="479" max="479" width="5.88671875" customWidth="1"/>
    <col min="480" max="480" width="13.21875" bestFit="1" customWidth="1"/>
    <col min="481" max="484" width="12" bestFit="1" customWidth="1"/>
    <col min="485" max="485" width="5.88671875" customWidth="1"/>
    <col min="486" max="486" width="11.6640625" bestFit="1" customWidth="1"/>
    <col min="487" max="532" width="5.88671875" customWidth="1"/>
  </cols>
  <sheetData>
    <row r="1" spans="1:13" ht="30.6" thickBot="1">
      <c r="A1" s="204" t="str">
        <f>'ASM RSM'!A1</f>
        <v>PHARMA Team – IKON MTD Call Performance Summary Till 14-OCT-2026</v>
      </c>
      <c r="B1" s="205"/>
      <c r="C1" s="205"/>
      <c r="D1" s="205"/>
      <c r="E1" s="205"/>
      <c r="F1" s="205"/>
      <c r="G1" s="205"/>
      <c r="H1" s="206"/>
      <c r="I1" s="199" t="str">
        <f>'ASM RSM'!I1</f>
        <v>Attendance</v>
      </c>
      <c r="J1" s="200"/>
      <c r="K1" s="221" t="str">
        <f>'ASM RSM'!N1</f>
        <v>Calls + Other Exceptions</v>
      </c>
      <c r="L1" s="222"/>
      <c r="M1" s="223" t="str">
        <f>'ASM RSM'!U1</f>
        <v>Comments</v>
      </c>
    </row>
    <row r="2" spans="1:13" ht="28.8" thickBot="1">
      <c r="A2" s="207"/>
      <c r="B2" s="208"/>
      <c r="C2" s="208"/>
      <c r="D2" s="208"/>
      <c r="E2" s="208"/>
      <c r="F2" s="208"/>
      <c r="G2" s="208"/>
      <c r="H2" s="209"/>
      <c r="I2" s="210">
        <f>'ASM RSM'!I2</f>
        <v>46309</v>
      </c>
      <c r="J2" s="211"/>
      <c r="K2" s="226">
        <f>'ASM RSM'!N2</f>
        <v>46309</v>
      </c>
      <c r="L2" s="227"/>
      <c r="M2" s="224"/>
    </row>
    <row r="3" spans="1:13" ht="105.6" thickBot="1">
      <c r="A3" s="82" t="str">
        <f>'ASM RSM'!A3</f>
        <v>Desig</v>
      </c>
      <c r="B3" s="83" t="str">
        <f>'ASM RSM'!B3</f>
        <v>Zone</v>
      </c>
      <c r="C3" s="84" t="str">
        <f>'ASM RSM'!C3</f>
        <v>PHR Region</v>
      </c>
      <c r="D3" s="83" t="str">
        <f>'ASM RSM'!D3</f>
        <v>F.F Name</v>
      </c>
      <c r="E3" s="83" t="str">
        <f>'ASM RSM'!E3</f>
        <v>Reps</v>
      </c>
      <c r="F3" s="87" t="str">
        <f>'ASM RSM'!F3</f>
        <v># Of 
Vacant</v>
      </c>
      <c r="G3" s="87" t="str">
        <f>'ASM RSM'!G3</f>
        <v>Not Used
IKON Toay</v>
      </c>
      <c r="H3" s="100" t="s">
        <v>420</v>
      </c>
      <c r="I3" s="90" t="str">
        <f>'ASM RSM'!J3</f>
        <v># of Attn Today</v>
      </c>
      <c r="J3" s="85" t="str">
        <f>'ASM RSM'!K3</f>
        <v xml:space="preserve"># of Attn MTD </v>
      </c>
      <c r="K3" s="95" t="str">
        <f>'ASM RSM'!O3</f>
        <v># of Calls Today</v>
      </c>
      <c r="L3" s="86" t="str">
        <f>'ASM RSM'!P3</f>
        <v>Active MIOs Today</v>
      </c>
      <c r="M3" s="225"/>
    </row>
    <row r="4" spans="1:13" s="15" customFormat="1" ht="35.4" customHeight="1">
      <c r="A4" s="102" t="str">
        <f>'ASM RSM'!A4</f>
        <v>ASM</v>
      </c>
      <c r="B4" s="79" t="str">
        <f>'ASM RSM'!B4</f>
        <v>South</v>
      </c>
      <c r="C4" s="80" t="str">
        <f>'ASM RSM'!C4</f>
        <v xml:space="preserve">Karachi-1 </v>
      </c>
      <c r="D4" s="79" t="str">
        <f>'ASM RSM'!D4</f>
        <v>VACANT ASM KHI-01</v>
      </c>
      <c r="E4" s="81">
        <f>'ASM RSM'!E4</f>
        <v>5</v>
      </c>
      <c r="F4" s="88">
        <f>'ASM RSM'!F4</f>
        <v>4</v>
      </c>
      <c r="G4" s="88">
        <f>'ASM RSM'!G4</f>
        <v>1</v>
      </c>
      <c r="H4" s="88">
        <f>E4-I4</f>
        <v>5</v>
      </c>
      <c r="I4" s="91">
        <f>'ASM RSM'!J4</f>
        <v>0</v>
      </c>
      <c r="J4" s="81">
        <f>'ASM RSM'!K4</f>
        <v>10</v>
      </c>
      <c r="K4" s="91">
        <f>'ASM RSM'!O4</f>
        <v>0</v>
      </c>
      <c r="L4" s="81">
        <f>'ASM RSM'!P4</f>
        <v>0</v>
      </c>
      <c r="M4" s="104"/>
    </row>
    <row r="5" spans="1:13" s="15" customFormat="1" ht="35.4" customHeight="1">
      <c r="A5" s="101" t="str">
        <f>'ASM RSM'!A5</f>
        <v>ASM</v>
      </c>
      <c r="B5" s="76" t="str">
        <f>'ASM RSM'!B5</f>
        <v>South</v>
      </c>
      <c r="C5" s="77" t="str">
        <f>'ASM RSM'!C5</f>
        <v xml:space="preserve">Karachi-2 </v>
      </c>
      <c r="D5" s="76" t="str">
        <f>'ASM RSM'!D5</f>
        <v>M. ALI ANIS</v>
      </c>
      <c r="E5" s="78">
        <f>'ASM RSM'!E5</f>
        <v>4</v>
      </c>
      <c r="F5" s="89">
        <f>'ASM RSM'!F5</f>
        <v>1</v>
      </c>
      <c r="G5" s="89">
        <f>'ASM RSM'!G5</f>
        <v>1</v>
      </c>
      <c r="H5" s="89">
        <f t="shared" ref="H5:H20" si="0">E5-I5</f>
        <v>2</v>
      </c>
      <c r="I5" s="93">
        <f>'ASM RSM'!J5</f>
        <v>2</v>
      </c>
      <c r="J5" s="78">
        <f>'ASM RSM'!K5</f>
        <v>32</v>
      </c>
      <c r="K5" s="93">
        <f>'ASM RSM'!O5</f>
        <v>1</v>
      </c>
      <c r="L5" s="78">
        <f>'ASM RSM'!P5</f>
        <v>1</v>
      </c>
      <c r="M5" s="105"/>
    </row>
    <row r="6" spans="1:13" s="15" customFormat="1" ht="35.4" customHeight="1">
      <c r="A6" s="101" t="str">
        <f>'ASM RSM'!A6</f>
        <v>ASM</v>
      </c>
      <c r="B6" s="76" t="str">
        <f>'ASM RSM'!B6</f>
        <v>South</v>
      </c>
      <c r="C6" s="77" t="str">
        <f>'ASM RSM'!C6</f>
        <v xml:space="preserve">Hyderabad </v>
      </c>
      <c r="D6" s="76" t="str">
        <f>'ASM RSM'!D6</f>
        <v>IMRAN QURESHI</v>
      </c>
      <c r="E6" s="78">
        <f>'ASM RSM'!E6</f>
        <v>6</v>
      </c>
      <c r="F6" s="89">
        <f>'ASM RSM'!F6</f>
        <v>1</v>
      </c>
      <c r="G6" s="89">
        <f>'ASM RSM'!G6</f>
        <v>0</v>
      </c>
      <c r="H6" s="89">
        <f t="shared" si="0"/>
        <v>1</v>
      </c>
      <c r="I6" s="93">
        <f>'ASM RSM'!J6</f>
        <v>5</v>
      </c>
      <c r="J6" s="78">
        <f>'ASM RSM'!K6</f>
        <v>59</v>
      </c>
      <c r="K6" s="93">
        <f>'ASM RSM'!O6</f>
        <v>3</v>
      </c>
      <c r="L6" s="78">
        <f>'ASM RSM'!P6</f>
        <v>1</v>
      </c>
      <c r="M6" s="105"/>
    </row>
    <row r="7" spans="1:13" s="15" customFormat="1" ht="35.4" customHeight="1" thickBot="1">
      <c r="A7" s="112" t="str">
        <f>'ASM RSM'!A7</f>
        <v>ASM</v>
      </c>
      <c r="B7" s="113" t="str">
        <f>'ASM RSM'!B7</f>
        <v>South</v>
      </c>
      <c r="C7" s="127" t="str">
        <f>'ASM RSM'!C7</f>
        <v xml:space="preserve">Sukkur </v>
      </c>
      <c r="D7" s="113" t="str">
        <f>'ASM RSM'!D7</f>
        <v>TAHIR HUSSAIN</v>
      </c>
      <c r="E7" s="114">
        <f>'ASM RSM'!E7</f>
        <v>6</v>
      </c>
      <c r="F7" s="115">
        <f>'ASM RSM'!F7</f>
        <v>1</v>
      </c>
      <c r="G7" s="115">
        <f>'ASM RSM'!G7</f>
        <v>1</v>
      </c>
      <c r="H7" s="115">
        <f t="shared" si="0"/>
        <v>2</v>
      </c>
      <c r="I7" s="116">
        <f>'ASM RSM'!J7</f>
        <v>4</v>
      </c>
      <c r="J7" s="114">
        <f>'ASM RSM'!K7</f>
        <v>57</v>
      </c>
      <c r="K7" s="116">
        <f>'ASM RSM'!O7</f>
        <v>3</v>
      </c>
      <c r="L7" s="114">
        <f>'ASM RSM'!P7</f>
        <v>1</v>
      </c>
      <c r="M7" s="118"/>
    </row>
    <row r="8" spans="1:13" s="15" customFormat="1" ht="35.4" customHeight="1" thickBot="1">
      <c r="A8" s="119" t="str">
        <f>'ASM RSM'!A8</f>
        <v>RSM</v>
      </c>
      <c r="B8" s="120" t="str">
        <f>'ASM RSM'!B8</f>
        <v>South</v>
      </c>
      <c r="C8" s="121" t="str">
        <f>'ASM RSM'!C8</f>
        <v xml:space="preserve">Karachi </v>
      </c>
      <c r="D8" s="120" t="str">
        <f>'ASM RSM'!D8</f>
        <v>Mr. Zahid Ali Shah</v>
      </c>
      <c r="E8" s="122">
        <f>'ASM RSM'!E8</f>
        <v>21</v>
      </c>
      <c r="F8" s="123">
        <f>'ASM RSM'!F8</f>
        <v>7</v>
      </c>
      <c r="G8" s="123">
        <f>'ASM RSM'!G8</f>
        <v>3</v>
      </c>
      <c r="H8" s="123">
        <f t="shared" si="0"/>
        <v>10</v>
      </c>
      <c r="I8" s="124">
        <f>'ASM RSM'!J8</f>
        <v>11</v>
      </c>
      <c r="J8" s="122">
        <f>'ASM RSM'!K8</f>
        <v>158</v>
      </c>
      <c r="K8" s="124">
        <f>'ASM RSM'!O8</f>
        <v>7</v>
      </c>
      <c r="L8" s="122">
        <f>'ASM RSM'!P8</f>
        <v>3</v>
      </c>
      <c r="M8" s="126"/>
    </row>
    <row r="9" spans="1:13" s="15" customFormat="1" ht="35.4" customHeight="1">
      <c r="A9" s="102" t="str">
        <f>'ASM RSM'!A9</f>
        <v>ASM</v>
      </c>
      <c r="B9" s="79" t="str">
        <f>'ASM RSM'!B9</f>
        <v>Central</v>
      </c>
      <c r="C9" s="80" t="str">
        <f>'ASM RSM'!C9</f>
        <v xml:space="preserve">Lahore-1 </v>
      </c>
      <c r="D9" s="79" t="str">
        <f>'ASM RSM'!D9</f>
        <v>SHAHID SULTAN</v>
      </c>
      <c r="E9" s="81">
        <f>'ASM RSM'!E9</f>
        <v>5</v>
      </c>
      <c r="F9" s="88">
        <f>'ASM RSM'!F9</f>
        <v>1</v>
      </c>
      <c r="G9" s="88">
        <f>'ASM RSM'!G9</f>
        <v>1</v>
      </c>
      <c r="H9" s="88">
        <f t="shared" si="0"/>
        <v>2</v>
      </c>
      <c r="I9" s="91">
        <f>'ASM RSM'!J9</f>
        <v>3</v>
      </c>
      <c r="J9" s="81">
        <f>'ASM RSM'!K9</f>
        <v>42</v>
      </c>
      <c r="K9" s="91">
        <f>'ASM RSM'!O9</f>
        <v>13</v>
      </c>
      <c r="L9" s="81">
        <f>'ASM RSM'!P9</f>
        <v>3</v>
      </c>
      <c r="M9" s="104"/>
    </row>
    <row r="10" spans="1:13" s="15" customFormat="1" ht="35.4" customHeight="1">
      <c r="A10" s="101" t="str">
        <f>'ASM RSM'!A10</f>
        <v>ASM</v>
      </c>
      <c r="B10" s="76" t="str">
        <f>'ASM RSM'!B10</f>
        <v>Central</v>
      </c>
      <c r="C10" s="77" t="str">
        <f>'ASM RSM'!C10</f>
        <v xml:space="preserve">Lahore-2 </v>
      </c>
      <c r="D10" s="76" t="str">
        <f>'ASM RSM'!D10</f>
        <v>M. KHURRAM NAZIR</v>
      </c>
      <c r="E10" s="78">
        <f>'ASM RSM'!E10</f>
        <v>5</v>
      </c>
      <c r="F10" s="89">
        <f>'ASM RSM'!F10</f>
        <v>1</v>
      </c>
      <c r="G10" s="89">
        <f>'ASM RSM'!G10</f>
        <v>1</v>
      </c>
      <c r="H10" s="89">
        <f t="shared" si="0"/>
        <v>2</v>
      </c>
      <c r="I10" s="93">
        <f>'ASM RSM'!J10</f>
        <v>3</v>
      </c>
      <c r="J10" s="78">
        <f>'ASM RSM'!K10</f>
        <v>41</v>
      </c>
      <c r="K10" s="93">
        <f>'ASM RSM'!O10</f>
        <v>1</v>
      </c>
      <c r="L10" s="78">
        <f>'ASM RSM'!P10</f>
        <v>1</v>
      </c>
      <c r="M10" s="105"/>
    </row>
    <row r="11" spans="1:13" s="15" customFormat="1" ht="35.4" customHeight="1">
      <c r="A11" s="101" t="str">
        <f>'ASM RSM'!A11</f>
        <v>ASM</v>
      </c>
      <c r="B11" s="76" t="str">
        <f>'ASM RSM'!B11</f>
        <v>Central</v>
      </c>
      <c r="C11" s="77" t="str">
        <f>'ASM RSM'!C11</f>
        <v xml:space="preserve">Gujranwala-1 </v>
      </c>
      <c r="D11" s="76" t="str">
        <f>'ASM RSM'!D11</f>
        <v>UMAR SHARIF</v>
      </c>
      <c r="E11" s="78">
        <f>'ASM RSM'!E11</f>
        <v>5</v>
      </c>
      <c r="F11" s="89">
        <f>'ASM RSM'!F11</f>
        <v>1</v>
      </c>
      <c r="G11" s="89">
        <f>'ASM RSM'!G11</f>
        <v>1</v>
      </c>
      <c r="H11" s="89">
        <f t="shared" si="0"/>
        <v>2</v>
      </c>
      <c r="I11" s="93">
        <f>'ASM RSM'!J11</f>
        <v>3</v>
      </c>
      <c r="J11" s="78">
        <f>'ASM RSM'!K11</f>
        <v>47</v>
      </c>
      <c r="K11" s="93">
        <f>'ASM RSM'!O11</f>
        <v>8</v>
      </c>
      <c r="L11" s="78">
        <f>'ASM RSM'!P11</f>
        <v>1</v>
      </c>
      <c r="M11" s="105"/>
    </row>
    <row r="12" spans="1:13" s="15" customFormat="1" ht="35.4" customHeight="1">
      <c r="A12" s="101" t="str">
        <f>'ASM RSM'!A12</f>
        <v>ASM</v>
      </c>
      <c r="B12" s="76" t="str">
        <f>'ASM RSM'!B12</f>
        <v>Central</v>
      </c>
      <c r="C12" s="77" t="str">
        <f>'ASM RSM'!C12</f>
        <v xml:space="preserve">Bahawalpur </v>
      </c>
      <c r="D12" s="76" t="str">
        <f>'ASM RSM'!D12</f>
        <v>WAJIH UL MALIK</v>
      </c>
      <c r="E12" s="78">
        <f>'ASM RSM'!E12</f>
        <v>5</v>
      </c>
      <c r="F12" s="89">
        <f>'ASM RSM'!F12</f>
        <v>0</v>
      </c>
      <c r="G12" s="89">
        <f>'ASM RSM'!G12</f>
        <v>0</v>
      </c>
      <c r="H12" s="89">
        <f t="shared" si="0"/>
        <v>0</v>
      </c>
      <c r="I12" s="93">
        <f>'ASM RSM'!J12</f>
        <v>5</v>
      </c>
      <c r="J12" s="78">
        <f>'ASM RSM'!K12</f>
        <v>60</v>
      </c>
      <c r="K12" s="93">
        <f>'ASM RSM'!O12</f>
        <v>5</v>
      </c>
      <c r="L12" s="78">
        <f>'ASM RSM'!P12</f>
        <v>3</v>
      </c>
      <c r="M12" s="105"/>
    </row>
    <row r="13" spans="1:13" s="15" customFormat="1" ht="35.4" customHeight="1" thickBot="1">
      <c r="A13" s="112" t="str">
        <f>'ASM RSM'!A13</f>
        <v>ASM</v>
      </c>
      <c r="B13" s="113" t="str">
        <f>'ASM RSM'!B13</f>
        <v>Central</v>
      </c>
      <c r="C13" s="127" t="str">
        <f>'ASM RSM'!C13</f>
        <v xml:space="preserve">Multan </v>
      </c>
      <c r="D13" s="113" t="str">
        <f>'ASM RSM'!D13</f>
        <v>M. SAJID</v>
      </c>
      <c r="E13" s="114">
        <f>'ASM RSM'!E13</f>
        <v>5</v>
      </c>
      <c r="F13" s="115">
        <f>'ASM RSM'!F13</f>
        <v>0</v>
      </c>
      <c r="G13" s="115">
        <f>'ASM RSM'!G13</f>
        <v>0</v>
      </c>
      <c r="H13" s="115">
        <f t="shared" si="0"/>
        <v>0</v>
      </c>
      <c r="I13" s="116">
        <f>'ASM RSM'!J13</f>
        <v>5</v>
      </c>
      <c r="J13" s="114">
        <f>'ASM RSM'!K13</f>
        <v>59</v>
      </c>
      <c r="K13" s="116">
        <f>'ASM RSM'!O13</f>
        <v>1</v>
      </c>
      <c r="L13" s="114">
        <f>'ASM RSM'!P13</f>
        <v>1</v>
      </c>
      <c r="M13" s="118"/>
    </row>
    <row r="14" spans="1:13" s="15" customFormat="1" ht="35.4" customHeight="1" thickBot="1">
      <c r="A14" s="119" t="str">
        <f>'ASM RSM'!A14</f>
        <v>RSM</v>
      </c>
      <c r="B14" s="120" t="str">
        <f>'ASM RSM'!B14</f>
        <v>Central</v>
      </c>
      <c r="C14" s="121" t="str">
        <f>'ASM RSM'!C14</f>
        <v xml:space="preserve">Lahore </v>
      </c>
      <c r="D14" s="120" t="str">
        <f>'ASM RSM'!D14</f>
        <v>ATIF SULTAN</v>
      </c>
      <c r="E14" s="122">
        <f>'ASM RSM'!E14</f>
        <v>25</v>
      </c>
      <c r="F14" s="123">
        <f>'ASM RSM'!F14</f>
        <v>3</v>
      </c>
      <c r="G14" s="123">
        <f>'ASM RSM'!G14</f>
        <v>3</v>
      </c>
      <c r="H14" s="123">
        <f t="shared" si="0"/>
        <v>6</v>
      </c>
      <c r="I14" s="124">
        <f>'ASM RSM'!J14</f>
        <v>19</v>
      </c>
      <c r="J14" s="122">
        <f>'ASM RSM'!K14</f>
        <v>249</v>
      </c>
      <c r="K14" s="124">
        <f>'ASM RSM'!O14</f>
        <v>28</v>
      </c>
      <c r="L14" s="122">
        <f>'ASM RSM'!P14</f>
        <v>9</v>
      </c>
      <c r="M14" s="126"/>
    </row>
    <row r="15" spans="1:13" s="15" customFormat="1" ht="35.4" customHeight="1">
      <c r="A15" s="102" t="str">
        <f>'ASM RSM'!A15</f>
        <v>ASM</v>
      </c>
      <c r="B15" s="79" t="str">
        <f>'ASM RSM'!B15</f>
        <v>North</v>
      </c>
      <c r="C15" s="80" t="str">
        <f>'ASM RSM'!C15</f>
        <v xml:space="preserve">Faisalabad </v>
      </c>
      <c r="D15" s="79" t="str">
        <f>'ASM RSM'!D15</f>
        <v>M. IMRAN</v>
      </c>
      <c r="E15" s="81">
        <f>'ASM RSM'!E15</f>
        <v>6</v>
      </c>
      <c r="F15" s="88">
        <f>'ASM RSM'!F15</f>
        <v>0</v>
      </c>
      <c r="G15" s="88">
        <f>'ASM RSM'!G15</f>
        <v>1</v>
      </c>
      <c r="H15" s="88">
        <f t="shared" si="0"/>
        <v>1</v>
      </c>
      <c r="I15" s="91">
        <f>'ASM RSM'!J15</f>
        <v>5</v>
      </c>
      <c r="J15" s="81">
        <f>'ASM RSM'!K15</f>
        <v>65</v>
      </c>
      <c r="K15" s="91">
        <f>'ASM RSM'!O15</f>
        <v>9</v>
      </c>
      <c r="L15" s="81">
        <f>'ASM RSM'!P15</f>
        <v>5</v>
      </c>
      <c r="M15" s="104"/>
    </row>
    <row r="16" spans="1:13" s="15" customFormat="1" ht="35.4" customHeight="1">
      <c r="A16" s="101" t="str">
        <f>'ASM RSM'!A16</f>
        <v>ASM</v>
      </c>
      <c r="B16" s="76" t="str">
        <f>'ASM RSM'!B16</f>
        <v>North</v>
      </c>
      <c r="C16" s="77" t="str">
        <f>'ASM RSM'!C16</f>
        <v xml:space="preserve">Sargodha </v>
      </c>
      <c r="D16" s="76" t="str">
        <f>'ASM RSM'!D16</f>
        <v>AMIR ABBAS</v>
      </c>
      <c r="E16" s="78">
        <f>'ASM RSM'!E16</f>
        <v>6</v>
      </c>
      <c r="F16" s="89">
        <f>'ASM RSM'!F16</f>
        <v>1</v>
      </c>
      <c r="G16" s="89">
        <f>'ASM RSM'!G16</f>
        <v>1</v>
      </c>
      <c r="H16" s="89">
        <f t="shared" si="0"/>
        <v>2</v>
      </c>
      <c r="I16" s="93">
        <f>'ASM RSM'!J16</f>
        <v>4</v>
      </c>
      <c r="J16" s="78">
        <f>'ASM RSM'!K16</f>
        <v>56</v>
      </c>
      <c r="K16" s="93">
        <f>'ASM RSM'!O16</f>
        <v>2</v>
      </c>
      <c r="L16" s="78">
        <f>'ASM RSM'!P16</f>
        <v>1</v>
      </c>
      <c r="M16" s="105"/>
    </row>
    <row r="17" spans="1:13" s="15" customFormat="1" ht="35.4" customHeight="1">
      <c r="A17" s="101" t="str">
        <f>'ASM RSM'!A17</f>
        <v>ASM</v>
      </c>
      <c r="B17" s="76" t="str">
        <f>'ASM RSM'!B17</f>
        <v>North</v>
      </c>
      <c r="C17" s="77" t="str">
        <f>'ASM RSM'!C17</f>
        <v xml:space="preserve">Islamabad </v>
      </c>
      <c r="D17" s="76" t="str">
        <f>'ASM RSM'!D17</f>
        <v>MS. AMNA YASIR</v>
      </c>
      <c r="E17" s="78">
        <f>'ASM RSM'!E17</f>
        <v>9</v>
      </c>
      <c r="F17" s="89">
        <f>'ASM RSM'!F17</f>
        <v>1</v>
      </c>
      <c r="G17" s="89">
        <f>'ASM RSM'!G17</f>
        <v>1</v>
      </c>
      <c r="H17" s="89">
        <f t="shared" si="0"/>
        <v>2</v>
      </c>
      <c r="I17" s="93">
        <f>'ASM RSM'!J17</f>
        <v>7</v>
      </c>
      <c r="J17" s="78">
        <f>'ASM RSM'!K17</f>
        <v>88</v>
      </c>
      <c r="K17" s="93">
        <f>'ASM RSM'!O17</f>
        <v>11</v>
      </c>
      <c r="L17" s="78">
        <f>'ASM RSM'!P17</f>
        <v>4</v>
      </c>
      <c r="M17" s="105"/>
    </row>
    <row r="18" spans="1:13" s="15" customFormat="1" ht="35.4" customHeight="1" thickBot="1">
      <c r="A18" s="112" t="str">
        <f>'ASM RSM'!A18</f>
        <v>ASM</v>
      </c>
      <c r="B18" s="113" t="str">
        <f>'ASM RSM'!B18</f>
        <v>North</v>
      </c>
      <c r="C18" s="113" t="str">
        <f>'ASM RSM'!C18</f>
        <v xml:space="preserve">Peshawar </v>
      </c>
      <c r="D18" s="113" t="str">
        <f>'ASM RSM'!D18</f>
        <v>FAROOQ AHMED</v>
      </c>
      <c r="E18" s="114">
        <f>'ASM RSM'!E18</f>
        <v>9</v>
      </c>
      <c r="F18" s="115">
        <f>'ASM RSM'!F18</f>
        <v>5</v>
      </c>
      <c r="G18" s="115">
        <f>'ASM RSM'!G18</f>
        <v>0</v>
      </c>
      <c r="H18" s="115">
        <f t="shared" si="0"/>
        <v>5</v>
      </c>
      <c r="I18" s="116">
        <f>'ASM RSM'!J18</f>
        <v>4</v>
      </c>
      <c r="J18" s="114">
        <f>'ASM RSM'!K18</f>
        <v>46</v>
      </c>
      <c r="K18" s="116">
        <f>'ASM RSM'!O18</f>
        <v>6</v>
      </c>
      <c r="L18" s="114">
        <f>'ASM RSM'!P18</f>
        <v>2</v>
      </c>
      <c r="M18" s="118"/>
    </row>
    <row r="19" spans="1:13" s="15" customFormat="1" ht="35.4" customHeight="1" thickBot="1">
      <c r="A19" s="119" t="str">
        <f>'ASM RSM'!A19</f>
        <v>RSM</v>
      </c>
      <c r="B19" s="120" t="str">
        <f>'ASM RSM'!B19</f>
        <v>North</v>
      </c>
      <c r="C19" s="121" t="str">
        <f>'ASM RSM'!C19</f>
        <v xml:space="preserve">Islamabad </v>
      </c>
      <c r="D19" s="120" t="str">
        <f>'ASM RSM'!D19</f>
        <v>ABID NASEEM</v>
      </c>
      <c r="E19" s="122">
        <f>'ASM RSM'!E19</f>
        <v>30</v>
      </c>
      <c r="F19" s="123">
        <f>'ASM RSM'!F19</f>
        <v>7</v>
      </c>
      <c r="G19" s="123">
        <f>'ASM RSM'!G19</f>
        <v>3</v>
      </c>
      <c r="H19" s="123">
        <f t="shared" si="0"/>
        <v>10</v>
      </c>
      <c r="I19" s="124">
        <f>'ASM RSM'!J19</f>
        <v>20</v>
      </c>
      <c r="J19" s="122">
        <f>'ASM RSM'!K19</f>
        <v>255</v>
      </c>
      <c r="K19" s="124">
        <f>'ASM RSM'!O19</f>
        <v>28</v>
      </c>
      <c r="L19" s="122">
        <f>'ASM RSM'!P19</f>
        <v>12</v>
      </c>
      <c r="M19" s="126"/>
    </row>
    <row r="20" spans="1:13" s="15" customFormat="1" ht="35.4" customHeight="1" thickBot="1">
      <c r="A20" s="106" t="str">
        <f>'ASM RSM'!A20</f>
        <v>HOD</v>
      </c>
      <c r="B20" s="107" t="str">
        <f>'ASM RSM'!B20</f>
        <v>National</v>
      </c>
      <c r="C20" s="107" t="str">
        <f>'ASM RSM'!C20</f>
        <v xml:space="preserve">National Pharma </v>
      </c>
      <c r="D20" s="107" t="str">
        <f>'ASM RSM'!D20</f>
        <v>M. Qaiser Hassan</v>
      </c>
      <c r="E20" s="108">
        <f>'ASM RSM'!E20</f>
        <v>76</v>
      </c>
      <c r="F20" s="109">
        <f>'ASM RSM'!F20</f>
        <v>17</v>
      </c>
      <c r="G20" s="109">
        <f>'ASM RSM'!G20</f>
        <v>9</v>
      </c>
      <c r="H20" s="109">
        <f t="shared" si="0"/>
        <v>26</v>
      </c>
      <c r="I20" s="110">
        <f>'ASM RSM'!J20</f>
        <v>50</v>
      </c>
      <c r="J20" s="108">
        <f>'ASM RSM'!K20</f>
        <v>662</v>
      </c>
      <c r="K20" s="110">
        <f>'ASM RSM'!O20</f>
        <v>63</v>
      </c>
      <c r="L20" s="108">
        <f>'ASM RSM'!P20</f>
        <v>24</v>
      </c>
      <c r="M20" s="16"/>
    </row>
    <row r="21" spans="1:13" ht="31.2">
      <c r="F21" s="96"/>
      <c r="G21" s="96"/>
      <c r="H21" s="96"/>
      <c r="I21" s="96"/>
      <c r="J21" s="96"/>
      <c r="K21" s="96"/>
      <c r="L21" s="96"/>
      <c r="M21" s="96"/>
    </row>
    <row r="29" spans="1:13" ht="12" customHeight="1"/>
  </sheetData>
  <mergeCells count="6">
    <mergeCell ref="A1:H2"/>
    <mergeCell ref="I1:J1"/>
    <mergeCell ref="K1:L1"/>
    <mergeCell ref="M1:M3"/>
    <mergeCell ref="I2:J2"/>
    <mergeCell ref="K2:L2"/>
  </mergeCells>
  <pageMargins left="0.17" right="0.17" top="0.17" bottom="0.17" header="0.17" footer="0.17"/>
  <pageSetup paperSize="9" scal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Pharma</vt:lpstr>
      <vt:lpstr>ASM RSM</vt:lpstr>
      <vt:lpstr>TODAY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Shahzaib Sattar</dc:creator>
  <cp:lastModifiedBy>Intern MIS</cp:lastModifiedBy>
  <cp:lastPrinted>2026-07-29T09:52:50Z</cp:lastPrinted>
  <dcterms:created xsi:type="dcterms:W3CDTF">2026-06-19T07:53:08Z</dcterms:created>
  <dcterms:modified xsi:type="dcterms:W3CDTF">2026-10-15T12:07:14Z</dcterms:modified>
</cp:coreProperties>
</file>