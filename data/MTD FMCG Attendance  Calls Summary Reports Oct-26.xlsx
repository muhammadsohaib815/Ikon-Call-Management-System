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nternMIS\Desktop\Sohaib\Ikon Call Management System\data\"/>
    </mc:Choice>
  </mc:AlternateContent>
  <xr:revisionPtr revIDLastSave="0" documentId="13_ncr:1_{13C7BFA5-4CCA-4971-B032-EED597C2BF38}" xr6:coauthVersionLast="47" xr6:coauthVersionMax="47" xr10:uidLastSave="{00000000-0000-0000-0000-000000000000}"/>
  <bookViews>
    <workbookView minimized="1" xWindow="24" yWindow="24" windowWidth="23016" windowHeight="12336" xr2:uid="{CD8BAD0E-11FC-43DE-AB38-ADE85B374766}"/>
  </bookViews>
  <sheets>
    <sheet name="Master File FMCG Team" sheetId="1" r:id="rId1"/>
    <sheet name="Managment Print" sheetId="2" r:id="rId2"/>
    <sheet name="Today" sheetId="3" r:id="rId3"/>
  </sheets>
  <definedNames>
    <definedName name="_xlnm._FilterDatabase" localSheetId="1" hidden="1">'Managment Print'!$A$3:$AHV$73</definedName>
    <definedName name="_xlnm._FilterDatabase" localSheetId="0" hidden="1">'Master File FMCG Team'!$A$3:$AKL$363</definedName>
    <definedName name="_xlnm._FilterDatabase" localSheetId="2" hidden="1">Today!$A$3:$AHO$59</definedName>
    <definedName name="a" localSheetId="1">#REF!</definedName>
    <definedName name="a" localSheetId="0">#REF!</definedName>
    <definedName name="a" localSheetId="2">#REF!</definedName>
    <definedName name="a">#REF!</definedName>
    <definedName name="aa" localSheetId="1">#REF!</definedName>
    <definedName name="aa" localSheetId="0">#REF!</definedName>
    <definedName name="aa" localSheetId="2">#REF!</definedName>
    <definedName name="aa">#REF!</definedName>
    <definedName name="ABC_1">#REF!</definedName>
    <definedName name="abc_18">#REF!</definedName>
    <definedName name="abc_20">#REF!</definedName>
    <definedName name="abc_21">#REF!</definedName>
    <definedName name="ABC_4">#REF!</definedName>
    <definedName name="ABC_7">#REF!</definedName>
    <definedName name="ABC_8">#REF!</definedName>
    <definedName name="Admin">#REF!</definedName>
    <definedName name="admin_cross">#REF!</definedName>
    <definedName name="admin_cross_1">#REF!</definedName>
    <definedName name="adminfee" localSheetId="1">#REF!</definedName>
    <definedName name="adminfee" localSheetId="0">#REF!</definedName>
    <definedName name="adminfee" localSheetId="2">#REF!</definedName>
    <definedName name="adminfee">#REF!</definedName>
    <definedName name="AJK">#REF!,#REF!</definedName>
    <definedName name="all.Regions">#REF!</definedName>
    <definedName name="as">#REF!</definedName>
    <definedName name="b" localSheetId="1">#REF!</definedName>
    <definedName name="b" localSheetId="0">#REF!</definedName>
    <definedName name="b" localSheetId="2">#REF!</definedName>
    <definedName name="b">#REF!</definedName>
    <definedName name="Bal">#REF!</definedName>
    <definedName name="Balochistan1">#REF!,#REF!,#REF!,#REF!,#REF!,#REF!,#REF!,#REF!,#REF!,#REF!,#REF!,#REF!,#REF!,#REF!,#REF!,#REF!,#REF!,#REF!,#REF!,#REF!,#REF!,#REF!,#REF!,#REF!,#REF!,#REF!,#REF!,#REF!,#REF!,#REF!,#REF!,#REF!,#REF!,#REF!,#REF!,#REF!,#REF!,#REF!</definedName>
    <definedName name="Balochistan2">#REF!,#REF!,#REF!,#REF!,#REF!,#REF!,#REF!,#REF!,#REF!,#REF!,#REF!,#REF!,#REF!,#REF!,#REF!,#REF!,#REF!,#REF!,#REF!,#REF!,#REF!,#REF!,#REF!,#REF!</definedName>
    <definedName name="BUDGET">#REF!</definedName>
    <definedName name="BUDGETCURRENCYCODE1">#REF!</definedName>
    <definedName name="BUDGETCURRENCYCODE12">#REF!</definedName>
    <definedName name="BUDGETCURRENCYCODE13">#REF!</definedName>
    <definedName name="BUDGETCURRENCYCODE2">#REF!</definedName>
    <definedName name="BUDGETCURRENCYCODE3">#REF!</definedName>
    <definedName name="BUDGETCURRENCYCODE4">#REF!</definedName>
    <definedName name="BUDGETCURRENCYCODE5">#REF!</definedName>
    <definedName name="BUDGETCURRENCYCODE6">#REF!</definedName>
    <definedName name="BUDGETNAME1">#REF!</definedName>
    <definedName name="BUDGETNAME12">#REF!</definedName>
    <definedName name="BUDGETNAME13">#REF!</definedName>
    <definedName name="BUDGETNAME2">#REF!</definedName>
    <definedName name="BUDGETNAME3">#REF!</definedName>
    <definedName name="BUDGETNAME4">#REF!</definedName>
    <definedName name="BUDGETNAME5">#REF!</definedName>
    <definedName name="BUDGETNAME6">#REF!</definedName>
    <definedName name="BUDGETORG1">#REF!</definedName>
    <definedName name="BUDGETORG12">#REF!</definedName>
    <definedName name="BUDGETORG13">#REF!</definedName>
    <definedName name="BUDGETORG2">#REF!</definedName>
    <definedName name="BUDGETORG3">#REF!</definedName>
    <definedName name="BUDGETORG4">#REF!</definedName>
    <definedName name="BUDGETORG5">#REF!</definedName>
    <definedName name="BUDGETORG6">#REF!</definedName>
    <definedName name="bus_catg">#REF!</definedName>
    <definedName name="Category">#REF!</definedName>
    <definedName name="cogos_cross">#REF!</definedName>
    <definedName name="cogos_cross_1">#REF!</definedName>
    <definedName name="col_cumexp">#REF!</definedName>
    <definedName name="col_link">#REF!</definedName>
    <definedName name="col_periodexp">#REF!</definedName>
    <definedName name="commodities">#REF!</definedName>
    <definedName name="COMMODITIESLC">#REF!</definedName>
    <definedName name="COMMODITIESPC">#REF!</definedName>
    <definedName name="COMMODITIESRM">#REF!</definedName>
    <definedName name="COMMODITIESTRC">#REF!</definedName>
    <definedName name="consumer">#REF!</definedName>
    <definedName name="consumer_1">#REF!</definedName>
    <definedName name="consumer_18">#REF!</definedName>
    <definedName name="consumer_20">#REF!</definedName>
    <definedName name="consumer_21">#REF!</definedName>
    <definedName name="consumer_4">#REF!</definedName>
    <definedName name="consumer_7">#REF!</definedName>
    <definedName name="consumer_8">#REF!</definedName>
    <definedName name="ConversionUSDtoGBP" localSheetId="1">#REF!</definedName>
    <definedName name="ConversionUSDtoGBP" localSheetId="0">#REF!</definedName>
    <definedName name="ConversionUSDtoGBP" localSheetId="2">#REF!</definedName>
    <definedName name="ConversionUSDtoGBP">#REF!</definedName>
    <definedName name="Cost_Category2">#REF!</definedName>
    <definedName name="dangerpay" localSheetId="1">#REF!</definedName>
    <definedName name="dangerpay" localSheetId="0">#REF!</definedName>
    <definedName name="dangerpay" localSheetId="2">#REF!</definedName>
    <definedName name="dangerpay">#REF!</definedName>
    <definedName name="dangerpay.intlstaff2" localSheetId="1">#REF!</definedName>
    <definedName name="dangerpay.intlstaff2" localSheetId="0">#REF!</definedName>
    <definedName name="dangerpay.intlstaff2" localSheetId="2">#REF!</definedName>
    <definedName name="dangerpay.intlstaff2">#REF!</definedName>
    <definedName name="dangerpay.intlstaff3" localSheetId="1">#REF!</definedName>
    <definedName name="dangerpay.intlstaff3" localSheetId="0">#REF!</definedName>
    <definedName name="dangerpay.intlstaff3" localSheetId="2">#REF!</definedName>
    <definedName name="dangerpay.intlstaff3">#REF!</definedName>
    <definedName name="dangerpay.intlstaff4" localSheetId="1">#REF!</definedName>
    <definedName name="dangerpay.intlstaff4" localSheetId="0">#REF!</definedName>
    <definedName name="dangerpay.intlstaff4" localSheetId="2">#REF!</definedName>
    <definedName name="dangerpay.intlstaff4">#REF!</definedName>
    <definedName name="dangerpay.researcher" localSheetId="1">#REF!</definedName>
    <definedName name="dangerpay.researcher" localSheetId="0">#REF!</definedName>
    <definedName name="dangerpay.researcher" localSheetId="2">#REF!</definedName>
    <definedName name="dangerpay.researcher">#REF!</definedName>
    <definedName name="DBNAME1">#REF!</definedName>
    <definedName name="DBNAME12">#REF!</definedName>
    <definedName name="DBNAME13">#REF!</definedName>
    <definedName name="DBNAME2">#REF!</definedName>
    <definedName name="DBNAME3">#REF!</definedName>
    <definedName name="DBNAME4">#REF!</definedName>
    <definedName name="DBNAME5">#REF!</definedName>
    <definedName name="DBNAME6">#REF!</definedName>
    <definedName name="dd" localSheetId="1">#REF!</definedName>
    <definedName name="dd" localSheetId="0">#REF!</definedName>
    <definedName name="dd" localSheetId="2">#REF!</definedName>
    <definedName name="dd">#REF!</definedName>
    <definedName name="Depo_provera">#REF!</definedName>
    <definedName name="Dept">#REF!</definedName>
    <definedName name="DesiredEvidence">#REF!</definedName>
    <definedName name="Distrib_Disc">#REF!</definedName>
    <definedName name="donors" localSheetId="1">#REF!</definedName>
    <definedName name="donors" localSheetId="0">#REF!</definedName>
    <definedName name="donors" localSheetId="2">#REF!</definedName>
    <definedName name="donors">#REF!</definedName>
    <definedName name="ECP">#REF!</definedName>
    <definedName name="eduallowance.expat1">#REF!</definedName>
    <definedName name="eduallowance.expat2">#REF!</definedName>
    <definedName name="eduallowance.expat3">#REF!</definedName>
    <definedName name="eduallowance.expat4">#REF!</definedName>
    <definedName name="education.intlstaff1" localSheetId="1">#REF!</definedName>
    <definedName name="education.intlstaff1" localSheetId="0">#REF!</definedName>
    <definedName name="education.intlstaff1" localSheetId="2">#REF!</definedName>
    <definedName name="education.intlstaff1">#REF!</definedName>
    <definedName name="education.intlstaff2" localSheetId="1">#REF!</definedName>
    <definedName name="education.intlstaff2" localSheetId="0">#REF!</definedName>
    <definedName name="education.intlstaff2" localSheetId="2">#REF!</definedName>
    <definedName name="education.intlstaff2">#REF!</definedName>
    <definedName name="education.intlstaff3" localSheetId="1">#REF!</definedName>
    <definedName name="education.intlstaff3" localSheetId="0">#REF!</definedName>
    <definedName name="education.intlstaff3" localSheetId="2">#REF!</definedName>
    <definedName name="education.intlstaff3">#REF!</definedName>
    <definedName name="education.intlstaff4" localSheetId="1">#REF!</definedName>
    <definedName name="education.intlstaff4" localSheetId="0">#REF!</definedName>
    <definedName name="education.intlstaff4" localSheetId="2">#REF!</definedName>
    <definedName name="education.intlstaff4">#REF!</definedName>
    <definedName name="education.researcher" localSheetId="1">#REF!</definedName>
    <definedName name="education.researcher" localSheetId="0">#REF!</definedName>
    <definedName name="education.researcher" localSheetId="2">#REF!</definedName>
    <definedName name="education.researcher">#REF!</definedName>
    <definedName name="emp_catg">#REF!</definedName>
    <definedName name="emp_level">#REF!</definedName>
    <definedName name="emp_status">#REF!</definedName>
    <definedName name="ES">#REF!</definedName>
    <definedName name="Excel_BuiltIn_Print_Area_9">#REF!</definedName>
    <definedName name="Excel_BuiltIn_Print_Titles_9">#REF!</definedName>
    <definedName name="FATA">#REF!,#REF!,#REF!,#REF!,#REF!,#REF!,#REF!</definedName>
    <definedName name="Femiject">#REF!</definedName>
    <definedName name="fixedfee">#REF!</definedName>
    <definedName name="foreigntransferallowance" localSheetId="1">#REF!</definedName>
    <definedName name="foreigntransferallowance" localSheetId="0">#REF!</definedName>
    <definedName name="foreigntransferallowance" localSheetId="2">#REF!</definedName>
    <definedName name="foreigntransferallowance">#REF!</definedName>
    <definedName name="Frequency">#REF!</definedName>
    <definedName name="GandA" localSheetId="1">#REF!</definedName>
    <definedName name="GandA" localSheetId="0">#REF!</definedName>
    <definedName name="GandA" localSheetId="2">#REF!</definedName>
    <definedName name="GandA">#REF!</definedName>
    <definedName name="GB">#REF!,#REF!</definedName>
    <definedName name="gender">#REF!</definedName>
    <definedName name="gg" localSheetId="1">#REF!</definedName>
    <definedName name="gg" localSheetId="0">#REF!</definedName>
    <definedName name="gg" localSheetId="2">#REF!</definedName>
    <definedName name="gg">#REF!</definedName>
    <definedName name="gloi">#REF!</definedName>
    <definedName name="HIVII">#REF!</definedName>
    <definedName name="HIVOI">#REF!</definedName>
    <definedName name="HIVSDA">#REF!</definedName>
    <definedName name="HIVSource">#REF!</definedName>
    <definedName name="HSSII">#REF!</definedName>
    <definedName name="HSSOI">#REF!</definedName>
    <definedName name="HSSSDA">#REF!</definedName>
    <definedName name="HSSSource">#REF!</definedName>
    <definedName name="incentive1" localSheetId="1">#REF!</definedName>
    <definedName name="incentive1" localSheetId="0">#REF!</definedName>
    <definedName name="incentive1" localSheetId="2">#REF!</definedName>
    <definedName name="incentive1">#REF!</definedName>
    <definedName name="incentive2" localSheetId="1">#REF!</definedName>
    <definedName name="incentive2" localSheetId="0">#REF!</definedName>
    <definedName name="incentive2" localSheetId="2">#REF!</definedName>
    <definedName name="incentive2">#REF!</definedName>
    <definedName name="incresae">#REF!</definedName>
    <definedName name="IndicatorCoding">#REF!</definedName>
    <definedName name="INFLATION_YR_1">#REF!</definedName>
    <definedName name="INFLATION_YR_1_COM">#REF!</definedName>
    <definedName name="INFLATION_YR_1_SALES">#REF!</definedName>
    <definedName name="INFLATION_YR_2">#REF!</definedName>
    <definedName name="INFLATION_YR_2_COM">#REF!</definedName>
    <definedName name="INFLATION_YR_2_SALES">#REF!</definedName>
    <definedName name="INFLATION_YR_3">#REF!</definedName>
    <definedName name="INFLATION_YR_3_COM">#REF!</definedName>
    <definedName name="INFLATION_YR_3_SALES">#REF!</definedName>
    <definedName name="Instit_Disc">#REF!</definedName>
    <definedName name="intlfringe" localSheetId="1">#REF!</definedName>
    <definedName name="intlfringe" localSheetId="0">#REF!</definedName>
    <definedName name="intlfringe" localSheetId="2">#REF!</definedName>
    <definedName name="intlfringe">#REF!</definedName>
    <definedName name="InvoicePI">#REF!</definedName>
    <definedName name="KPK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" localSheetId="1">#REF!</definedName>
    <definedName name="l" localSheetId="0">#REF!</definedName>
    <definedName name="l" localSheetId="2">#REF!</definedName>
    <definedName name="l">#REF!</definedName>
    <definedName name="LEVEL">#REF!</definedName>
    <definedName name="listie">#REF!</definedName>
    <definedName name="localfringe" localSheetId="1">#REF!</definedName>
    <definedName name="localfringe" localSheetId="0">#REF!</definedName>
    <definedName name="localfringe" localSheetId="2">#REF!</definedName>
    <definedName name="localfringe">#REF!</definedName>
    <definedName name="localinflation_yr2">#REF!</definedName>
    <definedName name="localinflation_yr3">#REF!</definedName>
    <definedName name="localinflation_yr4">#REF!</definedName>
    <definedName name="localinflation_yr5">#REF!</definedName>
    <definedName name="localinflation2" localSheetId="1">#REF!</definedName>
    <definedName name="localinflation2" localSheetId="0">#REF!</definedName>
    <definedName name="localinflation2" localSheetId="2">#REF!</definedName>
    <definedName name="localinflation2">#REF!</definedName>
    <definedName name="localinflation3" localSheetId="1">#REF!</definedName>
    <definedName name="localinflation3" localSheetId="0">#REF!</definedName>
    <definedName name="localinflation3" localSheetId="2">#REF!</definedName>
    <definedName name="localinflation3">#REF!</definedName>
    <definedName name="localinflation4" localSheetId="1">#REF!</definedName>
    <definedName name="localinflation4" localSheetId="0">#REF!</definedName>
    <definedName name="localinflation4" localSheetId="2">#REF!</definedName>
    <definedName name="localinflation4">#REF!</definedName>
    <definedName name="localinflation5" localSheetId="1">#REF!</definedName>
    <definedName name="localinflation5" localSheetId="0">#REF!</definedName>
    <definedName name="localinflation5" localSheetId="2">#REF!</definedName>
    <definedName name="localinflation5">#REF!</definedName>
    <definedName name="MacrocategoriesALL">#REF!</definedName>
    <definedName name="MalariaII">#REF!</definedName>
    <definedName name="MalariaOI">#REF!</definedName>
    <definedName name="MalariaSDA">#REF!</definedName>
    <definedName name="MalariaSource">#REF!</definedName>
    <definedName name="Master_Location">#REF!:INDEX(#REF!,COUNTA(#REF!))</definedName>
    <definedName name="medevac" localSheetId="1">#REF!</definedName>
    <definedName name="medevac" localSheetId="0">#REF!</definedName>
    <definedName name="medevac" localSheetId="2">#REF!</definedName>
    <definedName name="medevac">#REF!</definedName>
    <definedName name="medex.expat1">#REF!</definedName>
    <definedName name="medex.expat2">#REF!</definedName>
    <definedName name="medex.expat3">#REF!</definedName>
    <definedName name="medex.expat4">#REF!</definedName>
    <definedName name="medex.sttaday">#REF!</definedName>
    <definedName name="medex.sttamonth">#REF!</definedName>
    <definedName name="NA" localSheetId="1">#REF!</definedName>
    <definedName name="NA" localSheetId="0">#REF!</definedName>
    <definedName name="NA" localSheetId="2">#REF!</definedName>
    <definedName name="NA">#REF!</definedName>
    <definedName name="NewOH" localSheetId="1">#REF!</definedName>
    <definedName name="NewOH" localSheetId="0">#REF!</definedName>
    <definedName name="NewOH" localSheetId="2">#REF!</definedName>
    <definedName name="NewOH">#REF!</definedName>
    <definedName name="nid">#REF!</definedName>
    <definedName name="Novaject">#REF!</definedName>
    <definedName name="NOVODOL">#REF!</definedName>
    <definedName name="NUMB">#REF!</definedName>
    <definedName name="OH">#REF!</definedName>
    <definedName name="otherchrages_10">#REF!</definedName>
    <definedName name="otherincome2">#REF!</definedName>
    <definedName name="otherincome2_1">#REF!</definedName>
    <definedName name="Over_Head">#REF!</definedName>
    <definedName name="overhead" localSheetId="1">#REF!</definedName>
    <definedName name="overhead" localSheetId="0">#REF!</definedName>
    <definedName name="overhead" localSheetId="2">#REF!</definedName>
    <definedName name="overhead">#REF!</definedName>
    <definedName name="phrama">#REF!</definedName>
    <definedName name="phrama_1">#REF!</definedName>
    <definedName name="phrama_18">#REF!</definedName>
    <definedName name="phrama_20">#REF!</definedName>
    <definedName name="phrama_21">#REF!</definedName>
    <definedName name="phrama_4">#REF!</definedName>
    <definedName name="phrama_7">#REF!</definedName>
    <definedName name="phrama_8">#REF!</definedName>
    <definedName name="postallowance" localSheetId="1">#REF!</definedName>
    <definedName name="postallowance" localSheetId="0">#REF!</definedName>
    <definedName name="postallowance" localSheetId="2">#REF!</definedName>
    <definedName name="postallowance">#REF!</definedName>
    <definedName name="postallowance.expat2">#REF!</definedName>
    <definedName name="postallowance.expat3">#REF!</definedName>
    <definedName name="postallowance.expat4">#REF!</definedName>
    <definedName name="postallowance.intlstaff2" localSheetId="1">#REF!</definedName>
    <definedName name="postallowance.intlstaff2" localSheetId="0">#REF!</definedName>
    <definedName name="postallowance.intlstaff2" localSheetId="2">#REF!</definedName>
    <definedName name="postallowance.intlstaff2">#REF!</definedName>
    <definedName name="postallowance.intlstaff3" localSheetId="1">#REF!</definedName>
    <definedName name="postallowance.intlstaff3" localSheetId="0">#REF!</definedName>
    <definedName name="postallowance.intlstaff3" localSheetId="2">#REF!</definedName>
    <definedName name="postallowance.intlstaff3">#REF!</definedName>
    <definedName name="postallowance.intlstaff4" localSheetId="1">#REF!</definedName>
    <definedName name="postallowance.intlstaff4" localSheetId="0">#REF!</definedName>
    <definedName name="postallowance.intlstaff4" localSheetId="2">#REF!</definedName>
    <definedName name="postallowance.intlstaff4">#REF!</definedName>
    <definedName name="postallowance.researcher" localSheetId="1">#REF!</definedName>
    <definedName name="postallowance.researcher" localSheetId="0">#REF!</definedName>
    <definedName name="postallowance.researcher" localSheetId="2">#REF!</definedName>
    <definedName name="postallowance.researcher">#REF!</definedName>
    <definedName name="postdifferential" localSheetId="1">#REF!</definedName>
    <definedName name="postdifferential" localSheetId="0">#REF!</definedName>
    <definedName name="postdifferential" localSheetId="2">#REF!</definedName>
    <definedName name="postdifferential">#REF!</definedName>
    <definedName name="postdifferential.intlstaff2" localSheetId="1">#REF!</definedName>
    <definedName name="postdifferential.intlstaff2" localSheetId="0">#REF!</definedName>
    <definedName name="postdifferential.intlstaff2" localSheetId="2">#REF!</definedName>
    <definedName name="postdifferential.intlstaff2">#REF!</definedName>
    <definedName name="postdifferential.intlstaff3" localSheetId="1">#REF!</definedName>
    <definedName name="postdifferential.intlstaff3" localSheetId="0">#REF!</definedName>
    <definedName name="postdifferential.intlstaff3" localSheetId="2">#REF!</definedName>
    <definedName name="postdifferential.intlstaff3">#REF!</definedName>
    <definedName name="postdifferential.intlstaff4" localSheetId="1">#REF!</definedName>
    <definedName name="postdifferential.intlstaff4" localSheetId="0">#REF!</definedName>
    <definedName name="postdifferential.intlstaff4" localSheetId="2">#REF!</definedName>
    <definedName name="postdifferential.intlstaff4">#REF!</definedName>
    <definedName name="postdifferential.researcher" localSheetId="1">#REF!</definedName>
    <definedName name="postdifferential.researcher" localSheetId="0">#REF!</definedName>
    <definedName name="postdifferential.researcher" localSheetId="2">#REF!</definedName>
    <definedName name="postdifferential.researcher">#REF!</definedName>
    <definedName name="_xlnm.Print_Area" localSheetId="1">'Managment Print'!$A$1:$T$72</definedName>
    <definedName name="_xlnm.Print_Area" localSheetId="2">Today!$A$1:$M$59</definedName>
    <definedName name="_xlnm.Print_Titles" localSheetId="1">'Managment Print'!$1:$3</definedName>
    <definedName name="_xlnm.Print_Titles" localSheetId="2">Today!$1:$3</definedName>
    <definedName name="Procure">#REF!</definedName>
    <definedName name="procurementfee" localSheetId="1">#REF!</definedName>
    <definedName name="procurementfee" localSheetId="0">#REF!</definedName>
    <definedName name="procurementfee" localSheetId="2">#REF!</definedName>
    <definedName name="procurementfee">#REF!</definedName>
    <definedName name="products">#REF!</definedName>
    <definedName name="Protect_10__Safeload">#REF!</definedName>
    <definedName name="Protect_3__3_Years">#REF!</definedName>
    <definedName name="Protect_5__Multiload">#REF!</definedName>
    <definedName name="Protect_5_Premium">#REF!</definedName>
    <definedName name="PS">#REF!</definedName>
    <definedName name="PSA">#REF!</definedName>
    <definedName name="Punjab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Punjab2">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Punjab3">#REF!,#REF!,#REF!,#REF!,#REF!,#REF!,#REF!,#REF!,#REF!,#REF!,#REF!,#REF!,#REF!,#REF!,#REF!,#REF!,#REF!,#REF!,#REF!,#REF!</definedName>
    <definedName name="q" localSheetId="1">#REF!</definedName>
    <definedName name="q" localSheetId="0">#REF!</definedName>
    <definedName name="q" localSheetId="2">#REF!</definedName>
    <definedName name="q">#REF!</definedName>
    <definedName name="qq" localSheetId="1">#REF!</definedName>
    <definedName name="qq" localSheetId="0">#REF!</definedName>
    <definedName name="qq" localSheetId="2">#REF!</definedName>
    <definedName name="qq">#REF!</definedName>
    <definedName name="rate">#REF!</definedName>
    <definedName name="rate1">#REF!</definedName>
    <definedName name="regions">#REF!</definedName>
    <definedName name="RGNZON">#REF!</definedName>
    <definedName name="s" localSheetId="1">#REF!</definedName>
    <definedName name="s" localSheetId="0">#REF!</definedName>
    <definedName name="s" localSheetId="2">#REF!</definedName>
    <definedName name="s">#REF!</definedName>
    <definedName name="Sathi_3s">#REF!</definedName>
    <definedName name="Sathi_3s__Dt___Dl">#REF!</definedName>
    <definedName name="Sathi_3s__St___Rb">#REF!</definedName>
    <definedName name="Sathi_6s__Dt___Dl">#REF!</definedName>
    <definedName name="Sathi_6s__St___Rb">#REF!</definedName>
    <definedName name="Sathi12s">#REF!</definedName>
    <definedName name="Sathi6s">#REF!</definedName>
    <definedName name="SDAList">#REF!</definedName>
    <definedName name="SETOFBOOKSNAME1">#REF!</definedName>
    <definedName name="SETOFBOOKSNAME12">#REF!</definedName>
    <definedName name="SETOFBOOKSNAME13">#REF!</definedName>
    <definedName name="SETOFBOOKSNAME2">#REF!</definedName>
    <definedName name="SETOFBOOKSNAME3">#REF!</definedName>
    <definedName name="SETOFBOOKSNAME4">#REF!</definedName>
    <definedName name="SETOFBOOKSNAME5">#REF!</definedName>
    <definedName name="SETOFBOOKSNAME6">#REF!</definedName>
    <definedName name="Sindh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Sindh2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TBII">#REF!</definedName>
    <definedName name="TBOI">#REF!</definedName>
    <definedName name="TBSDA">#REF!</definedName>
    <definedName name="TBSource">#REF!</definedName>
    <definedName name="TOTAL_SATHI">#REF!</definedName>
    <definedName name="TOTAL_TOUCH">#REF!</definedName>
    <definedName name="Touch_Delay_3s">#REF!</definedName>
    <definedName name="Touch_Delay_6s">#REF!</definedName>
    <definedName name="Touch_Dotted_3s">#REF!</definedName>
    <definedName name="Touch_Dotted6s">#REF!</definedName>
    <definedName name="Touch_Ribbed_3s">#REF!</definedName>
    <definedName name="Touch_Ribbed_6s">#REF!</definedName>
    <definedName name="USD_YEAR_1">#REF!</definedName>
    <definedName name="USD_YEAR_2">#REF!</definedName>
    <definedName name="USD_YEAR_3">#REF!</definedName>
    <definedName name="usinflation_yr2">#REF!</definedName>
    <definedName name="usinflation_yr3">#REF!</definedName>
    <definedName name="usinflation_yr4">#REF!</definedName>
    <definedName name="usinflation_yr5">#REF!</definedName>
    <definedName name="usinflation2" localSheetId="1">#REF!</definedName>
    <definedName name="usinflation2" localSheetId="0">#REF!</definedName>
    <definedName name="usinflation2" localSheetId="2">#REF!</definedName>
    <definedName name="usinflation2">#REF!</definedName>
    <definedName name="usinflation3" localSheetId="1">#REF!</definedName>
    <definedName name="usinflation3" localSheetId="0">#REF!</definedName>
    <definedName name="usinflation3" localSheetId="2">#REF!</definedName>
    <definedName name="usinflation3">#REF!</definedName>
    <definedName name="usinflation4" localSheetId="1">#REF!</definedName>
    <definedName name="usinflation4" localSheetId="0">#REF!</definedName>
    <definedName name="usinflation4" localSheetId="2">#REF!</definedName>
    <definedName name="usinflation4">#REF!</definedName>
    <definedName name="usinflation5" localSheetId="1">#REF!</definedName>
    <definedName name="usinflation5" localSheetId="0">#REF!</definedName>
    <definedName name="usinflation5" localSheetId="2">#REF!</definedName>
    <definedName name="usinflation5">#REF!</definedName>
    <definedName name="workerscomp.expat">#REF!</definedName>
    <definedName name="workerscomp.intlstaff" localSheetId="1">#REF!</definedName>
    <definedName name="workerscomp.intlstaff" localSheetId="0">#REF!</definedName>
    <definedName name="workerscomp.intlstaff" localSheetId="2">#REF!</definedName>
    <definedName name="workerscomp.intlstaff">#REF!</definedName>
    <definedName name="workerscomp.STTA" localSheetId="1">#REF!</definedName>
    <definedName name="workerscomp.STTA" localSheetId="0">#REF!</definedName>
    <definedName name="workerscomp.STTA" localSheetId="2">#REF!</definedName>
    <definedName name="workerscomp.STTA">#REF!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www" localSheetId="1">#REF!</definedName>
    <definedName name="wwww" localSheetId="0">#REF!</definedName>
    <definedName name="wwww" localSheetId="2">#REF!</definedName>
    <definedName name="wwww">#REF!</definedName>
    <definedName name="wwwww" localSheetId="1">#REF!</definedName>
    <definedName name="wwwww" localSheetId="0">#REF!</definedName>
    <definedName name="wwwww" localSheetId="2">#REF!</definedName>
    <definedName name="wwwww">#REF!</definedName>
    <definedName name="Y1depoprovera">#REF!</definedName>
    <definedName name="Y1ecp">#REF!</definedName>
    <definedName name="Y1femiject">#REF!</definedName>
    <definedName name="Y1implants">#REF!</definedName>
    <definedName name="Y1multiload">#REF!</definedName>
    <definedName name="Y1novaject">#REF!</definedName>
    <definedName name="Y1novodol">#REF!</definedName>
    <definedName name="Y1safeload">#REF!</definedName>
    <definedName name="Y1sathi10s">#REF!</definedName>
    <definedName name="Y1sathi3s">#REF!</definedName>
    <definedName name="Y1sathi6s">#REF!</definedName>
    <definedName name="Y1touch3sC">#REF!</definedName>
    <definedName name="Y1touch3sD">#REF!</definedName>
    <definedName name="Y1touch6sC">#REF!</definedName>
    <definedName name="Y1touch6sD">#REF!</definedName>
    <definedName name="Y1vsc">#REF!</definedName>
    <definedName name="Y2depoprovera">#REF!</definedName>
    <definedName name="Y2ecp">#REF!</definedName>
    <definedName name="Y2femiject">#REF!</definedName>
    <definedName name="Y2implants">#REF!</definedName>
    <definedName name="Y2multiload">#REF!</definedName>
    <definedName name="Y2novaject">#REF!</definedName>
    <definedName name="Y2novodol">#REF!</definedName>
    <definedName name="Y2safeload">#REF!</definedName>
    <definedName name="Y2sathi10s">#REF!</definedName>
    <definedName name="Y2sathi3s">#REF!</definedName>
    <definedName name="Y2sathi6s">#REF!</definedName>
    <definedName name="Y2touch3sC">#REF!</definedName>
    <definedName name="Y2touch3sD">#REF!</definedName>
    <definedName name="Y2touch6sC">#REF!</definedName>
    <definedName name="Y2touch6sD">#REF!</definedName>
    <definedName name="Y2vsc">#REF!</definedName>
    <definedName name="Y3depoprovera">#REF!</definedName>
    <definedName name="Y3ecp">#REF!</definedName>
    <definedName name="Y3femiject">#REF!</definedName>
    <definedName name="Y3implants">#REF!</definedName>
    <definedName name="Y3multiload">#REF!</definedName>
    <definedName name="Y3novaject">#REF!</definedName>
    <definedName name="Y3novodol">#REF!</definedName>
    <definedName name="Y3safeload">#REF!</definedName>
    <definedName name="Y3sathi10s">#REF!</definedName>
    <definedName name="Y3sathi3s">#REF!</definedName>
    <definedName name="Y3sathi6s">#REF!</definedName>
    <definedName name="Y3touch3sC">#REF!</definedName>
    <definedName name="Y3touch3sD">#REF!</definedName>
    <definedName name="Y3touch6sC">#REF!</definedName>
    <definedName name="Y3touch6sD">#REF!</definedName>
    <definedName name="Y3vsc">#REF!</definedName>
    <definedName name="YEAR2">#REF!</definedName>
    <definedName name="YEAR3">#REF!</definedName>
    <definedName name="YesNoNA">#REF!</definedName>
    <definedName name="YLD1" localSheetId="1">'Managment Print'!#REF!</definedName>
    <definedName name="YLD1" localSheetId="2">Today!#REF!</definedName>
    <definedName name="YLD1">'Master File FMCG Team'!#REF!</definedName>
    <definedName name="zon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K3" i="1" l="1"/>
  <c r="P11" i="1"/>
  <c r="BO6" i="1" l="1"/>
  <c r="GX364" i="1"/>
  <c r="HA364" i="1"/>
  <c r="HB364" i="1"/>
  <c r="HC364" i="1"/>
  <c r="HD364" i="1"/>
  <c r="HE364" i="1"/>
  <c r="HF364" i="1"/>
  <c r="HG364" i="1"/>
  <c r="HH364" i="1"/>
  <c r="HI364" i="1"/>
  <c r="HJ364" i="1"/>
  <c r="HK364" i="1"/>
  <c r="HL364" i="1"/>
  <c r="HM364" i="1"/>
  <c r="HN364" i="1"/>
  <c r="HO364" i="1"/>
  <c r="HP364" i="1"/>
  <c r="HQ364" i="1"/>
  <c r="J3" i="3"/>
  <c r="GZ364" i="1" l="1"/>
  <c r="GY364" i="1"/>
  <c r="GW364" i="1"/>
  <c r="GU364" i="1"/>
  <c r="GR364" i="1"/>
  <c r="GV364" i="1"/>
  <c r="GS364" i="1"/>
  <c r="GP364" i="1"/>
  <c r="GT364" i="1"/>
  <c r="GQ364" i="1"/>
  <c r="F69" i="2"/>
  <c r="E69" i="2"/>
  <c r="D69" i="2"/>
  <c r="C69" i="2"/>
  <c r="B69" i="2"/>
  <c r="A69" i="2"/>
  <c r="F64" i="2"/>
  <c r="E64" i="2"/>
  <c r="D64" i="2"/>
  <c r="C64" i="2"/>
  <c r="B64" i="2"/>
  <c r="A64" i="2"/>
  <c r="F58" i="2"/>
  <c r="E58" i="2"/>
  <c r="D58" i="2"/>
  <c r="C58" i="2"/>
  <c r="B58" i="2"/>
  <c r="A58" i="2"/>
  <c r="F47" i="2"/>
  <c r="E47" i="2"/>
  <c r="D47" i="2"/>
  <c r="C47" i="2"/>
  <c r="B47" i="2"/>
  <c r="A47" i="2"/>
  <c r="F41" i="2"/>
  <c r="E41" i="2"/>
  <c r="D41" i="2"/>
  <c r="C41" i="2"/>
  <c r="B41" i="2"/>
  <c r="A41" i="2"/>
  <c r="F34" i="2"/>
  <c r="E34" i="2"/>
  <c r="D34" i="2"/>
  <c r="C34" i="2"/>
  <c r="B34" i="2"/>
  <c r="A34" i="2"/>
  <c r="F27" i="2"/>
  <c r="E27" i="2"/>
  <c r="D27" i="2"/>
  <c r="C27" i="2"/>
  <c r="B27" i="2"/>
  <c r="A27" i="2"/>
  <c r="F14" i="2"/>
  <c r="E14" i="2"/>
  <c r="D14" i="2"/>
  <c r="C14" i="2"/>
  <c r="B14" i="2"/>
  <c r="A14" i="2"/>
  <c r="F10" i="2"/>
  <c r="E10" i="2"/>
  <c r="D10" i="2"/>
  <c r="C10" i="2"/>
  <c r="B10" i="2"/>
  <c r="A10" i="2"/>
  <c r="P256" i="1" l="1"/>
  <c r="O256" i="1"/>
  <c r="P209" i="1"/>
  <c r="P205" i="1"/>
  <c r="P197" i="1"/>
  <c r="P189" i="1"/>
  <c r="P175" i="1"/>
  <c r="O175" i="1"/>
  <c r="P169" i="1"/>
  <c r="P162" i="1"/>
  <c r="P153" i="1"/>
  <c r="P143" i="1"/>
  <c r="P136" i="1"/>
  <c r="P128" i="1"/>
  <c r="P120" i="1"/>
  <c r="P113" i="1"/>
  <c r="P100" i="1"/>
  <c r="O100" i="1"/>
  <c r="P92" i="1"/>
  <c r="P84" i="1"/>
  <c r="P65" i="1"/>
  <c r="P179" i="1" l="1"/>
  <c r="P146" i="1"/>
  <c r="P76" i="1"/>
  <c r="P106" i="1" s="1"/>
  <c r="P58" i="1"/>
  <c r="P67" i="1" s="1"/>
  <c r="P45" i="1"/>
  <c r="P37" i="1"/>
  <c r="O37" i="1"/>
  <c r="O11" i="1"/>
  <c r="O19" i="1"/>
  <c r="O28" i="1"/>
  <c r="O45" i="1"/>
  <c r="O58" i="1"/>
  <c r="O76" i="1"/>
  <c r="O65" i="1"/>
  <c r="O84" i="1"/>
  <c r="O92" i="1"/>
  <c r="O113" i="1"/>
  <c r="O120" i="1"/>
  <c r="O128" i="1"/>
  <c r="O136" i="1"/>
  <c r="O143" i="1"/>
  <c r="O153" i="1"/>
  <c r="O162" i="1"/>
  <c r="O169" i="1"/>
  <c r="E31" i="2" s="1"/>
  <c r="E32" i="2"/>
  <c r="O189" i="1"/>
  <c r="O197" i="1"/>
  <c r="O205" i="1"/>
  <c r="O209" i="1"/>
  <c r="O219" i="1"/>
  <c r="O280" i="1"/>
  <c r="O225" i="1"/>
  <c r="O232" i="1"/>
  <c r="O239" i="1"/>
  <c r="O249" i="1"/>
  <c r="E49" i="2" s="1"/>
  <c r="O263" i="1"/>
  <c r="O270" i="1"/>
  <c r="O288" i="1"/>
  <c r="O296" i="1"/>
  <c r="O300" i="1"/>
  <c r="O311" i="1"/>
  <c r="O319" i="1"/>
  <c r="O322" i="1"/>
  <c r="E62" i="2" s="1"/>
  <c r="O328" i="1"/>
  <c r="O339" i="1"/>
  <c r="G347" i="1"/>
  <c r="O348" i="1"/>
  <c r="O355" i="1"/>
  <c r="O362" i="1"/>
  <c r="O363" i="1"/>
  <c r="P288" i="1"/>
  <c r="P296" i="1"/>
  <c r="P300" i="1"/>
  <c r="D32" i="2"/>
  <c r="C32" i="2"/>
  <c r="B32" i="2"/>
  <c r="A32" i="2"/>
  <c r="F33" i="2"/>
  <c r="E33" i="2"/>
  <c r="D33" i="2"/>
  <c r="C33" i="2"/>
  <c r="B33" i="2"/>
  <c r="A33" i="2"/>
  <c r="D31" i="2"/>
  <c r="C31" i="2"/>
  <c r="B31" i="2"/>
  <c r="A31" i="2"/>
  <c r="D28" i="2"/>
  <c r="C28" i="2"/>
  <c r="B28" i="2"/>
  <c r="A28" i="2"/>
  <c r="F26" i="2"/>
  <c r="E26" i="2"/>
  <c r="D26" i="2"/>
  <c r="C26" i="2"/>
  <c r="B26" i="2"/>
  <c r="A26" i="2"/>
  <c r="BF321" i="1"/>
  <c r="BE321" i="1"/>
  <c r="BE320" i="1"/>
  <c r="BD320" i="1"/>
  <c r="BF208" i="1"/>
  <c r="BE208" i="1"/>
  <c r="BD208" i="1"/>
  <c r="BF207" i="1"/>
  <c r="BE207" i="1"/>
  <c r="BD207" i="1"/>
  <c r="BC321" i="1"/>
  <c r="BC320" i="1"/>
  <c r="BC208" i="1"/>
  <c r="BC207" i="1"/>
  <c r="X320" i="1"/>
  <c r="W320" i="1"/>
  <c r="Y208" i="1"/>
  <c r="X208" i="1"/>
  <c r="W208" i="1"/>
  <c r="Y207" i="1"/>
  <c r="X207" i="1"/>
  <c r="W207" i="1"/>
  <c r="V321" i="1"/>
  <c r="V320" i="1"/>
  <c r="V208" i="1"/>
  <c r="P311" i="1"/>
  <c r="D62" i="2"/>
  <c r="C62" i="2"/>
  <c r="B62" i="2"/>
  <c r="A62" i="2"/>
  <c r="P328" i="1"/>
  <c r="F63" i="2" s="1"/>
  <c r="D63" i="2"/>
  <c r="C63" i="2"/>
  <c r="B63" i="2"/>
  <c r="A63" i="2"/>
  <c r="P362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Q321" i="1" s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D321" i="1"/>
  <c r="BG321" i="1"/>
  <c r="BH321" i="1"/>
  <c r="BI321" i="1"/>
  <c r="BJ321" i="1"/>
  <c r="BK321" i="1"/>
  <c r="BL321" i="1"/>
  <c r="BM321" i="1"/>
  <c r="BN321" i="1"/>
  <c r="BO321" i="1"/>
  <c r="BP321" i="1"/>
  <c r="S321" i="1" s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P322" i="1"/>
  <c r="F62" i="2" s="1"/>
  <c r="GN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S320" i="1" s="1"/>
  <c r="BO320" i="1"/>
  <c r="BN320" i="1"/>
  <c r="BM320" i="1"/>
  <c r="BL320" i="1"/>
  <c r="BK320" i="1"/>
  <c r="BJ320" i="1"/>
  <c r="BI320" i="1"/>
  <c r="BH320" i="1"/>
  <c r="BG320" i="1"/>
  <c r="BF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Q320" i="1" s="1"/>
  <c r="AH320" i="1"/>
  <c r="AG320" i="1"/>
  <c r="AF320" i="1"/>
  <c r="AE320" i="1"/>
  <c r="AD320" i="1"/>
  <c r="AC320" i="1"/>
  <c r="AB320" i="1"/>
  <c r="AA320" i="1"/>
  <c r="Z320" i="1"/>
  <c r="Y320" i="1"/>
  <c r="Z208" i="1"/>
  <c r="AA208" i="1"/>
  <c r="AB208" i="1"/>
  <c r="AC208" i="1"/>
  <c r="AD208" i="1"/>
  <c r="AE208" i="1"/>
  <c r="AF208" i="1"/>
  <c r="AG208" i="1"/>
  <c r="AH208" i="1"/>
  <c r="AI208" i="1"/>
  <c r="Q208" i="1" s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G208" i="1"/>
  <c r="BH208" i="1"/>
  <c r="BI208" i="1"/>
  <c r="BJ208" i="1"/>
  <c r="BK208" i="1"/>
  <c r="BL208" i="1"/>
  <c r="BM208" i="1"/>
  <c r="BN208" i="1"/>
  <c r="BO208" i="1"/>
  <c r="BP208" i="1"/>
  <c r="S208" i="1" s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GN208" i="1"/>
  <c r="GN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S207" i="1" s="1"/>
  <c r="BO207" i="1"/>
  <c r="BN207" i="1"/>
  <c r="BM207" i="1"/>
  <c r="BL207" i="1"/>
  <c r="BK207" i="1"/>
  <c r="BJ207" i="1"/>
  <c r="BI207" i="1"/>
  <c r="BH207" i="1"/>
  <c r="BG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Q207" i="1" s="1"/>
  <c r="AH207" i="1"/>
  <c r="AG207" i="1"/>
  <c r="AF207" i="1"/>
  <c r="AE207" i="1"/>
  <c r="AD207" i="1"/>
  <c r="AC207" i="1"/>
  <c r="AB207" i="1"/>
  <c r="AA207" i="1"/>
  <c r="Z207" i="1"/>
  <c r="V207" i="1"/>
  <c r="O106" i="1" l="1"/>
  <c r="O67" i="1"/>
  <c r="CH320" i="1"/>
  <c r="CI320" i="1" s="1"/>
  <c r="CH208" i="1"/>
  <c r="CI208" i="1" s="1"/>
  <c r="CH321" i="1"/>
  <c r="CI321" i="1" s="1"/>
  <c r="CH207" i="1"/>
  <c r="CI207" i="1" s="1"/>
  <c r="O242" i="1"/>
  <c r="O273" i="1"/>
  <c r="BA208" i="1"/>
  <c r="BB208" i="1" s="1"/>
  <c r="BA320" i="1"/>
  <c r="BB320" i="1" s="1"/>
  <c r="BA207" i="1"/>
  <c r="BB207" i="1" s="1"/>
  <c r="BA321" i="1"/>
  <c r="BB321" i="1" s="1"/>
  <c r="O303" i="1"/>
  <c r="O357" i="1"/>
  <c r="O213" i="1"/>
  <c r="O49" i="1"/>
  <c r="F60" i="2"/>
  <c r="O146" i="1"/>
  <c r="E28" i="2" s="1"/>
  <c r="O332" i="1"/>
  <c r="O179" i="1"/>
  <c r="V322" i="1"/>
  <c r="AR322" i="1"/>
  <c r="BR322" i="1"/>
  <c r="AQ322" i="1"/>
  <c r="BZ322" i="1"/>
  <c r="BJ322" i="1"/>
  <c r="X322" i="1"/>
  <c r="AC322" i="1"/>
  <c r="BO322" i="1"/>
  <c r="M62" i="2" s="1"/>
  <c r="AD322" i="1"/>
  <c r="AP322" i="1"/>
  <c r="BD322" i="1"/>
  <c r="BP322" i="1"/>
  <c r="N62" i="2" s="1"/>
  <c r="CB322" i="1"/>
  <c r="BN322" i="1"/>
  <c r="BV322" i="1"/>
  <c r="AV322" i="1"/>
  <c r="AJ322" i="1"/>
  <c r="AO322" i="1"/>
  <c r="CA322" i="1"/>
  <c r="BS322" i="1"/>
  <c r="AS322" i="1"/>
  <c r="BC322" i="1"/>
  <c r="AI322" i="1"/>
  <c r="I62" i="2" s="1"/>
  <c r="AE322" i="1"/>
  <c r="BE322" i="1"/>
  <c r="BQ322" i="1"/>
  <c r="CC322" i="1"/>
  <c r="CF322" i="1"/>
  <c r="BT322" i="1"/>
  <c r="BH322" i="1"/>
  <c r="AT322" i="1"/>
  <c r="CE322" i="1"/>
  <c r="AF322" i="1"/>
  <c r="BF322" i="1"/>
  <c r="CD322" i="1"/>
  <c r="AG322" i="1"/>
  <c r="BG322" i="1"/>
  <c r="AH322" i="1"/>
  <c r="H62" i="2" s="1"/>
  <c r="BM322" i="1"/>
  <c r="BY322" i="1"/>
  <c r="CG322" i="1"/>
  <c r="BU322" i="1"/>
  <c r="BI322" i="1"/>
  <c r="AU322" i="1"/>
  <c r="W322" i="1"/>
  <c r="S322" i="1"/>
  <c r="O62" i="2" s="1"/>
  <c r="AZ322" i="1"/>
  <c r="AN322" i="1"/>
  <c r="AB322" i="1"/>
  <c r="AY322" i="1"/>
  <c r="AM322" i="1"/>
  <c r="AA322" i="1"/>
  <c r="BX322" i="1"/>
  <c r="BL322" i="1"/>
  <c r="AX322" i="1"/>
  <c r="AL322" i="1"/>
  <c r="Z322" i="1"/>
  <c r="BW322" i="1"/>
  <c r="AW322" i="1"/>
  <c r="AK322" i="1"/>
  <c r="Q322" i="1"/>
  <c r="BK322" i="1"/>
  <c r="Y322" i="1"/>
  <c r="BC347" i="1"/>
  <c r="Y347" i="1"/>
  <c r="W347" i="1"/>
  <c r="V347" i="1"/>
  <c r="X347" i="1"/>
  <c r="Z347" i="1"/>
  <c r="AA347" i="1"/>
  <c r="AB347" i="1"/>
  <c r="AC347" i="1"/>
  <c r="AD347" i="1"/>
  <c r="AE347" i="1"/>
  <c r="AF347" i="1"/>
  <c r="AG347" i="1"/>
  <c r="AH347" i="1"/>
  <c r="AI347" i="1"/>
  <c r="Q347" i="1" s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S347" i="1" s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GN347" i="1"/>
  <c r="F9" i="2"/>
  <c r="E9" i="2"/>
  <c r="D9" i="2"/>
  <c r="C9" i="2"/>
  <c r="B9" i="2"/>
  <c r="A9" i="2"/>
  <c r="R208" i="1" l="1"/>
  <c r="R320" i="1"/>
  <c r="R207" i="1"/>
  <c r="R321" i="1"/>
  <c r="T208" i="1"/>
  <c r="T207" i="1"/>
  <c r="T320" i="1"/>
  <c r="CH322" i="1"/>
  <c r="CI322" i="1" s="1"/>
  <c r="CH347" i="1"/>
  <c r="CI347" i="1" s="1"/>
  <c r="T321" i="1"/>
  <c r="BA347" i="1"/>
  <c r="BB347" i="1" s="1"/>
  <c r="BA322" i="1"/>
  <c r="BB322" i="1" s="1"/>
  <c r="G62" i="2"/>
  <c r="O359" i="1"/>
  <c r="O181" i="1"/>
  <c r="U321" i="1"/>
  <c r="U208" i="1"/>
  <c r="U207" i="1"/>
  <c r="U320" i="1"/>
  <c r="R322" i="1" l="1"/>
  <c r="K62" i="2" s="1"/>
  <c r="R347" i="1"/>
  <c r="J62" i="2"/>
  <c r="T347" i="1"/>
  <c r="P62" i="2"/>
  <c r="T322" i="1"/>
  <c r="Q62" i="2" s="1"/>
  <c r="O361" i="1"/>
  <c r="U322" i="1"/>
  <c r="U347" i="1"/>
  <c r="GN363" i="1" l="1"/>
  <c r="GN362" i="1"/>
  <c r="GN361" i="1"/>
  <c r="GN360" i="1"/>
  <c r="GN359" i="1"/>
  <c r="GN358" i="1"/>
  <c r="GN357" i="1"/>
  <c r="GN356" i="1"/>
  <c r="GN355" i="1"/>
  <c r="GN354" i="1"/>
  <c r="GN353" i="1"/>
  <c r="GN352" i="1"/>
  <c r="GN351" i="1"/>
  <c r="GN350" i="1"/>
  <c r="GN349" i="1"/>
  <c r="GN348" i="1"/>
  <c r="GN346" i="1"/>
  <c r="GN345" i="1"/>
  <c r="GN344" i="1"/>
  <c r="GN343" i="1"/>
  <c r="GN342" i="1"/>
  <c r="GN341" i="1"/>
  <c r="GN340" i="1"/>
  <c r="GN339" i="1"/>
  <c r="GN338" i="1"/>
  <c r="GN337" i="1"/>
  <c r="GN336" i="1"/>
  <c r="GN335" i="1"/>
  <c r="GN334" i="1"/>
  <c r="GN333" i="1"/>
  <c r="GN332" i="1"/>
  <c r="GN331" i="1"/>
  <c r="GN328" i="1"/>
  <c r="GN327" i="1"/>
  <c r="GN326" i="1"/>
  <c r="GN325" i="1"/>
  <c r="GN324" i="1"/>
  <c r="GN323" i="1"/>
  <c r="GN322" i="1"/>
  <c r="GN330" i="1"/>
  <c r="GN319" i="1"/>
  <c r="GN318" i="1"/>
  <c r="GN317" i="1"/>
  <c r="GN316" i="1"/>
  <c r="GN315" i="1"/>
  <c r="GN314" i="1"/>
  <c r="GN313" i="1"/>
  <c r="GN312" i="1"/>
  <c r="GN311" i="1"/>
  <c r="GN310" i="1"/>
  <c r="GN329" i="1"/>
  <c r="GN309" i="1"/>
  <c r="GN308" i="1"/>
  <c r="GN307" i="1"/>
  <c r="GN306" i="1"/>
  <c r="GN305" i="1"/>
  <c r="GN304" i="1"/>
  <c r="GN303" i="1"/>
  <c r="GN302" i="1"/>
  <c r="GN301" i="1"/>
  <c r="GN300" i="1"/>
  <c r="GN299" i="1"/>
  <c r="GN298" i="1"/>
  <c r="GN297" i="1"/>
  <c r="GN296" i="1"/>
  <c r="GN295" i="1"/>
  <c r="GN294" i="1"/>
  <c r="GN293" i="1"/>
  <c r="GN292" i="1"/>
  <c r="GN291" i="1"/>
  <c r="GN290" i="1"/>
  <c r="GN289" i="1"/>
  <c r="GN288" i="1"/>
  <c r="GN287" i="1"/>
  <c r="GN286" i="1"/>
  <c r="GN285" i="1"/>
  <c r="GN284" i="1"/>
  <c r="GN283" i="1"/>
  <c r="GN282" i="1"/>
  <c r="GN281" i="1"/>
  <c r="GN273" i="1"/>
  <c r="GN272" i="1"/>
  <c r="GN270" i="1"/>
  <c r="GN269" i="1"/>
  <c r="GN268" i="1"/>
  <c r="GN267" i="1"/>
  <c r="GN266" i="1"/>
  <c r="GN265" i="1"/>
  <c r="GN264" i="1"/>
  <c r="GN263" i="1"/>
  <c r="GN262" i="1"/>
  <c r="GN261" i="1"/>
  <c r="GN260" i="1"/>
  <c r="GN259" i="1"/>
  <c r="GN258" i="1"/>
  <c r="GN257" i="1"/>
  <c r="GN256" i="1"/>
  <c r="GN255" i="1"/>
  <c r="GN271" i="1"/>
  <c r="Z271" i="1" s="1"/>
  <c r="GN254" i="1"/>
  <c r="GN253" i="1"/>
  <c r="GN252" i="1"/>
  <c r="GN251" i="1"/>
  <c r="GN250" i="1"/>
  <c r="GN249" i="1"/>
  <c r="GN248" i="1"/>
  <c r="GN247" i="1"/>
  <c r="GN246" i="1"/>
  <c r="GN245" i="1"/>
  <c r="GN244" i="1"/>
  <c r="GN243" i="1"/>
  <c r="GN242" i="1"/>
  <c r="GN241" i="1"/>
  <c r="GN240" i="1"/>
  <c r="GN239" i="1"/>
  <c r="GN238" i="1"/>
  <c r="GN237" i="1"/>
  <c r="GN236" i="1"/>
  <c r="GN235" i="1"/>
  <c r="GN234" i="1"/>
  <c r="GN233" i="1"/>
  <c r="GN232" i="1"/>
  <c r="GN231" i="1"/>
  <c r="GN230" i="1"/>
  <c r="GN229" i="1"/>
  <c r="GN228" i="1"/>
  <c r="GN227" i="1"/>
  <c r="GN226" i="1"/>
  <c r="GN225" i="1"/>
  <c r="GN224" i="1"/>
  <c r="GN223" i="1"/>
  <c r="GN222" i="1"/>
  <c r="GN221" i="1"/>
  <c r="GN220" i="1"/>
  <c r="GN280" i="1"/>
  <c r="GN279" i="1"/>
  <c r="GN278" i="1"/>
  <c r="GN277" i="1"/>
  <c r="GN276" i="1"/>
  <c r="GN275" i="1"/>
  <c r="GN274" i="1"/>
  <c r="GN219" i="1"/>
  <c r="GN218" i="1"/>
  <c r="GN217" i="1"/>
  <c r="GN216" i="1"/>
  <c r="GN215" i="1"/>
  <c r="GN214" i="1"/>
  <c r="GN213" i="1"/>
  <c r="GN212" i="1"/>
  <c r="GN211" i="1"/>
  <c r="GN210" i="1"/>
  <c r="GN209" i="1"/>
  <c r="GN206" i="1"/>
  <c r="GN205" i="1"/>
  <c r="GN204" i="1"/>
  <c r="GN203" i="1"/>
  <c r="GN202" i="1"/>
  <c r="GN201" i="1"/>
  <c r="GN200" i="1"/>
  <c r="GN199" i="1"/>
  <c r="GN198" i="1"/>
  <c r="GN197" i="1"/>
  <c r="GN196" i="1"/>
  <c r="GN195" i="1"/>
  <c r="GN194" i="1"/>
  <c r="GN193" i="1"/>
  <c r="GN192" i="1"/>
  <c r="GN191" i="1"/>
  <c r="GN190" i="1"/>
  <c r="GN189" i="1"/>
  <c r="GN188" i="1"/>
  <c r="GN187" i="1"/>
  <c r="GN186" i="1"/>
  <c r="GN185" i="1"/>
  <c r="GN184" i="1"/>
  <c r="GN183" i="1"/>
  <c r="GN182" i="1"/>
  <c r="GN181" i="1"/>
  <c r="GN180" i="1"/>
  <c r="GN179" i="1"/>
  <c r="GN178" i="1"/>
  <c r="GN177" i="1"/>
  <c r="GN176" i="1"/>
  <c r="GN175" i="1"/>
  <c r="GN174" i="1"/>
  <c r="GN173" i="1"/>
  <c r="GN172" i="1"/>
  <c r="GN171" i="1"/>
  <c r="GN170" i="1"/>
  <c r="GN169" i="1"/>
  <c r="GN168" i="1"/>
  <c r="GN167" i="1"/>
  <c r="GN166" i="1"/>
  <c r="GN165" i="1"/>
  <c r="GN164" i="1"/>
  <c r="GN163" i="1"/>
  <c r="GN162" i="1"/>
  <c r="GN161" i="1"/>
  <c r="GN160" i="1"/>
  <c r="GN159" i="1"/>
  <c r="GN158" i="1"/>
  <c r="GN157" i="1"/>
  <c r="GN156" i="1"/>
  <c r="GN155" i="1"/>
  <c r="GN154" i="1"/>
  <c r="GN153" i="1"/>
  <c r="GN152" i="1"/>
  <c r="GN151" i="1"/>
  <c r="GN150" i="1"/>
  <c r="GN149" i="1"/>
  <c r="GN148" i="1"/>
  <c r="GN147" i="1"/>
  <c r="GN146" i="1"/>
  <c r="GN145" i="1"/>
  <c r="GN144" i="1"/>
  <c r="GN143" i="1"/>
  <c r="GN142" i="1"/>
  <c r="GN141" i="1"/>
  <c r="GN140" i="1"/>
  <c r="GN139" i="1"/>
  <c r="GN138" i="1"/>
  <c r="GN137" i="1"/>
  <c r="GN136" i="1"/>
  <c r="GN135" i="1"/>
  <c r="GN134" i="1"/>
  <c r="GN133" i="1"/>
  <c r="GN132" i="1"/>
  <c r="GN131" i="1"/>
  <c r="GN130" i="1"/>
  <c r="GN129" i="1"/>
  <c r="GN128" i="1"/>
  <c r="GN127" i="1"/>
  <c r="GN126" i="1"/>
  <c r="GN125" i="1"/>
  <c r="GN124" i="1"/>
  <c r="GN123" i="1"/>
  <c r="GN122" i="1"/>
  <c r="GN121" i="1"/>
  <c r="GN120" i="1"/>
  <c r="GN119" i="1"/>
  <c r="GN118" i="1"/>
  <c r="GN117" i="1"/>
  <c r="GN116" i="1"/>
  <c r="GN115" i="1"/>
  <c r="GN114" i="1"/>
  <c r="GN113" i="1"/>
  <c r="GN112" i="1"/>
  <c r="GN111" i="1"/>
  <c r="GN110" i="1"/>
  <c r="GN109" i="1"/>
  <c r="GN108" i="1"/>
  <c r="GN107" i="1"/>
  <c r="GN106" i="1"/>
  <c r="GN105" i="1"/>
  <c r="GN104" i="1"/>
  <c r="GN103" i="1"/>
  <c r="GN100" i="1"/>
  <c r="GN99" i="1"/>
  <c r="GN102" i="1"/>
  <c r="AQ102" i="1" s="1"/>
  <c r="GN98" i="1"/>
  <c r="GN97" i="1"/>
  <c r="GN96" i="1"/>
  <c r="GN95" i="1"/>
  <c r="GN94" i="1"/>
  <c r="GN93" i="1"/>
  <c r="GN92" i="1"/>
  <c r="GN91" i="1"/>
  <c r="GN90" i="1"/>
  <c r="GN89" i="1"/>
  <c r="GN88" i="1"/>
  <c r="GN87" i="1"/>
  <c r="GN86" i="1"/>
  <c r="GN85" i="1"/>
  <c r="GN84" i="1"/>
  <c r="GN83" i="1"/>
  <c r="GN101" i="1"/>
  <c r="GN82" i="1"/>
  <c r="GN81" i="1"/>
  <c r="GN80" i="1"/>
  <c r="GN79" i="1"/>
  <c r="GN78" i="1"/>
  <c r="GN77" i="1"/>
  <c r="GN67" i="1"/>
  <c r="GN66" i="1"/>
  <c r="GN65" i="1"/>
  <c r="GN64" i="1"/>
  <c r="GN63" i="1"/>
  <c r="GN62" i="1"/>
  <c r="GN61" i="1"/>
  <c r="GN60" i="1"/>
  <c r="GN59" i="1"/>
  <c r="GN76" i="1"/>
  <c r="GN75" i="1"/>
  <c r="GN74" i="1"/>
  <c r="GN73" i="1"/>
  <c r="GN72" i="1"/>
  <c r="GN71" i="1"/>
  <c r="GN70" i="1"/>
  <c r="GN69" i="1"/>
  <c r="GN68" i="1"/>
  <c r="GN58" i="1"/>
  <c r="GN57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2" i="1"/>
  <c r="GN31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GN6" i="1"/>
  <c r="GN5" i="1"/>
  <c r="GN4" i="1"/>
  <c r="P363" i="1"/>
  <c r="CG271" i="1"/>
  <c r="CF271" i="1"/>
  <c r="AZ271" i="1"/>
  <c r="AY271" i="1"/>
  <c r="CG101" i="1"/>
  <c r="CF101" i="1"/>
  <c r="AZ101" i="1"/>
  <c r="AY101" i="1"/>
  <c r="CG102" i="1"/>
  <c r="CF102" i="1"/>
  <c r="AZ102" i="1"/>
  <c r="AY102" i="1"/>
  <c r="AS102" i="1" l="1"/>
  <c r="AK102" i="1"/>
  <c r="AG101" i="1"/>
  <c r="AL101" i="1"/>
  <c r="AK101" i="1"/>
  <c r="V101" i="1"/>
  <c r="AX101" i="1"/>
  <c r="AW101" i="1"/>
  <c r="AR101" i="1"/>
  <c r="AG102" i="1"/>
  <c r="AJ102" i="1"/>
  <c r="AV102" i="1"/>
  <c r="AS101" i="1"/>
  <c r="CC102" i="1"/>
  <c r="BQ102" i="1"/>
  <c r="BE102" i="1"/>
  <c r="CB102" i="1"/>
  <c r="BP102" i="1"/>
  <c r="S102" i="1" s="1"/>
  <c r="BD102" i="1"/>
  <c r="CA102" i="1"/>
  <c r="BO102" i="1"/>
  <c r="BC102" i="1"/>
  <c r="BZ102" i="1"/>
  <c r="BN102" i="1"/>
  <c r="BY102" i="1"/>
  <c r="BM102" i="1"/>
  <c r="BX102" i="1"/>
  <c r="BL102" i="1"/>
  <c r="BW102" i="1"/>
  <c r="BK102" i="1"/>
  <c r="BV102" i="1"/>
  <c r="BJ102" i="1"/>
  <c r="BU102" i="1"/>
  <c r="BI102" i="1"/>
  <c r="CE102" i="1"/>
  <c r="CD102" i="1"/>
  <c r="BT102" i="1"/>
  <c r="BS102" i="1"/>
  <c r="BR102" i="1"/>
  <c r="BH102" i="1"/>
  <c r="BG102" i="1"/>
  <c r="BF102" i="1"/>
  <c r="AP102" i="1"/>
  <c r="AD102" i="1"/>
  <c r="AO102" i="1"/>
  <c r="AC102" i="1"/>
  <c r="AN102" i="1"/>
  <c r="AB102" i="1"/>
  <c r="AM102" i="1"/>
  <c r="AA102" i="1"/>
  <c r="AX102" i="1"/>
  <c r="AL102" i="1"/>
  <c r="Z102" i="1"/>
  <c r="AU102" i="1"/>
  <c r="AI102" i="1"/>
  <c r="Q102" i="1" s="1"/>
  <c r="W102" i="1"/>
  <c r="AT102" i="1"/>
  <c r="AH102" i="1"/>
  <c r="V102" i="1"/>
  <c r="AT101" i="1"/>
  <c r="AR102" i="1"/>
  <c r="Y101" i="1"/>
  <c r="AW102" i="1"/>
  <c r="Z101" i="1"/>
  <c r="X102" i="1"/>
  <c r="CD271" i="1"/>
  <c r="BR271" i="1"/>
  <c r="BF271" i="1"/>
  <c r="BW271" i="1"/>
  <c r="BJ271" i="1"/>
  <c r="CE271" i="1"/>
  <c r="BQ271" i="1"/>
  <c r="BD271" i="1"/>
  <c r="BO271" i="1"/>
  <c r="BN271" i="1"/>
  <c r="CC271" i="1"/>
  <c r="BM271" i="1"/>
  <c r="CB271" i="1"/>
  <c r="BL271" i="1"/>
  <c r="BZ271" i="1"/>
  <c r="BI271" i="1"/>
  <c r="BY271" i="1"/>
  <c r="BH271" i="1"/>
  <c r="BT271" i="1"/>
  <c r="BS271" i="1"/>
  <c r="BP271" i="1"/>
  <c r="S271" i="1" s="1"/>
  <c r="BK271" i="1"/>
  <c r="BG271" i="1"/>
  <c r="BE271" i="1"/>
  <c r="BC271" i="1"/>
  <c r="CA271" i="1"/>
  <c r="BX271" i="1"/>
  <c r="BV271" i="1"/>
  <c r="BU271" i="1"/>
  <c r="AW271" i="1"/>
  <c r="AK271" i="1"/>
  <c r="Y271" i="1"/>
  <c r="AV271" i="1"/>
  <c r="AJ271" i="1"/>
  <c r="X271" i="1"/>
  <c r="AU271" i="1"/>
  <c r="AI271" i="1"/>
  <c r="Q271" i="1" s="1"/>
  <c r="W271" i="1"/>
  <c r="AS271" i="1"/>
  <c r="AG271" i="1"/>
  <c r="AR271" i="1"/>
  <c r="AF271" i="1"/>
  <c r="AQ271" i="1"/>
  <c r="AE271" i="1"/>
  <c r="AP271" i="1"/>
  <c r="AD271" i="1"/>
  <c r="AT271" i="1"/>
  <c r="AO271" i="1"/>
  <c r="AN271" i="1"/>
  <c r="AM271" i="1"/>
  <c r="AL271" i="1"/>
  <c r="AH271" i="1"/>
  <c r="AC271" i="1"/>
  <c r="AB271" i="1"/>
  <c r="AX271" i="1"/>
  <c r="AA271" i="1"/>
  <c r="V271" i="1"/>
  <c r="AF101" i="1"/>
  <c r="Y102" i="1"/>
  <c r="AE102" i="1"/>
  <c r="CC101" i="1"/>
  <c r="BQ101" i="1"/>
  <c r="BE101" i="1"/>
  <c r="CB101" i="1"/>
  <c r="BP101" i="1"/>
  <c r="S101" i="1" s="1"/>
  <c r="BD101" i="1"/>
  <c r="CA101" i="1"/>
  <c r="BO101" i="1"/>
  <c r="BC101" i="1"/>
  <c r="BZ101" i="1"/>
  <c r="BN101" i="1"/>
  <c r="BY101" i="1"/>
  <c r="BM101" i="1"/>
  <c r="BX101" i="1"/>
  <c r="BL101" i="1"/>
  <c r="BW101" i="1"/>
  <c r="BK101" i="1"/>
  <c r="BV101" i="1"/>
  <c r="BJ101" i="1"/>
  <c r="BH101" i="1"/>
  <c r="BG101" i="1"/>
  <c r="CE101" i="1"/>
  <c r="CD101" i="1"/>
  <c r="BT101" i="1"/>
  <c r="BS101" i="1"/>
  <c r="BU101" i="1"/>
  <c r="BR101" i="1"/>
  <c r="BI101" i="1"/>
  <c r="BF101" i="1"/>
  <c r="AQ101" i="1"/>
  <c r="AE101" i="1"/>
  <c r="AP101" i="1"/>
  <c r="AD101" i="1"/>
  <c r="AO101" i="1"/>
  <c r="AC101" i="1"/>
  <c r="AN101" i="1"/>
  <c r="AB101" i="1"/>
  <c r="AM101" i="1"/>
  <c r="AA101" i="1"/>
  <c r="AV101" i="1"/>
  <c r="AJ101" i="1"/>
  <c r="X101" i="1"/>
  <c r="AU101" i="1"/>
  <c r="AI101" i="1"/>
  <c r="Q101" i="1" s="1"/>
  <c r="W101" i="1"/>
  <c r="AH101" i="1"/>
  <c r="AF102" i="1"/>
  <c r="CH102" i="1" l="1"/>
  <c r="CI102" i="1" s="1"/>
  <c r="CH271" i="1"/>
  <c r="CI271" i="1" s="1"/>
  <c r="CH101" i="1"/>
  <c r="CI101" i="1" s="1"/>
  <c r="BA102" i="1"/>
  <c r="BB102" i="1" s="1"/>
  <c r="BA271" i="1"/>
  <c r="BB271" i="1" s="1"/>
  <c r="BA101" i="1"/>
  <c r="BB101" i="1" s="1"/>
  <c r="HT364" i="1"/>
  <c r="HT370" i="1" s="1"/>
  <c r="R101" i="1" l="1"/>
  <c r="R271" i="1"/>
  <c r="R102" i="1"/>
  <c r="T271" i="1"/>
  <c r="T101" i="1"/>
  <c r="T102" i="1"/>
  <c r="U101" i="1"/>
  <c r="U271" i="1"/>
  <c r="U102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S360" i="1" s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Q360" i="1" s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S358" i="1" s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Q358" i="1" s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S356" i="1" s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Q356" i="1" s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S354" i="1" s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Q354" i="1" s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S353" i="1" s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Q353" i="1" s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S352" i="1" s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Q352" i="1" s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S351" i="1" s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Q351" i="1" s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S350" i="1" s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Q350" i="1" s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S349" i="1" s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Q349" i="1" s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S346" i="1" s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Q346" i="1" s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S345" i="1" s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Q345" i="1" s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S344" i="1" s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Q344" i="1" s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S343" i="1" s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Q343" i="1" s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S342" i="1" s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Q342" i="1" s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S341" i="1" s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Q341" i="1" s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M69" i="2" s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H69" i="2" s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S338" i="1" s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Q338" i="1" s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S337" i="1" s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Q337" i="1" s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S336" i="1" s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Q336" i="1" s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S335" i="1" s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Q335" i="1" s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S334" i="1" s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Q334" i="1" s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S333" i="1" s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Q333" i="1" s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S331" i="1" s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Q331" i="1" s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S327" i="1" s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Q327" i="1" s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S326" i="1" s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Q326" i="1" s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S325" i="1" s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Q325" i="1" s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S324" i="1" s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Q324" i="1" s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S323" i="1" s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Q323" i="1" s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M64" i="2" s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H64" i="2" s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S318" i="1" s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Q318" i="1" s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S317" i="1" s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Q317" i="1" s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S316" i="1" s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Q316" i="1" s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S315" i="1" s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Q315" i="1" s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S314" i="1" s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Q314" i="1" s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S313" i="1" s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Q313" i="1" s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S312" i="1" s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Q312" i="1" s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S310" i="1" s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Q310" i="1" s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S329" i="1" s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Q329" i="1" s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S309" i="1" s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Q309" i="1" s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S308" i="1" s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Q308" i="1" s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S307" i="1" s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Q307" i="1" s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S306" i="1" s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Q306" i="1" s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S305" i="1" s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Q305" i="1" s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S304" i="1" s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Q304" i="1" s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S302" i="1" s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Q302" i="1" s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M58" i="2" s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H58" i="2" s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S299" i="1" s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Q299" i="1" s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S298" i="1" s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Q298" i="1" s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S297" i="1" s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Q297" i="1" s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S295" i="1" s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Q295" i="1" s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S294" i="1" s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Q294" i="1" s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S293" i="1" s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Q293" i="1" s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S292" i="1" s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Q292" i="1" s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S291" i="1" s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Q291" i="1" s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S290" i="1" s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Q290" i="1" s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S289" i="1" s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Q289" i="1" s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S287" i="1" s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Q287" i="1" s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S286" i="1" s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Q286" i="1" s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S285" i="1" s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Q285" i="1" s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S284" i="1" s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Q284" i="1" s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S283" i="1" s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Q283" i="1" s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S282" i="1" s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Q282" i="1" s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S281" i="1" s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Q281" i="1" s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S272" i="1" s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Q272" i="1" s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S269" i="1" s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Q269" i="1" s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S268" i="1" s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Q268" i="1" s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S267" i="1" s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Q267" i="1" s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S266" i="1" s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Q266" i="1" s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S265" i="1" s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Q265" i="1" s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S264" i="1" s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Q264" i="1" s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S262" i="1" s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Q262" i="1" s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S261" i="1" s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Q261" i="1" s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S260" i="1" s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Q260" i="1" s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S259" i="1" s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Q259" i="1" s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S258" i="1" s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Q258" i="1" s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S257" i="1" s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Q257" i="1" s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S255" i="1" s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Q255" i="1" s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S254" i="1" s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Q254" i="1" s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S253" i="1" s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Q253" i="1" s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S252" i="1" s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Q252" i="1" s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S251" i="1" s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Q251" i="1" s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S250" i="1" s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Q250" i="1" s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S248" i="1" s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Q248" i="1" s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S247" i="1" s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Q247" i="1" s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S246" i="1" s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Q246" i="1" s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S245" i="1" s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Q245" i="1" s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S244" i="1" s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Q244" i="1" s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S243" i="1" s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Q243" i="1" s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S241" i="1" s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Q241" i="1" s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M47" i="2" s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H47" i="2" s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S238" i="1" s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Q238" i="1" s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S237" i="1" s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Q237" i="1" s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S236" i="1" s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Q236" i="1" s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S235" i="1" s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Q235" i="1" s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S234" i="1" s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Q234" i="1" s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S233" i="1" s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Q233" i="1" s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S231" i="1" s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Q231" i="1" s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S230" i="1" s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Q230" i="1" s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S229" i="1" s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Q229" i="1" s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S228" i="1" s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Q228" i="1" s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S227" i="1" s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Q227" i="1" s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S226" i="1" s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Q226" i="1" s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S224" i="1" s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Q224" i="1" s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S223" i="1" s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Q223" i="1" s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S222" i="1" s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Q222" i="1" s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S221" i="1" s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Q221" i="1" s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S220" i="1" s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Q220" i="1" s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S279" i="1" s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Q279" i="1" s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S278" i="1" s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Q278" i="1" s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S277" i="1" s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Q277" i="1" s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S276" i="1" s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Q276" i="1" s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S275" i="1" s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Q275" i="1" s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S274" i="1" s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Q274" i="1" s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S218" i="1" s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Q218" i="1" s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S217" i="1" s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Q217" i="1" s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S216" i="1" s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Q216" i="1" s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S215" i="1" s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Q215" i="1" s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S214" i="1" s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Q214" i="1" s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S212" i="1" s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Q212" i="1" s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M41" i="2" s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H41" i="2" s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S210" i="1" s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Q210" i="1" s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CG206" i="1"/>
  <c r="CF206" i="1"/>
  <c r="CE206" i="1"/>
  <c r="CD206" i="1"/>
  <c r="CD209" i="1" s="1"/>
  <c r="CC206" i="1"/>
  <c r="CB206" i="1"/>
  <c r="CB209" i="1" s="1"/>
  <c r="CA206" i="1"/>
  <c r="CA209" i="1" s="1"/>
  <c r="BZ206" i="1"/>
  <c r="BY206" i="1"/>
  <c r="BY209" i="1" s="1"/>
  <c r="BX206" i="1"/>
  <c r="BW206" i="1"/>
  <c r="BW209" i="1" s="1"/>
  <c r="BV206" i="1"/>
  <c r="BU206" i="1"/>
  <c r="BT206" i="1"/>
  <c r="BT209" i="1" s="1"/>
  <c r="BS206" i="1"/>
  <c r="BR206" i="1"/>
  <c r="BQ206" i="1"/>
  <c r="BQ209" i="1" s="1"/>
  <c r="BP206" i="1"/>
  <c r="BO206" i="1"/>
  <c r="BN206" i="1"/>
  <c r="BM206" i="1"/>
  <c r="BL206" i="1"/>
  <c r="BK206" i="1"/>
  <c r="BJ206" i="1"/>
  <c r="BJ209" i="1" s="1"/>
  <c r="BI206" i="1"/>
  <c r="BI209" i="1" s="1"/>
  <c r="BH206" i="1"/>
  <c r="BH209" i="1" s="1"/>
  <c r="BG206" i="1"/>
  <c r="BG209" i="1" s="1"/>
  <c r="BF206" i="1"/>
  <c r="BF209" i="1" s="1"/>
  <c r="BE206" i="1"/>
  <c r="BE209" i="1" s="1"/>
  <c r="BD206" i="1"/>
  <c r="BD209" i="1" s="1"/>
  <c r="BC206" i="1"/>
  <c r="AZ206" i="1"/>
  <c r="AY206" i="1"/>
  <c r="AX206" i="1"/>
  <c r="AW206" i="1"/>
  <c r="AW209" i="1" s="1"/>
  <c r="AV206" i="1"/>
  <c r="AU206" i="1"/>
  <c r="AU209" i="1" s="1"/>
  <c r="AT206" i="1"/>
  <c r="AT209" i="1" s="1"/>
  <c r="AS206" i="1"/>
  <c r="AR206" i="1"/>
  <c r="AR209" i="1" s="1"/>
  <c r="AQ206" i="1"/>
  <c r="AP206" i="1"/>
  <c r="AP209" i="1" s="1"/>
  <c r="AO206" i="1"/>
  <c r="AN206" i="1"/>
  <c r="AM206" i="1"/>
  <c r="AM209" i="1" s="1"/>
  <c r="AL206" i="1"/>
  <c r="AK206" i="1"/>
  <c r="AJ206" i="1"/>
  <c r="AI206" i="1"/>
  <c r="Q206" i="1" s="1"/>
  <c r="AH206" i="1"/>
  <c r="AG206" i="1"/>
  <c r="AF206" i="1"/>
  <c r="AE206" i="1"/>
  <c r="AD206" i="1"/>
  <c r="AC206" i="1"/>
  <c r="AC209" i="1" s="1"/>
  <c r="AB206" i="1"/>
  <c r="AB209" i="1" s="1"/>
  <c r="AA206" i="1"/>
  <c r="AA209" i="1" s="1"/>
  <c r="Z206" i="1"/>
  <c r="Y206" i="1"/>
  <c r="Y209" i="1" s="1"/>
  <c r="X206" i="1"/>
  <c r="X209" i="1" s="1"/>
  <c r="W206" i="1"/>
  <c r="W209" i="1" s="1"/>
  <c r="V206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S204" i="1" s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Q204" i="1" s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S203" i="1" s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Q203" i="1" s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S202" i="1" s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Q202" i="1" s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S201" i="1" s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Q201" i="1" s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S200" i="1" s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Q200" i="1" s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S199" i="1" s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Q199" i="1" s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S198" i="1" s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Q198" i="1" s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S196" i="1" s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Q196" i="1" s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S195" i="1" s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Q195" i="1" s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S194" i="1" s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Q194" i="1" s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S193" i="1" s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Q193" i="1" s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S192" i="1" s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Q192" i="1" s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S191" i="1" s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Q191" i="1" s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S190" i="1" s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Q190" i="1" s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S188" i="1" s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Q188" i="1" s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S187" i="1" s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Q187" i="1" s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S186" i="1" s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Q186" i="1" s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S185" i="1" s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Q185" i="1" s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S184" i="1" s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Q184" i="1" s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S183" i="1" s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Q183" i="1" s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S182" i="1" s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Q182" i="1" s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S180" i="1" s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Q180" i="1" s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S178" i="1" s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Q178" i="1" s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M34" i="2" s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H34" i="2" s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M33" i="2" s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H33" i="2" s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S174" i="1" s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Q174" i="1" s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S173" i="1" s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Q173" i="1" s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S172" i="1" s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Q172" i="1" s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S171" i="1" s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Q171" i="1" s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S170" i="1" s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Q170" i="1" s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S168" i="1" s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Q168" i="1" s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S167" i="1" s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Q167" i="1" s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S166" i="1" s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Q166" i="1" s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S165" i="1" s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Q165" i="1" s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S164" i="1" s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Q164" i="1" s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S163" i="1" s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Q163" i="1" s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S161" i="1" s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Q161" i="1" s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S160" i="1" s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Q160" i="1" s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S159" i="1" s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Q159" i="1" s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S158" i="1" s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Q158" i="1" s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S157" i="1" s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Q157" i="1" s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S156" i="1" s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Q156" i="1" s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S155" i="1" s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Q155" i="1" s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S154" i="1" s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Q154" i="1" s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S152" i="1" s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Q152" i="1" s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S151" i="1" s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Q151" i="1" s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S150" i="1" s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Q150" i="1" s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S149" i="1" s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Q149" i="1" s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S148" i="1" s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Q148" i="1" s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S147" i="1" s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Q147" i="1" s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M27" i="2" s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H27" i="2" s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M26" i="2" s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H26" i="2" s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S142" i="1" s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Q142" i="1" s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S141" i="1" s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Q141" i="1" s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S140" i="1" s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Q140" i="1" s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S139" i="1" s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Q139" i="1" s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S138" i="1" s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Q138" i="1" s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S137" i="1" s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Q137" i="1" s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S135" i="1" s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Q135" i="1" s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S134" i="1" s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Q134" i="1" s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S133" i="1" s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Q133" i="1" s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S132" i="1" s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Q132" i="1" s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S131" i="1" s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Q131" i="1" s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S130" i="1" s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Q130" i="1" s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S129" i="1" s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Q129" i="1" s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S127" i="1" s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Q127" i="1" s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S126" i="1" s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Q126" i="1" s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S125" i="1" s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Q125" i="1" s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S124" i="1" s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Q124" i="1" s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S123" i="1" s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Q123" i="1" s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S122" i="1" s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Q122" i="1" s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S121" i="1" s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Q121" i="1" s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S119" i="1" s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Q119" i="1" s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S118" i="1" s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Q118" i="1" s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S117" i="1" s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Q117" i="1" s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S116" i="1" s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Q116" i="1" s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S115" i="1" s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Q115" i="1" s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S114" i="1" s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Q114" i="1" s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S112" i="1" s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Q112" i="1" s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S111" i="1" s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Q111" i="1" s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S110" i="1" s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Q110" i="1" s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S109" i="1" s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Q109" i="1" s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S108" i="1" s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Q108" i="1" s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S107" i="1" s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Q107" i="1" s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S105" i="1" s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Q105" i="1" s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S104" i="1" s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Q104" i="1" s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S103" i="1" s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Q103" i="1" s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S99" i="1" s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Q99" i="1" s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S98" i="1" s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Q98" i="1" s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S97" i="1" s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Q97" i="1" s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S96" i="1" s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Q96" i="1" s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S95" i="1" s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Q95" i="1" s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S94" i="1" s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Q94" i="1" s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S93" i="1" s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Q93" i="1" s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S91" i="1" s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Q91" i="1" s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S90" i="1" s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Q90" i="1" s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S89" i="1" s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Q89" i="1" s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S88" i="1" s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Q88" i="1" s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S87" i="1" s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Q87" i="1" s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S86" i="1" s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Q86" i="1" s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S85" i="1" s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Q85" i="1" s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S83" i="1" s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Q83" i="1" s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S82" i="1" s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Q82" i="1" s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S81" i="1" s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Q81" i="1" s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S80" i="1" s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Q80" i="1" s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S79" i="1" s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Q79" i="1" s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S78" i="1" s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Q78" i="1" s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S77" i="1" s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Q77" i="1" s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M14" i="2" s="1"/>
  <c r="BN66" i="1"/>
  <c r="BM66" i="1"/>
  <c r="BL66" i="1"/>
  <c r="BK66" i="1"/>
  <c r="BJ66" i="1"/>
  <c r="BI66" i="1"/>
  <c r="BH66" i="1"/>
  <c r="BG66" i="1"/>
  <c r="BF66" i="1"/>
  <c r="BE66" i="1"/>
  <c r="BD66" i="1"/>
  <c r="BC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H14" i="2" s="1"/>
  <c r="AG66" i="1"/>
  <c r="AF66" i="1"/>
  <c r="AE66" i="1"/>
  <c r="AD66" i="1"/>
  <c r="AC66" i="1"/>
  <c r="AB66" i="1"/>
  <c r="AA66" i="1"/>
  <c r="Z66" i="1"/>
  <c r="Y66" i="1"/>
  <c r="X66" i="1"/>
  <c r="W66" i="1"/>
  <c r="V66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S64" i="1" s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Q64" i="1" s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S63" i="1" s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Q63" i="1" s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S62" i="1" s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Q62" i="1" s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S61" i="1" s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Q61" i="1" s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S60" i="1" s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Q60" i="1" s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S59" i="1" s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Q59" i="1" s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S75" i="1" s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Q75" i="1" s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S74" i="1" s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Q74" i="1" s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S73" i="1" s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Q73" i="1" s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S72" i="1" s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Q72" i="1" s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S71" i="1" s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Q71" i="1" s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S70" i="1" s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Q70" i="1" s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S69" i="1" s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Q69" i="1" s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S68" i="1" s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Q68" i="1" s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S57" i="1" s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Q57" i="1" s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S56" i="1" s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Q56" i="1" s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S55" i="1" s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Q55" i="1" s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S54" i="1" s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Q54" i="1" s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S53" i="1" s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Q53" i="1" s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S52" i="1" s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Q52" i="1" s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S51" i="1" s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Q51" i="1" s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S50" i="1" s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Q50" i="1" s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S48" i="1" s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Q48" i="1" s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M10" i="2" s="1"/>
  <c r="BN47" i="1"/>
  <c r="BM47" i="1"/>
  <c r="BL47" i="1"/>
  <c r="BK47" i="1"/>
  <c r="BJ47" i="1"/>
  <c r="BI47" i="1"/>
  <c r="BH47" i="1"/>
  <c r="BG47" i="1"/>
  <c r="BF47" i="1"/>
  <c r="BE47" i="1"/>
  <c r="BD47" i="1"/>
  <c r="BC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H10" i="2" s="1"/>
  <c r="AG47" i="1"/>
  <c r="AF47" i="1"/>
  <c r="AE47" i="1"/>
  <c r="AD47" i="1"/>
  <c r="AC47" i="1"/>
  <c r="AB47" i="1"/>
  <c r="AA47" i="1"/>
  <c r="Z47" i="1"/>
  <c r="Y47" i="1"/>
  <c r="X47" i="1"/>
  <c r="W47" i="1"/>
  <c r="V47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M9" i="2" s="1"/>
  <c r="BN46" i="1"/>
  <c r="BM46" i="1"/>
  <c r="BL46" i="1"/>
  <c r="BK46" i="1"/>
  <c r="BJ46" i="1"/>
  <c r="BI46" i="1"/>
  <c r="BH46" i="1"/>
  <c r="BG46" i="1"/>
  <c r="BF46" i="1"/>
  <c r="BE46" i="1"/>
  <c r="BD46" i="1"/>
  <c r="BC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H9" i="2" s="1"/>
  <c r="AG46" i="1"/>
  <c r="AF46" i="1"/>
  <c r="AE46" i="1"/>
  <c r="AD46" i="1"/>
  <c r="AC46" i="1"/>
  <c r="AB46" i="1"/>
  <c r="AA46" i="1"/>
  <c r="Z46" i="1"/>
  <c r="Y46" i="1"/>
  <c r="X46" i="1"/>
  <c r="W46" i="1"/>
  <c r="V46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S44" i="1" s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Q44" i="1" s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S43" i="1" s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Q43" i="1" s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S42" i="1" s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Q42" i="1" s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S41" i="1" s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Q41" i="1" s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S40" i="1" s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Q40" i="1" s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S39" i="1" s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Q39" i="1" s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S38" i="1" s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Q38" i="1" s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S36" i="1" s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Q36" i="1" s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S35" i="1" s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Q35" i="1" s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S34" i="1" s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Q34" i="1" s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S33" i="1" s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Q33" i="1" s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S32" i="1" s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Q32" i="1" s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S31" i="1" s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Q31" i="1" s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S30" i="1" s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Q30" i="1" s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S29" i="1" s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Q29" i="1" s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S27" i="1" s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Q27" i="1" s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S26" i="1" s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Q26" i="1" s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S25" i="1" s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Q25" i="1" s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S24" i="1" s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Q24" i="1" s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S23" i="1" s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Q23" i="1" s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S22" i="1" s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Q22" i="1" s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S21" i="1" s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Q21" i="1" s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S20" i="1" s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Q20" i="1" s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S18" i="1" s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Q18" i="1" s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S17" i="1" s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Q17" i="1" s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S16" i="1" s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Q16" i="1" s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S15" i="1" s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Q15" i="1" s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S14" i="1" s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Q14" i="1" s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S13" i="1" s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Q13" i="1" s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S12" i="1" s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Q12" i="1" s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S10" i="1" s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Q10" i="1" s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S9" i="1" s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Q9" i="1" s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S8" i="1" s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Q8" i="1" s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S7" i="1" s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Q7" i="1" s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S6" i="1" s="1"/>
  <c r="BN6" i="1"/>
  <c r="BM6" i="1"/>
  <c r="BL6" i="1"/>
  <c r="BK6" i="1"/>
  <c r="BJ6" i="1"/>
  <c r="BI6" i="1"/>
  <c r="BH6" i="1"/>
  <c r="BG6" i="1"/>
  <c r="BF6" i="1"/>
  <c r="BE6" i="1"/>
  <c r="BD6" i="1"/>
  <c r="BC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Q6" i="1" s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S5" i="1" s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Q5" i="1" s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E63" i="2"/>
  <c r="F31" i="2"/>
  <c r="K26" i="3" l="1"/>
  <c r="K9" i="3"/>
  <c r="I9" i="3"/>
  <c r="S47" i="1"/>
  <c r="O10" i="2" s="1"/>
  <c r="N10" i="2"/>
  <c r="S66" i="1"/>
  <c r="O14" i="2" s="1"/>
  <c r="N14" i="2"/>
  <c r="S176" i="1"/>
  <c r="O33" i="2" s="1"/>
  <c r="N33" i="2"/>
  <c r="L26" i="3" s="1"/>
  <c r="S46" i="1"/>
  <c r="N9" i="2"/>
  <c r="L9" i="3" s="1"/>
  <c r="N41" i="2"/>
  <c r="S211" i="1"/>
  <c r="O41" i="2" s="1"/>
  <c r="N69" i="2"/>
  <c r="S340" i="1"/>
  <c r="O69" i="2" s="1"/>
  <c r="N27" i="2"/>
  <c r="S145" i="1"/>
  <c r="O27" i="2" s="1"/>
  <c r="N64" i="2"/>
  <c r="S330" i="1"/>
  <c r="O64" i="2" s="1"/>
  <c r="N26" i="2"/>
  <c r="S144" i="1"/>
  <c r="S177" i="1"/>
  <c r="O34" i="2" s="1"/>
  <c r="N34" i="2"/>
  <c r="BP209" i="1"/>
  <c r="N40" i="2" s="1"/>
  <c r="S206" i="1"/>
  <c r="S209" i="1" s="1"/>
  <c r="N47" i="2"/>
  <c r="S240" i="1"/>
  <c r="O47" i="2" s="1"/>
  <c r="S301" i="1"/>
  <c r="O58" i="2" s="1"/>
  <c r="N58" i="2"/>
  <c r="I26" i="2"/>
  <c r="Q144" i="1"/>
  <c r="I34" i="2"/>
  <c r="Q177" i="1"/>
  <c r="I47" i="2"/>
  <c r="Q240" i="1"/>
  <c r="I58" i="2"/>
  <c r="Q301" i="1"/>
  <c r="Q47" i="1"/>
  <c r="I10" i="2"/>
  <c r="I14" i="2"/>
  <c r="Q66" i="1"/>
  <c r="I33" i="2"/>
  <c r="J26" i="3" s="1"/>
  <c r="Q176" i="1"/>
  <c r="I9" i="2"/>
  <c r="J9" i="3" s="1"/>
  <c r="Q46" i="1"/>
  <c r="I26" i="3"/>
  <c r="Q211" i="1"/>
  <c r="I41" i="2"/>
  <c r="Q340" i="1"/>
  <c r="I69" i="2"/>
  <c r="Q145" i="1"/>
  <c r="I27" i="2"/>
  <c r="I64" i="2"/>
  <c r="Q330" i="1"/>
  <c r="BK209" i="1"/>
  <c r="AD209" i="1"/>
  <c r="CF209" i="1"/>
  <c r="AY209" i="1"/>
  <c r="AX209" i="1"/>
  <c r="Q209" i="1"/>
  <c r="CE209" i="1"/>
  <c r="CH248" i="1"/>
  <c r="CI248" i="1" s="1"/>
  <c r="BX209" i="1"/>
  <c r="O26" i="2"/>
  <c r="AQ209" i="1"/>
  <c r="CH63" i="1"/>
  <c r="CI63" i="1" s="1"/>
  <c r="BR209" i="1"/>
  <c r="AK209" i="1"/>
  <c r="AJ209" i="1"/>
  <c r="CH152" i="1"/>
  <c r="CI152" i="1" s="1"/>
  <c r="CH313" i="1"/>
  <c r="CI313" i="1" s="1"/>
  <c r="CH331" i="1"/>
  <c r="CI331" i="1" s="1"/>
  <c r="AI209" i="1"/>
  <c r="I40" i="2" s="1"/>
  <c r="CH103" i="1"/>
  <c r="CI103" i="1" s="1"/>
  <c r="CH87" i="1"/>
  <c r="CI87" i="1" s="1"/>
  <c r="CH131" i="1"/>
  <c r="CI131" i="1" s="1"/>
  <c r="CH330" i="1"/>
  <c r="CI330" i="1" s="1"/>
  <c r="CH285" i="1"/>
  <c r="CI285" i="1" s="1"/>
  <c r="CH307" i="1"/>
  <c r="CI307" i="1" s="1"/>
  <c r="CH24" i="1"/>
  <c r="CI24" i="1" s="1"/>
  <c r="CH159" i="1"/>
  <c r="CI159" i="1" s="1"/>
  <c r="CH345" i="1"/>
  <c r="CI345" i="1" s="1"/>
  <c r="CH299" i="1"/>
  <c r="CI299" i="1" s="1"/>
  <c r="CH124" i="1"/>
  <c r="CI124" i="1" s="1"/>
  <c r="CH220" i="1"/>
  <c r="CI220" i="1" s="1"/>
  <c r="CH202" i="1"/>
  <c r="CI202" i="1" s="1"/>
  <c r="CH117" i="1"/>
  <c r="CI117" i="1" s="1"/>
  <c r="CH182" i="1"/>
  <c r="CI182" i="1" s="1"/>
  <c r="CH188" i="1"/>
  <c r="CI188" i="1" s="1"/>
  <c r="CH227" i="1"/>
  <c r="CI227" i="1" s="1"/>
  <c r="CH241" i="1"/>
  <c r="CI241" i="1" s="1"/>
  <c r="CH17" i="1"/>
  <c r="CI17" i="1" s="1"/>
  <c r="CH74" i="1"/>
  <c r="CI74" i="1" s="1"/>
  <c r="CH195" i="1"/>
  <c r="CI195" i="1" s="1"/>
  <c r="CH68" i="1"/>
  <c r="CI68" i="1" s="1"/>
  <c r="CH80" i="1"/>
  <c r="CI80" i="1" s="1"/>
  <c r="CH292" i="1"/>
  <c r="CI292" i="1" s="1"/>
  <c r="CH110" i="1"/>
  <c r="CI110" i="1" s="1"/>
  <c r="CH138" i="1"/>
  <c r="CI138" i="1" s="1"/>
  <c r="CH166" i="1"/>
  <c r="CI166" i="1" s="1"/>
  <c r="CH255" i="1"/>
  <c r="CI255" i="1" s="1"/>
  <c r="CH234" i="1"/>
  <c r="CI234" i="1" s="1"/>
  <c r="CH10" i="1"/>
  <c r="CI10" i="1" s="1"/>
  <c r="CH38" i="1"/>
  <c r="CI38" i="1" s="1"/>
  <c r="CH52" i="1"/>
  <c r="CI52" i="1" s="1"/>
  <c r="CH173" i="1"/>
  <c r="CI173" i="1" s="1"/>
  <c r="CH212" i="1"/>
  <c r="CI212" i="1" s="1"/>
  <c r="CH353" i="1"/>
  <c r="CI353" i="1" s="1"/>
  <c r="CH94" i="1"/>
  <c r="CI94" i="1" s="1"/>
  <c r="CH262" i="1"/>
  <c r="CI262" i="1" s="1"/>
  <c r="CH269" i="1"/>
  <c r="CI269" i="1" s="1"/>
  <c r="CH338" i="1"/>
  <c r="CI338" i="1" s="1"/>
  <c r="CH145" i="1"/>
  <c r="CI145" i="1" s="1"/>
  <c r="CH44" i="1"/>
  <c r="CI44" i="1" s="1"/>
  <c r="CH274" i="1"/>
  <c r="CI274" i="1" s="1"/>
  <c r="CH111" i="1"/>
  <c r="CI111" i="1" s="1"/>
  <c r="CH132" i="1"/>
  <c r="CI132" i="1" s="1"/>
  <c r="CH139" i="1"/>
  <c r="CI139" i="1" s="1"/>
  <c r="CH190" i="1"/>
  <c r="CI190" i="1" s="1"/>
  <c r="CH214" i="1"/>
  <c r="CI214" i="1" s="1"/>
  <c r="CH275" i="1"/>
  <c r="CI275" i="1" s="1"/>
  <c r="CH95" i="1"/>
  <c r="CI95" i="1" s="1"/>
  <c r="CH118" i="1"/>
  <c r="CI118" i="1" s="1"/>
  <c r="CH125" i="1"/>
  <c r="CI125" i="1" s="1"/>
  <c r="CH147" i="1"/>
  <c r="CI147" i="1" s="1"/>
  <c r="CH183" i="1"/>
  <c r="CI183" i="1" s="1"/>
  <c r="CH228" i="1"/>
  <c r="CI228" i="1" s="1"/>
  <c r="CH264" i="1"/>
  <c r="CI264" i="1" s="1"/>
  <c r="AZ209" i="1"/>
  <c r="CH7" i="1"/>
  <c r="CI7" i="1" s="1"/>
  <c r="CH14" i="1"/>
  <c r="CI14" i="1" s="1"/>
  <c r="CH21" i="1"/>
  <c r="CI21" i="1" s="1"/>
  <c r="CH27" i="1"/>
  <c r="CI27" i="1" s="1"/>
  <c r="CH34" i="1"/>
  <c r="CI34" i="1" s="1"/>
  <c r="CH41" i="1"/>
  <c r="CI41" i="1" s="1"/>
  <c r="CH48" i="1"/>
  <c r="CI48" i="1" s="1"/>
  <c r="CH55" i="1"/>
  <c r="CI55" i="1" s="1"/>
  <c r="CH71" i="1"/>
  <c r="CI71" i="1" s="1"/>
  <c r="CH60" i="1"/>
  <c r="CI60" i="1" s="1"/>
  <c r="CH77" i="1"/>
  <c r="CI77" i="1" s="1"/>
  <c r="CH83" i="1"/>
  <c r="CI83" i="1" s="1"/>
  <c r="CH90" i="1"/>
  <c r="CI90" i="1" s="1"/>
  <c r="CH97" i="1"/>
  <c r="CI97" i="1" s="1"/>
  <c r="CH107" i="1"/>
  <c r="CI107" i="1" s="1"/>
  <c r="CH114" i="1"/>
  <c r="CI114" i="1" s="1"/>
  <c r="CH121" i="1"/>
  <c r="CI121" i="1" s="1"/>
  <c r="CH127" i="1"/>
  <c r="CI127" i="1" s="1"/>
  <c r="CH134" i="1"/>
  <c r="CI134" i="1" s="1"/>
  <c r="CH141" i="1"/>
  <c r="CI141" i="1" s="1"/>
  <c r="CH149" i="1"/>
  <c r="CI149" i="1" s="1"/>
  <c r="CH156" i="1"/>
  <c r="CI156" i="1" s="1"/>
  <c r="CH163" i="1"/>
  <c r="CI163" i="1" s="1"/>
  <c r="CH170" i="1"/>
  <c r="CI170" i="1" s="1"/>
  <c r="CH177" i="1"/>
  <c r="CI177" i="1" s="1"/>
  <c r="CH185" i="1"/>
  <c r="CI185" i="1" s="1"/>
  <c r="CH192" i="1"/>
  <c r="CI192" i="1" s="1"/>
  <c r="CH199" i="1"/>
  <c r="CI199" i="1" s="1"/>
  <c r="CH206" i="1"/>
  <c r="CI206" i="1" s="1"/>
  <c r="CH216" i="1"/>
  <c r="CI216" i="1" s="1"/>
  <c r="CH277" i="1"/>
  <c r="CI277" i="1" s="1"/>
  <c r="CH223" i="1"/>
  <c r="CI223" i="1" s="1"/>
  <c r="CH230" i="1"/>
  <c r="CI230" i="1" s="1"/>
  <c r="CH237" i="1"/>
  <c r="CI237" i="1" s="1"/>
  <c r="CH245" i="1"/>
  <c r="CI245" i="1" s="1"/>
  <c r="CH252" i="1"/>
  <c r="CI252" i="1" s="1"/>
  <c r="CH259" i="1"/>
  <c r="CI259" i="1" s="1"/>
  <c r="CH266" i="1"/>
  <c r="CI266" i="1" s="1"/>
  <c r="CH282" i="1"/>
  <c r="CI282" i="1" s="1"/>
  <c r="CH289" i="1"/>
  <c r="CI289" i="1" s="1"/>
  <c r="CH295" i="1"/>
  <c r="CI295" i="1" s="1"/>
  <c r="CH304" i="1"/>
  <c r="CI304" i="1" s="1"/>
  <c r="CH329" i="1"/>
  <c r="CI329" i="1" s="1"/>
  <c r="CH316" i="1"/>
  <c r="CI316" i="1" s="1"/>
  <c r="CH325" i="1"/>
  <c r="CI325" i="1" s="1"/>
  <c r="CH335" i="1"/>
  <c r="CI335" i="1" s="1"/>
  <c r="CH342" i="1"/>
  <c r="CI342" i="1" s="1"/>
  <c r="CH350" i="1"/>
  <c r="CI350" i="1" s="1"/>
  <c r="CH358" i="1"/>
  <c r="CI358" i="1" s="1"/>
  <c r="CH46" i="1"/>
  <c r="CI46" i="1" s="1"/>
  <c r="CH75" i="1"/>
  <c r="CI75" i="1" s="1"/>
  <c r="CH64" i="1"/>
  <c r="CI64" i="1" s="1"/>
  <c r="CH88" i="1"/>
  <c r="CI88" i="1" s="1"/>
  <c r="CH25" i="1"/>
  <c r="CI25" i="1" s="1"/>
  <c r="CH32" i="1"/>
  <c r="CI32" i="1" s="1"/>
  <c r="CH53" i="1"/>
  <c r="CI53" i="1" s="1"/>
  <c r="CH26" i="1"/>
  <c r="CI26" i="1" s="1"/>
  <c r="CH47" i="1"/>
  <c r="CI47" i="1" s="1"/>
  <c r="CH54" i="1"/>
  <c r="CI54" i="1" s="1"/>
  <c r="CH89" i="1"/>
  <c r="CI89" i="1" s="1"/>
  <c r="CH105" i="1"/>
  <c r="CI105" i="1" s="1"/>
  <c r="CH126" i="1"/>
  <c r="CI126" i="1" s="1"/>
  <c r="CH148" i="1"/>
  <c r="CI148" i="1" s="1"/>
  <c r="CH155" i="1"/>
  <c r="CI155" i="1" s="1"/>
  <c r="CH176" i="1"/>
  <c r="CI176" i="1" s="1"/>
  <c r="CH184" i="1"/>
  <c r="CI184" i="1" s="1"/>
  <c r="CH191" i="1"/>
  <c r="CI191" i="1" s="1"/>
  <c r="CH222" i="1"/>
  <c r="CI222" i="1" s="1"/>
  <c r="CH258" i="1"/>
  <c r="CI258" i="1" s="1"/>
  <c r="CH287" i="1"/>
  <c r="CI287" i="1" s="1"/>
  <c r="CH294" i="1"/>
  <c r="CI294" i="1" s="1"/>
  <c r="CH224" i="1"/>
  <c r="CI224" i="1" s="1"/>
  <c r="CH231" i="1"/>
  <c r="CI231" i="1" s="1"/>
  <c r="CH238" i="1"/>
  <c r="CI238" i="1" s="1"/>
  <c r="CH246" i="1"/>
  <c r="CI246" i="1" s="1"/>
  <c r="CH253" i="1"/>
  <c r="CI253" i="1" s="1"/>
  <c r="CH260" i="1"/>
  <c r="CI260" i="1" s="1"/>
  <c r="CH267" i="1"/>
  <c r="CI267" i="1" s="1"/>
  <c r="CH283" i="1"/>
  <c r="CI283" i="1" s="1"/>
  <c r="CH290" i="1"/>
  <c r="CI290" i="1" s="1"/>
  <c r="CH297" i="1"/>
  <c r="CI297" i="1" s="1"/>
  <c r="CH305" i="1"/>
  <c r="CI305" i="1" s="1"/>
  <c r="CH310" i="1"/>
  <c r="CI310" i="1" s="1"/>
  <c r="CH317" i="1"/>
  <c r="CI317" i="1" s="1"/>
  <c r="CH326" i="1"/>
  <c r="CI326" i="1" s="1"/>
  <c r="CH336" i="1"/>
  <c r="CI336" i="1" s="1"/>
  <c r="CH343" i="1"/>
  <c r="CI343" i="1" s="1"/>
  <c r="CH351" i="1"/>
  <c r="CI351" i="1" s="1"/>
  <c r="CH360" i="1"/>
  <c r="CI360" i="1" s="1"/>
  <c r="CH12" i="1"/>
  <c r="CI12" i="1" s="1"/>
  <c r="CH39" i="1"/>
  <c r="CI39" i="1" s="1"/>
  <c r="CH69" i="1"/>
  <c r="CI69" i="1" s="1"/>
  <c r="CH174" i="1"/>
  <c r="CI174" i="1" s="1"/>
  <c r="CH196" i="1"/>
  <c r="CI196" i="1" s="1"/>
  <c r="CH243" i="1"/>
  <c r="CI243" i="1" s="1"/>
  <c r="CH257" i="1"/>
  <c r="CI257" i="1" s="1"/>
  <c r="CH314" i="1"/>
  <c r="CI314" i="1" s="1"/>
  <c r="CH333" i="1"/>
  <c r="CI333" i="1" s="1"/>
  <c r="CH346" i="1"/>
  <c r="CI346" i="1" s="1"/>
  <c r="CH13" i="1"/>
  <c r="CI13" i="1" s="1"/>
  <c r="CH33" i="1"/>
  <c r="CI33" i="1" s="1"/>
  <c r="CH168" i="1"/>
  <c r="CI168" i="1" s="1"/>
  <c r="CH229" i="1"/>
  <c r="CI229" i="1" s="1"/>
  <c r="CH236" i="1"/>
  <c r="CI236" i="1" s="1"/>
  <c r="CH244" i="1"/>
  <c r="CI244" i="1" s="1"/>
  <c r="CH251" i="1"/>
  <c r="CI251" i="1" s="1"/>
  <c r="CH265" i="1"/>
  <c r="CI265" i="1" s="1"/>
  <c r="CH281" i="1"/>
  <c r="CI281" i="1" s="1"/>
  <c r="CH302" i="1"/>
  <c r="CI302" i="1" s="1"/>
  <c r="CH309" i="1"/>
  <c r="CI309" i="1" s="1"/>
  <c r="CH315" i="1"/>
  <c r="CI315" i="1" s="1"/>
  <c r="CH324" i="1"/>
  <c r="CI324" i="1" s="1"/>
  <c r="CH334" i="1"/>
  <c r="CI334" i="1" s="1"/>
  <c r="CH341" i="1"/>
  <c r="CI341" i="1" s="1"/>
  <c r="CH356" i="1"/>
  <c r="CI356" i="1" s="1"/>
  <c r="CH31" i="1"/>
  <c r="CI31" i="1" s="1"/>
  <c r="CG209" i="1"/>
  <c r="CH18" i="1"/>
  <c r="CI18" i="1" s="1"/>
  <c r="CH104" i="1"/>
  <c r="CI104" i="1" s="1"/>
  <c r="CH154" i="1"/>
  <c r="CI154" i="1" s="1"/>
  <c r="CH160" i="1"/>
  <c r="CI160" i="1" s="1"/>
  <c r="CH167" i="1"/>
  <c r="CI167" i="1" s="1"/>
  <c r="CH203" i="1"/>
  <c r="CI203" i="1" s="1"/>
  <c r="CH221" i="1"/>
  <c r="CI221" i="1" s="1"/>
  <c r="CH235" i="1"/>
  <c r="CI235" i="1" s="1"/>
  <c r="CH250" i="1"/>
  <c r="CI250" i="1" s="1"/>
  <c r="CH272" i="1"/>
  <c r="CI272" i="1" s="1"/>
  <c r="CH286" i="1"/>
  <c r="CI286" i="1" s="1"/>
  <c r="CH293" i="1"/>
  <c r="CI293" i="1" s="1"/>
  <c r="CH301" i="1"/>
  <c r="CI301" i="1" s="1"/>
  <c r="CH308" i="1"/>
  <c r="CI308" i="1" s="1"/>
  <c r="CH323" i="1"/>
  <c r="CI323" i="1" s="1"/>
  <c r="CH340" i="1"/>
  <c r="CI340" i="1" s="1"/>
  <c r="CH354" i="1"/>
  <c r="CI354" i="1" s="1"/>
  <c r="CH6" i="1"/>
  <c r="CI6" i="1" s="1"/>
  <c r="CH20" i="1"/>
  <c r="CI20" i="1" s="1"/>
  <c r="CH59" i="1"/>
  <c r="CI59" i="1" s="1"/>
  <c r="CH66" i="1"/>
  <c r="CI66" i="1" s="1"/>
  <c r="CH112" i="1"/>
  <c r="CI112" i="1" s="1"/>
  <c r="CH119" i="1"/>
  <c r="CI119" i="1" s="1"/>
  <c r="CH198" i="1"/>
  <c r="CI198" i="1" s="1"/>
  <c r="CH276" i="1"/>
  <c r="CI276" i="1" s="1"/>
  <c r="CH8" i="1"/>
  <c r="CI8" i="1" s="1"/>
  <c r="CH15" i="1"/>
  <c r="CI15" i="1" s="1"/>
  <c r="CH29" i="1"/>
  <c r="CI29" i="1" s="1"/>
  <c r="CH35" i="1"/>
  <c r="CI35" i="1" s="1"/>
  <c r="CH42" i="1"/>
  <c r="CI42" i="1" s="1"/>
  <c r="CH50" i="1"/>
  <c r="CI50" i="1" s="1"/>
  <c r="CH72" i="1"/>
  <c r="CI72" i="1" s="1"/>
  <c r="CH61" i="1"/>
  <c r="CI61" i="1" s="1"/>
  <c r="CH78" i="1"/>
  <c r="CI78" i="1" s="1"/>
  <c r="CH210" i="1"/>
  <c r="CI210" i="1" s="1"/>
  <c r="CH217" i="1"/>
  <c r="CI217" i="1" s="1"/>
  <c r="CH278" i="1"/>
  <c r="CI278" i="1" s="1"/>
  <c r="CH9" i="1"/>
  <c r="CI9" i="1" s="1"/>
  <c r="CH23" i="1"/>
  <c r="CI23" i="1" s="1"/>
  <c r="CH30" i="1"/>
  <c r="CI30" i="1" s="1"/>
  <c r="CH36" i="1"/>
  <c r="CI36" i="1" s="1"/>
  <c r="CH43" i="1"/>
  <c r="CI43" i="1" s="1"/>
  <c r="CH51" i="1"/>
  <c r="CI51" i="1" s="1"/>
  <c r="CH57" i="1"/>
  <c r="CI57" i="1" s="1"/>
  <c r="CH73" i="1"/>
  <c r="CI73" i="1" s="1"/>
  <c r="CH62" i="1"/>
  <c r="CI62" i="1" s="1"/>
  <c r="CH79" i="1"/>
  <c r="CI79" i="1" s="1"/>
  <c r="CH86" i="1"/>
  <c r="CI86" i="1" s="1"/>
  <c r="CH93" i="1"/>
  <c r="CI93" i="1" s="1"/>
  <c r="CH99" i="1"/>
  <c r="CI99" i="1" s="1"/>
  <c r="CH109" i="1"/>
  <c r="CI109" i="1" s="1"/>
  <c r="CH116" i="1"/>
  <c r="CI116" i="1" s="1"/>
  <c r="CH123" i="1"/>
  <c r="CI123" i="1" s="1"/>
  <c r="CH130" i="1"/>
  <c r="CI130" i="1" s="1"/>
  <c r="CH137" i="1"/>
  <c r="CI137" i="1" s="1"/>
  <c r="CH144" i="1"/>
  <c r="CI144" i="1" s="1"/>
  <c r="CH151" i="1"/>
  <c r="CI151" i="1" s="1"/>
  <c r="CH158" i="1"/>
  <c r="CI158" i="1" s="1"/>
  <c r="CH165" i="1"/>
  <c r="CI165" i="1" s="1"/>
  <c r="CH172" i="1"/>
  <c r="CI172" i="1" s="1"/>
  <c r="CH180" i="1"/>
  <c r="CI180" i="1" s="1"/>
  <c r="CH187" i="1"/>
  <c r="CI187" i="1" s="1"/>
  <c r="CH194" i="1"/>
  <c r="CI194" i="1" s="1"/>
  <c r="CH201" i="1"/>
  <c r="CI201" i="1" s="1"/>
  <c r="CH211" i="1"/>
  <c r="CI211" i="1" s="1"/>
  <c r="CH218" i="1"/>
  <c r="CI218" i="1" s="1"/>
  <c r="CH279" i="1"/>
  <c r="CI279" i="1" s="1"/>
  <c r="CH226" i="1"/>
  <c r="CI226" i="1" s="1"/>
  <c r="CH233" i="1"/>
  <c r="CI233" i="1" s="1"/>
  <c r="CH240" i="1"/>
  <c r="CI240" i="1" s="1"/>
  <c r="CH247" i="1"/>
  <c r="CI247" i="1" s="1"/>
  <c r="CH254" i="1"/>
  <c r="CI254" i="1" s="1"/>
  <c r="CH261" i="1"/>
  <c r="CI261" i="1" s="1"/>
  <c r="CH268" i="1"/>
  <c r="CI268" i="1" s="1"/>
  <c r="CH284" i="1"/>
  <c r="CI284" i="1" s="1"/>
  <c r="CH291" i="1"/>
  <c r="CI291" i="1" s="1"/>
  <c r="CH298" i="1"/>
  <c r="CI298" i="1" s="1"/>
  <c r="CH306" i="1"/>
  <c r="CI306" i="1" s="1"/>
  <c r="CH312" i="1"/>
  <c r="CI312" i="1" s="1"/>
  <c r="CH318" i="1"/>
  <c r="CI318" i="1" s="1"/>
  <c r="CH327" i="1"/>
  <c r="CI327" i="1" s="1"/>
  <c r="CH337" i="1"/>
  <c r="CI337" i="1" s="1"/>
  <c r="CH344" i="1"/>
  <c r="CI344" i="1" s="1"/>
  <c r="CH352" i="1"/>
  <c r="CI352" i="1" s="1"/>
  <c r="CH5" i="1"/>
  <c r="CI5" i="1" s="1"/>
  <c r="CH81" i="1"/>
  <c r="CI81" i="1" s="1"/>
  <c r="CH40" i="1"/>
  <c r="CI40" i="1" s="1"/>
  <c r="CH70" i="1"/>
  <c r="CI70" i="1" s="1"/>
  <c r="CH82" i="1"/>
  <c r="CI82" i="1" s="1"/>
  <c r="CH96" i="1"/>
  <c r="CI96" i="1" s="1"/>
  <c r="CH133" i="1"/>
  <c r="CI133" i="1" s="1"/>
  <c r="CH140" i="1"/>
  <c r="CI140" i="1" s="1"/>
  <c r="CH161" i="1"/>
  <c r="CI161" i="1" s="1"/>
  <c r="CH204" i="1"/>
  <c r="CI204" i="1" s="1"/>
  <c r="CH215" i="1"/>
  <c r="CI215" i="1" s="1"/>
  <c r="CH349" i="1"/>
  <c r="CI349" i="1" s="1"/>
  <c r="CH22" i="1"/>
  <c r="CI22" i="1" s="1"/>
  <c r="CH56" i="1"/>
  <c r="CI56" i="1" s="1"/>
  <c r="CH85" i="1"/>
  <c r="CI85" i="1" s="1"/>
  <c r="CH91" i="1"/>
  <c r="CI91" i="1" s="1"/>
  <c r="CH98" i="1"/>
  <c r="CI98" i="1" s="1"/>
  <c r="CH108" i="1"/>
  <c r="CI108" i="1" s="1"/>
  <c r="CH115" i="1"/>
  <c r="CI115" i="1" s="1"/>
  <c r="CH122" i="1"/>
  <c r="CI122" i="1" s="1"/>
  <c r="CH129" i="1"/>
  <c r="CI129" i="1" s="1"/>
  <c r="CH135" i="1"/>
  <c r="CI135" i="1" s="1"/>
  <c r="CH142" i="1"/>
  <c r="CI142" i="1" s="1"/>
  <c r="CH150" i="1"/>
  <c r="CI150" i="1" s="1"/>
  <c r="CH157" i="1"/>
  <c r="CI157" i="1" s="1"/>
  <c r="CH164" i="1"/>
  <c r="CI164" i="1" s="1"/>
  <c r="CH171" i="1"/>
  <c r="CI171" i="1" s="1"/>
  <c r="CH178" i="1"/>
  <c r="CI178" i="1" s="1"/>
  <c r="CH186" i="1"/>
  <c r="CI186" i="1" s="1"/>
  <c r="CH193" i="1"/>
  <c r="CI193" i="1" s="1"/>
  <c r="CH200" i="1"/>
  <c r="CI200" i="1" s="1"/>
  <c r="CH16" i="1"/>
  <c r="CI16" i="1" s="1"/>
  <c r="CC209" i="1"/>
  <c r="AV209" i="1"/>
  <c r="AS209" i="1"/>
  <c r="BZ209" i="1"/>
  <c r="BV209" i="1"/>
  <c r="AO209" i="1"/>
  <c r="AN209" i="1"/>
  <c r="BU209" i="1"/>
  <c r="AT362" i="1"/>
  <c r="BH362" i="1"/>
  <c r="CF362" i="1"/>
  <c r="AI362" i="1"/>
  <c r="AU362" i="1"/>
  <c r="BI362" i="1"/>
  <c r="BU362" i="1"/>
  <c r="CG362" i="1"/>
  <c r="BT362" i="1"/>
  <c r="BA167" i="1"/>
  <c r="BB167" i="1" s="1"/>
  <c r="AJ175" i="1"/>
  <c r="AV175" i="1"/>
  <c r="BJ175" i="1"/>
  <c r="BV175" i="1"/>
  <c r="BA190" i="1"/>
  <c r="BB190" i="1" s="1"/>
  <c r="BA203" i="1"/>
  <c r="BB203" i="1" s="1"/>
  <c r="BA275" i="1"/>
  <c r="BB275" i="1" s="1"/>
  <c r="BA88" i="1"/>
  <c r="BB88" i="1" s="1"/>
  <c r="BA95" i="1"/>
  <c r="BB95" i="1" s="1"/>
  <c r="BS209" i="1"/>
  <c r="BA5" i="1"/>
  <c r="BB5" i="1" s="1"/>
  <c r="BA75" i="1"/>
  <c r="BB75" i="1" s="1"/>
  <c r="AL209" i="1"/>
  <c r="BA32" i="1"/>
  <c r="BB32" i="1" s="1"/>
  <c r="BA147" i="1"/>
  <c r="BB147" i="1" s="1"/>
  <c r="BA235" i="1"/>
  <c r="BB235" i="1" s="1"/>
  <c r="BA250" i="1"/>
  <c r="BB250" i="1" s="1"/>
  <c r="AN256" i="1"/>
  <c r="AZ256" i="1"/>
  <c r="BZ256" i="1"/>
  <c r="BA257" i="1"/>
  <c r="BB257" i="1" s="1"/>
  <c r="BA264" i="1"/>
  <c r="BB264" i="1" s="1"/>
  <c r="BA286" i="1"/>
  <c r="BB286" i="1" s="1"/>
  <c r="BA314" i="1"/>
  <c r="BB314" i="1" s="1"/>
  <c r="BA323" i="1"/>
  <c r="BB323" i="1" s="1"/>
  <c r="BA340" i="1"/>
  <c r="BB340" i="1" s="1"/>
  <c r="BA346" i="1"/>
  <c r="BB346" i="1" s="1"/>
  <c r="BA118" i="1"/>
  <c r="BB118" i="1" s="1"/>
  <c r="BA160" i="1"/>
  <c r="BB160" i="1" s="1"/>
  <c r="BO209" i="1"/>
  <c r="M40" i="2" s="1"/>
  <c r="K32" i="3" s="1"/>
  <c r="BA228" i="1"/>
  <c r="BB228" i="1" s="1"/>
  <c r="BA333" i="1"/>
  <c r="BB333" i="1" s="1"/>
  <c r="AH362" i="1"/>
  <c r="BA308" i="1"/>
  <c r="BB308" i="1" s="1"/>
  <c r="BA12" i="1"/>
  <c r="BB12" i="1" s="1"/>
  <c r="AH209" i="1"/>
  <c r="H40" i="2" s="1"/>
  <c r="I32" i="3" s="1"/>
  <c r="BA272" i="1"/>
  <c r="BB272" i="1" s="1"/>
  <c r="BA111" i="1"/>
  <c r="BB111" i="1" s="1"/>
  <c r="BA293" i="1"/>
  <c r="BB293" i="1" s="1"/>
  <c r="AG209" i="1"/>
  <c r="BA221" i="1"/>
  <c r="BB221" i="1" s="1"/>
  <c r="BN256" i="1"/>
  <c r="BA18" i="1"/>
  <c r="BB18" i="1" s="1"/>
  <c r="BN209" i="1"/>
  <c r="BA69" i="1"/>
  <c r="BB69" i="1" s="1"/>
  <c r="BA214" i="1"/>
  <c r="BB214" i="1" s="1"/>
  <c r="BA354" i="1"/>
  <c r="BB354" i="1" s="1"/>
  <c r="BA196" i="1"/>
  <c r="BB196" i="1" s="1"/>
  <c r="BA53" i="1"/>
  <c r="BB53" i="1" s="1"/>
  <c r="BA243" i="1"/>
  <c r="BB243" i="1" s="1"/>
  <c r="BA154" i="1"/>
  <c r="BB154" i="1" s="1"/>
  <c r="BA46" i="1"/>
  <c r="BB46" i="1" s="1"/>
  <c r="BA25" i="1"/>
  <c r="BB25" i="1" s="1"/>
  <c r="BA64" i="1"/>
  <c r="BB64" i="1" s="1"/>
  <c r="BA125" i="1"/>
  <c r="BB125" i="1" s="1"/>
  <c r="BA132" i="1"/>
  <c r="BB132" i="1" s="1"/>
  <c r="BA301" i="1"/>
  <c r="BB301" i="1" s="1"/>
  <c r="BA81" i="1"/>
  <c r="BB81" i="1" s="1"/>
  <c r="BA104" i="1"/>
  <c r="BB104" i="1" s="1"/>
  <c r="BA39" i="1"/>
  <c r="BB39" i="1" s="1"/>
  <c r="BA183" i="1"/>
  <c r="BB183" i="1" s="1"/>
  <c r="BA7" i="1"/>
  <c r="BB7" i="1" s="1"/>
  <c r="BA14" i="1"/>
  <c r="BB14" i="1" s="1"/>
  <c r="BA21" i="1"/>
  <c r="BB21" i="1" s="1"/>
  <c r="BA139" i="1"/>
  <c r="BB139" i="1" s="1"/>
  <c r="BA174" i="1"/>
  <c r="BB174" i="1" s="1"/>
  <c r="BA6" i="1"/>
  <c r="BB6" i="1" s="1"/>
  <c r="BA20" i="1"/>
  <c r="BB20" i="1" s="1"/>
  <c r="BA26" i="1"/>
  <c r="BB26" i="1" s="1"/>
  <c r="BA47" i="1"/>
  <c r="BB47" i="1" s="1"/>
  <c r="BA54" i="1"/>
  <c r="BB54" i="1" s="1"/>
  <c r="BA70" i="1"/>
  <c r="BB70" i="1" s="1"/>
  <c r="BA96" i="1"/>
  <c r="BB96" i="1" s="1"/>
  <c r="BA112" i="1"/>
  <c r="BB112" i="1" s="1"/>
  <c r="BA119" i="1"/>
  <c r="BB119" i="1" s="1"/>
  <c r="BA155" i="1"/>
  <c r="BB155" i="1" s="1"/>
  <c r="BA161" i="1"/>
  <c r="BB161" i="1" s="1"/>
  <c r="BA168" i="1"/>
  <c r="BB168" i="1" s="1"/>
  <c r="BA176" i="1"/>
  <c r="BB176" i="1" s="1"/>
  <c r="BA184" i="1"/>
  <c r="BB184" i="1" s="1"/>
  <c r="BA191" i="1"/>
  <c r="BB191" i="1" s="1"/>
  <c r="BA198" i="1"/>
  <c r="BB198" i="1" s="1"/>
  <c r="BA204" i="1"/>
  <c r="BB204" i="1" s="1"/>
  <c r="BA215" i="1"/>
  <c r="BB215" i="1" s="1"/>
  <c r="BA276" i="1"/>
  <c r="BB276" i="1" s="1"/>
  <c r="BA222" i="1"/>
  <c r="BB222" i="1" s="1"/>
  <c r="BA229" i="1"/>
  <c r="BB229" i="1" s="1"/>
  <c r="BA236" i="1"/>
  <c r="BB236" i="1" s="1"/>
  <c r="BA244" i="1"/>
  <c r="BB244" i="1" s="1"/>
  <c r="BA251" i="1"/>
  <c r="BB251" i="1" s="1"/>
  <c r="BA258" i="1"/>
  <c r="BB258" i="1" s="1"/>
  <c r="BA265" i="1"/>
  <c r="BB265" i="1" s="1"/>
  <c r="BA281" i="1"/>
  <c r="BB281" i="1" s="1"/>
  <c r="BA287" i="1"/>
  <c r="BB287" i="1" s="1"/>
  <c r="BA294" i="1"/>
  <c r="BB294" i="1" s="1"/>
  <c r="BA302" i="1"/>
  <c r="BB302" i="1" s="1"/>
  <c r="BA309" i="1"/>
  <c r="BB309" i="1" s="1"/>
  <c r="BA315" i="1"/>
  <c r="BB315" i="1" s="1"/>
  <c r="BA324" i="1"/>
  <c r="BB324" i="1" s="1"/>
  <c r="BA334" i="1"/>
  <c r="BB334" i="1" s="1"/>
  <c r="BA341" i="1"/>
  <c r="BB341" i="1" s="1"/>
  <c r="BA349" i="1"/>
  <c r="BB349" i="1" s="1"/>
  <c r="BA356" i="1"/>
  <c r="BB356" i="1" s="1"/>
  <c r="BA13" i="1"/>
  <c r="BB13" i="1" s="1"/>
  <c r="BA33" i="1"/>
  <c r="BB33" i="1" s="1"/>
  <c r="BA40" i="1"/>
  <c r="BB40" i="1" s="1"/>
  <c r="BA59" i="1"/>
  <c r="BB59" i="1" s="1"/>
  <c r="BA66" i="1"/>
  <c r="BB66" i="1" s="1"/>
  <c r="BA82" i="1"/>
  <c r="BB82" i="1" s="1"/>
  <c r="BA89" i="1"/>
  <c r="BB89" i="1" s="1"/>
  <c r="BA105" i="1"/>
  <c r="BB105" i="1" s="1"/>
  <c r="BA126" i="1"/>
  <c r="BB126" i="1" s="1"/>
  <c r="BA133" i="1"/>
  <c r="BB133" i="1" s="1"/>
  <c r="BA140" i="1"/>
  <c r="BB140" i="1" s="1"/>
  <c r="BA148" i="1"/>
  <c r="BB148" i="1" s="1"/>
  <c r="BE256" i="1"/>
  <c r="BQ256" i="1"/>
  <c r="CC256" i="1"/>
  <c r="BA114" i="1"/>
  <c r="BB114" i="1" s="1"/>
  <c r="BA156" i="1"/>
  <c r="BB156" i="1" s="1"/>
  <c r="BA237" i="1"/>
  <c r="BB237" i="1" s="1"/>
  <c r="BA245" i="1"/>
  <c r="BB245" i="1" s="1"/>
  <c r="BA252" i="1"/>
  <c r="BB252" i="1" s="1"/>
  <c r="BA259" i="1"/>
  <c r="BB259" i="1" s="1"/>
  <c r="BA266" i="1"/>
  <c r="BB266" i="1" s="1"/>
  <c r="BA282" i="1"/>
  <c r="BB282" i="1" s="1"/>
  <c r="BA289" i="1"/>
  <c r="BB289" i="1" s="1"/>
  <c r="BA295" i="1"/>
  <c r="BB295" i="1" s="1"/>
  <c r="BA304" i="1"/>
  <c r="BB304" i="1" s="1"/>
  <c r="BA329" i="1"/>
  <c r="BB329" i="1" s="1"/>
  <c r="BA316" i="1"/>
  <c r="BB316" i="1" s="1"/>
  <c r="BA325" i="1"/>
  <c r="BB325" i="1" s="1"/>
  <c r="BA335" i="1"/>
  <c r="BB335" i="1" s="1"/>
  <c r="BA342" i="1"/>
  <c r="BB342" i="1" s="1"/>
  <c r="BA350" i="1"/>
  <c r="BB350" i="1" s="1"/>
  <c r="BA358" i="1"/>
  <c r="BB358" i="1" s="1"/>
  <c r="BA34" i="1"/>
  <c r="BB34" i="1" s="1"/>
  <c r="BA41" i="1"/>
  <c r="BB41" i="1" s="1"/>
  <c r="BA71" i="1"/>
  <c r="BB71" i="1" s="1"/>
  <c r="BA90" i="1"/>
  <c r="BB90" i="1" s="1"/>
  <c r="BA97" i="1"/>
  <c r="BB97" i="1" s="1"/>
  <c r="BA107" i="1"/>
  <c r="BB107" i="1" s="1"/>
  <c r="BA121" i="1"/>
  <c r="BB121" i="1" s="1"/>
  <c r="BA141" i="1"/>
  <c r="BB141" i="1" s="1"/>
  <c r="BA177" i="1"/>
  <c r="BB177" i="1" s="1"/>
  <c r="BA192" i="1"/>
  <c r="BB192" i="1" s="1"/>
  <c r="BA199" i="1"/>
  <c r="BB199" i="1" s="1"/>
  <c r="V209" i="1"/>
  <c r="BA206" i="1"/>
  <c r="BB206" i="1" s="1"/>
  <c r="BA216" i="1"/>
  <c r="BB216" i="1" s="1"/>
  <c r="BA223" i="1"/>
  <c r="BB223" i="1" s="1"/>
  <c r="BA230" i="1"/>
  <c r="BB230" i="1" s="1"/>
  <c r="BA8" i="1"/>
  <c r="BB8" i="1" s="1"/>
  <c r="BA29" i="1"/>
  <c r="BB29" i="1" s="1"/>
  <c r="BA35" i="1"/>
  <c r="BB35" i="1" s="1"/>
  <c r="BA27" i="1"/>
  <c r="BB27" i="1" s="1"/>
  <c r="BA55" i="1"/>
  <c r="BB55" i="1" s="1"/>
  <c r="BA60" i="1"/>
  <c r="BB60" i="1" s="1"/>
  <c r="BA77" i="1"/>
  <c r="BB77" i="1" s="1"/>
  <c r="BA83" i="1"/>
  <c r="BB83" i="1" s="1"/>
  <c r="BA127" i="1"/>
  <c r="BB127" i="1" s="1"/>
  <c r="BA134" i="1"/>
  <c r="BB134" i="1" s="1"/>
  <c r="BA149" i="1"/>
  <c r="BB149" i="1" s="1"/>
  <c r="BA163" i="1"/>
  <c r="BB163" i="1" s="1"/>
  <c r="BA170" i="1"/>
  <c r="BB170" i="1" s="1"/>
  <c r="BA185" i="1"/>
  <c r="BB185" i="1" s="1"/>
  <c r="BA277" i="1"/>
  <c r="BB277" i="1" s="1"/>
  <c r="BA61" i="1"/>
  <c r="BB61" i="1" s="1"/>
  <c r="BA78" i="1"/>
  <c r="BB78" i="1" s="1"/>
  <c r="BA85" i="1"/>
  <c r="BB85" i="1" s="1"/>
  <c r="BA98" i="1"/>
  <c r="BB98" i="1" s="1"/>
  <c r="BA108" i="1"/>
  <c r="BB108" i="1" s="1"/>
  <c r="BA115" i="1"/>
  <c r="BB115" i="1" s="1"/>
  <c r="BA122" i="1"/>
  <c r="BB122" i="1" s="1"/>
  <c r="BA129" i="1"/>
  <c r="BB129" i="1" s="1"/>
  <c r="BA135" i="1"/>
  <c r="BB135" i="1" s="1"/>
  <c r="BA142" i="1"/>
  <c r="BB142" i="1" s="1"/>
  <c r="BA150" i="1"/>
  <c r="BB150" i="1" s="1"/>
  <c r="BA164" i="1"/>
  <c r="BB164" i="1" s="1"/>
  <c r="BA200" i="1"/>
  <c r="BB200" i="1" s="1"/>
  <c r="BA231" i="1"/>
  <c r="BB231" i="1" s="1"/>
  <c r="BA260" i="1"/>
  <c r="BB260" i="1" s="1"/>
  <c r="BA267" i="1"/>
  <c r="BB267" i="1" s="1"/>
  <c r="BA283" i="1"/>
  <c r="BB283" i="1" s="1"/>
  <c r="BA297" i="1"/>
  <c r="BB297" i="1" s="1"/>
  <c r="BA157" i="1"/>
  <c r="BB157" i="1" s="1"/>
  <c r="BA171" i="1"/>
  <c r="BB171" i="1" s="1"/>
  <c r="BA246" i="1"/>
  <c r="BB246" i="1" s="1"/>
  <c r="BA9" i="1"/>
  <c r="BB9" i="1" s="1"/>
  <c r="BA16" i="1"/>
  <c r="BB16" i="1" s="1"/>
  <c r="BA23" i="1"/>
  <c r="BB23" i="1" s="1"/>
  <c r="BA30" i="1"/>
  <c r="BB30" i="1" s="1"/>
  <c r="BA36" i="1"/>
  <c r="BB36" i="1" s="1"/>
  <c r="BA43" i="1"/>
  <c r="BB43" i="1" s="1"/>
  <c r="BA51" i="1"/>
  <c r="BB51" i="1" s="1"/>
  <c r="BA57" i="1"/>
  <c r="BB57" i="1" s="1"/>
  <c r="BA73" i="1"/>
  <c r="BB73" i="1" s="1"/>
  <c r="BA62" i="1"/>
  <c r="BB62" i="1" s="1"/>
  <c r="BA79" i="1"/>
  <c r="BB79" i="1" s="1"/>
  <c r="BA86" i="1"/>
  <c r="BB86" i="1" s="1"/>
  <c r="BA93" i="1"/>
  <c r="BB93" i="1" s="1"/>
  <c r="BA99" i="1"/>
  <c r="BB99" i="1" s="1"/>
  <c r="BA109" i="1"/>
  <c r="BB109" i="1" s="1"/>
  <c r="BA116" i="1"/>
  <c r="BB116" i="1" s="1"/>
  <c r="BA123" i="1"/>
  <c r="BB123" i="1" s="1"/>
  <c r="BA130" i="1"/>
  <c r="BB130" i="1" s="1"/>
  <c r="BA137" i="1"/>
  <c r="BB137" i="1" s="1"/>
  <c r="BA144" i="1"/>
  <c r="BB144" i="1" s="1"/>
  <c r="BA151" i="1"/>
  <c r="BB151" i="1" s="1"/>
  <c r="BA158" i="1"/>
  <c r="BB158" i="1" s="1"/>
  <c r="BA165" i="1"/>
  <c r="BB165" i="1" s="1"/>
  <c r="BA172" i="1"/>
  <c r="BB172" i="1" s="1"/>
  <c r="BA180" i="1"/>
  <c r="BB180" i="1" s="1"/>
  <c r="BA187" i="1"/>
  <c r="BB187" i="1" s="1"/>
  <c r="BA194" i="1"/>
  <c r="BB194" i="1" s="1"/>
  <c r="BA201" i="1"/>
  <c r="BB201" i="1" s="1"/>
  <c r="BA211" i="1"/>
  <c r="BB211" i="1" s="1"/>
  <c r="BA218" i="1"/>
  <c r="BB218" i="1" s="1"/>
  <c r="BA279" i="1"/>
  <c r="BB279" i="1" s="1"/>
  <c r="BA226" i="1"/>
  <c r="BB226" i="1" s="1"/>
  <c r="BA233" i="1"/>
  <c r="BB233" i="1" s="1"/>
  <c r="BA240" i="1"/>
  <c r="BB240" i="1" s="1"/>
  <c r="BA247" i="1"/>
  <c r="BB247" i="1" s="1"/>
  <c r="BA254" i="1"/>
  <c r="BB254" i="1" s="1"/>
  <c r="BA261" i="1"/>
  <c r="BB261" i="1" s="1"/>
  <c r="BA268" i="1"/>
  <c r="BB268" i="1" s="1"/>
  <c r="BA284" i="1"/>
  <c r="BB284" i="1" s="1"/>
  <c r="BA291" i="1"/>
  <c r="BB291" i="1" s="1"/>
  <c r="BA298" i="1"/>
  <c r="BB298" i="1" s="1"/>
  <c r="BA306" i="1"/>
  <c r="BB306" i="1" s="1"/>
  <c r="BA312" i="1"/>
  <c r="BB312" i="1" s="1"/>
  <c r="BA318" i="1"/>
  <c r="BB318" i="1" s="1"/>
  <c r="BA327" i="1"/>
  <c r="BB327" i="1" s="1"/>
  <c r="BA337" i="1"/>
  <c r="BB337" i="1" s="1"/>
  <c r="BA344" i="1"/>
  <c r="BB344" i="1" s="1"/>
  <c r="BA352" i="1"/>
  <c r="BB352" i="1" s="1"/>
  <c r="BA193" i="1"/>
  <c r="BB193" i="1" s="1"/>
  <c r="BA217" i="1"/>
  <c r="BB217" i="1" s="1"/>
  <c r="BA360" i="1"/>
  <c r="BB360" i="1" s="1"/>
  <c r="BA48" i="1"/>
  <c r="BB48" i="1" s="1"/>
  <c r="BA186" i="1"/>
  <c r="BB186" i="1" s="1"/>
  <c r="BA210" i="1"/>
  <c r="BB210" i="1" s="1"/>
  <c r="BA238" i="1"/>
  <c r="BB238" i="1" s="1"/>
  <c r="BA290" i="1"/>
  <c r="BB290" i="1" s="1"/>
  <c r="BA305" i="1"/>
  <c r="BB305" i="1" s="1"/>
  <c r="BA351" i="1"/>
  <c r="BB351" i="1" s="1"/>
  <c r="BA10" i="1"/>
  <c r="BB10" i="1" s="1"/>
  <c r="BA17" i="1"/>
  <c r="BB17" i="1" s="1"/>
  <c r="BA24" i="1"/>
  <c r="BB24" i="1" s="1"/>
  <c r="BA31" i="1"/>
  <c r="BB31" i="1" s="1"/>
  <c r="BA38" i="1"/>
  <c r="BB38" i="1" s="1"/>
  <c r="BA44" i="1"/>
  <c r="BB44" i="1" s="1"/>
  <c r="BA52" i="1"/>
  <c r="BB52" i="1" s="1"/>
  <c r="BA68" i="1"/>
  <c r="BB68" i="1" s="1"/>
  <c r="BA74" i="1"/>
  <c r="BB74" i="1" s="1"/>
  <c r="BA63" i="1"/>
  <c r="BB63" i="1" s="1"/>
  <c r="BA80" i="1"/>
  <c r="BB80" i="1" s="1"/>
  <c r="BA87" i="1"/>
  <c r="BB87" i="1" s="1"/>
  <c r="BA94" i="1"/>
  <c r="BB94" i="1" s="1"/>
  <c r="BA103" i="1"/>
  <c r="BB103" i="1" s="1"/>
  <c r="BA110" i="1"/>
  <c r="BB110" i="1" s="1"/>
  <c r="BA117" i="1"/>
  <c r="BB117" i="1" s="1"/>
  <c r="BA124" i="1"/>
  <c r="BB124" i="1" s="1"/>
  <c r="BA131" i="1"/>
  <c r="BB131" i="1" s="1"/>
  <c r="BA138" i="1"/>
  <c r="BB138" i="1" s="1"/>
  <c r="BA145" i="1"/>
  <c r="BB145" i="1" s="1"/>
  <c r="BA152" i="1"/>
  <c r="BB152" i="1" s="1"/>
  <c r="BA159" i="1"/>
  <c r="BB159" i="1" s="1"/>
  <c r="BA166" i="1"/>
  <c r="BB166" i="1" s="1"/>
  <c r="BA173" i="1"/>
  <c r="BB173" i="1" s="1"/>
  <c r="BA182" i="1"/>
  <c r="BB182" i="1" s="1"/>
  <c r="BA188" i="1"/>
  <c r="BB188" i="1" s="1"/>
  <c r="BA195" i="1"/>
  <c r="BB195" i="1" s="1"/>
  <c r="BA202" i="1"/>
  <c r="BB202" i="1" s="1"/>
  <c r="BA212" i="1"/>
  <c r="BB212" i="1" s="1"/>
  <c r="BA274" i="1"/>
  <c r="BB274" i="1" s="1"/>
  <c r="BA220" i="1"/>
  <c r="BB220" i="1" s="1"/>
  <c r="BA227" i="1"/>
  <c r="BB227" i="1" s="1"/>
  <c r="BA234" i="1"/>
  <c r="BB234" i="1" s="1"/>
  <c r="BA241" i="1"/>
  <c r="BB241" i="1" s="1"/>
  <c r="BA248" i="1"/>
  <c r="BB248" i="1" s="1"/>
  <c r="BA255" i="1"/>
  <c r="BB255" i="1" s="1"/>
  <c r="BA262" i="1"/>
  <c r="BB262" i="1" s="1"/>
  <c r="BA269" i="1"/>
  <c r="BB269" i="1" s="1"/>
  <c r="BA285" i="1"/>
  <c r="BB285" i="1" s="1"/>
  <c r="BA292" i="1"/>
  <c r="BB292" i="1" s="1"/>
  <c r="BA299" i="1"/>
  <c r="BB299" i="1" s="1"/>
  <c r="BA307" i="1"/>
  <c r="BB307" i="1" s="1"/>
  <c r="BA313" i="1"/>
  <c r="BB313" i="1" s="1"/>
  <c r="BA330" i="1"/>
  <c r="BB330" i="1" s="1"/>
  <c r="BA331" i="1"/>
  <c r="BB331" i="1" s="1"/>
  <c r="BA338" i="1"/>
  <c r="BB338" i="1" s="1"/>
  <c r="BA345" i="1"/>
  <c r="BB345" i="1" s="1"/>
  <c r="BA353" i="1"/>
  <c r="BB353" i="1" s="1"/>
  <c r="BA15" i="1"/>
  <c r="BB15" i="1" s="1"/>
  <c r="BA22" i="1"/>
  <c r="BB22" i="1" s="1"/>
  <c r="BA42" i="1"/>
  <c r="BB42" i="1" s="1"/>
  <c r="BA50" i="1"/>
  <c r="BB50" i="1" s="1"/>
  <c r="BA56" i="1"/>
  <c r="BB56" i="1" s="1"/>
  <c r="BA72" i="1"/>
  <c r="BB72" i="1" s="1"/>
  <c r="BA91" i="1"/>
  <c r="BB91" i="1" s="1"/>
  <c r="BA178" i="1"/>
  <c r="BB178" i="1" s="1"/>
  <c r="BA278" i="1"/>
  <c r="BB278" i="1" s="1"/>
  <c r="BA224" i="1"/>
  <c r="BB224" i="1" s="1"/>
  <c r="BA253" i="1"/>
  <c r="BB253" i="1" s="1"/>
  <c r="BA310" i="1"/>
  <c r="BB310" i="1" s="1"/>
  <c r="BA317" i="1"/>
  <c r="BB317" i="1" s="1"/>
  <c r="BA326" i="1"/>
  <c r="BB326" i="1" s="1"/>
  <c r="BA336" i="1"/>
  <c r="BB336" i="1" s="1"/>
  <c r="BA343" i="1"/>
  <c r="BB343" i="1" s="1"/>
  <c r="BC209" i="1"/>
  <c r="R62" i="2"/>
  <c r="L62" i="2"/>
  <c r="AO256" i="1"/>
  <c r="BC256" i="1"/>
  <c r="BO256" i="1"/>
  <c r="M50" i="2" s="1"/>
  <c r="CA256" i="1"/>
  <c r="AP256" i="1"/>
  <c r="BD256" i="1"/>
  <c r="BP256" i="1"/>
  <c r="N50" i="2" s="1"/>
  <c r="CB256" i="1"/>
  <c r="AQ256" i="1"/>
  <c r="AR256" i="1"/>
  <c r="BF256" i="1"/>
  <c r="BR256" i="1"/>
  <c r="CD256" i="1"/>
  <c r="AG256" i="1"/>
  <c r="AS256" i="1"/>
  <c r="BS256" i="1"/>
  <c r="CE256" i="1"/>
  <c r="AH256" i="1"/>
  <c r="H50" i="2" s="1"/>
  <c r="AT256" i="1"/>
  <c r="BT256" i="1"/>
  <c r="CF256" i="1"/>
  <c r="AI256" i="1"/>
  <c r="I50" i="2" s="1"/>
  <c r="AU256" i="1"/>
  <c r="BU256" i="1"/>
  <c r="CG256" i="1"/>
  <c r="AJ256" i="1"/>
  <c r="AV256" i="1"/>
  <c r="BV256" i="1"/>
  <c r="AK256" i="1"/>
  <c r="AW256" i="1"/>
  <c r="BW256" i="1"/>
  <c r="AL256" i="1"/>
  <c r="AX256" i="1"/>
  <c r="BX256" i="1"/>
  <c r="AM256" i="1"/>
  <c r="AY256" i="1"/>
  <c r="BY256" i="1"/>
  <c r="BM209" i="1"/>
  <c r="S256" i="1"/>
  <c r="BM256" i="1"/>
  <c r="AF209" i="1"/>
  <c r="AF256" i="1"/>
  <c r="Q256" i="1"/>
  <c r="BG256" i="1"/>
  <c r="BH256" i="1"/>
  <c r="BI256" i="1"/>
  <c r="BL209" i="1"/>
  <c r="BJ256" i="1"/>
  <c r="BK256" i="1"/>
  <c r="BL256" i="1"/>
  <c r="AB256" i="1"/>
  <c r="AE209" i="1"/>
  <c r="AC256" i="1"/>
  <c r="AD256" i="1"/>
  <c r="J41" i="3" s="1"/>
  <c r="AE256" i="1"/>
  <c r="V256" i="1"/>
  <c r="W256" i="1"/>
  <c r="X256" i="1"/>
  <c r="Y256" i="1"/>
  <c r="Z256" i="1"/>
  <c r="AA256" i="1"/>
  <c r="Z209" i="1"/>
  <c r="BX76" i="1"/>
  <c r="AV65" i="1"/>
  <c r="AR84" i="1"/>
  <c r="BR92" i="1"/>
  <c r="AN100" i="1"/>
  <c r="BN100" i="1"/>
  <c r="AT113" i="1"/>
  <c r="CF113" i="1"/>
  <c r="BH120" i="1"/>
  <c r="AF128" i="1"/>
  <c r="BR128" i="1"/>
  <c r="CB136" i="1"/>
  <c r="AV143" i="1"/>
  <c r="BX153" i="1"/>
  <c r="BP169" i="1"/>
  <c r="N31" i="2" s="1"/>
  <c r="BX45" i="1"/>
  <c r="AL76" i="1"/>
  <c r="BL76" i="1"/>
  <c r="BJ65" i="1"/>
  <c r="BR84" i="1"/>
  <c r="AF92" i="1"/>
  <c r="CD92" i="1"/>
  <c r="BZ100" i="1"/>
  <c r="BT113" i="1"/>
  <c r="AT120" i="1"/>
  <c r="CF120" i="1"/>
  <c r="CD128" i="1"/>
  <c r="AP136" i="1"/>
  <c r="AJ143" i="1"/>
  <c r="BV143" i="1"/>
  <c r="BL153" i="1"/>
  <c r="AP169" i="1"/>
  <c r="AX189" i="1"/>
  <c r="BL189" i="1"/>
  <c r="AJ197" i="1"/>
  <c r="BV197" i="1"/>
  <c r="AT205" i="1"/>
  <c r="CF205" i="1"/>
  <c r="AL45" i="1"/>
  <c r="AX45" i="1"/>
  <c r="BL45" i="1"/>
  <c r="AX76" i="1"/>
  <c r="AJ65" i="1"/>
  <c r="BV65" i="1"/>
  <c r="AF84" i="1"/>
  <c r="CD84" i="1"/>
  <c r="AR92" i="1"/>
  <c r="AB100" i="1"/>
  <c r="AZ100" i="1"/>
  <c r="AH113" i="1"/>
  <c r="H21" i="2" s="1"/>
  <c r="BH113" i="1"/>
  <c r="AH120" i="1"/>
  <c r="H22" i="2" s="1"/>
  <c r="BT120" i="1"/>
  <c r="AR128" i="1"/>
  <c r="AD136" i="1"/>
  <c r="BP136" i="1"/>
  <c r="N24" i="2" s="1"/>
  <c r="BJ143" i="1"/>
  <c r="AL153" i="1"/>
  <c r="AX153" i="1"/>
  <c r="AD169" i="1"/>
  <c r="CB169" i="1"/>
  <c r="AL189" i="1"/>
  <c r="BX189" i="1"/>
  <c r="AV197" i="1"/>
  <c r="BJ197" i="1"/>
  <c r="AH205" i="1"/>
  <c r="H39" i="2" s="1"/>
  <c r="BH205" i="1"/>
  <c r="BT205" i="1"/>
  <c r="AK65" i="1"/>
  <c r="AW65" i="1"/>
  <c r="BK65" i="1"/>
  <c r="BW65" i="1"/>
  <c r="AG84" i="1"/>
  <c r="AS84" i="1"/>
  <c r="BS84" i="1"/>
  <c r="CE84" i="1"/>
  <c r="AK175" i="1"/>
  <c r="AW175" i="1"/>
  <c r="BK175" i="1"/>
  <c r="BW175" i="1"/>
  <c r="CA143" i="1"/>
  <c r="AC143" i="1"/>
  <c r="BO143" i="1"/>
  <c r="M25" i="2" s="1"/>
  <c r="AO143" i="1"/>
  <c r="AG92" i="1"/>
  <c r="BS92" i="1"/>
  <c r="AO100" i="1"/>
  <c r="CA100" i="1"/>
  <c r="AU113" i="1"/>
  <c r="CG113" i="1"/>
  <c r="AU120" i="1"/>
  <c r="BI120" i="1"/>
  <c r="BU120" i="1"/>
  <c r="AG128" i="1"/>
  <c r="AS128" i="1"/>
  <c r="CE128" i="1"/>
  <c r="AE136" i="1"/>
  <c r="AQ136" i="1"/>
  <c r="BQ136" i="1"/>
  <c r="CC136" i="1"/>
  <c r="AK143" i="1"/>
  <c r="AW143" i="1"/>
  <c r="BK143" i="1"/>
  <c r="BW143" i="1"/>
  <c r="AA153" i="1"/>
  <c r="AM153" i="1"/>
  <c r="AY153" i="1"/>
  <c r="BM153" i="1"/>
  <c r="BY153" i="1"/>
  <c r="AE169" i="1"/>
  <c r="AQ169" i="1"/>
  <c r="BE169" i="1"/>
  <c r="BQ169" i="1"/>
  <c r="CC169" i="1"/>
  <c r="AA189" i="1"/>
  <c r="AM189" i="1"/>
  <c r="AY189" i="1"/>
  <c r="BM189" i="1"/>
  <c r="BY189" i="1"/>
  <c r="AK197" i="1"/>
  <c r="AW197" i="1"/>
  <c r="BK197" i="1"/>
  <c r="BW197" i="1"/>
  <c r="AI205" i="1"/>
  <c r="I39" i="2" s="1"/>
  <c r="AU205" i="1"/>
  <c r="BI205" i="1"/>
  <c r="BU205" i="1"/>
  <c r="CG205" i="1"/>
  <c r="AS92" i="1"/>
  <c r="CE92" i="1"/>
  <c r="AC100" i="1"/>
  <c r="BO100" i="1"/>
  <c r="M19" i="2" s="1"/>
  <c r="AI113" i="1"/>
  <c r="I21" i="2" s="1"/>
  <c r="BI113" i="1"/>
  <c r="BU113" i="1"/>
  <c r="AI120" i="1"/>
  <c r="I22" i="2" s="1"/>
  <c r="CG120" i="1"/>
  <c r="BS128" i="1"/>
  <c r="CF162" i="1"/>
  <c r="AU162" i="1"/>
  <c r="AD100" i="1"/>
  <c r="CB100" i="1"/>
  <c r="AV113" i="1"/>
  <c r="BV113" i="1"/>
  <c r="AV120" i="1"/>
  <c r="BJ120" i="1"/>
  <c r="AH128" i="1"/>
  <c r="H23" i="2" s="1"/>
  <c r="BH128" i="1"/>
  <c r="BT128" i="1"/>
  <c r="CF128" i="1"/>
  <c r="AF136" i="1"/>
  <c r="CD136" i="1"/>
  <c r="BX143" i="1"/>
  <c r="AN153" i="1"/>
  <c r="BN153" i="1"/>
  <c r="AJ162" i="1"/>
  <c r="BJ162" i="1"/>
  <c r="AR169" i="1"/>
  <c r="BR169" i="1"/>
  <c r="AL175" i="1"/>
  <c r="AX175" i="1"/>
  <c r="BL175" i="1"/>
  <c r="BX175" i="1"/>
  <c r="AB189" i="1"/>
  <c r="AN189" i="1"/>
  <c r="AZ189" i="1"/>
  <c r="BN189" i="1"/>
  <c r="BZ189" i="1"/>
  <c r="AL197" i="1"/>
  <c r="AX197" i="1"/>
  <c r="BL197" i="1"/>
  <c r="BX197" i="1"/>
  <c r="AJ205" i="1"/>
  <c r="AV205" i="1"/>
  <c r="BJ205" i="1"/>
  <c r="BV205" i="1"/>
  <c r="AH162" i="1"/>
  <c r="H30" i="2" s="1"/>
  <c r="BU162" i="1"/>
  <c r="AP100" i="1"/>
  <c r="BP100" i="1"/>
  <c r="N19" i="2" s="1"/>
  <c r="AJ113" i="1"/>
  <c r="BJ113" i="1"/>
  <c r="AJ120" i="1"/>
  <c r="BV120" i="1"/>
  <c r="AT128" i="1"/>
  <c r="AR136" i="1"/>
  <c r="BR136" i="1"/>
  <c r="AL143" i="1"/>
  <c r="AX143" i="1"/>
  <c r="BL143" i="1"/>
  <c r="AB153" i="1"/>
  <c r="AZ153" i="1"/>
  <c r="BZ153" i="1"/>
  <c r="AV162" i="1"/>
  <c r="BV162" i="1"/>
  <c r="AF169" i="1"/>
  <c r="CD169" i="1"/>
  <c r="AE100" i="1"/>
  <c r="AQ100" i="1"/>
  <c r="BQ100" i="1"/>
  <c r="CC100" i="1"/>
  <c r="BT162" i="1"/>
  <c r="CG162" i="1"/>
  <c r="AF100" i="1"/>
  <c r="BL113" i="1"/>
  <c r="CE100" i="1"/>
  <c r="BM113" i="1"/>
  <c r="BM120" i="1"/>
  <c r="AK128" i="1"/>
  <c r="BW128" i="1"/>
  <c r="AI136" i="1"/>
  <c r="I24" i="2" s="1"/>
  <c r="AU136" i="1"/>
  <c r="BU136" i="1"/>
  <c r="CG136" i="1"/>
  <c r="AE153" i="1"/>
  <c r="AQ153" i="1"/>
  <c r="BQ153" i="1"/>
  <c r="CC153" i="1"/>
  <c r="AA162" i="1"/>
  <c r="AM162" i="1"/>
  <c r="AY162" i="1"/>
  <c r="BM162" i="1"/>
  <c r="BY162" i="1"/>
  <c r="AI169" i="1"/>
  <c r="I31" i="2" s="1"/>
  <c r="AU169" i="1"/>
  <c r="BI169" i="1"/>
  <c r="BU169" i="1"/>
  <c r="CG169" i="1"/>
  <c r="AC175" i="1"/>
  <c r="AO175" i="1"/>
  <c r="BO175" i="1"/>
  <c r="M32" i="2" s="1"/>
  <c r="CA175" i="1"/>
  <c r="AE189" i="1"/>
  <c r="AQ189" i="1"/>
  <c r="CC189" i="1"/>
  <c r="AC197" i="1"/>
  <c r="AO197" i="1"/>
  <c r="BO197" i="1"/>
  <c r="M38" i="2" s="1"/>
  <c r="CA197" i="1"/>
  <c r="AA205" i="1"/>
  <c r="AM205" i="1"/>
  <c r="BH162" i="1"/>
  <c r="AI162" i="1"/>
  <c r="I30" i="2" s="1"/>
  <c r="BR100" i="1"/>
  <c r="AX113" i="1"/>
  <c r="AL120" i="1"/>
  <c r="BV128" i="1"/>
  <c r="BH136" i="1"/>
  <c r="AB143" i="1"/>
  <c r="BZ143" i="1"/>
  <c r="AD153" i="1"/>
  <c r="CF169" i="1"/>
  <c r="AA113" i="1"/>
  <c r="BY120" i="1"/>
  <c r="BK128" i="1"/>
  <c r="BI136" i="1"/>
  <c r="BQ189" i="1"/>
  <c r="AS100" i="1"/>
  <c r="BY113" i="1"/>
  <c r="AY120" i="1"/>
  <c r="AW128" i="1"/>
  <c r="AU100" i="1"/>
  <c r="BU100" i="1"/>
  <c r="AC113" i="1"/>
  <c r="BO113" i="1"/>
  <c r="M21" i="2" s="1"/>
  <c r="AC120" i="1"/>
  <c r="BO120" i="1"/>
  <c r="M22" i="2" s="1"/>
  <c r="AY128" i="1"/>
  <c r="BI162" i="1"/>
  <c r="CD100" i="1"/>
  <c r="AL113" i="1"/>
  <c r="BL120" i="1"/>
  <c r="BJ128" i="1"/>
  <c r="BT136" i="1"/>
  <c r="BN143" i="1"/>
  <c r="AP153" i="1"/>
  <c r="AX162" i="1"/>
  <c r="BT169" i="1"/>
  <c r="AG100" i="1"/>
  <c r="AM113" i="1"/>
  <c r="AI100" i="1"/>
  <c r="I19" i="2" s="1"/>
  <c r="BI100" i="1"/>
  <c r="CG100" i="1"/>
  <c r="AO113" i="1"/>
  <c r="CA113" i="1"/>
  <c r="AO120" i="1"/>
  <c r="CA120" i="1"/>
  <c r="AA128" i="1"/>
  <c r="AM128" i="1"/>
  <c r="BM128" i="1"/>
  <c r="BY128" i="1"/>
  <c r="AT162" i="1"/>
  <c r="AR100" i="1"/>
  <c r="BX113" i="1"/>
  <c r="BX120" i="1"/>
  <c r="AJ128" i="1"/>
  <c r="AT136" i="1"/>
  <c r="AZ143" i="1"/>
  <c r="BP153" i="1"/>
  <c r="N29" i="2" s="1"/>
  <c r="AL162" i="1"/>
  <c r="BL162" i="1"/>
  <c r="AT169" i="1"/>
  <c r="AB175" i="1"/>
  <c r="AN175" i="1"/>
  <c r="AZ175" i="1"/>
  <c r="BZ175" i="1"/>
  <c r="AD189" i="1"/>
  <c r="AP189" i="1"/>
  <c r="BP189" i="1"/>
  <c r="N37" i="2" s="1"/>
  <c r="CB189" i="1"/>
  <c r="AB197" i="1"/>
  <c r="AN197" i="1"/>
  <c r="AZ197" i="1"/>
  <c r="BN197" i="1"/>
  <c r="BZ197" i="1"/>
  <c r="AL205" i="1"/>
  <c r="AX205" i="1"/>
  <c r="BL205" i="1"/>
  <c r="BX205" i="1"/>
  <c r="AM120" i="1"/>
  <c r="AX120" i="1"/>
  <c r="AV128" i="1"/>
  <c r="AH136" i="1"/>
  <c r="H24" i="2" s="1"/>
  <c r="CF136" i="1"/>
  <c r="AN143" i="1"/>
  <c r="CB153" i="1"/>
  <c r="BX162" i="1"/>
  <c r="AH169" i="1"/>
  <c r="H31" i="2" s="1"/>
  <c r="BH169" i="1"/>
  <c r="BN175" i="1"/>
  <c r="BS100" i="1"/>
  <c r="AY113" i="1"/>
  <c r="AA120" i="1"/>
  <c r="AK113" i="1"/>
  <c r="AW113" i="1"/>
  <c r="BK113" i="1"/>
  <c r="BW113" i="1"/>
  <c r="AK120" i="1"/>
  <c r="AW120" i="1"/>
  <c r="BK120" i="1"/>
  <c r="BW120" i="1"/>
  <c r="AI128" i="1"/>
  <c r="I23" i="2" s="1"/>
  <c r="AU128" i="1"/>
  <c r="BI128" i="1"/>
  <c r="BU128" i="1"/>
  <c r="CG128" i="1"/>
  <c r="AG136" i="1"/>
  <c r="AS136" i="1"/>
  <c r="BS136" i="1"/>
  <c r="CE136" i="1"/>
  <c r="AA143" i="1"/>
  <c r="AM143" i="1"/>
  <c r="AY143" i="1"/>
  <c r="BM143" i="1"/>
  <c r="BY143" i="1"/>
  <c r="AC153" i="1"/>
  <c r="AO153" i="1"/>
  <c r="BO153" i="1"/>
  <c r="M29" i="2" s="1"/>
  <c r="CA153" i="1"/>
  <c r="AK162" i="1"/>
  <c r="AW162" i="1"/>
  <c r="BK162" i="1"/>
  <c r="BW162" i="1"/>
  <c r="AG169" i="1"/>
  <c r="AS169" i="1"/>
  <c r="BS169" i="1"/>
  <c r="CE169" i="1"/>
  <c r="AA175" i="1"/>
  <c r="AM175" i="1"/>
  <c r="AY175" i="1"/>
  <c r="BM175" i="1"/>
  <c r="BY175" i="1"/>
  <c r="AC189" i="1"/>
  <c r="AO189" i="1"/>
  <c r="BO189" i="1"/>
  <c r="M37" i="2" s="1"/>
  <c r="CA189" i="1"/>
  <c r="AA197" i="1"/>
  <c r="AM197" i="1"/>
  <c r="AY197" i="1"/>
  <c r="BM197" i="1"/>
  <c r="BY197" i="1"/>
  <c r="AK205" i="1"/>
  <c r="AW205" i="1"/>
  <c r="BK205" i="1"/>
  <c r="BW205" i="1"/>
  <c r="AY205" i="1"/>
  <c r="BM205" i="1"/>
  <c r="BY205" i="1"/>
  <c r="AH100" i="1"/>
  <c r="H19" i="2" s="1"/>
  <c r="AT100" i="1"/>
  <c r="BH100" i="1"/>
  <c r="BT100" i="1"/>
  <c r="CF100" i="1"/>
  <c r="AB113" i="1"/>
  <c r="AN113" i="1"/>
  <c r="AZ113" i="1"/>
  <c r="BN113" i="1"/>
  <c r="BZ113" i="1"/>
  <c r="AB120" i="1"/>
  <c r="AN120" i="1"/>
  <c r="AZ120" i="1"/>
  <c r="BN120" i="1"/>
  <c r="BZ120" i="1"/>
  <c r="AL128" i="1"/>
  <c r="AX128" i="1"/>
  <c r="BL128" i="1"/>
  <c r="BX128" i="1"/>
  <c r="AJ136" i="1"/>
  <c r="AV136" i="1"/>
  <c r="BJ136" i="1"/>
  <c r="BV136" i="1"/>
  <c r="AD143" i="1"/>
  <c r="AP143" i="1"/>
  <c r="BP143" i="1"/>
  <c r="N25" i="2" s="1"/>
  <c r="CB143" i="1"/>
  <c r="AF153" i="1"/>
  <c r="AR153" i="1"/>
  <c r="BR153" i="1"/>
  <c r="CD153" i="1"/>
  <c r="AB162" i="1"/>
  <c r="AN162" i="1"/>
  <c r="AZ162" i="1"/>
  <c r="BN162" i="1"/>
  <c r="BZ162" i="1"/>
  <c r="AJ169" i="1"/>
  <c r="AV169" i="1"/>
  <c r="BJ169" i="1"/>
  <c r="BV169" i="1"/>
  <c r="AD175" i="1"/>
  <c r="AP175" i="1"/>
  <c r="BP175" i="1"/>
  <c r="N32" i="2" s="1"/>
  <c r="CB175" i="1"/>
  <c r="AF189" i="1"/>
  <c r="AR189" i="1"/>
  <c r="BR189" i="1"/>
  <c r="CD189" i="1"/>
  <c r="AD197" i="1"/>
  <c r="AP197" i="1"/>
  <c r="BP197" i="1"/>
  <c r="N38" i="2" s="1"/>
  <c r="CB197" i="1"/>
  <c r="AB205" i="1"/>
  <c r="AN205" i="1"/>
  <c r="AZ205" i="1"/>
  <c r="BN205" i="1"/>
  <c r="BZ205" i="1"/>
  <c r="AW136" i="1"/>
  <c r="BW136" i="1"/>
  <c r="AQ143" i="1"/>
  <c r="BQ143" i="1"/>
  <c r="AS153" i="1"/>
  <c r="CE153" i="1"/>
  <c r="AO162" i="1"/>
  <c r="CA162" i="1"/>
  <c r="AK169" i="1"/>
  <c r="AW169" i="1"/>
  <c r="BW169" i="1"/>
  <c r="AQ175" i="1"/>
  <c r="BQ175" i="1"/>
  <c r="CC175" i="1"/>
  <c r="AG189" i="1"/>
  <c r="AS189" i="1"/>
  <c r="BS189" i="1"/>
  <c r="CE189" i="1"/>
  <c r="AE197" i="1"/>
  <c r="AQ197" i="1"/>
  <c r="BQ197" i="1"/>
  <c r="CC197" i="1"/>
  <c r="AC205" i="1"/>
  <c r="AO205" i="1"/>
  <c r="BO205" i="1"/>
  <c r="M39" i="2" s="1"/>
  <c r="CA205" i="1"/>
  <c r="AK136" i="1"/>
  <c r="BK136" i="1"/>
  <c r="AE143" i="1"/>
  <c r="CC143" i="1"/>
  <c r="AG153" i="1"/>
  <c r="BS153" i="1"/>
  <c r="AC162" i="1"/>
  <c r="BO162" i="1"/>
  <c r="M30" i="2" s="1"/>
  <c r="BK169" i="1"/>
  <c r="AE175" i="1"/>
  <c r="AJ100" i="1"/>
  <c r="AV100" i="1"/>
  <c r="BJ100" i="1"/>
  <c r="K17" i="3" s="1"/>
  <c r="BV100" i="1"/>
  <c r="AD113" i="1"/>
  <c r="AP113" i="1"/>
  <c r="BP113" i="1"/>
  <c r="N21" i="2" s="1"/>
  <c r="CB113" i="1"/>
  <c r="AD120" i="1"/>
  <c r="AP120" i="1"/>
  <c r="BP120" i="1"/>
  <c r="N22" i="2" s="1"/>
  <c r="CB120" i="1"/>
  <c r="AB128" i="1"/>
  <c r="AN128" i="1"/>
  <c r="AZ128" i="1"/>
  <c r="BN128" i="1"/>
  <c r="BZ128" i="1"/>
  <c r="AL136" i="1"/>
  <c r="AX136" i="1"/>
  <c r="BL136" i="1"/>
  <c r="BX136" i="1"/>
  <c r="AF143" i="1"/>
  <c r="AR143" i="1"/>
  <c r="BR143" i="1"/>
  <c r="CD143" i="1"/>
  <c r="AH153" i="1"/>
  <c r="H29" i="2" s="1"/>
  <c r="AT153" i="1"/>
  <c r="BH153" i="1"/>
  <c r="BT153" i="1"/>
  <c r="CF153" i="1"/>
  <c r="AD162" i="1"/>
  <c r="AP162" i="1"/>
  <c r="BP162" i="1"/>
  <c r="N30" i="2" s="1"/>
  <c r="CB162" i="1"/>
  <c r="AL169" i="1"/>
  <c r="AX169" i="1"/>
  <c r="BL169" i="1"/>
  <c r="BX169" i="1"/>
  <c r="AF175" i="1"/>
  <c r="AR175" i="1"/>
  <c r="BR175" i="1"/>
  <c r="CD175" i="1"/>
  <c r="AH189" i="1"/>
  <c r="H37" i="2" s="1"/>
  <c r="AT189" i="1"/>
  <c r="BH189" i="1"/>
  <c r="BT189" i="1"/>
  <c r="CF189" i="1"/>
  <c r="AF197" i="1"/>
  <c r="AR197" i="1"/>
  <c r="BR197" i="1"/>
  <c r="CD197" i="1"/>
  <c r="AD205" i="1"/>
  <c r="AP205" i="1"/>
  <c r="BP205" i="1"/>
  <c r="N39" i="2" s="1"/>
  <c r="CB205" i="1"/>
  <c r="AA169" i="1"/>
  <c r="AM169" i="1"/>
  <c r="AY169" i="1"/>
  <c r="BM169" i="1"/>
  <c r="BY169" i="1"/>
  <c r="AG175" i="1"/>
  <c r="AS175" i="1"/>
  <c r="BS175" i="1"/>
  <c r="CE175" i="1"/>
  <c r="AI189" i="1"/>
  <c r="I37" i="2" s="1"/>
  <c r="AU189" i="1"/>
  <c r="BI189" i="1"/>
  <c r="BU189" i="1"/>
  <c r="CG189" i="1"/>
  <c r="AG197" i="1"/>
  <c r="AS197" i="1"/>
  <c r="BS197" i="1"/>
  <c r="CE197" i="1"/>
  <c r="AE205" i="1"/>
  <c r="AQ205" i="1"/>
  <c r="BQ205" i="1"/>
  <c r="CC205" i="1"/>
  <c r="AK100" i="1"/>
  <c r="BK100" i="1"/>
  <c r="AQ113" i="1"/>
  <c r="BQ113" i="1"/>
  <c r="AE120" i="1"/>
  <c r="CC120" i="1"/>
  <c r="AO128" i="1"/>
  <c r="BO128" i="1"/>
  <c r="M23" i="2" s="1"/>
  <c r="CA128" i="1"/>
  <c r="AA136" i="1"/>
  <c r="AM136" i="1"/>
  <c r="AY136" i="1"/>
  <c r="BM136" i="1"/>
  <c r="BY136" i="1"/>
  <c r="AS143" i="1"/>
  <c r="BS143" i="1"/>
  <c r="CE143" i="1"/>
  <c r="AI153" i="1"/>
  <c r="I29" i="2" s="1"/>
  <c r="AU153" i="1"/>
  <c r="BI153" i="1"/>
  <c r="BU153" i="1"/>
  <c r="CG153" i="1"/>
  <c r="AE162" i="1"/>
  <c r="AQ162" i="1"/>
  <c r="BQ162" i="1"/>
  <c r="CC162" i="1"/>
  <c r="AL100" i="1"/>
  <c r="AX100" i="1"/>
  <c r="BL100" i="1"/>
  <c r="BX100" i="1"/>
  <c r="AF113" i="1"/>
  <c r="AR113" i="1"/>
  <c r="BR113" i="1"/>
  <c r="CD113" i="1"/>
  <c r="AF120" i="1"/>
  <c r="AR120" i="1"/>
  <c r="BR120" i="1"/>
  <c r="CD120" i="1"/>
  <c r="AD128" i="1"/>
  <c r="AP128" i="1"/>
  <c r="BP128" i="1"/>
  <c r="N23" i="2" s="1"/>
  <c r="CB128" i="1"/>
  <c r="AB136" i="1"/>
  <c r="AN136" i="1"/>
  <c r="AZ136" i="1"/>
  <c r="BN136" i="1"/>
  <c r="BZ136" i="1"/>
  <c r="AH143" i="1"/>
  <c r="H25" i="2" s="1"/>
  <c r="AT143" i="1"/>
  <c r="BH143" i="1"/>
  <c r="BT143" i="1"/>
  <c r="CF143" i="1"/>
  <c r="AJ153" i="1"/>
  <c r="AV153" i="1"/>
  <c r="BJ153" i="1"/>
  <c r="BV153" i="1"/>
  <c r="AF162" i="1"/>
  <c r="AR162" i="1"/>
  <c r="BR162" i="1"/>
  <c r="CD162" i="1"/>
  <c r="AB169" i="1"/>
  <c r="AN169" i="1"/>
  <c r="AZ169" i="1"/>
  <c r="BN169" i="1"/>
  <c r="BZ169" i="1"/>
  <c r="AH175" i="1"/>
  <c r="H32" i="2" s="1"/>
  <c r="AT175" i="1"/>
  <c r="BH175" i="1"/>
  <c r="BT175" i="1"/>
  <c r="CF175" i="1"/>
  <c r="AJ189" i="1"/>
  <c r="AV189" i="1"/>
  <c r="BJ189" i="1"/>
  <c r="K29" i="3" s="1"/>
  <c r="BV189" i="1"/>
  <c r="AH197" i="1"/>
  <c r="H38" i="2" s="1"/>
  <c r="AT197" i="1"/>
  <c r="BH197" i="1"/>
  <c r="BT197" i="1"/>
  <c r="CF197" i="1"/>
  <c r="AF205" i="1"/>
  <c r="AR205" i="1"/>
  <c r="BR205" i="1"/>
  <c r="CD205" i="1"/>
  <c r="AW100" i="1"/>
  <c r="BW100" i="1"/>
  <c r="AE113" i="1"/>
  <c r="CC113" i="1"/>
  <c r="AQ120" i="1"/>
  <c r="BQ120" i="1"/>
  <c r="AC128" i="1"/>
  <c r="AG143" i="1"/>
  <c r="AA100" i="1"/>
  <c r="AM100" i="1"/>
  <c r="AY100" i="1"/>
  <c r="BM100" i="1"/>
  <c r="BY100" i="1"/>
  <c r="AG113" i="1"/>
  <c r="AS113" i="1"/>
  <c r="BS113" i="1"/>
  <c r="CE113" i="1"/>
  <c r="AG120" i="1"/>
  <c r="AS120" i="1"/>
  <c r="BS120" i="1"/>
  <c r="CE120" i="1"/>
  <c r="AE128" i="1"/>
  <c r="AQ128" i="1"/>
  <c r="BQ128" i="1"/>
  <c r="CC128" i="1"/>
  <c r="AC136" i="1"/>
  <c r="I22" i="3" s="1"/>
  <c r="AO136" i="1"/>
  <c r="BO136" i="1"/>
  <c r="M24" i="2" s="1"/>
  <c r="CA136" i="1"/>
  <c r="AI143" i="1"/>
  <c r="I25" i="2" s="1"/>
  <c r="AU143" i="1"/>
  <c r="BI143" i="1"/>
  <c r="BU143" i="1"/>
  <c r="CG143" i="1"/>
  <c r="AK153" i="1"/>
  <c r="AW153" i="1"/>
  <c r="BK153" i="1"/>
  <c r="BW153" i="1"/>
  <c r="AG162" i="1"/>
  <c r="AS162" i="1"/>
  <c r="BS162" i="1"/>
  <c r="CE162" i="1"/>
  <c r="AC169" i="1"/>
  <c r="AO169" i="1"/>
  <c r="BO169" i="1"/>
  <c r="M31" i="2" s="1"/>
  <c r="CA169" i="1"/>
  <c r="AI175" i="1"/>
  <c r="I32" i="2" s="1"/>
  <c r="AU175" i="1"/>
  <c r="BI175" i="1"/>
  <c r="BU175" i="1"/>
  <c r="CG175" i="1"/>
  <c r="AK189" i="1"/>
  <c r="AW189" i="1"/>
  <c r="BK189" i="1"/>
  <c r="BW189" i="1"/>
  <c r="AI197" i="1"/>
  <c r="I38" i="2" s="1"/>
  <c r="AU197" i="1"/>
  <c r="BI197" i="1"/>
  <c r="BU197" i="1"/>
  <c r="CG197" i="1"/>
  <c r="AG205" i="1"/>
  <c r="AS205" i="1"/>
  <c r="BS205" i="1"/>
  <c r="CE205" i="1"/>
  <c r="BD169" i="1"/>
  <c r="BG84" i="1"/>
  <c r="BG92" i="1"/>
  <c r="BG128" i="1"/>
  <c r="BE136" i="1"/>
  <c r="BF84" i="1"/>
  <c r="BF92" i="1"/>
  <c r="BD136" i="1"/>
  <c r="BG169" i="1"/>
  <c r="BC169" i="1"/>
  <c r="BE143" i="1"/>
  <c r="BC100" i="1"/>
  <c r="BE100" i="1"/>
  <c r="BG136" i="1"/>
  <c r="BC153" i="1"/>
  <c r="BC189" i="1"/>
  <c r="BD100" i="1"/>
  <c r="S136" i="1"/>
  <c r="BF136" i="1"/>
  <c r="S169" i="1"/>
  <c r="BF169" i="1"/>
  <c r="S100" i="1"/>
  <c r="BF100" i="1"/>
  <c r="BD153" i="1"/>
  <c r="BD189" i="1"/>
  <c r="BG100" i="1"/>
  <c r="BC143" i="1"/>
  <c r="BE153" i="1"/>
  <c r="BC175" i="1"/>
  <c r="BE189" i="1"/>
  <c r="BC197" i="1"/>
  <c r="BD143" i="1"/>
  <c r="S153" i="1"/>
  <c r="BF153" i="1"/>
  <c r="BD175" i="1"/>
  <c r="S189" i="1"/>
  <c r="BF189" i="1"/>
  <c r="BD197" i="1"/>
  <c r="S128" i="1"/>
  <c r="BF128" i="1"/>
  <c r="BC113" i="1"/>
  <c r="BC120" i="1"/>
  <c r="BG153" i="1"/>
  <c r="BC162" i="1"/>
  <c r="BE175" i="1"/>
  <c r="BG189" i="1"/>
  <c r="BE197" i="1"/>
  <c r="BC205" i="1"/>
  <c r="BD113" i="1"/>
  <c r="BD120" i="1"/>
  <c r="BF143" i="1"/>
  <c r="BD162" i="1"/>
  <c r="S175" i="1"/>
  <c r="BF175" i="1"/>
  <c r="S197" i="1"/>
  <c r="BF197" i="1"/>
  <c r="BD205" i="1"/>
  <c r="BE113" i="1"/>
  <c r="BE120" i="1"/>
  <c r="BC128" i="1"/>
  <c r="BG143" i="1"/>
  <c r="BE162" i="1"/>
  <c r="BG175" i="1"/>
  <c r="BG197" i="1"/>
  <c r="BE205" i="1"/>
  <c r="S113" i="1"/>
  <c r="BF113" i="1"/>
  <c r="S120" i="1"/>
  <c r="BF120" i="1"/>
  <c r="BD128" i="1"/>
  <c r="S162" i="1"/>
  <c r="BF162" i="1"/>
  <c r="S205" i="1"/>
  <c r="BF205" i="1"/>
  <c r="BG113" i="1"/>
  <c r="BG120" i="1"/>
  <c r="BE128" i="1"/>
  <c r="BC136" i="1"/>
  <c r="BG162" i="1"/>
  <c r="BG205" i="1"/>
  <c r="W362" i="1"/>
  <c r="Y65" i="1"/>
  <c r="W113" i="1"/>
  <c r="W120" i="1"/>
  <c r="Y143" i="1"/>
  <c r="W205" i="1"/>
  <c r="Z45" i="1"/>
  <c r="Z76" i="1"/>
  <c r="X65" i="1"/>
  <c r="V113" i="1"/>
  <c r="V120" i="1"/>
  <c r="X143" i="1"/>
  <c r="Z153" i="1"/>
  <c r="X175" i="1"/>
  <c r="Z189" i="1"/>
  <c r="X197" i="1"/>
  <c r="V205" i="1"/>
  <c r="W175" i="1"/>
  <c r="W162" i="1"/>
  <c r="Q175" i="1"/>
  <c r="Y175" i="1"/>
  <c r="Q197" i="1"/>
  <c r="Y197" i="1"/>
  <c r="X113" i="1"/>
  <c r="X120" i="1"/>
  <c r="V128" i="1"/>
  <c r="Z143" i="1"/>
  <c r="X162" i="1"/>
  <c r="Z175" i="1"/>
  <c r="Z197" i="1"/>
  <c r="X205" i="1"/>
  <c r="Q113" i="1"/>
  <c r="Y113" i="1"/>
  <c r="Q120" i="1"/>
  <c r="Y120" i="1"/>
  <c r="W128" i="1"/>
  <c r="Q162" i="1"/>
  <c r="Y162" i="1"/>
  <c r="Q205" i="1"/>
  <c r="Y205" i="1"/>
  <c r="Z113" i="1"/>
  <c r="Z120" i="1"/>
  <c r="X128" i="1"/>
  <c r="V136" i="1"/>
  <c r="Z162" i="1"/>
  <c r="V169" i="1"/>
  <c r="Z205" i="1"/>
  <c r="V162" i="1"/>
  <c r="Q128" i="1"/>
  <c r="Y128" i="1"/>
  <c r="W136" i="1"/>
  <c r="W169" i="1"/>
  <c r="V100" i="1"/>
  <c r="Z128" i="1"/>
  <c r="X136" i="1"/>
  <c r="X169" i="1"/>
  <c r="W100" i="1"/>
  <c r="Q136" i="1"/>
  <c r="Y136" i="1"/>
  <c r="Q169" i="1"/>
  <c r="Y169" i="1"/>
  <c r="X100" i="1"/>
  <c r="Z136" i="1"/>
  <c r="V153" i="1"/>
  <c r="Z169" i="1"/>
  <c r="V189" i="1"/>
  <c r="Q100" i="1"/>
  <c r="Y100" i="1"/>
  <c r="W153" i="1"/>
  <c r="W189" i="1"/>
  <c r="Z100" i="1"/>
  <c r="V143" i="1"/>
  <c r="X153" i="1"/>
  <c r="V175" i="1"/>
  <c r="X189" i="1"/>
  <c r="V197" i="1"/>
  <c r="W143" i="1"/>
  <c r="Q153" i="1"/>
  <c r="Y153" i="1"/>
  <c r="Q189" i="1"/>
  <c r="Y189" i="1"/>
  <c r="W197" i="1"/>
  <c r="BH92" i="1"/>
  <c r="AA65" i="1"/>
  <c r="AM65" i="1"/>
  <c r="AY65" i="1"/>
  <c r="BM65" i="1"/>
  <c r="BY65" i="1"/>
  <c r="W84" i="1"/>
  <c r="AI84" i="1"/>
  <c r="I17" i="2" s="1"/>
  <c r="AU84" i="1"/>
  <c r="BI84" i="1"/>
  <c r="BU84" i="1"/>
  <c r="CG84" i="1"/>
  <c r="W92" i="1"/>
  <c r="AI92" i="1"/>
  <c r="I18" i="2" s="1"/>
  <c r="AU92" i="1"/>
  <c r="BI92" i="1"/>
  <c r="BU92" i="1"/>
  <c r="CG92" i="1"/>
  <c r="AB65" i="1"/>
  <c r="BN65" i="1"/>
  <c r="BZ65" i="1"/>
  <c r="AV84" i="1"/>
  <c r="X92" i="1"/>
  <c r="AJ92" i="1"/>
  <c r="AV92" i="1"/>
  <c r="BJ92" i="1"/>
  <c r="BV92" i="1"/>
  <c r="AF300" i="1"/>
  <c r="AR300" i="1"/>
  <c r="BR300" i="1"/>
  <c r="CD300" i="1"/>
  <c r="Z328" i="1"/>
  <c r="AL328" i="1"/>
  <c r="AX328" i="1"/>
  <c r="BL328" i="1"/>
  <c r="BX328" i="1"/>
  <c r="X84" i="1"/>
  <c r="BL84" i="1"/>
  <c r="BL92" i="1"/>
  <c r="AZ65" i="1"/>
  <c r="AC65" i="1"/>
  <c r="CA65" i="1"/>
  <c r="AK84" i="1"/>
  <c r="BK84" i="1"/>
  <c r="AK92" i="1"/>
  <c r="BK92" i="1"/>
  <c r="AE65" i="1"/>
  <c r="AQ65" i="1"/>
  <c r="BE65" i="1"/>
  <c r="BQ65" i="1"/>
  <c r="CC65" i="1"/>
  <c r="AA84" i="1"/>
  <c r="AM84" i="1"/>
  <c r="AY84" i="1"/>
  <c r="BM84" i="1"/>
  <c r="BY84" i="1"/>
  <c r="AA92" i="1"/>
  <c r="AM92" i="1"/>
  <c r="AY92" i="1"/>
  <c r="BM92" i="1"/>
  <c r="BY92" i="1"/>
  <c r="AL65" i="1"/>
  <c r="BJ84" i="1"/>
  <c r="BO65" i="1"/>
  <c r="M13" i="2" s="1"/>
  <c r="AX84" i="1"/>
  <c r="AX92" i="1"/>
  <c r="AF65" i="1"/>
  <c r="AR65" i="1"/>
  <c r="BF65" i="1"/>
  <c r="BR65" i="1"/>
  <c r="CD65" i="1"/>
  <c r="AB84" i="1"/>
  <c r="AN84" i="1"/>
  <c r="AZ84" i="1"/>
  <c r="BN84" i="1"/>
  <c r="BZ84" i="1"/>
  <c r="AB92" i="1"/>
  <c r="AN92" i="1"/>
  <c r="AZ92" i="1"/>
  <c r="BN92" i="1"/>
  <c r="BZ92" i="1"/>
  <c r="Z65" i="1"/>
  <c r="BL65" i="1"/>
  <c r="AH84" i="1"/>
  <c r="H17" i="2" s="1"/>
  <c r="BH84" i="1"/>
  <c r="V92" i="1"/>
  <c r="AT92" i="1"/>
  <c r="BT92" i="1"/>
  <c r="BV84" i="1"/>
  <c r="AW92" i="1"/>
  <c r="AG65" i="1"/>
  <c r="AS65" i="1"/>
  <c r="BG65" i="1"/>
  <c r="BS65" i="1"/>
  <c r="CE65" i="1"/>
  <c r="AC84" i="1"/>
  <c r="AO84" i="1"/>
  <c r="BC84" i="1"/>
  <c r="BO84" i="1"/>
  <c r="M17" i="2" s="1"/>
  <c r="CA84" i="1"/>
  <c r="AC92" i="1"/>
  <c r="AO92" i="1"/>
  <c r="BC92" i="1"/>
  <c r="BO92" i="1"/>
  <c r="M18" i="2" s="1"/>
  <c r="CA92" i="1"/>
  <c r="AX65" i="1"/>
  <c r="BT84" i="1"/>
  <c r="AN65" i="1"/>
  <c r="AO65" i="1"/>
  <c r="BC65" i="1"/>
  <c r="Y84" i="1"/>
  <c r="BW84" i="1"/>
  <c r="Y92" i="1"/>
  <c r="BW92" i="1"/>
  <c r="V65" i="1"/>
  <c r="AH65" i="1"/>
  <c r="H13" i="2" s="1"/>
  <c r="AT65" i="1"/>
  <c r="BH65" i="1"/>
  <c r="BT65" i="1"/>
  <c r="CF65" i="1"/>
  <c r="AD84" i="1"/>
  <c r="AP84" i="1"/>
  <c r="BD84" i="1"/>
  <c r="BP84" i="1"/>
  <c r="N17" i="2" s="1"/>
  <c r="CB84" i="1"/>
  <c r="AD92" i="1"/>
  <c r="J16" i="3" s="1"/>
  <c r="AP92" i="1"/>
  <c r="BD92" i="1"/>
  <c r="BP92" i="1"/>
  <c r="N18" i="2" s="1"/>
  <c r="CB92" i="1"/>
  <c r="BX65" i="1"/>
  <c r="V84" i="1"/>
  <c r="AT84" i="1"/>
  <c r="CF84" i="1"/>
  <c r="AH92" i="1"/>
  <c r="H18" i="2" s="1"/>
  <c r="CF92" i="1"/>
  <c r="AJ84" i="1"/>
  <c r="AW84" i="1"/>
  <c r="AD65" i="1"/>
  <c r="AP65" i="1"/>
  <c r="BD65" i="1"/>
  <c r="BP65" i="1"/>
  <c r="N13" i="2" s="1"/>
  <c r="CB65" i="1"/>
  <c r="Z84" i="1"/>
  <c r="AL84" i="1"/>
  <c r="BX84" i="1"/>
  <c r="Z92" i="1"/>
  <c r="AL92" i="1"/>
  <c r="BX92" i="1"/>
  <c r="W65" i="1"/>
  <c r="AI65" i="1"/>
  <c r="I13" i="2" s="1"/>
  <c r="AU65" i="1"/>
  <c r="BI65" i="1"/>
  <c r="BU65" i="1"/>
  <c r="CG65" i="1"/>
  <c r="AE84" i="1"/>
  <c r="AQ84" i="1"/>
  <c r="BE84" i="1"/>
  <c r="BQ84" i="1"/>
  <c r="CC84" i="1"/>
  <c r="AE92" i="1"/>
  <c r="AQ92" i="1"/>
  <c r="BE92" i="1"/>
  <c r="BQ92" i="1"/>
  <c r="CC92" i="1"/>
  <c r="AA45" i="1"/>
  <c r="AM45" i="1"/>
  <c r="AY45" i="1"/>
  <c r="BM45" i="1"/>
  <c r="BY45" i="1"/>
  <c r="AA76" i="1"/>
  <c r="AM76" i="1"/>
  <c r="AY76" i="1"/>
  <c r="BM76" i="1"/>
  <c r="V300" i="1"/>
  <c r="AH300" i="1"/>
  <c r="H57" i="2" s="1"/>
  <c r="AT300" i="1"/>
  <c r="BH300" i="1"/>
  <c r="BT300" i="1"/>
  <c r="CF300" i="1"/>
  <c r="BY76" i="1"/>
  <c r="Q84" i="1"/>
  <c r="Q92" i="1"/>
  <c r="S84" i="1"/>
  <c r="S92" i="1"/>
  <c r="AD37" i="1"/>
  <c r="AZ58" i="1"/>
  <c r="BN76" i="1"/>
  <c r="AE37" i="1"/>
  <c r="AQ37" i="1"/>
  <c r="BE37" i="1"/>
  <c r="BQ37" i="1"/>
  <c r="CC37" i="1"/>
  <c r="AC45" i="1"/>
  <c r="AO45" i="1"/>
  <c r="BC45" i="1"/>
  <c r="BO45" i="1"/>
  <c r="M8" i="2" s="1"/>
  <c r="CA45" i="1"/>
  <c r="AC58" i="1"/>
  <c r="AO58" i="1"/>
  <c r="BC58" i="1"/>
  <c r="BO58" i="1"/>
  <c r="M12" i="2" s="1"/>
  <c r="CA58" i="1"/>
  <c r="AC76" i="1"/>
  <c r="AO76" i="1"/>
  <c r="BC76" i="1"/>
  <c r="BO76" i="1"/>
  <c r="M16" i="2" s="1"/>
  <c r="CA76" i="1"/>
  <c r="AF58" i="1"/>
  <c r="AR58" i="1"/>
  <c r="S58" i="1"/>
  <c r="BF58" i="1"/>
  <c r="BR58" i="1"/>
  <c r="CD58" i="1"/>
  <c r="AF76" i="1"/>
  <c r="AR76" i="1"/>
  <c r="BF76" i="1"/>
  <c r="BR76" i="1"/>
  <c r="CD76" i="1"/>
  <c r="BD37" i="1"/>
  <c r="AN45" i="1"/>
  <c r="BZ45" i="1"/>
  <c r="AB58" i="1"/>
  <c r="AN58" i="1"/>
  <c r="BZ58" i="1"/>
  <c r="AB76" i="1"/>
  <c r="AN76" i="1"/>
  <c r="AZ76" i="1"/>
  <c r="BZ76" i="1"/>
  <c r="AR37" i="1"/>
  <c r="CD37" i="1"/>
  <c r="AP45" i="1"/>
  <c r="BP45" i="1"/>
  <c r="N8" i="2" s="1"/>
  <c r="CB45" i="1"/>
  <c r="AP58" i="1"/>
  <c r="BD58" i="1"/>
  <c r="CB58" i="1"/>
  <c r="AD76" i="1"/>
  <c r="CB76" i="1"/>
  <c r="AS37" i="1"/>
  <c r="CE37" i="1"/>
  <c r="AE45" i="1"/>
  <c r="AQ45" i="1"/>
  <c r="BE45" i="1"/>
  <c r="CC45" i="1"/>
  <c r="AE58" i="1"/>
  <c r="AQ58" i="1"/>
  <c r="CC58" i="1"/>
  <c r="BQ76" i="1"/>
  <c r="AI37" i="1"/>
  <c r="I7" i="2" s="1"/>
  <c r="CG37" i="1"/>
  <c r="AS45" i="1"/>
  <c r="BS45" i="1"/>
  <c r="AG58" i="1"/>
  <c r="BG58" i="1"/>
  <c r="BS58" i="1"/>
  <c r="CE58" i="1"/>
  <c r="AG76" i="1"/>
  <c r="AS76" i="1"/>
  <c r="BG76" i="1"/>
  <c r="BS76" i="1"/>
  <c r="CE76" i="1"/>
  <c r="BN37" i="1"/>
  <c r="AC37" i="1"/>
  <c r="AY58" i="1"/>
  <c r="CB37" i="1"/>
  <c r="BN45" i="1"/>
  <c r="AF37" i="1"/>
  <c r="AD45" i="1"/>
  <c r="AD58" i="1"/>
  <c r="AG37" i="1"/>
  <c r="BQ45" i="1"/>
  <c r="BQ58" i="1"/>
  <c r="BE76" i="1"/>
  <c r="X37" i="1"/>
  <c r="AJ37" i="1"/>
  <c r="AV37" i="1"/>
  <c r="BJ37" i="1"/>
  <c r="BV37" i="1"/>
  <c r="V45" i="1"/>
  <c r="AH45" i="1"/>
  <c r="H8" i="2" s="1"/>
  <c r="AT45" i="1"/>
  <c r="BH45" i="1"/>
  <c r="BT45" i="1"/>
  <c r="CF45" i="1"/>
  <c r="V58" i="1"/>
  <c r="AH58" i="1"/>
  <c r="H12" i="2" s="1"/>
  <c r="AT58" i="1"/>
  <c r="BH58" i="1"/>
  <c r="BT58" i="1"/>
  <c r="CF58" i="1"/>
  <c r="V76" i="1"/>
  <c r="AH76" i="1"/>
  <c r="H16" i="2" s="1"/>
  <c r="AT76" i="1"/>
  <c r="BH76" i="1"/>
  <c r="BT76" i="1"/>
  <c r="CF76" i="1"/>
  <c r="S65" i="1"/>
  <c r="AB37" i="1"/>
  <c r="BC37" i="1"/>
  <c r="BM58" i="1"/>
  <c r="BP37" i="1"/>
  <c r="N7" i="2" s="1"/>
  <c r="AB45" i="1"/>
  <c r="BF37" i="1"/>
  <c r="BD45" i="1"/>
  <c r="BP58" i="1"/>
  <c r="N12" i="2" s="1"/>
  <c r="BP76" i="1"/>
  <c r="N16" i="2" s="1"/>
  <c r="BG37" i="1"/>
  <c r="BE58" i="1"/>
  <c r="AQ76" i="1"/>
  <c r="Y37" i="1"/>
  <c r="AK37" i="1"/>
  <c r="AW37" i="1"/>
  <c r="BK37" i="1"/>
  <c r="BW37" i="1"/>
  <c r="W45" i="1"/>
  <c r="AI45" i="1"/>
  <c r="I8" i="2" s="1"/>
  <c r="AU45" i="1"/>
  <c r="BI45" i="1"/>
  <c r="BU45" i="1"/>
  <c r="CG45" i="1"/>
  <c r="W58" i="1"/>
  <c r="AI58" i="1"/>
  <c r="I12" i="2" s="1"/>
  <c r="AU58" i="1"/>
  <c r="BI58" i="1"/>
  <c r="BU58" i="1"/>
  <c r="CG58" i="1"/>
  <c r="W76" i="1"/>
  <c r="AI76" i="1"/>
  <c r="I16" i="2" s="1"/>
  <c r="AU76" i="1"/>
  <c r="BI76" i="1"/>
  <c r="BU76" i="1"/>
  <c r="CG76" i="1"/>
  <c r="AZ37" i="1"/>
  <c r="CA37" i="1"/>
  <c r="AP37" i="1"/>
  <c r="AZ45" i="1"/>
  <c r="AP76" i="1"/>
  <c r="BS37" i="1"/>
  <c r="CC76" i="1"/>
  <c r="BI37" i="1"/>
  <c r="Z37" i="1"/>
  <c r="AL37" i="1"/>
  <c r="AX37" i="1"/>
  <c r="BL37" i="1"/>
  <c r="BX37" i="1"/>
  <c r="X45" i="1"/>
  <c r="AJ45" i="1"/>
  <c r="AV45" i="1"/>
  <c r="BJ45" i="1"/>
  <c r="BV45" i="1"/>
  <c r="X58" i="1"/>
  <c r="AJ58" i="1"/>
  <c r="AV58" i="1"/>
  <c r="BJ58" i="1"/>
  <c r="BV58" i="1"/>
  <c r="X76" i="1"/>
  <c r="AJ76" i="1"/>
  <c r="AV76" i="1"/>
  <c r="BJ76" i="1"/>
  <c r="BV76" i="1"/>
  <c r="AN37" i="1"/>
  <c r="BZ37" i="1"/>
  <c r="Z58" i="1"/>
  <c r="AL58" i="1"/>
  <c r="AX58" i="1"/>
  <c r="BL58" i="1"/>
  <c r="BX58" i="1"/>
  <c r="AO37" i="1"/>
  <c r="BO37" i="1"/>
  <c r="M7" i="2" s="1"/>
  <c r="AA58" i="1"/>
  <c r="AM58" i="1"/>
  <c r="BY58" i="1"/>
  <c r="Q65" i="1"/>
  <c r="BN58" i="1"/>
  <c r="BR37" i="1"/>
  <c r="BD76" i="1"/>
  <c r="AE76" i="1"/>
  <c r="V37" i="1"/>
  <c r="AH37" i="1"/>
  <c r="H7" i="2" s="1"/>
  <c r="AT37" i="1"/>
  <c r="BH37" i="1"/>
  <c r="BT37" i="1"/>
  <c r="CF37" i="1"/>
  <c r="AF45" i="1"/>
  <c r="AR45" i="1"/>
  <c r="S45" i="1"/>
  <c r="BF45" i="1"/>
  <c r="BR45" i="1"/>
  <c r="CD45" i="1"/>
  <c r="W37" i="1"/>
  <c r="AU37" i="1"/>
  <c r="BU37" i="1"/>
  <c r="AG45" i="1"/>
  <c r="BG45" i="1"/>
  <c r="CE45" i="1"/>
  <c r="AS58" i="1"/>
  <c r="AA37" i="1"/>
  <c r="AM37" i="1"/>
  <c r="AY37" i="1"/>
  <c r="BM37" i="1"/>
  <c r="BY37" i="1"/>
  <c r="Q45" i="1"/>
  <c r="Y45" i="1"/>
  <c r="AK45" i="1"/>
  <c r="AW45" i="1"/>
  <c r="BK45" i="1"/>
  <c r="BW45" i="1"/>
  <c r="Q58" i="1"/>
  <c r="Y58" i="1"/>
  <c r="AK58" i="1"/>
  <c r="AW58" i="1"/>
  <c r="BK58" i="1"/>
  <c r="BW58" i="1"/>
  <c r="Y76" i="1"/>
  <c r="AK76" i="1"/>
  <c r="AW76" i="1"/>
  <c r="BK76" i="1"/>
  <c r="BW76" i="1"/>
  <c r="BZ288" i="1"/>
  <c r="BX296" i="1"/>
  <c r="AC288" i="1"/>
  <c r="AO288" i="1"/>
  <c r="BO288" i="1"/>
  <c r="M55" i="2" s="1"/>
  <c r="CA288" i="1"/>
  <c r="AA296" i="1"/>
  <c r="AM296" i="1"/>
  <c r="AY296" i="1"/>
  <c r="BM296" i="1"/>
  <c r="BY296" i="1"/>
  <c r="AG300" i="1"/>
  <c r="AS300" i="1"/>
  <c r="BG300" i="1"/>
  <c r="BS300" i="1"/>
  <c r="CE300" i="1"/>
  <c r="AN288" i="1"/>
  <c r="BN288" i="1"/>
  <c r="Z296" i="1"/>
  <c r="AX296" i="1"/>
  <c r="W300" i="1"/>
  <c r="AI300" i="1"/>
  <c r="I57" i="2" s="1"/>
  <c r="AU300" i="1"/>
  <c r="BI300" i="1"/>
  <c r="BU300" i="1"/>
  <c r="CG300" i="1"/>
  <c r="AB288" i="1"/>
  <c r="AZ288" i="1"/>
  <c r="AL296" i="1"/>
  <c r="BL296" i="1"/>
  <c r="Q143" i="1"/>
  <c r="BC288" i="1"/>
  <c r="S300" i="1"/>
  <c r="BF300" i="1"/>
  <c r="AE288" i="1"/>
  <c r="BQ288" i="1"/>
  <c r="BC296" i="1"/>
  <c r="AQ288" i="1"/>
  <c r="BE288" i="1"/>
  <c r="CC288" i="1"/>
  <c r="AC296" i="1"/>
  <c r="AO296" i="1"/>
  <c r="BO296" i="1"/>
  <c r="M56" i="2" s="1"/>
  <c r="CA296" i="1"/>
  <c r="S37" i="1"/>
  <c r="X288" i="1"/>
  <c r="AJ288" i="1"/>
  <c r="AV288" i="1"/>
  <c r="BJ288" i="1"/>
  <c r="BV288" i="1"/>
  <c r="V296" i="1"/>
  <c r="AH296" i="1"/>
  <c r="H56" i="2" s="1"/>
  <c r="AT296" i="1"/>
  <c r="BH296" i="1"/>
  <c r="BT296" i="1"/>
  <c r="CF296" i="1"/>
  <c r="AB300" i="1"/>
  <c r="AN300" i="1"/>
  <c r="AZ300" i="1"/>
  <c r="BN300" i="1"/>
  <c r="BZ300" i="1"/>
  <c r="AD311" i="1"/>
  <c r="AP311" i="1"/>
  <c r="BP311" i="1"/>
  <c r="N60" i="2" s="1"/>
  <c r="CB311" i="1"/>
  <c r="Q288" i="1"/>
  <c r="Y288" i="1"/>
  <c r="AK288" i="1"/>
  <c r="AW288" i="1"/>
  <c r="BK288" i="1"/>
  <c r="BW288" i="1"/>
  <c r="W296" i="1"/>
  <c r="AI296" i="1"/>
  <c r="I56" i="2" s="1"/>
  <c r="AU296" i="1"/>
  <c r="BI296" i="1"/>
  <c r="BU296" i="1"/>
  <c r="CG296" i="1"/>
  <c r="AC300" i="1"/>
  <c r="AO300" i="1"/>
  <c r="BC300" i="1"/>
  <c r="BO300" i="1"/>
  <c r="M57" i="2" s="1"/>
  <c r="CA300" i="1"/>
  <c r="AE311" i="1"/>
  <c r="AQ311" i="1"/>
  <c r="BQ311" i="1"/>
  <c r="CC311" i="1"/>
  <c r="Z288" i="1"/>
  <c r="AL288" i="1"/>
  <c r="AX288" i="1"/>
  <c r="BL288" i="1"/>
  <c r="BX288" i="1"/>
  <c r="X296" i="1"/>
  <c r="AJ296" i="1"/>
  <c r="AV296" i="1"/>
  <c r="BJ296" i="1"/>
  <c r="BV296" i="1"/>
  <c r="AD300" i="1"/>
  <c r="AP300" i="1"/>
  <c r="BD300" i="1"/>
  <c r="BP300" i="1"/>
  <c r="N57" i="2" s="1"/>
  <c r="CB300" i="1"/>
  <c r="AA288" i="1"/>
  <c r="AM288" i="1"/>
  <c r="AY288" i="1"/>
  <c r="BM288" i="1"/>
  <c r="BY288" i="1"/>
  <c r="Q296" i="1"/>
  <c r="Y296" i="1"/>
  <c r="AK296" i="1"/>
  <c r="AW296" i="1"/>
  <c r="BK296" i="1"/>
  <c r="BW296" i="1"/>
  <c r="AE300" i="1"/>
  <c r="AQ300" i="1"/>
  <c r="BE300" i="1"/>
  <c r="BQ300" i="1"/>
  <c r="CC300" i="1"/>
  <c r="S76" i="1"/>
  <c r="AD288" i="1"/>
  <c r="AP288" i="1"/>
  <c r="BD288" i="1"/>
  <c r="BP288" i="1"/>
  <c r="N55" i="2" s="1"/>
  <c r="CB288" i="1"/>
  <c r="AB296" i="1"/>
  <c r="AN296" i="1"/>
  <c r="AZ296" i="1"/>
  <c r="BN296" i="1"/>
  <c r="BZ296" i="1"/>
  <c r="S143" i="1"/>
  <c r="AF288" i="1"/>
  <c r="AR288" i="1"/>
  <c r="S288" i="1"/>
  <c r="BF288" i="1"/>
  <c r="BR288" i="1"/>
  <c r="CD288" i="1"/>
  <c r="AD296" i="1"/>
  <c r="AP296" i="1"/>
  <c r="BD296" i="1"/>
  <c r="BP296" i="1"/>
  <c r="N56" i="2" s="1"/>
  <c r="CB296" i="1"/>
  <c r="X300" i="1"/>
  <c r="AJ300" i="1"/>
  <c r="AV300" i="1"/>
  <c r="BJ300" i="1"/>
  <c r="BV300" i="1"/>
  <c r="AG288" i="1"/>
  <c r="AS288" i="1"/>
  <c r="BG288" i="1"/>
  <c r="BS288" i="1"/>
  <c r="CE288" i="1"/>
  <c r="AE296" i="1"/>
  <c r="AQ296" i="1"/>
  <c r="BE296" i="1"/>
  <c r="BQ296" i="1"/>
  <c r="CC296" i="1"/>
  <c r="Q300" i="1"/>
  <c r="Y300" i="1"/>
  <c r="AK300" i="1"/>
  <c r="AW300" i="1"/>
  <c r="BK300" i="1"/>
  <c r="BW300" i="1"/>
  <c r="Q37" i="1"/>
  <c r="V288" i="1"/>
  <c r="AH288" i="1"/>
  <c r="H55" i="2" s="1"/>
  <c r="AT288" i="1"/>
  <c r="BH288" i="1"/>
  <c r="BT288" i="1"/>
  <c r="CF288" i="1"/>
  <c r="AF296" i="1"/>
  <c r="AR296" i="1"/>
  <c r="S296" i="1"/>
  <c r="BF296" i="1"/>
  <c r="BR296" i="1"/>
  <c r="CD296" i="1"/>
  <c r="Z300" i="1"/>
  <c r="AL300" i="1"/>
  <c r="AX300" i="1"/>
  <c r="BL300" i="1"/>
  <c r="BX300" i="1"/>
  <c r="Q76" i="1"/>
  <c r="W288" i="1"/>
  <c r="AI288" i="1"/>
  <c r="I55" i="2" s="1"/>
  <c r="AU288" i="1"/>
  <c r="BI288" i="1"/>
  <c r="BU288" i="1"/>
  <c r="CG288" i="1"/>
  <c r="AG296" i="1"/>
  <c r="AS296" i="1"/>
  <c r="BG296" i="1"/>
  <c r="BS296" i="1"/>
  <c r="CE296" i="1"/>
  <c r="AA300" i="1"/>
  <c r="AM300" i="1"/>
  <c r="AY300" i="1"/>
  <c r="BM300" i="1"/>
  <c r="BY300" i="1"/>
  <c r="AF311" i="1"/>
  <c r="AR311" i="1"/>
  <c r="BR311" i="1"/>
  <c r="CD311" i="1"/>
  <c r="AG311" i="1"/>
  <c r="AS311" i="1"/>
  <c r="BG311" i="1"/>
  <c r="BS311" i="1"/>
  <c r="CE311" i="1"/>
  <c r="AH311" i="1"/>
  <c r="H60" i="2" s="1"/>
  <c r="AT311" i="1"/>
  <c r="BH311" i="1"/>
  <c r="BT311" i="1"/>
  <c r="CF311" i="1"/>
  <c r="AI311" i="1"/>
  <c r="I60" i="2" s="1"/>
  <c r="AU311" i="1"/>
  <c r="BI311" i="1"/>
  <c r="BU311" i="1"/>
  <c r="CG311" i="1"/>
  <c r="AJ311" i="1"/>
  <c r="AV311" i="1"/>
  <c r="BJ311" i="1"/>
  <c r="BV311" i="1"/>
  <c r="AK311" i="1"/>
  <c r="AW311" i="1"/>
  <c r="BK311" i="1"/>
  <c r="BW311" i="1"/>
  <c r="Z311" i="1"/>
  <c r="AL311" i="1"/>
  <c r="AX311" i="1"/>
  <c r="BL311" i="1"/>
  <c r="BX311" i="1"/>
  <c r="AA311" i="1"/>
  <c r="AM311" i="1"/>
  <c r="AY311" i="1"/>
  <c r="BM311" i="1"/>
  <c r="BY311" i="1"/>
  <c r="AB311" i="1"/>
  <c r="AN311" i="1"/>
  <c r="AZ311" i="1"/>
  <c r="BN311" i="1"/>
  <c r="BZ311" i="1"/>
  <c r="AC311" i="1"/>
  <c r="AO311" i="1"/>
  <c r="BO311" i="1"/>
  <c r="M60" i="2" s="1"/>
  <c r="CA311" i="1"/>
  <c r="BE311" i="1"/>
  <c r="BD311" i="1"/>
  <c r="S311" i="1"/>
  <c r="BF311" i="1"/>
  <c r="BC311" i="1"/>
  <c r="W311" i="1"/>
  <c r="X311" i="1"/>
  <c r="Q311" i="1"/>
  <c r="Y311" i="1"/>
  <c r="V311" i="1"/>
  <c r="BK362" i="1"/>
  <c r="AA328" i="1"/>
  <c r="AM328" i="1"/>
  <c r="AY328" i="1"/>
  <c r="BM328" i="1"/>
  <c r="BY328" i="1"/>
  <c r="BW362" i="1"/>
  <c r="Y362" i="1"/>
  <c r="AK362" i="1"/>
  <c r="AW362" i="1"/>
  <c r="AA362" i="1"/>
  <c r="AM362" i="1"/>
  <c r="AY362" i="1"/>
  <c r="BM362" i="1"/>
  <c r="BY362" i="1"/>
  <c r="AX362" i="1"/>
  <c r="Z362" i="1"/>
  <c r="AL362" i="1"/>
  <c r="BL362" i="1"/>
  <c r="BX362" i="1"/>
  <c r="V362" i="1"/>
  <c r="BJ362" i="1"/>
  <c r="BV362" i="1"/>
  <c r="X362" i="1"/>
  <c r="AJ362" i="1"/>
  <c r="AV362" i="1"/>
  <c r="V328" i="1"/>
  <c r="AH328" i="1"/>
  <c r="H63" i="2" s="1"/>
  <c r="AT328" i="1"/>
  <c r="BH328" i="1"/>
  <c r="BT328" i="1"/>
  <c r="CF328" i="1"/>
  <c r="W328" i="1"/>
  <c r="AI328" i="1"/>
  <c r="I63" i="2" s="1"/>
  <c r="AU328" i="1"/>
  <c r="BI328" i="1"/>
  <c r="BU328" i="1"/>
  <c r="CG328" i="1"/>
  <c r="X328" i="1"/>
  <c r="AJ328" i="1"/>
  <c r="AV328" i="1"/>
  <c r="BJ328" i="1"/>
  <c r="BV328" i="1"/>
  <c r="Q328" i="1"/>
  <c r="Y328" i="1"/>
  <c r="AK328" i="1"/>
  <c r="AW328" i="1"/>
  <c r="BK328" i="1"/>
  <c r="BW328" i="1"/>
  <c r="BN362" i="1"/>
  <c r="AB328" i="1"/>
  <c r="AN328" i="1"/>
  <c r="AZ328" i="1"/>
  <c r="BN328" i="1"/>
  <c r="BZ328" i="1"/>
  <c r="AB362" i="1"/>
  <c r="AC328" i="1"/>
  <c r="AO328" i="1"/>
  <c r="BC328" i="1"/>
  <c r="BO328" i="1"/>
  <c r="M63" i="2" s="1"/>
  <c r="CA328" i="1"/>
  <c r="AD362" i="1"/>
  <c r="AP362" i="1"/>
  <c r="BD362" i="1"/>
  <c r="BP362" i="1"/>
  <c r="CB362" i="1"/>
  <c r="AD328" i="1"/>
  <c r="AP328" i="1"/>
  <c r="BD328" i="1"/>
  <c r="BP328" i="1"/>
  <c r="N63" i="2" s="1"/>
  <c r="CB328" i="1"/>
  <c r="BZ362" i="1"/>
  <c r="AC362" i="1"/>
  <c r="AO362" i="1"/>
  <c r="BC362" i="1"/>
  <c r="BO362" i="1"/>
  <c r="CA362" i="1"/>
  <c r="AE362" i="1"/>
  <c r="AQ362" i="1"/>
  <c r="BE362" i="1"/>
  <c r="BQ362" i="1"/>
  <c r="CC362" i="1"/>
  <c r="AE328" i="1"/>
  <c r="AQ328" i="1"/>
  <c r="BE328" i="1"/>
  <c r="BQ328" i="1"/>
  <c r="CC328" i="1"/>
  <c r="AN362" i="1"/>
  <c r="AF362" i="1"/>
  <c r="BF362" i="1"/>
  <c r="BR362" i="1"/>
  <c r="AF328" i="1"/>
  <c r="AR328" i="1"/>
  <c r="S328" i="1"/>
  <c r="O63" i="2" s="1"/>
  <c r="BF328" i="1"/>
  <c r="BR328" i="1"/>
  <c r="CD328" i="1"/>
  <c r="AZ362" i="1"/>
  <c r="AR362" i="1"/>
  <c r="CD362" i="1"/>
  <c r="AG362" i="1"/>
  <c r="AS362" i="1"/>
  <c r="BG362" i="1"/>
  <c r="BS362" i="1"/>
  <c r="CE362" i="1"/>
  <c r="AG328" i="1"/>
  <c r="AS328" i="1"/>
  <c r="BG328" i="1"/>
  <c r="BS328" i="1"/>
  <c r="CE328" i="1"/>
  <c r="Y363" i="1"/>
  <c r="AK363" i="1"/>
  <c r="AW363" i="1"/>
  <c r="BK363" i="1"/>
  <c r="BW363" i="1"/>
  <c r="Z363" i="1"/>
  <c r="AL363" i="1"/>
  <c r="AX363" i="1"/>
  <c r="BL363" i="1"/>
  <c r="BX363" i="1"/>
  <c r="AA363" i="1"/>
  <c r="AM363" i="1"/>
  <c r="AY363" i="1"/>
  <c r="BM363" i="1"/>
  <c r="BY363" i="1"/>
  <c r="AB363" i="1"/>
  <c r="AN363" i="1"/>
  <c r="AZ363" i="1"/>
  <c r="BN363" i="1"/>
  <c r="BZ363" i="1"/>
  <c r="AC363" i="1"/>
  <c r="AO363" i="1"/>
  <c r="BC363" i="1"/>
  <c r="BO363" i="1"/>
  <c r="CA363" i="1"/>
  <c r="AD363" i="1"/>
  <c r="AP363" i="1"/>
  <c r="BD363" i="1"/>
  <c r="BP363" i="1"/>
  <c r="CB363" i="1"/>
  <c r="AE363" i="1"/>
  <c r="AQ363" i="1"/>
  <c r="BE363" i="1"/>
  <c r="BQ363" i="1"/>
  <c r="CC363" i="1"/>
  <c r="AF363" i="1"/>
  <c r="AR363" i="1"/>
  <c r="BF363" i="1"/>
  <c r="BR363" i="1"/>
  <c r="CD363" i="1"/>
  <c r="AG363" i="1"/>
  <c r="AS363" i="1"/>
  <c r="BG363" i="1"/>
  <c r="BS363" i="1"/>
  <c r="CE363" i="1"/>
  <c r="V363" i="1"/>
  <c r="AH363" i="1"/>
  <c r="AT363" i="1"/>
  <c r="BH363" i="1"/>
  <c r="BT363" i="1"/>
  <c r="CF363" i="1"/>
  <c r="W363" i="1"/>
  <c r="AI363" i="1"/>
  <c r="AU363" i="1"/>
  <c r="BI363" i="1"/>
  <c r="BU363" i="1"/>
  <c r="CG363" i="1"/>
  <c r="X363" i="1"/>
  <c r="AJ363" i="1"/>
  <c r="AV363" i="1"/>
  <c r="BJ363" i="1"/>
  <c r="BV363" i="1"/>
  <c r="I20" i="3" l="1"/>
  <c r="K41" i="3"/>
  <c r="J12" i="3"/>
  <c r="I41" i="3"/>
  <c r="K12" i="3"/>
  <c r="K45" i="3"/>
  <c r="L29" i="3"/>
  <c r="L51" i="3"/>
  <c r="K8" i="3"/>
  <c r="L22" i="3"/>
  <c r="K46" i="3"/>
  <c r="L7" i="3"/>
  <c r="L41" i="3"/>
  <c r="L8" i="3"/>
  <c r="K22" i="3"/>
  <c r="L16" i="3"/>
  <c r="L17" i="3"/>
  <c r="K31" i="3"/>
  <c r="L23" i="3"/>
  <c r="L47" i="3"/>
  <c r="K11" i="3"/>
  <c r="K7" i="3"/>
  <c r="K21" i="3"/>
  <c r="K30" i="3"/>
  <c r="K23" i="3"/>
  <c r="K49" i="3"/>
  <c r="L11" i="3"/>
  <c r="L31" i="3"/>
  <c r="L19" i="3"/>
  <c r="L21" i="3"/>
  <c r="L13" i="3"/>
  <c r="K47" i="3"/>
  <c r="L24" i="3"/>
  <c r="K19" i="3"/>
  <c r="L32" i="3"/>
  <c r="L15" i="3"/>
  <c r="L46" i="3"/>
  <c r="L12" i="3"/>
  <c r="K16" i="3"/>
  <c r="K24" i="3"/>
  <c r="K25" i="3"/>
  <c r="K51" i="3"/>
  <c r="L49" i="3"/>
  <c r="L45" i="3"/>
  <c r="L20" i="3"/>
  <c r="K13" i="3"/>
  <c r="K15" i="3"/>
  <c r="L25" i="3"/>
  <c r="K20" i="3"/>
  <c r="L30" i="3"/>
  <c r="I16" i="3"/>
  <c r="I19" i="3"/>
  <c r="J19" i="3"/>
  <c r="I47" i="3"/>
  <c r="J15" i="3"/>
  <c r="I13" i="3"/>
  <c r="I31" i="3"/>
  <c r="J23" i="3"/>
  <c r="I24" i="3"/>
  <c r="I23" i="3"/>
  <c r="J11" i="3"/>
  <c r="I21" i="3"/>
  <c r="J25" i="3"/>
  <c r="J22" i="3"/>
  <c r="J31" i="3"/>
  <c r="I11" i="3"/>
  <c r="J20" i="3"/>
  <c r="I12" i="3"/>
  <c r="J46" i="3"/>
  <c r="J13" i="3"/>
  <c r="I25" i="3"/>
  <c r="J32" i="3"/>
  <c r="I45" i="3"/>
  <c r="J47" i="3"/>
  <c r="I46" i="3"/>
  <c r="J51" i="3"/>
  <c r="I49" i="3"/>
  <c r="J45" i="3"/>
  <c r="I8" i="3"/>
  <c r="J7" i="3"/>
  <c r="J21" i="3"/>
  <c r="J30" i="3"/>
  <c r="I29" i="3"/>
  <c r="J17" i="3"/>
  <c r="J8" i="3"/>
  <c r="J49" i="3"/>
  <c r="I30" i="3"/>
  <c r="I51" i="3"/>
  <c r="I7" i="3"/>
  <c r="I15" i="3"/>
  <c r="J29" i="3"/>
  <c r="J24" i="3"/>
  <c r="I17" i="3"/>
  <c r="G47" i="2"/>
  <c r="G69" i="2"/>
  <c r="G58" i="2"/>
  <c r="G64" i="2"/>
  <c r="G26" i="2"/>
  <c r="G14" i="2"/>
  <c r="G10" i="2"/>
  <c r="G27" i="2"/>
  <c r="G34" i="2"/>
  <c r="G9" i="2"/>
  <c r="G41" i="2"/>
  <c r="BP67" i="1"/>
  <c r="N15" i="2" s="1"/>
  <c r="AX67" i="1"/>
  <c r="BR67" i="1"/>
  <c r="X106" i="1"/>
  <c r="Y67" i="1"/>
  <c r="AG106" i="1"/>
  <c r="BE106" i="1"/>
  <c r="BY106" i="1"/>
  <c r="AQ67" i="1"/>
  <c r="AN67" i="1"/>
  <c r="CB67" i="1"/>
  <c r="BX67" i="1"/>
  <c r="BL67" i="1"/>
  <c r="CD67" i="1"/>
  <c r="AE67" i="1"/>
  <c r="AV67" i="1"/>
  <c r="AJ67" i="1"/>
  <c r="AV106" i="1"/>
  <c r="AO106" i="1"/>
  <c r="CE67" i="1"/>
  <c r="CE106" i="1"/>
  <c r="Y106" i="1"/>
  <c r="BO106" i="1"/>
  <c r="M20" i="2" s="1"/>
  <c r="BG106" i="1"/>
  <c r="AC106" i="1"/>
  <c r="AB106" i="1"/>
  <c r="BD106" i="1"/>
  <c r="AF67" i="1"/>
  <c r="AA106" i="1"/>
  <c r="BC106" i="1"/>
  <c r="BL106" i="1"/>
  <c r="AW106" i="1"/>
  <c r="BI106" i="1"/>
  <c r="AS106" i="1"/>
  <c r="BN106" i="1"/>
  <c r="AP106" i="1"/>
  <c r="V106" i="1"/>
  <c r="AL67" i="1"/>
  <c r="BQ67" i="1"/>
  <c r="AA67" i="1"/>
  <c r="BM106" i="1"/>
  <c r="BV106" i="1"/>
  <c r="AH106" i="1"/>
  <c r="H20" i="2" s="1"/>
  <c r="AR106" i="1"/>
  <c r="AI106" i="1"/>
  <c r="I20" i="2" s="1"/>
  <c r="AN106" i="1"/>
  <c r="AF106" i="1"/>
  <c r="BP106" i="1"/>
  <c r="N20" i="2" s="1"/>
  <c r="BU106" i="1"/>
  <c r="W106" i="1"/>
  <c r="AM106" i="1"/>
  <c r="BZ106" i="1"/>
  <c r="BO67" i="1"/>
  <c r="M15" i="2" s="1"/>
  <c r="CH169" i="1"/>
  <c r="CI169" i="1" s="1"/>
  <c r="BW106" i="1"/>
  <c r="AK106" i="1"/>
  <c r="BH106" i="1"/>
  <c r="BS106" i="1"/>
  <c r="AQ106" i="1"/>
  <c r="BJ67" i="1"/>
  <c r="CC67" i="1"/>
  <c r="AM67" i="1"/>
  <c r="AT106" i="1"/>
  <c r="CD106" i="1"/>
  <c r="AE106" i="1"/>
  <c r="AX106" i="1"/>
  <c r="AO67" i="1"/>
  <c r="BE67" i="1"/>
  <c r="Z106" i="1"/>
  <c r="BF106" i="1"/>
  <c r="BJ106" i="1"/>
  <c r="BR106" i="1"/>
  <c r="CA106" i="1"/>
  <c r="BX106" i="1"/>
  <c r="CB106" i="1"/>
  <c r="AJ106" i="1"/>
  <c r="BK106" i="1"/>
  <c r="AU106" i="1"/>
  <c r="AL106" i="1"/>
  <c r="CC106" i="1"/>
  <c r="AD106" i="1"/>
  <c r="BT106" i="1"/>
  <c r="BQ106" i="1"/>
  <c r="AY67" i="1"/>
  <c r="CH76" i="1"/>
  <c r="CI76" i="1" s="1"/>
  <c r="CH162" i="1"/>
  <c r="CI162" i="1" s="1"/>
  <c r="CF67" i="1"/>
  <c r="X67" i="1"/>
  <c r="BU67" i="1"/>
  <c r="BH67" i="1"/>
  <c r="CH58" i="1"/>
  <c r="CI58" i="1" s="1"/>
  <c r="BI67" i="1"/>
  <c r="BD67" i="1"/>
  <c r="AT67" i="1"/>
  <c r="BG67" i="1"/>
  <c r="BF67" i="1"/>
  <c r="BZ67" i="1"/>
  <c r="CH143" i="1"/>
  <c r="CI143" i="1" s="1"/>
  <c r="CH153" i="1"/>
  <c r="CI153" i="1" s="1"/>
  <c r="BW67" i="1"/>
  <c r="CH256" i="1"/>
  <c r="CI256" i="1" s="1"/>
  <c r="CH209" i="1"/>
  <c r="CI209" i="1" s="1"/>
  <c r="AY106" i="1"/>
  <c r="CH363" i="1"/>
  <c r="CI363" i="1" s="1"/>
  <c r="CH37" i="1"/>
  <c r="CI37" i="1" s="1"/>
  <c r="CG67" i="1"/>
  <c r="CH328" i="1"/>
  <c r="CI328" i="1" s="1"/>
  <c r="S67" i="1"/>
  <c r="CG106" i="1"/>
  <c r="AU67" i="1"/>
  <c r="AP67" i="1"/>
  <c r="AH67" i="1"/>
  <c r="H15" i="2" s="1"/>
  <c r="AS67" i="1"/>
  <c r="AR67" i="1"/>
  <c r="BN67" i="1"/>
  <c r="BK67" i="1"/>
  <c r="CH84" i="1"/>
  <c r="CI84" i="1" s="1"/>
  <c r="CH113" i="1"/>
  <c r="CI113" i="1" s="1"/>
  <c r="BS67" i="1"/>
  <c r="CH300" i="1"/>
  <c r="CI300" i="1" s="1"/>
  <c r="CH288" i="1"/>
  <c r="CI288" i="1" s="1"/>
  <c r="R55" i="2" s="1"/>
  <c r="AI67" i="1"/>
  <c r="I15" i="2" s="1"/>
  <c r="AD67" i="1"/>
  <c r="V67" i="1"/>
  <c r="CH92" i="1"/>
  <c r="CI92" i="1" s="1"/>
  <c r="AG67" i="1"/>
  <c r="AB67" i="1"/>
  <c r="AW67" i="1"/>
  <c r="AZ67" i="1"/>
  <c r="CH362" i="1"/>
  <c r="CI362" i="1" s="1"/>
  <c r="CH120" i="1"/>
  <c r="CI120" i="1" s="1"/>
  <c r="CH311" i="1"/>
  <c r="CI311" i="1" s="1"/>
  <c r="W67" i="1"/>
  <c r="CA67" i="1"/>
  <c r="BY67" i="1"/>
  <c r="CH128" i="1"/>
  <c r="CI128" i="1" s="1"/>
  <c r="CH205" i="1"/>
  <c r="CI205" i="1" s="1"/>
  <c r="CH100" i="1"/>
  <c r="CI100" i="1" s="1"/>
  <c r="AK67" i="1"/>
  <c r="CF106" i="1"/>
  <c r="CH45" i="1"/>
  <c r="CI45" i="1" s="1"/>
  <c r="CH65" i="1"/>
  <c r="CI65" i="1" s="1"/>
  <c r="BC67" i="1"/>
  <c r="CH197" i="1"/>
  <c r="CI197" i="1" s="1"/>
  <c r="CH296" i="1"/>
  <c r="CI296" i="1" s="1"/>
  <c r="CH136" i="1"/>
  <c r="CI136" i="1" s="1"/>
  <c r="BT67" i="1"/>
  <c r="CH175" i="1"/>
  <c r="CI175" i="1" s="1"/>
  <c r="Z67" i="1"/>
  <c r="CH189" i="1"/>
  <c r="CI189" i="1" s="1"/>
  <c r="AC67" i="1"/>
  <c r="BM67" i="1"/>
  <c r="BV67" i="1"/>
  <c r="AZ106" i="1"/>
  <c r="S106" i="1"/>
  <c r="Q106" i="1"/>
  <c r="Q67" i="1"/>
  <c r="Q363" i="1"/>
  <c r="L47" i="2"/>
  <c r="J47" i="2"/>
  <c r="L64" i="2"/>
  <c r="J64" i="2"/>
  <c r="L27" i="2"/>
  <c r="J27" i="2"/>
  <c r="L41" i="2"/>
  <c r="J41" i="2"/>
  <c r="L34" i="2"/>
  <c r="J34" i="2"/>
  <c r="L58" i="2"/>
  <c r="J58" i="2"/>
  <c r="L69" i="2"/>
  <c r="J69" i="2"/>
  <c r="L14" i="2"/>
  <c r="J14" i="2"/>
  <c r="L10" i="2"/>
  <c r="J10" i="2"/>
  <c r="R64" i="2"/>
  <c r="S64" i="2" s="1"/>
  <c r="P64" i="2"/>
  <c r="R27" i="2"/>
  <c r="S27" i="2" s="1"/>
  <c r="P27" i="2"/>
  <c r="R41" i="2"/>
  <c r="S41" i="2" s="1"/>
  <c r="P41" i="2"/>
  <c r="R14" i="2"/>
  <c r="S14" i="2" s="1"/>
  <c r="P14" i="2"/>
  <c r="R58" i="2"/>
  <c r="S58" i="2" s="1"/>
  <c r="P58" i="2"/>
  <c r="S363" i="1"/>
  <c r="R34" i="2"/>
  <c r="S34" i="2" s="1"/>
  <c r="P34" i="2"/>
  <c r="R10" i="2"/>
  <c r="S10" i="2" s="1"/>
  <c r="P10" i="2"/>
  <c r="R47" i="2"/>
  <c r="S47" i="2" s="1"/>
  <c r="P47" i="2"/>
  <c r="R69" i="2"/>
  <c r="S69" i="2" s="1"/>
  <c r="P69" i="2"/>
  <c r="J9" i="2"/>
  <c r="P26" i="2"/>
  <c r="P33" i="2"/>
  <c r="BA363" i="1"/>
  <c r="BB363" i="1" s="1"/>
  <c r="BA162" i="1"/>
  <c r="BB162" i="1" s="1"/>
  <c r="BA311" i="1"/>
  <c r="BB311" i="1" s="1"/>
  <c r="BA120" i="1"/>
  <c r="BB120" i="1" s="1"/>
  <c r="BA256" i="1"/>
  <c r="BB256" i="1" s="1"/>
  <c r="BA84" i="1"/>
  <c r="BB84" i="1" s="1"/>
  <c r="BA169" i="1"/>
  <c r="BB169" i="1" s="1"/>
  <c r="BA113" i="1"/>
  <c r="BB113" i="1" s="1"/>
  <c r="BA209" i="1"/>
  <c r="BB209" i="1" s="1"/>
  <c r="BA362" i="1"/>
  <c r="BB362" i="1" s="1"/>
  <c r="BA58" i="1"/>
  <c r="BB58" i="1" s="1"/>
  <c r="BA136" i="1"/>
  <c r="BB136" i="1" s="1"/>
  <c r="BA296" i="1"/>
  <c r="BB296" i="1" s="1"/>
  <c r="BA92" i="1"/>
  <c r="BB92" i="1" s="1"/>
  <c r="BA288" i="1"/>
  <c r="BB288" i="1" s="1"/>
  <c r="BA189" i="1"/>
  <c r="BB189" i="1" s="1"/>
  <c r="BA37" i="1"/>
  <c r="BB37" i="1" s="1"/>
  <c r="BA300" i="1"/>
  <c r="BB300" i="1" s="1"/>
  <c r="BA65" i="1"/>
  <c r="BB65" i="1" s="1"/>
  <c r="BA100" i="1"/>
  <c r="BB100" i="1" s="1"/>
  <c r="BA205" i="1"/>
  <c r="BB205" i="1" s="1"/>
  <c r="BA197" i="1"/>
  <c r="BB197" i="1" s="1"/>
  <c r="BA153" i="1"/>
  <c r="BB153" i="1" s="1"/>
  <c r="BA143" i="1"/>
  <c r="BB143" i="1" s="1"/>
  <c r="BA328" i="1"/>
  <c r="BB328" i="1" s="1"/>
  <c r="BA76" i="1"/>
  <c r="BB76" i="1" s="1"/>
  <c r="BA45" i="1"/>
  <c r="BB45" i="1" s="1"/>
  <c r="BA175" i="1"/>
  <c r="BB175" i="1" s="1"/>
  <c r="BA128" i="1"/>
  <c r="BB128" i="1" s="1"/>
  <c r="BZ179" i="1"/>
  <c r="BU146" i="1"/>
  <c r="AK179" i="1"/>
  <c r="AR179" i="1"/>
  <c r="AK146" i="1"/>
  <c r="CD146" i="1"/>
  <c r="BJ179" i="1"/>
  <c r="AV146" i="1"/>
  <c r="BY179" i="1"/>
  <c r="AN179" i="1"/>
  <c r="CB179" i="1"/>
  <c r="BT146" i="1"/>
  <c r="BN146" i="1"/>
  <c r="AF146" i="1"/>
  <c r="BL179" i="1"/>
  <c r="AL179" i="1"/>
  <c r="AI146" i="1"/>
  <c r="I28" i="2" s="1"/>
  <c r="CF146" i="1"/>
  <c r="CC179" i="1"/>
  <c r="AY179" i="1"/>
  <c r="BW179" i="1"/>
  <c r="AH146" i="1"/>
  <c r="H28" i="2" s="1"/>
  <c r="BR179" i="1"/>
  <c r="AE179" i="1"/>
  <c r="CA179" i="1"/>
  <c r="AC146" i="1"/>
  <c r="AJ179" i="1"/>
  <c r="CE146" i="1"/>
  <c r="BI146" i="1"/>
  <c r="BT179" i="1"/>
  <c r="BY146" i="1"/>
  <c r="AQ146" i="1"/>
  <c r="BO146" i="1"/>
  <c r="M28" i="2" s="1"/>
  <c r="CC146" i="1"/>
  <c r="BW146" i="1"/>
  <c r="BX179" i="1"/>
  <c r="AO146" i="1"/>
  <c r="BS146" i="1"/>
  <c r="AB146" i="1"/>
  <c r="AZ179" i="1"/>
  <c r="BJ146" i="1"/>
  <c r="BH146" i="1"/>
  <c r="AM179" i="1"/>
  <c r="BV179" i="1"/>
  <c r="AB179" i="1"/>
  <c r="AT146" i="1"/>
  <c r="BR146" i="1"/>
  <c r="AA179" i="1"/>
  <c r="BO179" i="1"/>
  <c r="M35" i="2" s="1"/>
  <c r="AV179" i="1"/>
  <c r="AI179" i="1"/>
  <c r="I35" i="2" s="1"/>
  <c r="CD179" i="1"/>
  <c r="AQ179" i="1"/>
  <c r="AX179" i="1"/>
  <c r="AS146" i="1"/>
  <c r="BV146" i="1"/>
  <c r="BM146" i="1"/>
  <c r="AD146" i="1"/>
  <c r="CE179" i="1"/>
  <c r="AU146" i="1"/>
  <c r="AY146" i="1"/>
  <c r="BN179" i="1"/>
  <c r="AZ146" i="1"/>
  <c r="BS179" i="1"/>
  <c r="AG146" i="1"/>
  <c r="CF179" i="1"/>
  <c r="BQ179" i="1"/>
  <c r="AM146" i="1"/>
  <c r="BZ146" i="1"/>
  <c r="AS179" i="1"/>
  <c r="CA146" i="1"/>
  <c r="AF179" i="1"/>
  <c r="BP179" i="1"/>
  <c r="N35" i="2" s="1"/>
  <c r="AJ146" i="1"/>
  <c r="AA146" i="1"/>
  <c r="AW146" i="1"/>
  <c r="CG179" i="1"/>
  <c r="BK179" i="1"/>
  <c r="BU179" i="1"/>
  <c r="AC179" i="1"/>
  <c r="AP179" i="1"/>
  <c r="AW179" i="1"/>
  <c r="BL146" i="1"/>
  <c r="AD179" i="1"/>
  <c r="BM179" i="1"/>
  <c r="AX146" i="1"/>
  <c r="AO179" i="1"/>
  <c r="AN146" i="1"/>
  <c r="AT179" i="1"/>
  <c r="BI179" i="1"/>
  <c r="AL146" i="1"/>
  <c r="AH179" i="1"/>
  <c r="H35" i="2" s="1"/>
  <c r="BX146" i="1"/>
  <c r="CB146" i="1"/>
  <c r="BP146" i="1"/>
  <c r="N28" i="2" s="1"/>
  <c r="AG179" i="1"/>
  <c r="AE146" i="1"/>
  <c r="AR146" i="1"/>
  <c r="AU179" i="1"/>
  <c r="CG146" i="1"/>
  <c r="AP146" i="1"/>
  <c r="BK146" i="1"/>
  <c r="BQ146" i="1"/>
  <c r="BH179" i="1"/>
  <c r="BC179" i="1"/>
  <c r="BD179" i="1"/>
  <c r="BE146" i="1"/>
  <c r="BG146" i="1"/>
  <c r="BF146" i="1"/>
  <c r="BF179" i="1"/>
  <c r="BD146" i="1"/>
  <c r="BE179" i="1"/>
  <c r="BG179" i="1"/>
  <c r="BC146" i="1"/>
  <c r="S179" i="1"/>
  <c r="S146" i="1"/>
  <c r="W146" i="1"/>
  <c r="Y179" i="1"/>
  <c r="V146" i="1"/>
  <c r="Z146" i="1"/>
  <c r="Y146" i="1"/>
  <c r="X179" i="1"/>
  <c r="W179" i="1"/>
  <c r="X146" i="1"/>
  <c r="Z179" i="1"/>
  <c r="V179" i="1"/>
  <c r="Q146" i="1"/>
  <c r="Q179" i="1"/>
  <c r="R26" i="2"/>
  <c r="S26" i="2" s="1"/>
  <c r="R33" i="2"/>
  <c r="L33" i="2"/>
  <c r="J33" i="2"/>
  <c r="L26" i="2"/>
  <c r="J26" i="2"/>
  <c r="R22" i="1"/>
  <c r="S62" i="2"/>
  <c r="O9" i="2"/>
  <c r="S362" i="1"/>
  <c r="Q362" i="1"/>
  <c r="R29" i="1"/>
  <c r="R74" i="1"/>
  <c r="R187" i="1"/>
  <c r="R281" i="1"/>
  <c r="R90" i="1"/>
  <c r="R127" i="1"/>
  <c r="R118" i="1"/>
  <c r="R121" i="1"/>
  <c r="R293" i="1"/>
  <c r="R353" i="1"/>
  <c r="R9" i="2"/>
  <c r="P9" i="2"/>
  <c r="R318" i="1"/>
  <c r="T176" i="1"/>
  <c r="Q33" i="2" s="1"/>
  <c r="T20" i="1"/>
  <c r="T200" i="1"/>
  <c r="R157" i="1"/>
  <c r="R210" i="1"/>
  <c r="R171" i="1"/>
  <c r="T91" i="1"/>
  <c r="T258" i="1"/>
  <c r="R17" i="1"/>
  <c r="R57" i="1"/>
  <c r="T238" i="1"/>
  <c r="R180" i="1"/>
  <c r="T274" i="1"/>
  <c r="T13" i="1"/>
  <c r="R183" i="1"/>
  <c r="R251" i="1"/>
  <c r="R334" i="1"/>
  <c r="T112" i="1"/>
  <c r="R274" i="1"/>
  <c r="U191" i="1"/>
  <c r="R284" i="1"/>
  <c r="R326" i="1"/>
  <c r="T64" i="1"/>
  <c r="R105" i="1"/>
  <c r="T7" i="1"/>
  <c r="R275" i="1"/>
  <c r="R140" i="1"/>
  <c r="U53" i="1"/>
  <c r="R27" i="1"/>
  <c r="R111" i="1"/>
  <c r="T224" i="1"/>
  <c r="T23" i="1"/>
  <c r="T152" i="1"/>
  <c r="T14" i="1"/>
  <c r="T167" i="1"/>
  <c r="T74" i="1"/>
  <c r="T52" i="1"/>
  <c r="T243" i="1"/>
  <c r="T126" i="1"/>
  <c r="T134" i="1"/>
  <c r="T147" i="1"/>
  <c r="T290" i="1"/>
  <c r="T105" i="1"/>
  <c r="T325" i="1"/>
  <c r="T218" i="1"/>
  <c r="T309" i="1"/>
  <c r="T165" i="1"/>
  <c r="T29" i="1"/>
  <c r="T282" i="1"/>
  <c r="T318" i="1"/>
  <c r="T342" i="1"/>
  <c r="T140" i="1"/>
  <c r="T54" i="1"/>
  <c r="R230" i="1"/>
  <c r="R42" i="1"/>
  <c r="R50" i="1"/>
  <c r="R222" i="1"/>
  <c r="T18" i="1"/>
  <c r="T268" i="1"/>
  <c r="T60" i="1"/>
  <c r="T194" i="1"/>
  <c r="R194" i="1"/>
  <c r="T324" i="1"/>
  <c r="T40" i="1"/>
  <c r="T109" i="1"/>
  <c r="R340" i="1"/>
  <c r="K69" i="2" s="1"/>
  <c r="R351" i="1"/>
  <c r="U327" i="1"/>
  <c r="T111" i="1"/>
  <c r="T336" i="1"/>
  <c r="T39" i="1"/>
  <c r="T103" i="1"/>
  <c r="T130" i="1"/>
  <c r="T237" i="1"/>
  <c r="T94" i="1"/>
  <c r="T35" i="1"/>
  <c r="R301" i="1"/>
  <c r="K58" i="2" s="1"/>
  <c r="T217" i="1"/>
  <c r="T12" i="1"/>
  <c r="T190" i="1"/>
  <c r="R138" i="1"/>
  <c r="R77" i="1"/>
  <c r="R38" i="1"/>
  <c r="U244" i="1"/>
  <c r="U82" i="1"/>
  <c r="R285" i="1"/>
  <c r="T73" i="1"/>
  <c r="T293" i="1"/>
  <c r="T259" i="1"/>
  <c r="R212" i="1"/>
  <c r="T83" i="1"/>
  <c r="T202" i="1"/>
  <c r="T229" i="1"/>
  <c r="R279" i="1"/>
  <c r="R25" i="1"/>
  <c r="T138" i="1"/>
  <c r="T233" i="1"/>
  <c r="T172" i="1"/>
  <c r="R5" i="1"/>
  <c r="R185" i="1"/>
  <c r="R134" i="1"/>
  <c r="T127" i="1"/>
  <c r="T257" i="1"/>
  <c r="T267" i="1"/>
  <c r="R227" i="1"/>
  <c r="T155" i="1"/>
  <c r="U13" i="1"/>
  <c r="R266" i="1"/>
  <c r="U74" i="1"/>
  <c r="U284" i="1"/>
  <c r="T246" i="1"/>
  <c r="U81" i="1"/>
  <c r="R233" i="1"/>
  <c r="T71" i="1"/>
  <c r="T137" i="1"/>
  <c r="T32" i="1"/>
  <c r="T186" i="1"/>
  <c r="T78" i="1"/>
  <c r="R75" i="1"/>
  <c r="T226" i="1"/>
  <c r="R308" i="1"/>
  <c r="T104" i="1"/>
  <c r="R229" i="1"/>
  <c r="T110" i="1"/>
  <c r="T353" i="1"/>
  <c r="T183" i="1"/>
  <c r="U326" i="1"/>
  <c r="U251" i="1"/>
  <c r="T121" i="1"/>
  <c r="R337" i="1"/>
  <c r="U301" i="1"/>
  <c r="U168" i="1"/>
  <c r="R182" i="1"/>
  <c r="U42" i="1"/>
  <c r="R314" i="1"/>
  <c r="U314" i="1"/>
  <c r="R286" i="1"/>
  <c r="R246" i="1"/>
  <c r="U157" i="1"/>
  <c r="T196" i="1"/>
  <c r="R63" i="1"/>
  <c r="U138" i="1"/>
  <c r="R309" i="1"/>
  <c r="R73" i="1"/>
  <c r="U222" i="1"/>
  <c r="T340" i="1"/>
  <c r="Q69" i="2" s="1"/>
  <c r="T253" i="1"/>
  <c r="R24" i="1"/>
  <c r="R81" i="1"/>
  <c r="U24" i="1"/>
  <c r="U334" i="1"/>
  <c r="R237" i="1"/>
  <c r="U246" i="1"/>
  <c r="T277" i="1"/>
  <c r="R168" i="1"/>
  <c r="U186" i="1"/>
  <c r="U63" i="1"/>
  <c r="R156" i="1"/>
  <c r="U25" i="1"/>
  <c r="T341" i="1"/>
  <c r="T223" i="1"/>
  <c r="T334" i="1"/>
  <c r="T193" i="1"/>
  <c r="T131" i="1"/>
  <c r="T216" i="1"/>
  <c r="U178" i="1"/>
  <c r="T5" i="1"/>
  <c r="R312" i="1"/>
  <c r="T166" i="1"/>
  <c r="T70" i="1"/>
  <c r="T148" i="1"/>
  <c r="R277" i="1"/>
  <c r="T46" i="1"/>
  <c r="U285" i="1"/>
  <c r="T157" i="1"/>
  <c r="U212" i="1"/>
  <c r="T356" i="1"/>
  <c r="T276" i="1"/>
  <c r="R163" i="1"/>
  <c r="R83" i="1"/>
  <c r="T25" i="1"/>
  <c r="U237" i="1"/>
  <c r="U193" i="1"/>
  <c r="U83" i="1"/>
  <c r="T287" i="1"/>
  <c r="U5" i="1"/>
  <c r="U230" i="1"/>
  <c r="R142" i="1"/>
  <c r="U309" i="1"/>
  <c r="R221" i="1"/>
  <c r="U140" i="1"/>
  <c r="R193" i="1"/>
  <c r="U206" i="1"/>
  <c r="U209" i="1" s="1"/>
  <c r="U110" i="1"/>
  <c r="U50" i="1"/>
  <c r="U60" i="1"/>
  <c r="U293" i="1"/>
  <c r="U99" i="1"/>
  <c r="U39" i="1"/>
  <c r="U258" i="1"/>
  <c r="R269" i="1"/>
  <c r="T22" i="1"/>
  <c r="T231" i="1"/>
  <c r="R8" i="1"/>
  <c r="U26" i="1"/>
  <c r="U316" i="1"/>
  <c r="T254" i="1"/>
  <c r="T304" i="1"/>
  <c r="R204" i="1"/>
  <c r="U96" i="1"/>
  <c r="R186" i="1"/>
  <c r="T203" i="1"/>
  <c r="R258" i="1"/>
  <c r="U231" i="1"/>
  <c r="U353" i="1"/>
  <c r="R130" i="1"/>
  <c r="R114" i="1"/>
  <c r="U299" i="1"/>
  <c r="R78" i="1"/>
  <c r="R99" i="1"/>
  <c r="U308" i="1"/>
  <c r="T310" i="1"/>
  <c r="U29" i="1"/>
  <c r="T125" i="1"/>
  <c r="U38" i="1"/>
  <c r="T317" i="1"/>
  <c r="U185" i="1"/>
  <c r="R43" i="1"/>
  <c r="T88" i="1"/>
  <c r="U358" i="1"/>
  <c r="U269" i="1"/>
  <c r="U142" i="1"/>
  <c r="U266" i="1"/>
  <c r="R220" i="1"/>
  <c r="U134" i="1"/>
  <c r="T123" i="1"/>
  <c r="R39" i="1"/>
  <c r="T291" i="1"/>
  <c r="T161" i="1"/>
  <c r="T346" i="1"/>
  <c r="T99" i="1"/>
  <c r="T139" i="1"/>
  <c r="R344" i="1"/>
  <c r="U127" i="1"/>
  <c r="T107" i="1"/>
  <c r="T335" i="1"/>
  <c r="R257" i="1"/>
  <c r="T252" i="1"/>
  <c r="U73" i="1"/>
  <c r="R53" i="1"/>
  <c r="U78" i="1"/>
  <c r="R16" i="1"/>
  <c r="U22" i="1"/>
  <c r="T350" i="1"/>
  <c r="U318" i="1"/>
  <c r="U286" i="1"/>
  <c r="R261" i="1"/>
  <c r="U257" i="1"/>
  <c r="R206" i="1"/>
  <c r="R209" i="1" s="1"/>
  <c r="U115" i="1"/>
  <c r="U41" i="1"/>
  <c r="T69" i="1"/>
  <c r="R54" i="1"/>
  <c r="U248" i="1"/>
  <c r="T31" i="1"/>
  <c r="R248" i="1"/>
  <c r="T34" i="1"/>
  <c r="U126" i="1"/>
  <c r="T50" i="1"/>
  <c r="R110" i="1"/>
  <c r="U27" i="1"/>
  <c r="R196" i="1"/>
  <c r="U307" i="1"/>
  <c r="U227" i="1"/>
  <c r="T266" i="1"/>
  <c r="R215" i="1"/>
  <c r="U111" i="1"/>
  <c r="U183" i="1"/>
  <c r="R55" i="1"/>
  <c r="R245" i="1"/>
  <c r="U297" i="1"/>
  <c r="R329" i="1"/>
  <c r="U187" i="1"/>
  <c r="U164" i="1"/>
  <c r="T26" i="1"/>
  <c r="U329" i="1"/>
  <c r="T360" i="1"/>
  <c r="R323" i="1"/>
  <c r="R149" i="1"/>
  <c r="U190" i="1"/>
  <c r="U277" i="1"/>
  <c r="U275" i="1"/>
  <c r="U54" i="1"/>
  <c r="U131" i="1"/>
  <c r="U105" i="1"/>
  <c r="T316" i="1"/>
  <c r="R255" i="1"/>
  <c r="R164" i="1"/>
  <c r="R41" i="1"/>
  <c r="T349" i="1"/>
  <c r="U196" i="1"/>
  <c r="U253" i="1"/>
  <c r="T97" i="1"/>
  <c r="U229" i="1"/>
  <c r="R191" i="1"/>
  <c r="T214" i="1"/>
  <c r="T96" i="1"/>
  <c r="R316" i="1"/>
  <c r="U215" i="1"/>
  <c r="U323" i="1"/>
  <c r="U194" i="1"/>
  <c r="U117" i="1"/>
  <c r="T286" i="1"/>
  <c r="U87" i="1"/>
  <c r="R117" i="1"/>
  <c r="T279" i="1"/>
  <c r="T308" i="1"/>
  <c r="R190" i="1"/>
  <c r="U204" i="1"/>
  <c r="T24" i="1"/>
  <c r="R131" i="1"/>
  <c r="R283" i="1"/>
  <c r="U245" i="1"/>
  <c r="U279" i="1"/>
  <c r="U77" i="1"/>
  <c r="R297" i="1"/>
  <c r="T198" i="1"/>
  <c r="U274" i="1"/>
  <c r="R126" i="1"/>
  <c r="R115" i="1"/>
  <c r="R82" i="1"/>
  <c r="R95" i="1"/>
  <c r="T63" i="1"/>
  <c r="T53" i="1"/>
  <c r="U17" i="1"/>
  <c r="R244" i="1"/>
  <c r="T283" i="1"/>
  <c r="U95" i="1"/>
  <c r="U201" i="1"/>
  <c r="R96" i="1"/>
  <c r="U283" i="1"/>
  <c r="U340" i="1"/>
  <c r="R358" i="1"/>
  <c r="R231" i="1"/>
  <c r="R26" i="1"/>
  <c r="U351" i="1"/>
  <c r="R264" i="1"/>
  <c r="R253" i="1"/>
  <c r="U233" i="1"/>
  <c r="U238" i="1"/>
  <c r="T289" i="1"/>
  <c r="U214" i="1"/>
  <c r="R299" i="1"/>
  <c r="U241" i="1"/>
  <c r="R327" i="1"/>
  <c r="T201" i="1"/>
  <c r="R201" i="1"/>
  <c r="U152" i="1"/>
  <c r="U130" i="1"/>
  <c r="R13" i="1"/>
  <c r="T77" i="1"/>
  <c r="R91" i="1"/>
  <c r="R21" i="1"/>
  <c r="U57" i="1"/>
  <c r="T178" i="1"/>
  <c r="R307" i="1"/>
  <c r="U91" i="1"/>
  <c r="U182" i="1"/>
  <c r="R238" i="1"/>
  <c r="R214" i="1"/>
  <c r="R241" i="1"/>
  <c r="R158" i="1"/>
  <c r="R188" i="1"/>
  <c r="R178" i="1"/>
  <c r="U90" i="1"/>
  <c r="R152" i="1"/>
  <c r="T204" i="1"/>
  <c r="R87" i="1"/>
  <c r="T87" i="1"/>
  <c r="R60" i="1"/>
  <c r="U121" i="1"/>
  <c r="U218" i="1"/>
  <c r="R218" i="1"/>
  <c r="T344" i="1"/>
  <c r="T151" i="1"/>
  <c r="U331" i="1"/>
  <c r="R331" i="1"/>
  <c r="T351" i="1"/>
  <c r="R349" i="1"/>
  <c r="U349" i="1"/>
  <c r="R224" i="1"/>
  <c r="U224" i="1"/>
  <c r="T220" i="1"/>
  <c r="R223" i="1"/>
  <c r="U223" i="1"/>
  <c r="T264" i="1"/>
  <c r="T275" i="1"/>
  <c r="T228" i="1"/>
  <c r="R278" i="1"/>
  <c r="U278" i="1"/>
  <c r="U211" i="1"/>
  <c r="R211" i="1"/>
  <c r="K41" i="2" s="1"/>
  <c r="T260" i="1"/>
  <c r="T313" i="1"/>
  <c r="R226" i="1"/>
  <c r="U226" i="1"/>
  <c r="T323" i="1"/>
  <c r="U202" i="1"/>
  <c r="R202" i="1"/>
  <c r="T159" i="1"/>
  <c r="T150" i="1"/>
  <c r="U220" i="1"/>
  <c r="T195" i="1"/>
  <c r="T174" i="1"/>
  <c r="T62" i="1"/>
  <c r="R86" i="1"/>
  <c r="U86" i="1"/>
  <c r="R165" i="1"/>
  <c r="U165" i="1"/>
  <c r="T66" i="1"/>
  <c r="Q14" i="2" s="1"/>
  <c r="T124" i="1"/>
  <c r="R62" i="1"/>
  <c r="U62" i="1"/>
  <c r="T21" i="1"/>
  <c r="R12" i="1"/>
  <c r="U12" i="1"/>
  <c r="U40" i="1"/>
  <c r="R40" i="1"/>
  <c r="R48" i="1"/>
  <c r="U48" i="1"/>
  <c r="T80" i="1"/>
  <c r="U287" i="1"/>
  <c r="R287" i="1"/>
  <c r="R166" i="1"/>
  <c r="U166" i="1"/>
  <c r="U155" i="1"/>
  <c r="R155" i="1"/>
  <c r="T144" i="1"/>
  <c r="Q26" i="2" s="1"/>
  <c r="T163" i="1"/>
  <c r="T57" i="1"/>
  <c r="R147" i="1"/>
  <c r="U147" i="1"/>
  <c r="U32" i="1"/>
  <c r="R32" i="1"/>
  <c r="T168" i="1"/>
  <c r="U36" i="1"/>
  <c r="R36" i="1"/>
  <c r="R123" i="1"/>
  <c r="U123" i="1"/>
  <c r="U51" i="1"/>
  <c r="R51" i="1"/>
  <c r="R133" i="1"/>
  <c r="U133" i="1"/>
  <c r="U23" i="1"/>
  <c r="R23" i="1"/>
  <c r="U9" i="1"/>
  <c r="R9" i="1"/>
  <c r="R44" i="1"/>
  <c r="U44" i="1"/>
  <c r="U68" i="1"/>
  <c r="R68" i="1"/>
  <c r="T72" i="1"/>
  <c r="T302" i="1"/>
  <c r="R290" i="1"/>
  <c r="U290" i="1"/>
  <c r="T180" i="1"/>
  <c r="U125" i="1"/>
  <c r="R125" i="1"/>
  <c r="T158" i="1"/>
  <c r="R145" i="1"/>
  <c r="K27" i="2" s="1"/>
  <c r="U145" i="1"/>
  <c r="R20" i="1"/>
  <c r="U20" i="1"/>
  <c r="T133" i="1"/>
  <c r="U148" i="1"/>
  <c r="R148" i="1"/>
  <c r="R33" i="1"/>
  <c r="U33" i="1"/>
  <c r="T122" i="1"/>
  <c r="T129" i="1"/>
  <c r="T51" i="1"/>
  <c r="R7" i="1"/>
  <c r="U7" i="1"/>
  <c r="T41" i="1"/>
  <c r="U35" i="1"/>
  <c r="R35" i="1"/>
  <c r="T48" i="1"/>
  <c r="T108" i="1"/>
  <c r="T68" i="1"/>
  <c r="U352" i="1"/>
  <c r="R352" i="1"/>
  <c r="T250" i="1"/>
  <c r="U338" i="1"/>
  <c r="R338" i="1"/>
  <c r="U141" i="1"/>
  <c r="R141" i="1"/>
  <c r="R124" i="1"/>
  <c r="U124" i="1"/>
  <c r="T135" i="1"/>
  <c r="T119" i="1"/>
  <c r="U108" i="1"/>
  <c r="R108" i="1"/>
  <c r="T59" i="1"/>
  <c r="T38" i="1"/>
  <c r="T93" i="1"/>
  <c r="T44" i="1"/>
  <c r="T255" i="1"/>
  <c r="T221" i="1"/>
  <c r="T312" i="1"/>
  <c r="T211" i="1"/>
  <c r="Q41" i="2" s="1"/>
  <c r="U312" i="1"/>
  <c r="R260" i="1"/>
  <c r="U260" i="1"/>
  <c r="R200" i="1"/>
  <c r="U200" i="1"/>
  <c r="U174" i="1"/>
  <c r="R174" i="1"/>
  <c r="U69" i="1"/>
  <c r="R69" i="1"/>
  <c r="T61" i="1"/>
  <c r="R254" i="1"/>
  <c r="U254" i="1"/>
  <c r="T301" i="1"/>
  <c r="Q58" i="2" s="1"/>
  <c r="T235" i="1"/>
  <c r="T331" i="1"/>
  <c r="T236" i="1"/>
  <c r="T281" i="1"/>
  <c r="T329" i="1"/>
  <c r="U344" i="1"/>
  <c r="U264" i="1"/>
  <c r="T240" i="1"/>
  <c r="Q47" i="2" s="1"/>
  <c r="T227" i="1"/>
  <c r="T141" i="1"/>
  <c r="R172" i="1"/>
  <c r="U172" i="1"/>
  <c r="U281" i="1"/>
  <c r="U135" i="1"/>
  <c r="R135" i="1"/>
  <c r="U119" i="1"/>
  <c r="R119" i="1"/>
  <c r="T16" i="1"/>
  <c r="U94" i="1"/>
  <c r="R94" i="1"/>
  <c r="U161" i="1"/>
  <c r="R161" i="1"/>
  <c r="T75" i="1"/>
  <c r="T117" i="1"/>
  <c r="R85" i="1"/>
  <c r="U85" i="1"/>
  <c r="R30" i="1"/>
  <c r="U30" i="1"/>
  <c r="U16" i="1"/>
  <c r="R342" i="1"/>
  <c r="U342" i="1"/>
  <c r="U243" i="1"/>
  <c r="R243" i="1"/>
  <c r="U341" i="1"/>
  <c r="R341" i="1"/>
  <c r="U272" i="1"/>
  <c r="R272" i="1"/>
  <c r="R310" i="1"/>
  <c r="U310" i="1"/>
  <c r="T352" i="1"/>
  <c r="R350" i="1"/>
  <c r="U350" i="1"/>
  <c r="T187" i="1"/>
  <c r="R144" i="1"/>
  <c r="K26" i="2" s="1"/>
  <c r="U144" i="1"/>
  <c r="T215" i="1"/>
  <c r="U203" i="1"/>
  <c r="R203" i="1"/>
  <c r="T116" i="1"/>
  <c r="U93" i="1"/>
  <c r="R93" i="1"/>
  <c r="R160" i="1"/>
  <c r="U160" i="1"/>
  <c r="U129" i="1"/>
  <c r="R129" i="1"/>
  <c r="T210" i="1"/>
  <c r="R47" i="1"/>
  <c r="K10" i="2" s="1"/>
  <c r="U47" i="1"/>
  <c r="U97" i="1"/>
  <c r="R97" i="1"/>
  <c r="U116" i="1"/>
  <c r="R116" i="1"/>
  <c r="T10" i="1"/>
  <c r="T9" i="1"/>
  <c r="U10" i="1"/>
  <c r="R10" i="1"/>
  <c r="T56" i="1"/>
  <c r="U324" i="1"/>
  <c r="R324" i="1"/>
  <c r="U313" i="1"/>
  <c r="R313" i="1"/>
  <c r="U294" i="1"/>
  <c r="R294" i="1"/>
  <c r="R240" i="1"/>
  <c r="K47" i="2" s="1"/>
  <c r="U240" i="1"/>
  <c r="R291" i="1"/>
  <c r="U291" i="1"/>
  <c r="T306" i="1"/>
  <c r="U236" i="1"/>
  <c r="R236" i="1"/>
  <c r="R217" i="1"/>
  <c r="U217" i="1"/>
  <c r="U255" i="1"/>
  <c r="R70" i="1"/>
  <c r="U70" i="1"/>
  <c r="T314" i="1"/>
  <c r="U262" i="1"/>
  <c r="R262" i="1"/>
  <c r="U199" i="1"/>
  <c r="R199" i="1"/>
  <c r="T337" i="1"/>
  <c r="T338" i="1"/>
  <c r="T295" i="1"/>
  <c r="U330" i="1"/>
  <c r="R330" i="1"/>
  <c r="K64" i="2" s="1"/>
  <c r="U195" i="1"/>
  <c r="R195" i="1"/>
  <c r="T234" i="1"/>
  <c r="U139" i="1"/>
  <c r="R139" i="1"/>
  <c r="T173" i="1"/>
  <c r="U250" i="1"/>
  <c r="R250" i="1"/>
  <c r="T191" i="1"/>
  <c r="U122" i="1"/>
  <c r="R122" i="1"/>
  <c r="T15" i="1"/>
  <c r="T47" i="1"/>
  <c r="Q10" i="2" s="1"/>
  <c r="T55" i="1"/>
  <c r="R18" i="1"/>
  <c r="U18" i="1"/>
  <c r="T42" i="1"/>
  <c r="U180" i="1"/>
  <c r="U252" i="1"/>
  <c r="R252" i="1"/>
  <c r="U333" i="1"/>
  <c r="R333" i="1"/>
  <c r="R170" i="1"/>
  <c r="U170" i="1"/>
  <c r="T145" i="1"/>
  <c r="Q27" i="2" s="1"/>
  <c r="T212" i="1"/>
  <c r="R151" i="1"/>
  <c r="U151" i="1"/>
  <c r="T272" i="1"/>
  <c r="T184" i="1"/>
  <c r="U198" i="1"/>
  <c r="R198" i="1"/>
  <c r="U210" i="1"/>
  <c r="U103" i="1"/>
  <c r="R103" i="1"/>
  <c r="T81" i="1"/>
  <c r="U158" i="1"/>
  <c r="U104" i="1"/>
  <c r="R104" i="1"/>
  <c r="U163" i="1"/>
  <c r="T79" i="1"/>
  <c r="T43" i="1"/>
  <c r="R6" i="1"/>
  <c r="U6" i="1"/>
  <c r="T149" i="1"/>
  <c r="U259" i="1"/>
  <c r="R259" i="1"/>
  <c r="U159" i="1"/>
  <c r="R159" i="1"/>
  <c r="U343" i="1"/>
  <c r="R343" i="1"/>
  <c r="R14" i="1"/>
  <c r="U14" i="1"/>
  <c r="T333" i="1"/>
  <c r="T294" i="1"/>
  <c r="U282" i="1"/>
  <c r="R282" i="1"/>
  <c r="R173" i="1"/>
  <c r="U173" i="1"/>
  <c r="R192" i="1"/>
  <c r="U192" i="1"/>
  <c r="T199" i="1"/>
  <c r="R109" i="1"/>
  <c r="U109" i="1"/>
  <c r="T85" i="1"/>
  <c r="U112" i="1"/>
  <c r="R112" i="1"/>
  <c r="T6" i="1"/>
  <c r="T8" i="1"/>
  <c r="U55" i="1"/>
  <c r="U21" i="1"/>
  <c r="R325" i="1"/>
  <c r="U325" i="1"/>
  <c r="R336" i="1"/>
  <c r="U336" i="1"/>
  <c r="T299" i="1"/>
  <c r="T156" i="1"/>
  <c r="U137" i="1"/>
  <c r="R137" i="1"/>
  <c r="T292" i="1"/>
  <c r="T315" i="1"/>
  <c r="T248" i="1"/>
  <c r="U295" i="1"/>
  <c r="R295" i="1"/>
  <c r="R317" i="1"/>
  <c r="U317" i="1"/>
  <c r="T269" i="1"/>
  <c r="U292" i="1"/>
  <c r="R292" i="1"/>
  <c r="U345" i="1"/>
  <c r="R345" i="1"/>
  <c r="U360" i="1"/>
  <c r="R360" i="1"/>
  <c r="U337" i="1"/>
  <c r="T118" i="1"/>
  <c r="U132" i="1"/>
  <c r="R132" i="1"/>
  <c r="T192" i="1"/>
  <c r="R167" i="1"/>
  <c r="U167" i="1"/>
  <c r="T188" i="1"/>
  <c r="R98" i="1"/>
  <c r="U98" i="1"/>
  <c r="U61" i="1"/>
  <c r="R61" i="1"/>
  <c r="T114" i="1"/>
  <c r="U188" i="1"/>
  <c r="T98" i="1"/>
  <c r="U89" i="1"/>
  <c r="R89" i="1"/>
  <c r="U221" i="1"/>
  <c r="U149" i="1"/>
  <c r="T36" i="1"/>
  <c r="R34" i="1"/>
  <c r="U34" i="1"/>
  <c r="U56" i="1"/>
  <c r="R56" i="1"/>
  <c r="T17" i="1"/>
  <c r="U118" i="1"/>
  <c r="U156" i="1"/>
  <c r="U43" i="1"/>
  <c r="U8" i="1"/>
  <c r="T354" i="1"/>
  <c r="R267" i="1"/>
  <c r="U267" i="1"/>
  <c r="R302" i="1"/>
  <c r="U302" i="1"/>
  <c r="T262" i="1"/>
  <c r="T343" i="1"/>
  <c r="T297" i="1"/>
  <c r="T247" i="1"/>
  <c r="T86" i="1"/>
  <c r="T33" i="1"/>
  <c r="T27" i="1"/>
  <c r="U31" i="1"/>
  <c r="R31" i="1"/>
  <c r="U75" i="1"/>
  <c r="T330" i="1"/>
  <c r="Q64" i="2" s="1"/>
  <c r="T345" i="1"/>
  <c r="R216" i="1"/>
  <c r="U216" i="1"/>
  <c r="R335" i="1"/>
  <c r="U335" i="1"/>
  <c r="T182" i="1"/>
  <c r="T261" i="1"/>
  <c r="T142" i="1"/>
  <c r="T358" i="1"/>
  <c r="U315" i="1"/>
  <c r="R315" i="1"/>
  <c r="U276" i="1"/>
  <c r="R276" i="1"/>
  <c r="U150" i="1"/>
  <c r="R150" i="1"/>
  <c r="U228" i="1"/>
  <c r="R228" i="1"/>
  <c r="T95" i="1"/>
  <c r="U79" i="1"/>
  <c r="R79" i="1"/>
  <c r="T115" i="1"/>
  <c r="R71" i="1"/>
  <c r="U71" i="1"/>
  <c r="T285" i="1"/>
  <c r="U346" i="1"/>
  <c r="R346" i="1"/>
  <c r="T177" i="1"/>
  <c r="Q34" i="2" s="1"/>
  <c r="T154" i="1"/>
  <c r="T326" i="1"/>
  <c r="R306" i="1"/>
  <c r="U306" i="1"/>
  <c r="R356" i="1"/>
  <c r="U356" i="1"/>
  <c r="R289" i="1"/>
  <c r="U289" i="1"/>
  <c r="R305" i="1"/>
  <c r="U305" i="1"/>
  <c r="T307" i="1"/>
  <c r="T284" i="1"/>
  <c r="R268" i="1"/>
  <c r="U268" i="1"/>
  <c r="R298" i="1"/>
  <c r="U298" i="1"/>
  <c r="T244" i="1"/>
  <c r="T305" i="1"/>
  <c r="R247" i="1"/>
  <c r="U247" i="1"/>
  <c r="U261" i="1"/>
  <c r="T185" i="1"/>
  <c r="T160" i="1"/>
  <c r="T170" i="1"/>
  <c r="T89" i="1"/>
  <c r="U46" i="1"/>
  <c r="R46" i="1"/>
  <c r="U107" i="1"/>
  <c r="R107" i="1"/>
  <c r="R177" i="1"/>
  <c r="K34" i="2" s="1"/>
  <c r="U177" i="1"/>
  <c r="T90" i="1"/>
  <c r="U80" i="1"/>
  <c r="R80" i="1"/>
  <c r="U354" i="1"/>
  <c r="R354" i="1"/>
  <c r="T251" i="1"/>
  <c r="T265" i="1"/>
  <c r="R304" i="1"/>
  <c r="U304" i="1"/>
  <c r="U265" i="1"/>
  <c r="R265" i="1"/>
  <c r="T230" i="1"/>
  <c r="T245" i="1"/>
  <c r="T241" i="1"/>
  <c r="T222" i="1"/>
  <c r="T298" i="1"/>
  <c r="T327" i="1"/>
  <c r="R235" i="1"/>
  <c r="U235" i="1"/>
  <c r="T278" i="1"/>
  <c r="T171" i="1"/>
  <c r="U154" i="1"/>
  <c r="R154" i="1"/>
  <c r="T164" i="1"/>
  <c r="U234" i="1"/>
  <c r="R234" i="1"/>
  <c r="T206" i="1"/>
  <c r="T209" i="1" s="1"/>
  <c r="U184" i="1"/>
  <c r="R184" i="1"/>
  <c r="U66" i="1"/>
  <c r="R66" i="1"/>
  <c r="K14" i="2" s="1"/>
  <c r="U88" i="1"/>
  <c r="R88" i="1"/>
  <c r="U176" i="1"/>
  <c r="R176" i="1"/>
  <c r="K33" i="2" s="1"/>
  <c r="U171" i="1"/>
  <c r="T82" i="1"/>
  <c r="T132" i="1"/>
  <c r="U64" i="1"/>
  <c r="R64" i="1"/>
  <c r="U72" i="1"/>
  <c r="R72" i="1"/>
  <c r="T30" i="1"/>
  <c r="U59" i="1"/>
  <c r="R59" i="1"/>
  <c r="U15" i="1"/>
  <c r="R15" i="1"/>
  <c r="U52" i="1"/>
  <c r="R52" i="1"/>
  <c r="U114" i="1"/>
  <c r="G31" i="2"/>
  <c r="O31" i="2"/>
  <c r="J14" i="3" l="1"/>
  <c r="K18" i="3"/>
  <c r="L18" i="3"/>
  <c r="L14" i="3"/>
  <c r="K14" i="3"/>
  <c r="K27" i="3"/>
  <c r="L27" i="3"/>
  <c r="J18" i="3"/>
  <c r="I18" i="3"/>
  <c r="J27" i="3"/>
  <c r="I14" i="3"/>
  <c r="I27" i="3"/>
  <c r="BA67" i="1"/>
  <c r="BB67" i="1" s="1"/>
  <c r="CH67" i="1"/>
  <c r="CI67" i="1" s="1"/>
  <c r="CH179" i="1"/>
  <c r="CI179" i="1" s="1"/>
  <c r="CH106" i="1"/>
  <c r="CI106" i="1" s="1"/>
  <c r="BA106" i="1"/>
  <c r="BB106" i="1" s="1"/>
  <c r="CH146" i="1"/>
  <c r="CI146" i="1" s="1"/>
  <c r="BA179" i="1"/>
  <c r="BB179" i="1" s="1"/>
  <c r="BA146" i="1"/>
  <c r="BB146" i="1" s="1"/>
  <c r="T256" i="1"/>
  <c r="U256" i="1"/>
  <c r="R256" i="1"/>
  <c r="T113" i="1"/>
  <c r="T169" i="1"/>
  <c r="Q31" i="2" s="1"/>
  <c r="T100" i="1"/>
  <c r="T136" i="1"/>
  <c r="T120" i="1"/>
  <c r="T128" i="1"/>
  <c r="T189" i="1"/>
  <c r="T65" i="1"/>
  <c r="T205" i="1"/>
  <c r="T197" i="1"/>
  <c r="T162" i="1"/>
  <c r="T153" i="1"/>
  <c r="T175" i="1"/>
  <c r="T143" i="1"/>
  <c r="R162" i="1"/>
  <c r="R169" i="1"/>
  <c r="R92" i="1"/>
  <c r="U120" i="1"/>
  <c r="R153" i="1"/>
  <c r="R143" i="1"/>
  <c r="U153" i="1"/>
  <c r="R197" i="1"/>
  <c r="U197" i="1"/>
  <c r="R205" i="1"/>
  <c r="U189" i="1"/>
  <c r="U136" i="1"/>
  <c r="U169" i="1"/>
  <c r="U143" i="1"/>
  <c r="U205" i="1"/>
  <c r="R113" i="1"/>
  <c r="R120" i="1"/>
  <c r="R128" i="1"/>
  <c r="R136" i="1"/>
  <c r="R175" i="1"/>
  <c r="U128" i="1"/>
  <c r="R189" i="1"/>
  <c r="U175" i="1"/>
  <c r="U100" i="1"/>
  <c r="U113" i="1"/>
  <c r="R100" i="1"/>
  <c r="U162" i="1"/>
  <c r="R65" i="1"/>
  <c r="U92" i="1"/>
  <c r="R84" i="1"/>
  <c r="T92" i="1"/>
  <c r="U65" i="1"/>
  <c r="U84" i="1"/>
  <c r="T84" i="1"/>
  <c r="R58" i="1"/>
  <c r="T58" i="1"/>
  <c r="U37" i="1"/>
  <c r="U76" i="1"/>
  <c r="U58" i="1"/>
  <c r="T37" i="1"/>
  <c r="T76" i="1"/>
  <c r="U45" i="1"/>
  <c r="R37" i="1"/>
  <c r="T45" i="1"/>
  <c r="R45" i="1"/>
  <c r="R76" i="1"/>
  <c r="R296" i="1"/>
  <c r="R300" i="1"/>
  <c r="R288" i="1"/>
  <c r="U296" i="1"/>
  <c r="U300" i="1"/>
  <c r="T300" i="1"/>
  <c r="T296" i="1"/>
  <c r="T288" i="1"/>
  <c r="U288" i="1"/>
  <c r="T311" i="1"/>
  <c r="R311" i="1"/>
  <c r="U311" i="1"/>
  <c r="P63" i="2"/>
  <c r="R63" i="2"/>
  <c r="J63" i="2"/>
  <c r="R328" i="1"/>
  <c r="K63" i="2" s="1"/>
  <c r="U328" i="1"/>
  <c r="T328" i="1"/>
  <c r="Q63" i="2" s="1"/>
  <c r="U362" i="1"/>
  <c r="K9" i="2"/>
  <c r="R362" i="1"/>
  <c r="Q9" i="2"/>
  <c r="T362" i="1"/>
  <c r="L9" i="2"/>
  <c r="R363" i="1"/>
  <c r="T363" i="1"/>
  <c r="U363" i="1"/>
  <c r="R67" i="1" l="1"/>
  <c r="R106" i="1"/>
  <c r="T106" i="1"/>
  <c r="U67" i="1"/>
  <c r="U106" i="1"/>
  <c r="T67" i="1"/>
  <c r="T179" i="1"/>
  <c r="T146" i="1"/>
  <c r="R146" i="1"/>
  <c r="R179" i="1"/>
  <c r="U179" i="1"/>
  <c r="U146" i="1"/>
  <c r="L31" i="2"/>
  <c r="J31" i="2"/>
  <c r="P31" i="2"/>
  <c r="R31" i="2"/>
  <c r="S31" i="2" s="1"/>
  <c r="L63" i="2"/>
  <c r="K31" i="2"/>
  <c r="P28" i="1" l="1"/>
  <c r="P19" i="1"/>
  <c r="F32" i="2"/>
  <c r="P355" i="1"/>
  <c r="P348" i="1"/>
  <c r="P339" i="1"/>
  <c r="P319" i="1"/>
  <c r="P270" i="1"/>
  <c r="P263" i="1"/>
  <c r="P249" i="1"/>
  <c r="P239" i="1"/>
  <c r="P232" i="1"/>
  <c r="P225" i="1"/>
  <c r="P280" i="1"/>
  <c r="P303" i="1" s="1"/>
  <c r="P219" i="1"/>
  <c r="P332" i="1" l="1"/>
  <c r="F61" i="2"/>
  <c r="P242" i="1"/>
  <c r="P273" i="1"/>
  <c r="P49" i="1"/>
  <c r="P181" i="1" s="1"/>
  <c r="F28" i="2"/>
  <c r="P213" i="1"/>
  <c r="P357" i="1"/>
  <c r="P359" i="1" l="1"/>
  <c r="P361" i="1" l="1"/>
  <c r="HQ367" i="1"/>
  <c r="M1" i="3"/>
  <c r="K1" i="3"/>
  <c r="I1" i="3"/>
  <c r="I2" i="3"/>
  <c r="L3" i="3"/>
  <c r="K3" i="3"/>
  <c r="I3" i="3"/>
  <c r="G3" i="3"/>
  <c r="D3" i="3"/>
  <c r="D59" i="3"/>
  <c r="C59" i="3"/>
  <c r="B59" i="3"/>
  <c r="A59" i="3"/>
  <c r="HL367" i="1" l="1"/>
  <c r="F3" i="2"/>
  <c r="F3" i="3" s="1"/>
  <c r="F68" i="2"/>
  <c r="F67" i="2"/>
  <c r="F66" i="2"/>
  <c r="F51" i="3"/>
  <c r="F50" i="3"/>
  <c r="F49" i="3"/>
  <c r="F56" i="2"/>
  <c r="F55" i="2"/>
  <c r="F52" i="2"/>
  <c r="F51" i="2"/>
  <c r="F50" i="2"/>
  <c r="F49" i="2"/>
  <c r="F46" i="2"/>
  <c r="F45" i="2"/>
  <c r="F44" i="2"/>
  <c r="F54" i="2"/>
  <c r="F43" i="2"/>
  <c r="F40" i="2"/>
  <c r="F39" i="2"/>
  <c r="F38" i="2"/>
  <c r="F26" i="3"/>
  <c r="F30" i="2"/>
  <c r="F29" i="2"/>
  <c r="F25" i="2"/>
  <c r="F24" i="2"/>
  <c r="F23" i="2"/>
  <c r="F22" i="2"/>
  <c r="F21" i="2"/>
  <c r="F19" i="2"/>
  <c r="F17" i="2"/>
  <c r="F13" i="2"/>
  <c r="F12" i="2"/>
  <c r="F9" i="3"/>
  <c r="F8" i="2"/>
  <c r="F7" i="2"/>
  <c r="F5" i="2"/>
  <c r="F4" i="2"/>
  <c r="F21" i="3" l="1"/>
  <c r="F55" i="3"/>
  <c r="F40" i="3"/>
  <c r="F42" i="3"/>
  <c r="F13" i="3"/>
  <c r="F32" i="3"/>
  <c r="F4" i="3"/>
  <c r="F22" i="3"/>
  <c r="F23" i="3"/>
  <c r="F8" i="3"/>
  <c r="F25" i="3"/>
  <c r="F43" i="3"/>
  <c r="F11" i="3"/>
  <c r="F45" i="3"/>
  <c r="F31" i="3"/>
  <c r="F46" i="3"/>
  <c r="F15" i="3"/>
  <c r="F17" i="3"/>
  <c r="F34" i="3"/>
  <c r="F19" i="3"/>
  <c r="F35" i="3"/>
  <c r="F20" i="3"/>
  <c r="F36" i="3"/>
  <c r="F53" i="3"/>
  <c r="F54" i="3"/>
  <c r="F37" i="3"/>
  <c r="F38" i="3"/>
  <c r="F5" i="3"/>
  <c r="F7" i="3"/>
  <c r="F24" i="3"/>
  <c r="F41" i="3"/>
  <c r="F30" i="3"/>
  <c r="F57" i="2"/>
  <c r="F59" i="2"/>
  <c r="F18" i="2"/>
  <c r="F16" i="2"/>
  <c r="F15" i="2"/>
  <c r="F37" i="2"/>
  <c r="F42" i="2"/>
  <c r="F6" i="2"/>
  <c r="F70" i="2"/>
  <c r="F11" i="2"/>
  <c r="F35" i="2"/>
  <c r="F53" i="2"/>
  <c r="F65" i="2"/>
  <c r="F6" i="3" l="1"/>
  <c r="F29" i="3"/>
  <c r="F14" i="3"/>
  <c r="F12" i="3"/>
  <c r="F48" i="3"/>
  <c r="F52" i="3"/>
  <c r="F47" i="3"/>
  <c r="F44" i="3"/>
  <c r="F56" i="3"/>
  <c r="F33" i="3"/>
  <c r="F16" i="3"/>
  <c r="F27" i="3"/>
  <c r="F10" i="3"/>
  <c r="F48" i="2"/>
  <c r="F71" i="2"/>
  <c r="F57" i="3" s="1"/>
  <c r="F36" i="2"/>
  <c r="F28" i="3" s="1"/>
  <c r="F20" i="2"/>
  <c r="F18" i="3" l="1"/>
  <c r="F39" i="3"/>
  <c r="F72" i="2"/>
  <c r="F58" i="3" l="1"/>
  <c r="GW367" i="1"/>
  <c r="HS364" i="1"/>
  <c r="HS367" i="1" s="1"/>
  <c r="HR364" i="1"/>
  <c r="HR367" i="1" s="1"/>
  <c r="HP367" i="1"/>
  <c r="HO367" i="1"/>
  <c r="HN367" i="1"/>
  <c r="HM367" i="1"/>
  <c r="HJ367" i="1"/>
  <c r="HI367" i="1"/>
  <c r="GV367" i="1"/>
  <c r="GU367" i="1"/>
  <c r="GT367" i="1"/>
  <c r="GS367" i="1"/>
  <c r="GR367" i="1"/>
  <c r="GQ367" i="1"/>
  <c r="GP367" i="1"/>
  <c r="GO364" i="1"/>
  <c r="GP1" i="1"/>
  <c r="GQ1" i="1" s="1"/>
  <c r="M2" i="2"/>
  <c r="K2" i="3" s="1"/>
  <c r="E3" i="2"/>
  <c r="E3" i="3" s="1"/>
  <c r="E68" i="2"/>
  <c r="E67" i="2"/>
  <c r="E66" i="2"/>
  <c r="E61" i="2"/>
  <c r="E57" i="2"/>
  <c r="E56" i="2"/>
  <c r="E55" i="2"/>
  <c r="E51" i="2"/>
  <c r="E50" i="2"/>
  <c r="E45" i="2"/>
  <c r="E44" i="2"/>
  <c r="E54" i="2"/>
  <c r="E43" i="2"/>
  <c r="E40" i="2"/>
  <c r="E39" i="2"/>
  <c r="E38" i="2"/>
  <c r="E29" i="2"/>
  <c r="E23" i="2"/>
  <c r="E22" i="2"/>
  <c r="E21" i="2"/>
  <c r="E18" i="2"/>
  <c r="E17" i="2"/>
  <c r="E13" i="2"/>
  <c r="E12" i="2"/>
  <c r="E7" i="2"/>
  <c r="E6" i="2"/>
  <c r="E5" i="2"/>
  <c r="E4" i="2"/>
  <c r="G38" i="2" l="1"/>
  <c r="GO367" i="1"/>
  <c r="GO372" i="1"/>
  <c r="E15" i="2"/>
  <c r="E24" i="2"/>
  <c r="E35" i="2"/>
  <c r="E52" i="2"/>
  <c r="E53" i="2"/>
  <c r="E46" i="2"/>
  <c r="E48" i="2"/>
  <c r="E16" i="2"/>
  <c r="E30" i="2"/>
  <c r="E8" i="2"/>
  <c r="E11" i="2"/>
  <c r="E25" i="2"/>
  <c r="E60" i="2"/>
  <c r="E65" i="2"/>
  <c r="E37" i="2"/>
  <c r="E42" i="2"/>
  <c r="E19" i="2"/>
  <c r="E47" i="3"/>
  <c r="E51" i="3"/>
  <c r="E15" i="3"/>
  <c r="E19" i="3"/>
  <c r="E20" i="3"/>
  <c r="E30" i="3"/>
  <c r="E16" i="3"/>
  <c r="E26" i="3"/>
  <c r="E45" i="3"/>
  <c r="E53" i="3"/>
  <c r="E4" i="3"/>
  <c r="E54" i="3"/>
  <c r="E7" i="3"/>
  <c r="E32" i="3"/>
  <c r="E42" i="3"/>
  <c r="E5" i="3"/>
  <c r="E21" i="3"/>
  <c r="E31" i="3"/>
  <c r="E34" i="3"/>
  <c r="E46" i="3"/>
  <c r="E55" i="3"/>
  <c r="E6" i="3"/>
  <c r="E9" i="3"/>
  <c r="E35" i="3"/>
  <c r="E41" i="3"/>
  <c r="E11" i="3"/>
  <c r="E36" i="3"/>
  <c r="E24" i="3"/>
  <c r="E37" i="3"/>
  <c r="E13" i="3"/>
  <c r="E50" i="3"/>
  <c r="E40" i="3"/>
  <c r="GR1" i="1"/>
  <c r="E70" i="2"/>
  <c r="E59" i="2"/>
  <c r="E38" i="3" l="1"/>
  <c r="E17" i="3"/>
  <c r="E29" i="3"/>
  <c r="E22" i="3"/>
  <c r="E49" i="3"/>
  <c r="E43" i="3"/>
  <c r="E25" i="3"/>
  <c r="E8" i="3"/>
  <c r="E12" i="3"/>
  <c r="E20" i="2"/>
  <c r="E23" i="3"/>
  <c r="E27" i="3"/>
  <c r="GX367" i="1"/>
  <c r="E48" i="3"/>
  <c r="E52" i="3"/>
  <c r="E14" i="3"/>
  <c r="E10" i="3"/>
  <c r="E33" i="3"/>
  <c r="E56" i="3"/>
  <c r="E39" i="3"/>
  <c r="E44" i="3"/>
  <c r="E59" i="3"/>
  <c r="G59" i="3" s="1"/>
  <c r="GS1" i="1"/>
  <c r="E18" i="3" l="1"/>
  <c r="E36" i="2"/>
  <c r="E71" i="2"/>
  <c r="E72" i="2"/>
  <c r="GY367" i="1"/>
  <c r="GT1" i="1"/>
  <c r="A1" i="2"/>
  <c r="A1" i="3" s="1"/>
  <c r="D72" i="2"/>
  <c r="C72" i="2"/>
  <c r="C58" i="3" s="1"/>
  <c r="B72" i="2"/>
  <c r="A72" i="2"/>
  <c r="A58" i="3" s="1"/>
  <c r="D71" i="2"/>
  <c r="D57" i="3" s="1"/>
  <c r="C71" i="2"/>
  <c r="C57" i="3" s="1"/>
  <c r="B71" i="2"/>
  <c r="A71" i="2"/>
  <c r="A57" i="3" s="1"/>
  <c r="D70" i="2"/>
  <c r="C70" i="2"/>
  <c r="C56" i="3" s="1"/>
  <c r="B70" i="2"/>
  <c r="A70" i="2"/>
  <c r="A56" i="3" s="1"/>
  <c r="D68" i="2"/>
  <c r="C68" i="2"/>
  <c r="B68" i="2"/>
  <c r="A68" i="2"/>
  <c r="D67" i="2"/>
  <c r="C67" i="2"/>
  <c r="B67" i="2"/>
  <c r="A54" i="3"/>
  <c r="D66" i="2"/>
  <c r="C66" i="2"/>
  <c r="B66" i="2"/>
  <c r="A66" i="2"/>
  <c r="D65" i="2"/>
  <c r="C65" i="2"/>
  <c r="C52" i="3" s="1"/>
  <c r="B65" i="2"/>
  <c r="A65" i="2"/>
  <c r="A52" i="3" s="1"/>
  <c r="D51" i="3"/>
  <c r="C51" i="3"/>
  <c r="B51" i="3"/>
  <c r="A51" i="3"/>
  <c r="D61" i="2"/>
  <c r="C61" i="2"/>
  <c r="B61" i="2"/>
  <c r="A61" i="2"/>
  <c r="D60" i="2"/>
  <c r="C60" i="2"/>
  <c r="B60" i="2"/>
  <c r="A60" i="2"/>
  <c r="D59" i="2"/>
  <c r="C59" i="2"/>
  <c r="C48" i="3" s="1"/>
  <c r="B59" i="2"/>
  <c r="A59" i="2"/>
  <c r="A48" i="3" s="1"/>
  <c r="D57" i="2"/>
  <c r="C57" i="2"/>
  <c r="B57" i="2"/>
  <c r="A57" i="2"/>
  <c r="D56" i="2"/>
  <c r="C56" i="2"/>
  <c r="B56" i="2"/>
  <c r="A56" i="2"/>
  <c r="D55" i="2"/>
  <c r="C55" i="2"/>
  <c r="B55" i="2"/>
  <c r="A55" i="2"/>
  <c r="D53" i="2"/>
  <c r="C53" i="2"/>
  <c r="C44" i="3" s="1"/>
  <c r="B53" i="2"/>
  <c r="A53" i="2"/>
  <c r="A44" i="3" s="1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C39" i="3" s="1"/>
  <c r="B48" i="2"/>
  <c r="A48" i="2"/>
  <c r="A39" i="3" s="1"/>
  <c r="D46" i="2"/>
  <c r="C46" i="2"/>
  <c r="B46" i="2"/>
  <c r="A46" i="2"/>
  <c r="D45" i="2"/>
  <c r="C45" i="2"/>
  <c r="B45" i="2"/>
  <c r="A45" i="2"/>
  <c r="D44" i="2"/>
  <c r="C44" i="2"/>
  <c r="B44" i="2"/>
  <c r="A44" i="2"/>
  <c r="D54" i="2"/>
  <c r="C54" i="2"/>
  <c r="B54" i="2"/>
  <c r="A54" i="2"/>
  <c r="D43" i="2"/>
  <c r="C43" i="2"/>
  <c r="B43" i="2"/>
  <c r="A43" i="2"/>
  <c r="D42" i="2"/>
  <c r="C42" i="2"/>
  <c r="C33" i="3" s="1"/>
  <c r="B42" i="2"/>
  <c r="A42" i="2"/>
  <c r="A33" i="3" s="1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D28" i="3" s="1"/>
  <c r="C36" i="2"/>
  <c r="C28" i="3" s="1"/>
  <c r="B36" i="2"/>
  <c r="A36" i="2"/>
  <c r="A28" i="3" s="1"/>
  <c r="D35" i="2"/>
  <c r="C35" i="2"/>
  <c r="C27" i="3" s="1"/>
  <c r="B35" i="2"/>
  <c r="A35" i="2"/>
  <c r="A27" i="3" s="1"/>
  <c r="D26" i="3"/>
  <c r="C26" i="3"/>
  <c r="B26" i="3"/>
  <c r="A26" i="3"/>
  <c r="D30" i="2"/>
  <c r="C30" i="2"/>
  <c r="B30" i="2"/>
  <c r="A30" i="2"/>
  <c r="D29" i="2"/>
  <c r="C29" i="2"/>
  <c r="B29" i="2"/>
  <c r="A29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C18" i="3" s="1"/>
  <c r="B20" i="2"/>
  <c r="A20" i="2"/>
  <c r="A18" i="3" s="1"/>
  <c r="D19" i="2"/>
  <c r="C19" i="2"/>
  <c r="B19" i="2"/>
  <c r="A19" i="2"/>
  <c r="D18" i="2"/>
  <c r="C18" i="2"/>
  <c r="B18" i="2"/>
  <c r="A18" i="2"/>
  <c r="D17" i="2"/>
  <c r="C17" i="2"/>
  <c r="B17" i="2"/>
  <c r="A17" i="2"/>
  <c r="D15" i="2"/>
  <c r="C15" i="2"/>
  <c r="C14" i="3" s="1"/>
  <c r="B15" i="2"/>
  <c r="A15" i="2"/>
  <c r="A14" i="3" s="1"/>
  <c r="D13" i="2"/>
  <c r="C13" i="2"/>
  <c r="B13" i="2"/>
  <c r="A13" i="2"/>
  <c r="D16" i="2"/>
  <c r="C16" i="2"/>
  <c r="B16" i="2"/>
  <c r="A16" i="2"/>
  <c r="D12" i="2"/>
  <c r="C12" i="2"/>
  <c r="B12" i="2"/>
  <c r="A12" i="2"/>
  <c r="D11" i="2"/>
  <c r="C11" i="2"/>
  <c r="C10" i="3" s="1"/>
  <c r="B11" i="2"/>
  <c r="A11" i="2"/>
  <c r="A10" i="3" s="1"/>
  <c r="D9" i="3"/>
  <c r="C9" i="3"/>
  <c r="B9" i="3"/>
  <c r="A9" i="3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C3" i="2"/>
  <c r="C3" i="3" s="1"/>
  <c r="B3" i="2"/>
  <c r="B3" i="3" s="1"/>
  <c r="A3" i="2"/>
  <c r="A3" i="3" s="1"/>
  <c r="IX364" i="1"/>
  <c r="IW364" i="1"/>
  <c r="IV364" i="1"/>
  <c r="IU364" i="1"/>
  <c r="IT364" i="1"/>
  <c r="IS364" i="1"/>
  <c r="IR364" i="1"/>
  <c r="IQ364" i="1"/>
  <c r="IO364" i="1"/>
  <c r="IN364" i="1"/>
  <c r="ID364" i="1"/>
  <c r="IC364" i="1"/>
  <c r="IB364" i="1"/>
  <c r="IA364" i="1"/>
  <c r="HZ364" i="1"/>
  <c r="HY364" i="1"/>
  <c r="HX364" i="1"/>
  <c r="HW364" i="1"/>
  <c r="HV364" i="1"/>
  <c r="HU364" i="1"/>
  <c r="HT367" i="1"/>
  <c r="HU1" i="1"/>
  <c r="HV1" i="1" s="1"/>
  <c r="HW1" i="1" s="1"/>
  <c r="BE4" i="1"/>
  <c r="BD4" i="1"/>
  <c r="BD3" i="1"/>
  <c r="W3" i="1"/>
  <c r="X3" i="1" s="1"/>
  <c r="Y3" i="1" s="1"/>
  <c r="CG4" i="1"/>
  <c r="CF4" i="1"/>
  <c r="CE4" i="1"/>
  <c r="CD4" i="1"/>
  <c r="CC4" i="1"/>
  <c r="CB4" i="1"/>
  <c r="HU3" i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GP3" i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Z4" i="1"/>
  <c r="Y4" i="1"/>
  <c r="X4" i="1"/>
  <c r="AX4" i="1"/>
  <c r="AW4" i="1"/>
  <c r="AV4" i="1"/>
  <c r="AU4" i="1"/>
  <c r="AT4" i="1"/>
  <c r="AS4" i="1"/>
  <c r="AQ4" i="1"/>
  <c r="BF4" i="1"/>
  <c r="BC4" i="1"/>
  <c r="AZ4" i="1"/>
  <c r="AY4" i="1"/>
  <c r="B38" i="3" l="1"/>
  <c r="B53" i="3"/>
  <c r="C11" i="3"/>
  <c r="C20" i="3"/>
  <c r="C32" i="3"/>
  <c r="C41" i="3"/>
  <c r="C47" i="3"/>
  <c r="C53" i="3"/>
  <c r="D5" i="3"/>
  <c r="D29" i="3"/>
  <c r="A15" i="3"/>
  <c r="A24" i="3"/>
  <c r="B15" i="3"/>
  <c r="C6" i="3"/>
  <c r="C12" i="3"/>
  <c r="C15" i="3"/>
  <c r="C21" i="3"/>
  <c r="C24" i="3"/>
  <c r="C30" i="3"/>
  <c r="C36" i="3"/>
  <c r="C42" i="3"/>
  <c r="C45" i="3"/>
  <c r="C54" i="3"/>
  <c r="B14" i="3"/>
  <c r="B50" i="3"/>
  <c r="C8" i="3"/>
  <c r="C17" i="3"/>
  <c r="C23" i="3"/>
  <c r="C29" i="3"/>
  <c r="C38" i="3"/>
  <c r="D8" i="3"/>
  <c r="D17" i="3"/>
  <c r="D32" i="3"/>
  <c r="D38" i="3"/>
  <c r="D44" i="3"/>
  <c r="D53" i="3"/>
  <c r="A12" i="3"/>
  <c r="A45" i="3"/>
  <c r="E57" i="3"/>
  <c r="B18" i="3"/>
  <c r="B30" i="3"/>
  <c r="B36" i="3"/>
  <c r="B39" i="3"/>
  <c r="B45" i="3"/>
  <c r="B54" i="3"/>
  <c r="D6" i="3"/>
  <c r="D18" i="3"/>
  <c r="D24" i="3"/>
  <c r="D39" i="3"/>
  <c r="D45" i="3"/>
  <c r="D48" i="3"/>
  <c r="D54" i="3"/>
  <c r="A4" i="3"/>
  <c r="A7" i="3"/>
  <c r="A13" i="3"/>
  <c r="A22" i="3"/>
  <c r="A25" i="3"/>
  <c r="A31" i="3"/>
  <c r="A40" i="3"/>
  <c r="B4" i="3"/>
  <c r="B7" i="3"/>
  <c r="B10" i="3"/>
  <c r="B13" i="3"/>
  <c r="B16" i="3"/>
  <c r="B19" i="3"/>
  <c r="B22" i="3"/>
  <c r="B25" i="3"/>
  <c r="B28" i="3"/>
  <c r="B31" i="3"/>
  <c r="B34" i="3"/>
  <c r="B37" i="3"/>
  <c r="B40" i="3"/>
  <c r="B43" i="3"/>
  <c r="B46" i="3"/>
  <c r="B49" i="3"/>
  <c r="B52" i="3"/>
  <c r="B55" i="3"/>
  <c r="B58" i="3"/>
  <c r="B8" i="3"/>
  <c r="B11" i="3"/>
  <c r="B17" i="3"/>
  <c r="B23" i="3"/>
  <c r="B29" i="3"/>
  <c r="B35" i="3"/>
  <c r="B41" i="3"/>
  <c r="B47" i="3"/>
  <c r="B56" i="3"/>
  <c r="C50" i="3"/>
  <c r="D14" i="3"/>
  <c r="D20" i="3"/>
  <c r="D35" i="3"/>
  <c r="D47" i="3"/>
  <c r="D56" i="3"/>
  <c r="A21" i="3"/>
  <c r="B12" i="3"/>
  <c r="B21" i="3"/>
  <c r="B33" i="3"/>
  <c r="B48" i="3"/>
  <c r="D12" i="3"/>
  <c r="D30" i="3"/>
  <c r="D33" i="3"/>
  <c r="A19" i="3"/>
  <c r="A34" i="3"/>
  <c r="A37" i="3"/>
  <c r="A43" i="3"/>
  <c r="A46" i="3"/>
  <c r="A49" i="3"/>
  <c r="A55" i="3"/>
  <c r="C4" i="3"/>
  <c r="C7" i="3"/>
  <c r="C13" i="3"/>
  <c r="C16" i="3"/>
  <c r="C19" i="3"/>
  <c r="C22" i="3"/>
  <c r="C25" i="3"/>
  <c r="C31" i="3"/>
  <c r="C34" i="3"/>
  <c r="C37" i="3"/>
  <c r="C40" i="3"/>
  <c r="C43" i="3"/>
  <c r="C46" i="3"/>
  <c r="C49" i="3"/>
  <c r="C55" i="3"/>
  <c r="B20" i="3"/>
  <c r="B32" i="3"/>
  <c r="B44" i="3"/>
  <c r="C5" i="3"/>
  <c r="C35" i="3"/>
  <c r="A30" i="3"/>
  <c r="A36" i="3"/>
  <c r="A42" i="3"/>
  <c r="B27" i="3"/>
  <c r="B57" i="3"/>
  <c r="D21" i="3"/>
  <c r="D36" i="3"/>
  <c r="D4" i="3"/>
  <c r="D7" i="3"/>
  <c r="D10" i="3"/>
  <c r="D13" i="3"/>
  <c r="D16" i="3"/>
  <c r="D19" i="3"/>
  <c r="D22" i="3"/>
  <c r="D25" i="3"/>
  <c r="D31" i="3"/>
  <c r="D34" i="3"/>
  <c r="D37" i="3"/>
  <c r="D40" i="3"/>
  <c r="D43" i="3"/>
  <c r="D46" i="3"/>
  <c r="D49" i="3"/>
  <c r="D52" i="3"/>
  <c r="D55" i="3"/>
  <c r="D58" i="3"/>
  <c r="B5" i="3"/>
  <c r="D11" i="3"/>
  <c r="D23" i="3"/>
  <c r="D41" i="3"/>
  <c r="D50" i="3"/>
  <c r="A6" i="3"/>
  <c r="B6" i="3"/>
  <c r="B24" i="3"/>
  <c r="B42" i="3"/>
  <c r="E28" i="3"/>
  <c r="D15" i="3"/>
  <c r="D27" i="3"/>
  <c r="D42" i="3"/>
  <c r="A16" i="3"/>
  <c r="A5" i="3"/>
  <c r="A8" i="3"/>
  <c r="A11" i="3"/>
  <c r="A17" i="3"/>
  <c r="A20" i="3"/>
  <c r="A23" i="3"/>
  <c r="A29" i="3"/>
  <c r="A32" i="3"/>
  <c r="A35" i="3"/>
  <c r="A38" i="3"/>
  <c r="A41" i="3"/>
  <c r="A47" i="3"/>
  <c r="A50" i="3"/>
  <c r="A53" i="3"/>
  <c r="ID367" i="1"/>
  <c r="ID370" i="1"/>
  <c r="IN367" i="1"/>
  <c r="IN370" i="1"/>
  <c r="IQ367" i="1"/>
  <c r="IQ370" i="1"/>
  <c r="IS367" i="1"/>
  <c r="IS370" i="1"/>
  <c r="IO367" i="1"/>
  <c r="IO370" i="1"/>
  <c r="IR367" i="1"/>
  <c r="IR370" i="1"/>
  <c r="HY367" i="1"/>
  <c r="HY370" i="1"/>
  <c r="IV367" i="1"/>
  <c r="IV370" i="1"/>
  <c r="IA367" i="1"/>
  <c r="IA370" i="1"/>
  <c r="IU367" i="1"/>
  <c r="IU370" i="1"/>
  <c r="IW367" i="1"/>
  <c r="IW370" i="1"/>
  <c r="IB367" i="1"/>
  <c r="IB370" i="1"/>
  <c r="IX367" i="1"/>
  <c r="IX370" i="1"/>
  <c r="IT367" i="1"/>
  <c r="IT370" i="1"/>
  <c r="HZ367" i="1"/>
  <c r="HZ370" i="1"/>
  <c r="IC367" i="1"/>
  <c r="IC370" i="1"/>
  <c r="HW367" i="1"/>
  <c r="HW370" i="1"/>
  <c r="HU367" i="1"/>
  <c r="HU370" i="1"/>
  <c r="HX367" i="1"/>
  <c r="HX370" i="1"/>
  <c r="HV367" i="1"/>
  <c r="HV370" i="1"/>
  <c r="G16" i="2"/>
  <c r="AZ225" i="1"/>
  <c r="BM219" i="1"/>
  <c r="BF219" i="1"/>
  <c r="BC339" i="1"/>
  <c r="BE355" i="1"/>
  <c r="CB225" i="1"/>
  <c r="CF348" i="1"/>
  <c r="BH355" i="1"/>
  <c r="CE225" i="1"/>
  <c r="CF263" i="1"/>
  <c r="CB249" i="1"/>
  <c r="BF355" i="1"/>
  <c r="CB280" i="1"/>
  <c r="CB303" i="1" s="1"/>
  <c r="BG219" i="1"/>
  <c r="BD339" i="1"/>
  <c r="BC239" i="1"/>
  <c r="BJ355" i="1"/>
  <c r="BH219" i="1"/>
  <c r="CF239" i="1"/>
  <c r="BK355" i="1"/>
  <c r="BN219" i="1"/>
  <c r="BK219" i="1"/>
  <c r="CD232" i="1"/>
  <c r="BL219" i="1"/>
  <c r="CC280" i="1"/>
  <c r="CC225" i="1"/>
  <c r="CE232" i="1"/>
  <c r="CG239" i="1"/>
  <c r="CC249" i="1"/>
  <c r="CG263" i="1"/>
  <c r="CG348" i="1"/>
  <c r="BD239" i="1"/>
  <c r="BC263" i="1"/>
  <c r="CB219" i="1"/>
  <c r="CD280" i="1"/>
  <c r="CD225" i="1"/>
  <c r="CF232" i="1"/>
  <c r="CD249" i="1"/>
  <c r="CB319" i="1"/>
  <c r="CB332" i="1" s="1"/>
  <c r="CB339" i="1"/>
  <c r="CB355" i="1"/>
  <c r="BD219" i="1"/>
  <c r="BD263" i="1"/>
  <c r="BI219" i="1"/>
  <c r="BC232" i="1"/>
  <c r="CC219" i="1"/>
  <c r="CE280" i="1"/>
  <c r="CG232" i="1"/>
  <c r="CE249" i="1"/>
  <c r="CC319" i="1"/>
  <c r="CC339" i="1"/>
  <c r="CC355" i="1"/>
  <c r="BE219" i="1"/>
  <c r="BL355" i="1"/>
  <c r="BD232" i="1"/>
  <c r="BC319" i="1"/>
  <c r="BC348" i="1"/>
  <c r="BG355" i="1"/>
  <c r="CD219" i="1"/>
  <c r="CF280" i="1"/>
  <c r="CF225" i="1"/>
  <c r="CB239" i="1"/>
  <c r="CF249" i="1"/>
  <c r="CB263" i="1"/>
  <c r="CD319" i="1"/>
  <c r="CD339" i="1"/>
  <c r="CB348" i="1"/>
  <c r="CD355" i="1"/>
  <c r="BC225" i="1"/>
  <c r="BJ219" i="1"/>
  <c r="BM355" i="1"/>
  <c r="BC280" i="1"/>
  <c r="BE232" i="1"/>
  <c r="BI355" i="1"/>
  <c r="CE219" i="1"/>
  <c r="CG280" i="1"/>
  <c r="CG225" i="1"/>
  <c r="CC239" i="1"/>
  <c r="CG249" i="1"/>
  <c r="CC263" i="1"/>
  <c r="CE319" i="1"/>
  <c r="CE339" i="1"/>
  <c r="CC348" i="1"/>
  <c r="CE355" i="1"/>
  <c r="BD225" i="1"/>
  <c r="BN355" i="1"/>
  <c r="BD280" i="1"/>
  <c r="BD303" i="1" s="1"/>
  <c r="BC249" i="1"/>
  <c r="CF219" i="1"/>
  <c r="CB232" i="1"/>
  <c r="CD239" i="1"/>
  <c r="CD263" i="1"/>
  <c r="CF319" i="1"/>
  <c r="CF339" i="1"/>
  <c r="CD348" i="1"/>
  <c r="CF355" i="1"/>
  <c r="BC355" i="1"/>
  <c r="BC219" i="1"/>
  <c r="CG219" i="1"/>
  <c r="CC232" i="1"/>
  <c r="CE239" i="1"/>
  <c r="CE263" i="1"/>
  <c r="CG319" i="1"/>
  <c r="CG339" i="1"/>
  <c r="CE348" i="1"/>
  <c r="CG355" i="1"/>
  <c r="BD249" i="1"/>
  <c r="BD319" i="1"/>
  <c r="BD332" i="1" s="1"/>
  <c r="BD348" i="1"/>
  <c r="BD355" i="1"/>
  <c r="AE219" i="1"/>
  <c r="Z280" i="1"/>
  <c r="Z303" i="1" s="1"/>
  <c r="AD225" i="1"/>
  <c r="Y232" i="1"/>
  <c r="AB239" i="1"/>
  <c r="AD249" i="1"/>
  <c r="AB263" i="1"/>
  <c r="AE270" i="1"/>
  <c r="AA319" i="1"/>
  <c r="AA332" i="1" s="1"/>
  <c r="AA339" i="1"/>
  <c r="AE355" i="1"/>
  <c r="AY239" i="1"/>
  <c r="AY319" i="1"/>
  <c r="Y219" i="1"/>
  <c r="AB280" i="1"/>
  <c r="AB303" i="1" s="1"/>
  <c r="X225" i="1"/>
  <c r="AF225" i="1"/>
  <c r="AA232" i="1"/>
  <c r="AD239" i="1"/>
  <c r="X249" i="1"/>
  <c r="AF249" i="1"/>
  <c r="AD263" i="1"/>
  <c r="Y270" i="1"/>
  <c r="AC319" i="1"/>
  <c r="AC339" i="1"/>
  <c r="AD348" i="1"/>
  <c r="Y355" i="1"/>
  <c r="AZ263" i="1"/>
  <c r="AS232" i="1"/>
  <c r="AS263" i="1"/>
  <c r="AY355" i="1"/>
  <c r="AW219" i="1"/>
  <c r="AW280" i="1"/>
  <c r="AW225" i="1"/>
  <c r="AW232" i="1"/>
  <c r="AW239" i="1"/>
  <c r="AW249" i="1"/>
  <c r="AW263" i="1"/>
  <c r="AW270" i="1"/>
  <c r="AW319" i="1"/>
  <c r="AW339" i="1"/>
  <c r="AW348" i="1"/>
  <c r="AW355" i="1"/>
  <c r="AB348" i="1"/>
  <c r="AY232" i="1"/>
  <c r="AZ239" i="1"/>
  <c r="AY263" i="1"/>
  <c r="AZ355" i="1"/>
  <c r="AX219" i="1"/>
  <c r="AX280" i="1"/>
  <c r="AX225" i="1"/>
  <c r="AX232" i="1"/>
  <c r="AX239" i="1"/>
  <c r="AX249" i="1"/>
  <c r="AX263" i="1"/>
  <c r="AX270" i="1"/>
  <c r="AX319" i="1"/>
  <c r="AZ280" i="1"/>
  <c r="AA219" i="1"/>
  <c r="AD280" i="1"/>
  <c r="Z225" i="1"/>
  <c r="AC232" i="1"/>
  <c r="X239" i="1"/>
  <c r="AF239" i="1"/>
  <c r="Z249" i="1"/>
  <c r="X263" i="1"/>
  <c r="AF263" i="1"/>
  <c r="AA270" i="1"/>
  <c r="AE319" i="1"/>
  <c r="AE339" i="1"/>
  <c r="X348" i="1"/>
  <c r="AF348" i="1"/>
  <c r="AA355" i="1"/>
  <c r="AP219" i="1"/>
  <c r="AP263" i="1"/>
  <c r="AP319" i="1"/>
  <c r="AP339" i="1"/>
  <c r="Q355" i="1"/>
  <c r="AP355" i="1"/>
  <c r="AS239" i="1"/>
  <c r="AG348" i="1"/>
  <c r="AT219" i="1"/>
  <c r="AT280" i="1"/>
  <c r="AT225" i="1"/>
  <c r="AT232" i="1"/>
  <c r="AT239" i="1"/>
  <c r="AT249" i="1"/>
  <c r="AT263" i="1"/>
  <c r="AT270" i="1"/>
  <c r="AT319" i="1"/>
  <c r="AT339" i="1"/>
  <c r="AT348" i="1"/>
  <c r="AT355" i="1"/>
  <c r="AG219" i="1"/>
  <c r="AG280" i="1"/>
  <c r="AG239" i="1"/>
  <c r="AG319" i="1"/>
  <c r="AY348" i="1"/>
  <c r="AP280" i="1"/>
  <c r="AP225" i="1"/>
  <c r="AP232" i="1"/>
  <c r="AP239" i="1"/>
  <c r="AP270" i="1"/>
  <c r="AS219" i="1"/>
  <c r="AS225" i="1"/>
  <c r="AS270" i="1"/>
  <c r="AS319" i="1"/>
  <c r="AS339" i="1"/>
  <c r="AS355" i="1"/>
  <c r="AY219" i="1"/>
  <c r="AZ249" i="1"/>
  <c r="AZ232" i="1"/>
  <c r="AP249" i="1"/>
  <c r="AP348" i="1"/>
  <c r="AG232" i="1"/>
  <c r="AY249" i="1"/>
  <c r="AS280" i="1"/>
  <c r="AS249" i="1"/>
  <c r="AS348" i="1"/>
  <c r="AX339" i="1"/>
  <c r="AX348" i="1"/>
  <c r="AX355" i="1"/>
  <c r="X219" i="1"/>
  <c r="AF219" i="1"/>
  <c r="AA280" i="1"/>
  <c r="AA303" i="1" s="1"/>
  <c r="AE225" i="1"/>
  <c r="Z232" i="1"/>
  <c r="AC239" i="1"/>
  <c r="AE249" i="1"/>
  <c r="AC263" i="1"/>
  <c r="X270" i="1"/>
  <c r="AF270" i="1"/>
  <c r="AB319" i="1"/>
  <c r="AB332" i="1" s="1"/>
  <c r="AB339" i="1"/>
  <c r="AC348" i="1"/>
  <c r="X355" i="1"/>
  <c r="AF355" i="1"/>
  <c r="AY280" i="1"/>
  <c r="AZ319" i="1"/>
  <c r="AZ348" i="1"/>
  <c r="AQ219" i="1"/>
  <c r="AQ280" i="1"/>
  <c r="AQ225" i="1"/>
  <c r="AQ232" i="1"/>
  <c r="AQ239" i="1"/>
  <c r="AQ249" i="1"/>
  <c r="AQ263" i="1"/>
  <c r="AQ270" i="1"/>
  <c r="AQ319" i="1"/>
  <c r="AQ339" i="1"/>
  <c r="AQ348" i="1"/>
  <c r="AQ355" i="1"/>
  <c r="AG263" i="1"/>
  <c r="AG270" i="1"/>
  <c r="AG339" i="1"/>
  <c r="Z219" i="1"/>
  <c r="AC280" i="1"/>
  <c r="Y225" i="1"/>
  <c r="AB232" i="1"/>
  <c r="AE239" i="1"/>
  <c r="Y249" i="1"/>
  <c r="AE263" i="1"/>
  <c r="Z270" i="1"/>
  <c r="AD319" i="1"/>
  <c r="AD339" i="1"/>
  <c r="AE348" i="1"/>
  <c r="Z355" i="1"/>
  <c r="AB219" i="1"/>
  <c r="AE280" i="1"/>
  <c r="AA225" i="1"/>
  <c r="AD232" i="1"/>
  <c r="Y239" i="1"/>
  <c r="AA249" i="1"/>
  <c r="Y263" i="1"/>
  <c r="AB270" i="1"/>
  <c r="X319" i="1"/>
  <c r="AF319" i="1"/>
  <c r="X339" i="1"/>
  <c r="AF339" i="1"/>
  <c r="Y348" i="1"/>
  <c r="AB355" i="1"/>
  <c r="AZ219" i="1"/>
  <c r="AY270" i="1"/>
  <c r="AY339" i="1"/>
  <c r="AU219" i="1"/>
  <c r="AU280" i="1"/>
  <c r="AU303" i="1" s="1"/>
  <c r="AU225" i="1"/>
  <c r="AU232" i="1"/>
  <c r="AU239" i="1"/>
  <c r="AU249" i="1"/>
  <c r="AU263" i="1"/>
  <c r="AU270" i="1"/>
  <c r="AU319" i="1"/>
  <c r="AU332" i="1" s="1"/>
  <c r="AU339" i="1"/>
  <c r="AU348" i="1"/>
  <c r="AU355" i="1"/>
  <c r="AG249" i="1"/>
  <c r="G32" i="2"/>
  <c r="AC219" i="1"/>
  <c r="X280" i="1"/>
  <c r="X303" i="1" s="1"/>
  <c r="AF280" i="1"/>
  <c r="AB225" i="1"/>
  <c r="AE232" i="1"/>
  <c r="Z239" i="1"/>
  <c r="AB249" i="1"/>
  <c r="Z263" i="1"/>
  <c r="AC270" i="1"/>
  <c r="Y319" i="1"/>
  <c r="Y339" i="1"/>
  <c r="Z348" i="1"/>
  <c r="AC355" i="1"/>
  <c r="AY225" i="1"/>
  <c r="AZ270" i="1"/>
  <c r="AZ339" i="1"/>
  <c r="AV219" i="1"/>
  <c r="AV280" i="1"/>
  <c r="AV225" i="1"/>
  <c r="AV232" i="1"/>
  <c r="AV239" i="1"/>
  <c r="AV249" i="1"/>
  <c r="AV263" i="1"/>
  <c r="AV270" i="1"/>
  <c r="AV319" i="1"/>
  <c r="AV339" i="1"/>
  <c r="AV348" i="1"/>
  <c r="AV355" i="1"/>
  <c r="AG225" i="1"/>
  <c r="AG355" i="1"/>
  <c r="AD219" i="1"/>
  <c r="Y280" i="1"/>
  <c r="Y303" i="1" s="1"/>
  <c r="AC225" i="1"/>
  <c r="X232" i="1"/>
  <c r="AF232" i="1"/>
  <c r="AA239" i="1"/>
  <c r="AC249" i="1"/>
  <c r="AA263" i="1"/>
  <c r="AD270" i="1"/>
  <c r="Z319" i="1"/>
  <c r="Z339" i="1"/>
  <c r="AA348" i="1"/>
  <c r="AD355" i="1"/>
  <c r="CD11" i="1"/>
  <c r="CD19" i="1"/>
  <c r="AV11" i="1"/>
  <c r="AV19" i="1"/>
  <c r="CG11" i="1"/>
  <c r="CG19" i="1"/>
  <c r="AX11" i="1"/>
  <c r="AX19" i="1"/>
  <c r="AA19" i="1"/>
  <c r="BC11" i="1"/>
  <c r="AC19" i="1"/>
  <c r="CF11" i="1"/>
  <c r="CF19" i="1"/>
  <c r="AW11" i="1"/>
  <c r="AW19" i="1"/>
  <c r="AG19" i="1"/>
  <c r="Y11" i="1"/>
  <c r="Y19" i="1"/>
  <c r="Z11" i="1"/>
  <c r="Z19" i="1"/>
  <c r="AZ11" i="1"/>
  <c r="AB19" i="1"/>
  <c r="BD11" i="1"/>
  <c r="BC19" i="1"/>
  <c r="BD19" i="1"/>
  <c r="BF11" i="1"/>
  <c r="AZ19" i="1"/>
  <c r="AD19" i="1"/>
  <c r="BE19" i="1"/>
  <c r="AP19" i="1"/>
  <c r="AE19" i="1"/>
  <c r="BF19" i="1"/>
  <c r="AQ11" i="1"/>
  <c r="AQ19" i="1"/>
  <c r="AF19" i="1"/>
  <c r="CB11" i="1"/>
  <c r="CB19" i="1"/>
  <c r="AY11" i="1"/>
  <c r="AY19" i="1"/>
  <c r="BE11" i="1"/>
  <c r="AS11" i="1"/>
  <c r="AS19" i="1"/>
  <c r="CC11" i="1"/>
  <c r="CC19" i="1"/>
  <c r="AT11" i="1"/>
  <c r="AU11" i="1"/>
  <c r="AU19" i="1"/>
  <c r="CE11" i="1"/>
  <c r="CE19" i="1"/>
  <c r="AT19" i="1"/>
  <c r="X11" i="1"/>
  <c r="X19" i="1"/>
  <c r="IE364" i="1"/>
  <c r="GZ367" i="1"/>
  <c r="E58" i="3"/>
  <c r="AR4" i="1"/>
  <c r="GU1" i="1"/>
  <c r="AA4" i="1"/>
  <c r="AA11" i="1" s="1"/>
  <c r="Z3" i="1"/>
  <c r="BE3" i="1"/>
  <c r="HX1" i="1"/>
  <c r="BF339" i="1"/>
  <c r="BF280" i="1"/>
  <c r="BF303" i="1" s="1"/>
  <c r="BF225" i="1"/>
  <c r="BF239" i="1"/>
  <c r="BF319" i="1"/>
  <c r="BF232" i="1"/>
  <c r="BE239" i="1"/>
  <c r="BE263" i="1"/>
  <c r="BE280" i="1"/>
  <c r="BE303" i="1" s="1"/>
  <c r="BE339" i="1"/>
  <c r="BE270" i="1"/>
  <c r="BE249" i="1"/>
  <c r="BE225" i="1"/>
  <c r="BE319" i="1"/>
  <c r="CE28" i="1"/>
  <c r="BD270" i="1"/>
  <c r="BG28" i="1"/>
  <c r="CG28" i="1"/>
  <c r="BJ28" i="1"/>
  <c r="BF28" i="1"/>
  <c r="CB28" i="1"/>
  <c r="BL28" i="1"/>
  <c r="CD28" i="1"/>
  <c r="BM28" i="1"/>
  <c r="CG270" i="1"/>
  <c r="BN28" i="1"/>
  <c r="CD270" i="1"/>
  <c r="BC270" i="1"/>
  <c r="BD28" i="1"/>
  <c r="BI28" i="1"/>
  <c r="BK28" i="1"/>
  <c r="CC270" i="1"/>
  <c r="BC28" i="1"/>
  <c r="CB270" i="1"/>
  <c r="BH28" i="1"/>
  <c r="CF28" i="1"/>
  <c r="CE270" i="1"/>
  <c r="CF270" i="1"/>
  <c r="BE28" i="1"/>
  <c r="CC28" i="1"/>
  <c r="AY28" i="1"/>
  <c r="AD28" i="1"/>
  <c r="AW28" i="1"/>
  <c r="AZ28" i="1"/>
  <c r="AQ28" i="1"/>
  <c r="AP28" i="1"/>
  <c r="AT28" i="1"/>
  <c r="AE28" i="1"/>
  <c r="AV28" i="1"/>
  <c r="AF28" i="1"/>
  <c r="AG28" i="1"/>
  <c r="X28" i="1"/>
  <c r="Y28" i="1"/>
  <c r="AS28" i="1"/>
  <c r="AA28" i="1"/>
  <c r="AB28" i="1"/>
  <c r="Z28" i="1"/>
  <c r="AX28" i="1"/>
  <c r="AU28" i="1"/>
  <c r="AC28" i="1"/>
  <c r="AC303" i="1" l="1"/>
  <c r="AW332" i="1"/>
  <c r="AX332" i="1"/>
  <c r="AW303" i="1"/>
  <c r="AX303" i="1"/>
  <c r="CE303" i="1"/>
  <c r="CD303" i="1"/>
  <c r="CD332" i="1"/>
  <c r="CE332" i="1"/>
  <c r="AP332" i="1"/>
  <c r="AP303" i="1"/>
  <c r="AD303" i="1"/>
  <c r="AD332" i="1"/>
  <c r="CG303" i="1"/>
  <c r="AY332" i="1"/>
  <c r="AZ303" i="1"/>
  <c r="CF303" i="1"/>
  <c r="CG332" i="1"/>
  <c r="AZ332" i="1"/>
  <c r="CF332" i="1"/>
  <c r="AY303" i="1"/>
  <c r="CC332" i="1"/>
  <c r="AT303" i="1"/>
  <c r="CC303" i="1"/>
  <c r="AT332" i="1"/>
  <c r="AV303" i="1"/>
  <c r="AV332" i="1"/>
  <c r="AS332" i="1"/>
  <c r="AQ332" i="1"/>
  <c r="AQ303" i="1"/>
  <c r="AS303" i="1"/>
  <c r="CF273" i="1"/>
  <c r="AT273" i="1"/>
  <c r="AX242" i="1"/>
  <c r="CD242" i="1"/>
  <c r="Y242" i="1"/>
  <c r="AQ273" i="1"/>
  <c r="CC242" i="1"/>
  <c r="AB242" i="1"/>
  <c r="AF303" i="1"/>
  <c r="AY273" i="1"/>
  <c r="CF242" i="1"/>
  <c r="AQ242" i="1"/>
  <c r="AG332" i="1"/>
  <c r="AU273" i="1"/>
  <c r="AW242" i="1"/>
  <c r="AG303" i="1"/>
  <c r="CD273" i="1"/>
  <c r="AG242" i="1"/>
  <c r="CB273" i="1"/>
  <c r="AY242" i="1"/>
  <c r="BE273" i="1"/>
  <c r="AE242" i="1"/>
  <c r="CE273" i="1"/>
  <c r="CG273" i="1"/>
  <c r="AV242" i="1"/>
  <c r="X242" i="1"/>
  <c r="CE242" i="1"/>
  <c r="AT242" i="1"/>
  <c r="CG242" i="1"/>
  <c r="BC242" i="1"/>
  <c r="Z242" i="1"/>
  <c r="CC273" i="1"/>
  <c r="AZ242" i="1"/>
  <c r="BC303" i="1"/>
  <c r="CB242" i="1"/>
  <c r="BE242" i="1"/>
  <c r="AZ273" i="1"/>
  <c r="AU242" i="1"/>
  <c r="AC242" i="1"/>
  <c r="AS242" i="1"/>
  <c r="AX273" i="1"/>
  <c r="AD242" i="1"/>
  <c r="AF242" i="1"/>
  <c r="AE303" i="1"/>
  <c r="BC273" i="1"/>
  <c r="BD273" i="1"/>
  <c r="BF242" i="1"/>
  <c r="AA242" i="1"/>
  <c r="AP242" i="1"/>
  <c r="BD242" i="1"/>
  <c r="AW273" i="1"/>
  <c r="X273" i="1"/>
  <c r="AG273" i="1"/>
  <c r="AS273" i="1"/>
  <c r="AP273" i="1"/>
  <c r="AV273" i="1"/>
  <c r="AF332" i="1"/>
  <c r="AF273" i="1"/>
  <c r="AD273" i="1"/>
  <c r="AC332" i="1"/>
  <c r="Y273" i="1"/>
  <c r="AE332" i="1"/>
  <c r="AA273" i="1"/>
  <c r="AE273" i="1"/>
  <c r="AB273" i="1"/>
  <c r="Z273" i="1"/>
  <c r="AC273" i="1"/>
  <c r="Z332" i="1"/>
  <c r="Y332" i="1"/>
  <c r="IE367" i="1"/>
  <c r="IE370" i="1"/>
  <c r="AT49" i="1"/>
  <c r="AY49" i="1"/>
  <c r="CG49" i="1"/>
  <c r="Y49" i="1"/>
  <c r="AQ49" i="1"/>
  <c r="AS49" i="1"/>
  <c r="CC49" i="1"/>
  <c r="AU49" i="1"/>
  <c r="AU181" i="1" s="1"/>
  <c r="BC49" i="1"/>
  <c r="X49" i="1"/>
  <c r="AA49" i="1"/>
  <c r="AA181" i="1" s="1"/>
  <c r="Z49" i="1"/>
  <c r="BF49" i="1"/>
  <c r="BE332" i="1"/>
  <c r="CF49" i="1"/>
  <c r="CB49" i="1"/>
  <c r="CB181" i="1" s="1"/>
  <c r="CE49" i="1"/>
  <c r="BF332" i="1"/>
  <c r="X332" i="1"/>
  <c r="CD49" i="1"/>
  <c r="BE49" i="1"/>
  <c r="BD49" i="1"/>
  <c r="BD181" i="1" s="1"/>
  <c r="G28" i="2"/>
  <c r="AW49" i="1"/>
  <c r="AV49" i="1"/>
  <c r="AZ49" i="1"/>
  <c r="AX49" i="1"/>
  <c r="BC332" i="1"/>
  <c r="AT213" i="1"/>
  <c r="AB213" i="1"/>
  <c r="AU213" i="1"/>
  <c r="AV213" i="1"/>
  <c r="AG213" i="1"/>
  <c r="AZ213" i="1"/>
  <c r="AQ213" i="1"/>
  <c r="AE213" i="1"/>
  <c r="BD213" i="1"/>
  <c r="CE213" i="1"/>
  <c r="AF213" i="1"/>
  <c r="AX213" i="1"/>
  <c r="AD213" i="1"/>
  <c r="CC213" i="1"/>
  <c r="CD213" i="1"/>
  <c r="AW213" i="1"/>
  <c r="CG213" i="1"/>
  <c r="AC213" i="1"/>
  <c r="CF213" i="1"/>
  <c r="AA213" i="1"/>
  <c r="Z213" i="1"/>
  <c r="AY213" i="1"/>
  <c r="AS213" i="1"/>
  <c r="CB213" i="1"/>
  <c r="Y213" i="1"/>
  <c r="BC213" i="1"/>
  <c r="BE213" i="1"/>
  <c r="AP213" i="1"/>
  <c r="X213" i="1"/>
  <c r="G7" i="2"/>
  <c r="G25" i="2"/>
  <c r="G13" i="2"/>
  <c r="G12" i="2"/>
  <c r="G8" i="2"/>
  <c r="BF348" i="1"/>
  <c r="BF263" i="1"/>
  <c r="BF249" i="1"/>
  <c r="BO355" i="1"/>
  <c r="M68" i="2" s="1"/>
  <c r="K55" i="3" s="1"/>
  <c r="BO219" i="1"/>
  <c r="M43" i="2" s="1"/>
  <c r="K34" i="3" s="1"/>
  <c r="BE348" i="1"/>
  <c r="AH270" i="1"/>
  <c r="H52" i="2" s="1"/>
  <c r="I43" i="3" s="1"/>
  <c r="AR319" i="1"/>
  <c r="AR332" i="1" s="1"/>
  <c r="AR355" i="1"/>
  <c r="AH249" i="1"/>
  <c r="H49" i="2" s="1"/>
  <c r="I40" i="3" s="1"/>
  <c r="AR239" i="1"/>
  <c r="AR249" i="1"/>
  <c r="AR225" i="1"/>
  <c r="AH263" i="1"/>
  <c r="H51" i="2" s="1"/>
  <c r="I42" i="3" s="1"/>
  <c r="AR263" i="1"/>
  <c r="AR280" i="1"/>
  <c r="AR303" i="1" s="1"/>
  <c r="AH219" i="1"/>
  <c r="H43" i="2" s="1"/>
  <c r="I34" i="3" s="1"/>
  <c r="AH355" i="1"/>
  <c r="H68" i="2" s="1"/>
  <c r="I55" i="3" s="1"/>
  <c r="AR219" i="1"/>
  <c r="AR348" i="1"/>
  <c r="AH280" i="1"/>
  <c r="H54" i="2" s="1"/>
  <c r="I35" i="3" s="1"/>
  <c r="AH319" i="1"/>
  <c r="H61" i="2" s="1"/>
  <c r="I50" i="3" s="1"/>
  <c r="AR270" i="1"/>
  <c r="AH225" i="1"/>
  <c r="H44" i="2" s="1"/>
  <c r="I36" i="3" s="1"/>
  <c r="AH348" i="1"/>
  <c r="H67" i="2" s="1"/>
  <c r="I54" i="3" s="1"/>
  <c r="AR339" i="1"/>
  <c r="AH339" i="1"/>
  <c r="H66" i="2" s="1"/>
  <c r="I53" i="3" s="1"/>
  <c r="AR232" i="1"/>
  <c r="AH232" i="1"/>
  <c r="H45" i="2" s="1"/>
  <c r="I37" i="3" s="1"/>
  <c r="AH239" i="1"/>
  <c r="H46" i="2" s="1"/>
  <c r="I38" i="3" s="1"/>
  <c r="AR11" i="1"/>
  <c r="AH19" i="1"/>
  <c r="H5" i="2" s="1"/>
  <c r="I5" i="3" s="1"/>
  <c r="AR19" i="1"/>
  <c r="BO28" i="1"/>
  <c r="M6" i="2" s="1"/>
  <c r="K6" i="3" s="1"/>
  <c r="IF364" i="1"/>
  <c r="AH28" i="1"/>
  <c r="H6" i="2" s="1"/>
  <c r="I6" i="3" s="1"/>
  <c r="HA367" i="1"/>
  <c r="HK367" i="1"/>
  <c r="AR28" i="1"/>
  <c r="IP364" i="1"/>
  <c r="GV1" i="1"/>
  <c r="AB4" i="1"/>
  <c r="AB11" i="1" s="1"/>
  <c r="AB49" i="1" s="1"/>
  <c r="AB181" i="1" s="1"/>
  <c r="BF270" i="1"/>
  <c r="BF3" i="1"/>
  <c r="AA3" i="1"/>
  <c r="HY1" i="1"/>
  <c r="BG339" i="1"/>
  <c r="BG4" i="1"/>
  <c r="BG319" i="1"/>
  <c r="AV357" i="1"/>
  <c r="CD357" i="1"/>
  <c r="CF357" i="1"/>
  <c r="BD357" i="1"/>
  <c r="AW357" i="1"/>
  <c r="AX357" i="1"/>
  <c r="CE357" i="1"/>
  <c r="BC357" i="1"/>
  <c r="CC357" i="1"/>
  <c r="Y357" i="1"/>
  <c r="AQ357" i="1"/>
  <c r="CB357" i="1"/>
  <c r="X357" i="1"/>
  <c r="AE357" i="1"/>
  <c r="CG357" i="1"/>
  <c r="Z357" i="1"/>
  <c r="AG357" i="1"/>
  <c r="AD357" i="1"/>
  <c r="AB357" i="1"/>
  <c r="AY357" i="1"/>
  <c r="AT357" i="1"/>
  <c r="AA357" i="1"/>
  <c r="AS357" i="1"/>
  <c r="AU357" i="1"/>
  <c r="AC357" i="1"/>
  <c r="AP357" i="1"/>
  <c r="AZ357" i="1"/>
  <c r="AF357" i="1"/>
  <c r="AX181" i="1" l="1"/>
  <c r="AW181" i="1"/>
  <c r="CE181" i="1"/>
  <c r="CD181" i="1"/>
  <c r="CG181" i="1"/>
  <c r="AY181" i="1"/>
  <c r="AZ181" i="1"/>
  <c r="CF181" i="1"/>
  <c r="CC181" i="1"/>
  <c r="AV181" i="1"/>
  <c r="AT181" i="1"/>
  <c r="AS181" i="1"/>
  <c r="AQ181" i="1"/>
  <c r="AH332" i="1"/>
  <c r="H65" i="2" s="1"/>
  <c r="I52" i="3" s="1"/>
  <c r="AH303" i="1"/>
  <c r="H59" i="2" s="1"/>
  <c r="I48" i="3" s="1"/>
  <c r="AH242" i="1"/>
  <c r="H48" i="2" s="1"/>
  <c r="I39" i="3" s="1"/>
  <c r="BC181" i="1"/>
  <c r="AR242" i="1"/>
  <c r="BF273" i="1"/>
  <c r="AH273" i="1"/>
  <c r="H53" i="2" s="1"/>
  <c r="I44" i="3" s="1"/>
  <c r="AR273" i="1"/>
  <c r="Z181" i="1"/>
  <c r="IP367" i="1"/>
  <c r="IP370" i="1"/>
  <c r="BG332" i="1"/>
  <c r="IF367" i="1"/>
  <c r="IF370" i="1"/>
  <c r="BF181" i="1"/>
  <c r="BE181" i="1"/>
  <c r="X181" i="1"/>
  <c r="Y181" i="1"/>
  <c r="AR49" i="1"/>
  <c r="AR181" i="1" s="1"/>
  <c r="AR213" i="1"/>
  <c r="AH213" i="1"/>
  <c r="H42" i="2" s="1"/>
  <c r="I33" i="3" s="1"/>
  <c r="Q213" i="1"/>
  <c r="BF213" i="1"/>
  <c r="AT359" i="1"/>
  <c r="AV359" i="1"/>
  <c r="X359" i="1"/>
  <c r="AB359" i="1"/>
  <c r="AC359" i="1"/>
  <c r="AF359" i="1"/>
  <c r="AU359" i="1"/>
  <c r="AA359" i="1"/>
  <c r="AW359" i="1"/>
  <c r="AZ359" i="1"/>
  <c r="AY359" i="1"/>
  <c r="AE359" i="1"/>
  <c r="AX359" i="1"/>
  <c r="Z359" i="1"/>
  <c r="AQ359" i="1"/>
  <c r="AD359" i="1"/>
  <c r="AS359" i="1"/>
  <c r="AP359" i="1"/>
  <c r="AG359" i="1"/>
  <c r="Y359" i="1"/>
  <c r="BG232" i="1"/>
  <c r="BG263" i="1"/>
  <c r="BG280" i="1"/>
  <c r="BP219" i="1"/>
  <c r="N43" i="2" s="1"/>
  <c r="L34" i="3" s="1"/>
  <c r="BG348" i="1"/>
  <c r="BG249" i="1"/>
  <c r="BP355" i="1"/>
  <c r="N68" i="2" s="1"/>
  <c r="L55" i="3" s="1"/>
  <c r="BG225" i="1"/>
  <c r="BG239" i="1"/>
  <c r="AI270" i="1"/>
  <c r="AI232" i="1"/>
  <c r="AI263" i="1"/>
  <c r="AI219" i="1"/>
  <c r="AI348" i="1"/>
  <c r="AI339" i="1"/>
  <c r="AI239" i="1"/>
  <c r="AI249" i="1"/>
  <c r="AI355" i="1"/>
  <c r="I68" i="2" s="1"/>
  <c r="J55" i="3" s="1"/>
  <c r="AI319" i="1"/>
  <c r="AI280" i="1"/>
  <c r="AI225" i="1"/>
  <c r="AI19" i="1"/>
  <c r="BG11" i="1"/>
  <c r="BG19" i="1"/>
  <c r="AI28" i="1"/>
  <c r="HB367" i="1"/>
  <c r="IG364" i="1"/>
  <c r="BP28" i="1"/>
  <c r="N6" i="2" s="1"/>
  <c r="L6" i="3" s="1"/>
  <c r="AH357" i="1"/>
  <c r="H70" i="2" s="1"/>
  <c r="I56" i="3" s="1"/>
  <c r="AR357" i="1"/>
  <c r="I59" i="3"/>
  <c r="GW1" i="1"/>
  <c r="AC4" i="1"/>
  <c r="AC11" i="1" s="1"/>
  <c r="BE357" i="1"/>
  <c r="BF357" i="1"/>
  <c r="BG270" i="1"/>
  <c r="AB3" i="1"/>
  <c r="BG3" i="1"/>
  <c r="BH339" i="1"/>
  <c r="HZ1" i="1"/>
  <c r="BH319" i="1"/>
  <c r="BH332" i="1" s="1"/>
  <c r="BH4" i="1"/>
  <c r="CE359" i="1"/>
  <c r="CD359" i="1"/>
  <c r="CF359" i="1"/>
  <c r="CB359" i="1"/>
  <c r="CG359" i="1"/>
  <c r="BD359" i="1"/>
  <c r="CC359" i="1"/>
  <c r="BC359" i="1"/>
  <c r="I49" i="2" l="1"/>
  <c r="J40" i="3" s="1"/>
  <c r="Q249" i="1"/>
  <c r="I46" i="2"/>
  <c r="J38" i="3" s="1"/>
  <c r="Q239" i="1"/>
  <c r="Q280" i="1"/>
  <c r="I54" i="2"/>
  <c r="J35" i="3" s="1"/>
  <c r="I45" i="2"/>
  <c r="J37" i="3" s="1"/>
  <c r="Q232" i="1"/>
  <c r="Q28" i="1"/>
  <c r="I6" i="2"/>
  <c r="J6" i="3" s="1"/>
  <c r="I51" i="2"/>
  <c r="J42" i="3" s="1"/>
  <c r="Q263" i="1"/>
  <c r="I66" i="2"/>
  <c r="J53" i="3" s="1"/>
  <c r="Q339" i="1"/>
  <c r="Q19" i="1"/>
  <c r="I5" i="2"/>
  <c r="J5" i="3" s="1"/>
  <c r="I67" i="2"/>
  <c r="J54" i="3" s="1"/>
  <c r="Q348" i="1"/>
  <c r="I61" i="2"/>
  <c r="J50" i="3" s="1"/>
  <c r="Q319" i="1"/>
  <c r="Q270" i="1"/>
  <c r="I52" i="2"/>
  <c r="J43" i="3" s="1"/>
  <c r="Q225" i="1"/>
  <c r="I44" i="2"/>
  <c r="J36" i="3" s="1"/>
  <c r="I43" i="2"/>
  <c r="J34" i="3" s="1"/>
  <c r="Q219" i="1"/>
  <c r="AI332" i="1"/>
  <c r="I65" i="2" s="1"/>
  <c r="J52" i="3" s="1"/>
  <c r="AI303" i="1"/>
  <c r="I59" i="2" s="1"/>
  <c r="J48" i="3" s="1"/>
  <c r="BG242" i="1"/>
  <c r="AI242" i="1"/>
  <c r="I48" i="2" s="1"/>
  <c r="J39" i="3" s="1"/>
  <c r="BG303" i="1"/>
  <c r="AI273" i="1"/>
  <c r="I53" i="2" s="1"/>
  <c r="J44" i="3" s="1"/>
  <c r="BG273" i="1"/>
  <c r="AC49" i="1"/>
  <c r="IG367" i="1"/>
  <c r="IG370" i="1"/>
  <c r="BG49" i="1"/>
  <c r="BG213" i="1"/>
  <c r="CG361" i="1"/>
  <c r="AB361" i="1"/>
  <c r="AQ361" i="1"/>
  <c r="AW361" i="1"/>
  <c r="CF361" i="1"/>
  <c r="AV361" i="1"/>
  <c r="CC361" i="1"/>
  <c r="AY361" i="1"/>
  <c r="AI213" i="1"/>
  <c r="I42" i="2" s="1"/>
  <c r="J33" i="3" s="1"/>
  <c r="AZ361" i="1"/>
  <c r="CE361" i="1"/>
  <c r="Y361" i="1"/>
  <c r="AS361" i="1"/>
  <c r="AA361" i="1"/>
  <c r="CB361" i="1"/>
  <c r="BC361" i="1"/>
  <c r="X361" i="1"/>
  <c r="CD361" i="1"/>
  <c r="Z361" i="1"/>
  <c r="AU361" i="1"/>
  <c r="BD361" i="1"/>
  <c r="AX361" i="1"/>
  <c r="AT361" i="1"/>
  <c r="AR359" i="1"/>
  <c r="AH359" i="1"/>
  <c r="H71" i="2" s="1"/>
  <c r="I57" i="3" s="1"/>
  <c r="BH232" i="1"/>
  <c r="BH348" i="1"/>
  <c r="BH280" i="1"/>
  <c r="BH303" i="1" s="1"/>
  <c r="BH249" i="1"/>
  <c r="BH239" i="1"/>
  <c r="BH225" i="1"/>
  <c r="BQ219" i="1"/>
  <c r="BH263" i="1"/>
  <c r="BQ355" i="1"/>
  <c r="AJ270" i="1"/>
  <c r="AJ239" i="1"/>
  <c r="AJ319" i="1"/>
  <c r="AJ249" i="1"/>
  <c r="AJ348" i="1"/>
  <c r="AJ355" i="1"/>
  <c r="AJ219" i="1"/>
  <c r="AJ280" i="1"/>
  <c r="AJ232" i="1"/>
  <c r="AJ263" i="1"/>
  <c r="AJ225" i="1"/>
  <c r="AJ339" i="1"/>
  <c r="BH19" i="1"/>
  <c r="BH11" i="1"/>
  <c r="AJ19" i="1"/>
  <c r="AI357" i="1"/>
  <c r="I70" i="2" s="1"/>
  <c r="J56" i="3" s="1"/>
  <c r="BQ28" i="1"/>
  <c r="AJ28" i="1"/>
  <c r="HC367" i="1"/>
  <c r="IH364" i="1"/>
  <c r="BE359" i="1"/>
  <c r="BE361" i="1" s="1"/>
  <c r="GX1" i="1"/>
  <c r="AD4" i="1"/>
  <c r="BH3" i="1"/>
  <c r="BF359" i="1"/>
  <c r="AC3" i="1"/>
  <c r="BH213" i="1"/>
  <c r="BG357" i="1"/>
  <c r="BH270" i="1"/>
  <c r="BI339" i="1"/>
  <c r="BI319" i="1"/>
  <c r="IA1" i="1"/>
  <c r="BI4" i="1"/>
  <c r="AJ303" i="1" l="1"/>
  <c r="AJ332" i="1"/>
  <c r="BH242" i="1"/>
  <c r="AJ242" i="1"/>
  <c r="AJ273" i="1"/>
  <c r="BH273" i="1"/>
  <c r="AC181" i="1"/>
  <c r="IH367" i="1"/>
  <c r="IH370" i="1"/>
  <c r="BG181" i="1"/>
  <c r="BH49" i="1"/>
  <c r="BH181" i="1" s="1"/>
  <c r="BI332" i="1"/>
  <c r="AJ213" i="1"/>
  <c r="BF361" i="1"/>
  <c r="AR361" i="1"/>
  <c r="AI359" i="1"/>
  <c r="I71" i="2" s="1"/>
  <c r="J57" i="3" s="1"/>
  <c r="BI225" i="1"/>
  <c r="BI249" i="1"/>
  <c r="BI239" i="1"/>
  <c r="BI348" i="1"/>
  <c r="BR219" i="1"/>
  <c r="BR355" i="1"/>
  <c r="BI263" i="1"/>
  <c r="BI232" i="1"/>
  <c r="BI280" i="1"/>
  <c r="BI303" i="1" s="1"/>
  <c r="AK239" i="1"/>
  <c r="AK249" i="1"/>
  <c r="AK355" i="1"/>
  <c r="AK270" i="1"/>
  <c r="AK348" i="1"/>
  <c r="AK219" i="1"/>
  <c r="AK263" i="1"/>
  <c r="AK225" i="1"/>
  <c r="AK339" i="1"/>
  <c r="AK280" i="1"/>
  <c r="AK232" i="1"/>
  <c r="AK319" i="1"/>
  <c r="BI11" i="1"/>
  <c r="BI19" i="1"/>
  <c r="AK19" i="1"/>
  <c r="AD11" i="1"/>
  <c r="AK28" i="1"/>
  <c r="HD367" i="1"/>
  <c r="II364" i="1"/>
  <c r="BR28" i="1"/>
  <c r="AJ357" i="1"/>
  <c r="GY1" i="1"/>
  <c r="AE4" i="1"/>
  <c r="BH357" i="1"/>
  <c r="BI3" i="1"/>
  <c r="AD3" i="1"/>
  <c r="BG359" i="1"/>
  <c r="BJ4" i="1"/>
  <c r="BJ319" i="1"/>
  <c r="IB1" i="1"/>
  <c r="BJ339" i="1"/>
  <c r="BI270" i="1"/>
  <c r="BI213" i="1"/>
  <c r="CA4" i="1"/>
  <c r="BZ4" i="1"/>
  <c r="BY4" i="1"/>
  <c r="BX4" i="1"/>
  <c r="BW4" i="1"/>
  <c r="W4" i="1"/>
  <c r="V4" i="1"/>
  <c r="AK303" i="1" l="1"/>
  <c r="AK332" i="1"/>
  <c r="AD49" i="1"/>
  <c r="BI242" i="1"/>
  <c r="AK242" i="1"/>
  <c r="AK273" i="1"/>
  <c r="BI273" i="1"/>
  <c r="BJ332" i="1"/>
  <c r="AE11" i="1"/>
  <c r="AC361" i="1"/>
  <c r="II367" i="1"/>
  <c r="II370" i="1"/>
  <c r="BI49" i="1"/>
  <c r="AK213" i="1"/>
  <c r="BG361" i="1"/>
  <c r="AJ359" i="1"/>
  <c r="AL270" i="1"/>
  <c r="BZ355" i="1"/>
  <c r="CA225" i="1"/>
  <c r="CA232" i="1"/>
  <c r="BY249" i="1"/>
  <c r="CA319" i="1"/>
  <c r="BX355" i="1"/>
  <c r="BJ280" i="1"/>
  <c r="BX339" i="1"/>
  <c r="BY219" i="1"/>
  <c r="BY339" i="1"/>
  <c r="CA355" i="1"/>
  <c r="BJ263" i="1"/>
  <c r="BZ219" i="1"/>
  <c r="S280" i="1"/>
  <c r="S303" i="1" s="1"/>
  <c r="BW280" i="1"/>
  <c r="S225" i="1"/>
  <c r="BW225" i="1"/>
  <c r="S232" i="1"/>
  <c r="BW232" i="1"/>
  <c r="BX239" i="1"/>
  <c r="S263" i="1"/>
  <c r="BW263" i="1"/>
  <c r="S319" i="1"/>
  <c r="S332" i="1" s="1"/>
  <c r="BW319" i="1"/>
  <c r="BZ339" i="1"/>
  <c r="S348" i="1"/>
  <c r="BW348" i="1"/>
  <c r="BS219" i="1"/>
  <c r="CA219" i="1"/>
  <c r="BX280" i="1"/>
  <c r="BX225" i="1"/>
  <c r="BX232" i="1"/>
  <c r="BY239" i="1"/>
  <c r="BX263" i="1"/>
  <c r="BX319" i="1"/>
  <c r="CA339" i="1"/>
  <c r="BX348" i="1"/>
  <c r="BJ225" i="1"/>
  <c r="BJ239" i="1"/>
  <c r="BY280" i="1"/>
  <c r="BY303" i="1" s="1"/>
  <c r="BY225" i="1"/>
  <c r="BY232" i="1"/>
  <c r="BZ239" i="1"/>
  <c r="S249" i="1"/>
  <c r="BW249" i="1"/>
  <c r="BY263" i="1"/>
  <c r="BY319" i="1"/>
  <c r="BY332" i="1" s="1"/>
  <c r="BY348" i="1"/>
  <c r="O32" i="2"/>
  <c r="BZ280" i="1"/>
  <c r="BZ225" i="1"/>
  <c r="BZ232" i="1"/>
  <c r="CA239" i="1"/>
  <c r="BX249" i="1"/>
  <c r="BZ263" i="1"/>
  <c r="BZ319" i="1"/>
  <c r="BZ348" i="1"/>
  <c r="S355" i="1"/>
  <c r="BW355" i="1"/>
  <c r="BJ348" i="1"/>
  <c r="BS355" i="1"/>
  <c r="CA280" i="1"/>
  <c r="CA263" i="1"/>
  <c r="CA348" i="1"/>
  <c r="BJ232" i="1"/>
  <c r="BJ249" i="1"/>
  <c r="S239" i="1"/>
  <c r="BW239" i="1"/>
  <c r="S219" i="1"/>
  <c r="BW219" i="1"/>
  <c r="BZ249" i="1"/>
  <c r="S339" i="1"/>
  <c r="BW339" i="1"/>
  <c r="BY355" i="1"/>
  <c r="BX219" i="1"/>
  <c r="CA249" i="1"/>
  <c r="AL232" i="1"/>
  <c r="W219" i="1"/>
  <c r="AL225" i="1"/>
  <c r="AL239" i="1"/>
  <c r="AL355" i="1"/>
  <c r="V249" i="1"/>
  <c r="V280" i="1"/>
  <c r="V225" i="1"/>
  <c r="V232" i="1"/>
  <c r="W239" i="1"/>
  <c r="V263" i="1"/>
  <c r="V319" i="1"/>
  <c r="V348" i="1"/>
  <c r="AL219" i="1"/>
  <c r="AL280" i="1"/>
  <c r="V239" i="1"/>
  <c r="W280" i="1"/>
  <c r="W303" i="1" s="1"/>
  <c r="W225" i="1"/>
  <c r="W232" i="1"/>
  <c r="W263" i="1"/>
  <c r="S270" i="1"/>
  <c r="W319" i="1"/>
  <c r="W332" i="1" s="1"/>
  <c r="W348" i="1"/>
  <c r="AL339" i="1"/>
  <c r="W339" i="1"/>
  <c r="W249" i="1"/>
  <c r="V270" i="1"/>
  <c r="V355" i="1"/>
  <c r="AL319" i="1"/>
  <c r="W270" i="1"/>
  <c r="W355" i="1"/>
  <c r="AL348" i="1"/>
  <c r="AL263" i="1"/>
  <c r="AL249" i="1"/>
  <c r="V219" i="1"/>
  <c r="V339" i="1"/>
  <c r="W11" i="1"/>
  <c r="BX19" i="1"/>
  <c r="BY19" i="1"/>
  <c r="BY11" i="1"/>
  <c r="BZ11" i="1"/>
  <c r="BZ19" i="1"/>
  <c r="V19" i="1"/>
  <c r="CA11" i="1"/>
  <c r="BX11" i="1"/>
  <c r="BJ11" i="1"/>
  <c r="CA19" i="1"/>
  <c r="W19" i="1"/>
  <c r="AL19" i="1"/>
  <c r="BJ19" i="1"/>
  <c r="BW11" i="1"/>
  <c r="V11" i="1"/>
  <c r="S19" i="1"/>
  <c r="BW19" i="1"/>
  <c r="AL28" i="1"/>
  <c r="HE367" i="1"/>
  <c r="AK357" i="1"/>
  <c r="IJ364" i="1"/>
  <c r="GZ1" i="1"/>
  <c r="AF4" i="1"/>
  <c r="AE3" i="1"/>
  <c r="BJ3" i="1"/>
  <c r="BH359" i="1"/>
  <c r="BI357" i="1"/>
  <c r="BJ270" i="1"/>
  <c r="BK319" i="1"/>
  <c r="IC1" i="1"/>
  <c r="BK339" i="1"/>
  <c r="BK4" i="1"/>
  <c r="BZ28" i="1"/>
  <c r="CA28" i="1"/>
  <c r="W28" i="1"/>
  <c r="BW270" i="1"/>
  <c r="BS28" i="1"/>
  <c r="BX270" i="1"/>
  <c r="BY270" i="1"/>
  <c r="BZ270" i="1"/>
  <c r="BW28" i="1"/>
  <c r="CA270" i="1"/>
  <c r="BX28" i="1"/>
  <c r="BY28" i="1"/>
  <c r="V28" i="1"/>
  <c r="BW303" i="1" l="1"/>
  <c r="BW332" i="1"/>
  <c r="AD181" i="1"/>
  <c r="BI181" i="1"/>
  <c r="CA303" i="1"/>
  <c r="BX303" i="1"/>
  <c r="BZ303" i="1"/>
  <c r="BZ332" i="1"/>
  <c r="BX332" i="1"/>
  <c r="AL303" i="1"/>
  <c r="AL332" i="1"/>
  <c r="AL242" i="1"/>
  <c r="BY242" i="1"/>
  <c r="W242" i="1"/>
  <c r="BY273" i="1"/>
  <c r="BX273" i="1"/>
  <c r="BW242" i="1"/>
  <c r="V303" i="1"/>
  <c r="BZ273" i="1"/>
  <c r="CA273" i="1"/>
  <c r="BX242" i="1"/>
  <c r="S242" i="1"/>
  <c r="BZ242" i="1"/>
  <c r="BJ303" i="1"/>
  <c r="V242" i="1"/>
  <c r="BW273" i="1"/>
  <c r="CA242" i="1"/>
  <c r="CA332" i="1"/>
  <c r="V332" i="1"/>
  <c r="BJ242" i="1"/>
  <c r="V273" i="1"/>
  <c r="AL273" i="1"/>
  <c r="AF11" i="1"/>
  <c r="S273" i="1"/>
  <c r="BJ273" i="1"/>
  <c r="W273" i="1"/>
  <c r="AE49" i="1"/>
  <c r="IJ367" i="1"/>
  <c r="IJ370" i="1"/>
  <c r="BZ49" i="1"/>
  <c r="BX49" i="1"/>
  <c r="BW49" i="1"/>
  <c r="CA49" i="1"/>
  <c r="BJ213" i="1"/>
  <c r="O28" i="2"/>
  <c r="BY49" i="1"/>
  <c r="BY181" i="1" s="1"/>
  <c r="BK332" i="1"/>
  <c r="W49" i="1"/>
  <c r="W181" i="1" s="1"/>
  <c r="BJ49" i="1"/>
  <c r="V49" i="1"/>
  <c r="AL213" i="1"/>
  <c r="W213" i="1"/>
  <c r="BZ213" i="1"/>
  <c r="BY213" i="1"/>
  <c r="V213" i="1"/>
  <c r="BX213" i="1"/>
  <c r="BW213" i="1"/>
  <c r="S213" i="1"/>
  <c r="BH361" i="1"/>
  <c r="CA213" i="1"/>
  <c r="AK359" i="1"/>
  <c r="BK232" i="1"/>
  <c r="BT219" i="1"/>
  <c r="BK249" i="1"/>
  <c r="BK225" i="1"/>
  <c r="BK280" i="1"/>
  <c r="BK263" i="1"/>
  <c r="BT355" i="1"/>
  <c r="BK239" i="1"/>
  <c r="BK348" i="1"/>
  <c r="AM348" i="1"/>
  <c r="AM280" i="1"/>
  <c r="AM263" i="1"/>
  <c r="AM319" i="1"/>
  <c r="AM339" i="1"/>
  <c r="AM232" i="1"/>
  <c r="AM355" i="1"/>
  <c r="AM239" i="1"/>
  <c r="AM225" i="1"/>
  <c r="AM270" i="1"/>
  <c r="AM219" i="1"/>
  <c r="AM249" i="1"/>
  <c r="BK11" i="1"/>
  <c r="BK19" i="1"/>
  <c r="AM19" i="1"/>
  <c r="BT28" i="1"/>
  <c r="AM28" i="1"/>
  <c r="HF367" i="1"/>
  <c r="AL357" i="1"/>
  <c r="IK364" i="1"/>
  <c r="AG4" i="1"/>
  <c r="HA1" i="1"/>
  <c r="BK3" i="1"/>
  <c r="BI359" i="1"/>
  <c r="AF3" i="1"/>
  <c r="ID1" i="1"/>
  <c r="BL319" i="1"/>
  <c r="BL339" i="1"/>
  <c r="BL4" i="1"/>
  <c r="BK270" i="1"/>
  <c r="BJ357" i="1"/>
  <c r="BX357" i="1"/>
  <c r="BW357" i="1"/>
  <c r="BY357" i="1"/>
  <c r="BZ357" i="1"/>
  <c r="CA357" i="1"/>
  <c r="W357" i="1"/>
  <c r="V357" i="1"/>
  <c r="BK303" i="1" l="1"/>
  <c r="BW181" i="1"/>
  <c r="AD361" i="1"/>
  <c r="CA181" i="1"/>
  <c r="BX181" i="1"/>
  <c r="BZ181" i="1"/>
  <c r="AM332" i="1"/>
  <c r="AM303" i="1"/>
  <c r="AG11" i="1"/>
  <c r="V181" i="1"/>
  <c r="AM242" i="1"/>
  <c r="BK242" i="1"/>
  <c r="AM273" i="1"/>
  <c r="AF49" i="1"/>
  <c r="BL332" i="1"/>
  <c r="BJ181" i="1"/>
  <c r="BK273" i="1"/>
  <c r="AE181" i="1"/>
  <c r="IK367" i="1"/>
  <c r="IK370" i="1"/>
  <c r="BK49" i="1"/>
  <c r="AM213" i="1"/>
  <c r="BK213" i="1"/>
  <c r="BI361" i="1"/>
  <c r="V359" i="1"/>
  <c r="W359" i="1"/>
  <c r="AL359" i="1"/>
  <c r="BU348" i="1"/>
  <c r="BU219" i="1"/>
  <c r="BL280" i="1"/>
  <c r="BL225" i="1"/>
  <c r="BL348" i="1"/>
  <c r="BL249" i="1"/>
  <c r="BL239" i="1"/>
  <c r="BL232" i="1"/>
  <c r="BU232" i="1"/>
  <c r="BU263" i="1"/>
  <c r="BU339" i="1"/>
  <c r="BU225" i="1"/>
  <c r="BU355" i="1"/>
  <c r="BL263" i="1"/>
  <c r="BU239" i="1"/>
  <c r="BU249" i="1"/>
  <c r="BU280" i="1"/>
  <c r="BU319" i="1"/>
  <c r="AN348" i="1"/>
  <c r="AN270" i="1"/>
  <c r="AN219" i="1"/>
  <c r="AN263" i="1"/>
  <c r="AN239" i="1"/>
  <c r="AN280" i="1"/>
  <c r="AN339" i="1"/>
  <c r="AN249" i="1"/>
  <c r="AN232" i="1"/>
  <c r="AN355" i="1"/>
  <c r="AN225" i="1"/>
  <c r="AN319" i="1"/>
  <c r="BL19" i="1"/>
  <c r="AN19" i="1"/>
  <c r="BU19" i="1"/>
  <c r="BL11" i="1"/>
  <c r="HG367" i="1"/>
  <c r="BU28" i="1"/>
  <c r="BU270" i="1"/>
  <c r="AN28" i="1"/>
  <c r="AM357" i="1"/>
  <c r="IL364" i="1"/>
  <c r="BU4" i="1"/>
  <c r="K59" i="3"/>
  <c r="AH4" i="1"/>
  <c r="HB1" i="1"/>
  <c r="AG3" i="1"/>
  <c r="BL3" i="1"/>
  <c r="BJ359" i="1"/>
  <c r="BK357" i="1"/>
  <c r="BM319" i="1"/>
  <c r="IE1" i="1"/>
  <c r="BM339" i="1"/>
  <c r="BM4" i="1"/>
  <c r="BL270" i="1"/>
  <c r="BY359" i="1"/>
  <c r="BW359" i="1"/>
  <c r="BX359" i="1"/>
  <c r="CA359" i="1"/>
  <c r="BZ359" i="1"/>
  <c r="BK181" i="1" l="1"/>
  <c r="AN332" i="1"/>
  <c r="AN303" i="1"/>
  <c r="BU332" i="1"/>
  <c r="BU303" i="1"/>
  <c r="BU11" i="1"/>
  <c r="AH11" i="1"/>
  <c r="H4" i="2" s="1"/>
  <c r="I4" i="3" s="1"/>
  <c r="AG49" i="1"/>
  <c r="BL242" i="1"/>
  <c r="BU242" i="1"/>
  <c r="BL303" i="1"/>
  <c r="AN242" i="1"/>
  <c r="BU273" i="1"/>
  <c r="AN273" i="1"/>
  <c r="BM332" i="1"/>
  <c r="AF181" i="1"/>
  <c r="BL273" i="1"/>
  <c r="AE361" i="1"/>
  <c r="IL367" i="1"/>
  <c r="IL370" i="1"/>
  <c r="BL49" i="1"/>
  <c r="BL213" i="1"/>
  <c r="BX361" i="1"/>
  <c r="CA361" i="1"/>
  <c r="BU213" i="1"/>
  <c r="BY361" i="1"/>
  <c r="AN213" i="1"/>
  <c r="BJ361" i="1"/>
  <c r="W361" i="1"/>
  <c r="BZ361" i="1"/>
  <c r="V361" i="1"/>
  <c r="BW361" i="1"/>
  <c r="AM359" i="1"/>
  <c r="BM232" i="1"/>
  <c r="BV249" i="1"/>
  <c r="BV280" i="1"/>
  <c r="BV339" i="1"/>
  <c r="BM225" i="1"/>
  <c r="BM348" i="1"/>
  <c r="BV232" i="1"/>
  <c r="BV348" i="1"/>
  <c r="BV219" i="1"/>
  <c r="CH219" i="1" s="1"/>
  <c r="CI219" i="1" s="1"/>
  <c r="BM239" i="1"/>
  <c r="BM280" i="1"/>
  <c r="BV319" i="1"/>
  <c r="BV239" i="1"/>
  <c r="BM249" i="1"/>
  <c r="BM263" i="1"/>
  <c r="BV225" i="1"/>
  <c r="BV263" i="1"/>
  <c r="BV355" i="1"/>
  <c r="CH355" i="1" s="1"/>
  <c r="CI355" i="1" s="1"/>
  <c r="AO225" i="1"/>
  <c r="AO355" i="1"/>
  <c r="AO339" i="1"/>
  <c r="AO319" i="1"/>
  <c r="AO280" i="1"/>
  <c r="AO348" i="1"/>
  <c r="AO270" i="1"/>
  <c r="AO263" i="1"/>
  <c r="AO232" i="1"/>
  <c r="AO219" i="1"/>
  <c r="AO249" i="1"/>
  <c r="AO239" i="1"/>
  <c r="BM19" i="1"/>
  <c r="BM11" i="1"/>
  <c r="AO19" i="1"/>
  <c r="BV19" i="1"/>
  <c r="H9" i="3"/>
  <c r="H23" i="3"/>
  <c r="O25" i="2"/>
  <c r="O57" i="2"/>
  <c r="AO28" i="1"/>
  <c r="H7" i="3"/>
  <c r="H12" i="3"/>
  <c r="H29" i="3"/>
  <c r="H30" i="3"/>
  <c r="BV28" i="1"/>
  <c r="CH28" i="1" s="1"/>
  <c r="CI28" i="1" s="1"/>
  <c r="IM364" i="1"/>
  <c r="BV4" i="1"/>
  <c r="O68" i="2"/>
  <c r="H21" i="3"/>
  <c r="H11" i="3"/>
  <c r="BU357" i="1"/>
  <c r="HH367" i="1"/>
  <c r="H19" i="3"/>
  <c r="H41" i="3"/>
  <c r="H49" i="3"/>
  <c r="H47" i="3"/>
  <c r="H15" i="3"/>
  <c r="H20" i="3"/>
  <c r="O40" i="2"/>
  <c r="H26" i="3"/>
  <c r="H16" i="3"/>
  <c r="H24" i="3"/>
  <c r="H45" i="3"/>
  <c r="O43" i="2"/>
  <c r="BV270" i="1"/>
  <c r="H8" i="3"/>
  <c r="H13" i="3"/>
  <c r="H32" i="3"/>
  <c r="O8" i="2"/>
  <c r="O17" i="2"/>
  <c r="O38" i="2"/>
  <c r="H31" i="3"/>
  <c r="AN357" i="1"/>
  <c r="AI4" i="1"/>
  <c r="Q4" i="1" s="1"/>
  <c r="HC1" i="1"/>
  <c r="BM3" i="1"/>
  <c r="BK359" i="1"/>
  <c r="AH3" i="1"/>
  <c r="BL357" i="1"/>
  <c r="IF1" i="1"/>
  <c r="BN339" i="1"/>
  <c r="BN319" i="1"/>
  <c r="BN4" i="1"/>
  <c r="BM270" i="1"/>
  <c r="AI11" i="1" l="1"/>
  <c r="R6" i="2"/>
  <c r="S6" i="2" s="1"/>
  <c r="R68" i="2"/>
  <c r="S68" i="2" s="1"/>
  <c r="R43" i="2"/>
  <c r="S43" i="2" s="1"/>
  <c r="BV11" i="1"/>
  <c r="BA270" i="1"/>
  <c r="BB270" i="1" s="1"/>
  <c r="BA348" i="1"/>
  <c r="BB348" i="1" s="1"/>
  <c r="L67" i="2" s="1"/>
  <c r="H54" i="3"/>
  <c r="Q303" i="1"/>
  <c r="BA232" i="1"/>
  <c r="BB232" i="1" s="1"/>
  <c r="H37" i="3"/>
  <c r="BA263" i="1"/>
  <c r="BB263" i="1" s="1"/>
  <c r="L51" i="2" s="1"/>
  <c r="H42" i="3"/>
  <c r="BA319" i="1"/>
  <c r="BB319" i="1" s="1"/>
  <c r="Q332" i="1"/>
  <c r="BA19" i="1"/>
  <c r="BB19" i="1" s="1"/>
  <c r="G5" i="2"/>
  <c r="H5" i="3"/>
  <c r="BA339" i="1"/>
  <c r="BB339" i="1" s="1"/>
  <c r="L66" i="2" s="1"/>
  <c r="H53" i="3"/>
  <c r="BA355" i="1"/>
  <c r="BB355" i="1" s="1"/>
  <c r="L68" i="2" s="1"/>
  <c r="BA225" i="1"/>
  <c r="BB225" i="1" s="1"/>
  <c r="L44" i="2" s="1"/>
  <c r="H36" i="3"/>
  <c r="H38" i="3"/>
  <c r="BA249" i="1"/>
  <c r="BB249" i="1" s="1"/>
  <c r="L49" i="2" s="1"/>
  <c r="H40" i="3"/>
  <c r="BA28" i="1"/>
  <c r="BB28" i="1" s="1"/>
  <c r="L6" i="2" s="1"/>
  <c r="G6" i="2"/>
  <c r="H6" i="3"/>
  <c r="BA219" i="1"/>
  <c r="BB219" i="1" s="1"/>
  <c r="L43" i="2" s="1"/>
  <c r="H34" i="3"/>
  <c r="BU49" i="1"/>
  <c r="H50" i="3"/>
  <c r="Q357" i="1"/>
  <c r="H56" i="3" s="1"/>
  <c r="AH49" i="1"/>
  <c r="H11" i="2" s="1"/>
  <c r="I10" i="3" s="1"/>
  <c r="BN332" i="1"/>
  <c r="AG181" i="1"/>
  <c r="BV273" i="1"/>
  <c r="AO242" i="1"/>
  <c r="BV242" i="1"/>
  <c r="AO303" i="1"/>
  <c r="BA280" i="1"/>
  <c r="BB280" i="1" s="1"/>
  <c r="L54" i="2" s="1"/>
  <c r="BM303" i="1"/>
  <c r="BA239" i="1"/>
  <c r="BB239" i="1" s="1"/>
  <c r="BM242" i="1"/>
  <c r="BV303" i="1"/>
  <c r="AO273" i="1"/>
  <c r="BM273" i="1"/>
  <c r="AF361" i="1"/>
  <c r="BL181" i="1"/>
  <c r="IM367" i="1"/>
  <c r="IM370" i="1"/>
  <c r="BM49" i="1"/>
  <c r="BV332" i="1"/>
  <c r="L32" i="2"/>
  <c r="J32" i="2"/>
  <c r="R8" i="2"/>
  <c r="S8" i="2" s="1"/>
  <c r="AO332" i="1"/>
  <c r="AO213" i="1"/>
  <c r="BV213" i="1"/>
  <c r="L57" i="2"/>
  <c r="BM213" i="1"/>
  <c r="BK361" i="1"/>
  <c r="AN359" i="1"/>
  <c r="BN280" i="1"/>
  <c r="BN232" i="1"/>
  <c r="BN348" i="1"/>
  <c r="BN225" i="1"/>
  <c r="BN249" i="1"/>
  <c r="BN239" i="1"/>
  <c r="BN263" i="1"/>
  <c r="H25" i="3"/>
  <c r="BN19" i="1"/>
  <c r="BN11" i="1"/>
  <c r="J38" i="2"/>
  <c r="J56" i="2"/>
  <c r="L39" i="2"/>
  <c r="L55" i="2"/>
  <c r="L7" i="2"/>
  <c r="L22" i="2"/>
  <c r="J23" i="2"/>
  <c r="J29" i="2"/>
  <c r="L12" i="2"/>
  <c r="L19" i="2"/>
  <c r="L37" i="2"/>
  <c r="L17" i="2"/>
  <c r="L60" i="2"/>
  <c r="L21" i="2"/>
  <c r="R57" i="2"/>
  <c r="S57" i="2" s="1"/>
  <c r="S9" i="2"/>
  <c r="P25" i="2"/>
  <c r="R40" i="2"/>
  <c r="S40" i="2" s="1"/>
  <c r="P38" i="2"/>
  <c r="R17" i="2"/>
  <c r="S17" i="2" s="1"/>
  <c r="S63" i="2"/>
  <c r="G33" i="2"/>
  <c r="G23" i="3"/>
  <c r="G21" i="2"/>
  <c r="G37" i="2"/>
  <c r="G18" i="2"/>
  <c r="G55" i="2"/>
  <c r="G17" i="2"/>
  <c r="G44" i="2"/>
  <c r="G19" i="2"/>
  <c r="G46" i="2"/>
  <c r="G60" i="2"/>
  <c r="G9" i="3"/>
  <c r="S28" i="1"/>
  <c r="H14" i="3"/>
  <c r="BU359" i="1"/>
  <c r="H33" i="3"/>
  <c r="H22" i="3"/>
  <c r="H43" i="3"/>
  <c r="H27" i="3"/>
  <c r="H46" i="3"/>
  <c r="AO357" i="1"/>
  <c r="H18" i="3"/>
  <c r="H17" i="3"/>
  <c r="H51" i="3"/>
  <c r="H55" i="3"/>
  <c r="BV357" i="1"/>
  <c r="AJ4" i="1"/>
  <c r="HD1" i="1"/>
  <c r="AI3" i="1"/>
  <c r="BN3" i="1"/>
  <c r="BL359" i="1"/>
  <c r="BM357" i="1"/>
  <c r="IG1" i="1"/>
  <c r="BO339" i="1"/>
  <c r="M66" i="2" s="1"/>
  <c r="K53" i="3" s="1"/>
  <c r="BO4" i="1"/>
  <c r="BO319" i="1"/>
  <c r="M61" i="2" s="1"/>
  <c r="K50" i="3" s="1"/>
  <c r="BN213" i="1"/>
  <c r="BN270" i="1"/>
  <c r="I4" i="2" l="1"/>
  <c r="J4" i="3" s="1"/>
  <c r="Q11" i="1"/>
  <c r="G15" i="3"/>
  <c r="G6" i="3"/>
  <c r="AJ11" i="1"/>
  <c r="AJ49" i="1" s="1"/>
  <c r="AI49" i="1"/>
  <c r="I11" i="2" s="1"/>
  <c r="J10" i="3" s="1"/>
  <c r="J52" i="2"/>
  <c r="BV49" i="1"/>
  <c r="Q242" i="1"/>
  <c r="H39" i="3" s="1"/>
  <c r="BA213" i="1"/>
  <c r="BB213" i="1" s="1"/>
  <c r="L42" i="2" s="1"/>
  <c r="BA273" i="1"/>
  <c r="BB273" i="1" s="1"/>
  <c r="G67" i="2"/>
  <c r="Q273" i="1"/>
  <c r="H44" i="3" s="1"/>
  <c r="BA303" i="1"/>
  <c r="BB303" i="1" s="1"/>
  <c r="G59" i="2"/>
  <c r="H35" i="3"/>
  <c r="BA357" i="1"/>
  <c r="BB357" i="1" s="1"/>
  <c r="G70" i="2"/>
  <c r="BA242" i="1"/>
  <c r="BB242" i="1" s="1"/>
  <c r="BA332" i="1"/>
  <c r="BB332" i="1" s="1"/>
  <c r="J45" i="2"/>
  <c r="BU181" i="1"/>
  <c r="AH181" i="1"/>
  <c r="H36" i="2" s="1"/>
  <c r="I28" i="3" s="1"/>
  <c r="BN303" i="1"/>
  <c r="AG361" i="1"/>
  <c r="BN242" i="1"/>
  <c r="BO332" i="1"/>
  <c r="M65" i="2" s="1"/>
  <c r="K52" i="3" s="1"/>
  <c r="BN273" i="1"/>
  <c r="BM181" i="1"/>
  <c r="BN49" i="1"/>
  <c r="L28" i="2"/>
  <c r="J28" i="2"/>
  <c r="J15" i="2"/>
  <c r="J24" i="2"/>
  <c r="BL361" i="1"/>
  <c r="J40" i="2"/>
  <c r="K50" i="2"/>
  <c r="L50" i="2"/>
  <c r="K18" i="2"/>
  <c r="L18" i="2"/>
  <c r="K16" i="2"/>
  <c r="L16" i="2"/>
  <c r="AO359" i="1"/>
  <c r="Q38" i="2"/>
  <c r="J25" i="2"/>
  <c r="R19" i="1"/>
  <c r="K5" i="2" s="1"/>
  <c r="BO249" i="1"/>
  <c r="M49" i="2" s="1"/>
  <c r="K40" i="3" s="1"/>
  <c r="BO232" i="1"/>
  <c r="M45" i="2" s="1"/>
  <c r="K37" i="3" s="1"/>
  <c r="BO348" i="1"/>
  <c r="M67" i="2" s="1"/>
  <c r="K54" i="3" s="1"/>
  <c r="BO280" i="1"/>
  <c r="M54" i="2" s="1"/>
  <c r="K35" i="3" s="1"/>
  <c r="BO239" i="1"/>
  <c r="M46" i="2" s="1"/>
  <c r="K38" i="3" s="1"/>
  <c r="BO225" i="1"/>
  <c r="M44" i="2" s="1"/>
  <c r="K36" i="3" s="1"/>
  <c r="BO263" i="1"/>
  <c r="M51" i="2" s="1"/>
  <c r="K42" i="3" s="1"/>
  <c r="L5" i="2"/>
  <c r="T219" i="1"/>
  <c r="Q43" i="2" s="1"/>
  <c r="K7" i="2"/>
  <c r="R355" i="1"/>
  <c r="K68" i="2" s="1"/>
  <c r="K29" i="2"/>
  <c r="K12" i="2"/>
  <c r="K39" i="2"/>
  <c r="K23" i="2"/>
  <c r="R263" i="1"/>
  <c r="K51" i="2" s="1"/>
  <c r="K17" i="2"/>
  <c r="U219" i="1"/>
  <c r="T355" i="1"/>
  <c r="Q68" i="2" s="1"/>
  <c r="R319" i="1"/>
  <c r="R280" i="1"/>
  <c r="U355" i="1"/>
  <c r="K22" i="2"/>
  <c r="R225" i="1"/>
  <c r="K44" i="2" s="1"/>
  <c r="R348" i="1"/>
  <c r="K67" i="2" s="1"/>
  <c r="K55" i="2"/>
  <c r="R270" i="1"/>
  <c r="K38" i="2"/>
  <c r="K21" i="2"/>
  <c r="R239" i="1"/>
  <c r="R232" i="1"/>
  <c r="K45" i="2" s="1"/>
  <c r="Q17" i="2"/>
  <c r="K37" i="2"/>
  <c r="K56" i="2"/>
  <c r="O6" i="2"/>
  <c r="R249" i="1"/>
  <c r="K49" i="2" s="1"/>
  <c r="R339" i="1"/>
  <c r="K66" i="2" s="1"/>
  <c r="K32" i="2"/>
  <c r="R219" i="1"/>
  <c r="K43" i="2" s="1"/>
  <c r="BO19" i="1"/>
  <c r="M5" i="2" s="1"/>
  <c r="K5" i="3" s="1"/>
  <c r="BO11" i="1"/>
  <c r="M4" i="2" s="1"/>
  <c r="K4" i="3" s="1"/>
  <c r="L20" i="2"/>
  <c r="J50" i="2"/>
  <c r="L40" i="2"/>
  <c r="Q40" i="2"/>
  <c r="P8" i="2"/>
  <c r="P57" i="2"/>
  <c r="R38" i="2"/>
  <c r="S38" i="2" s="1"/>
  <c r="J39" i="2"/>
  <c r="J46" i="2"/>
  <c r="J55" i="2"/>
  <c r="P6" i="2"/>
  <c r="L45" i="2"/>
  <c r="J8" i="2"/>
  <c r="L38" i="2"/>
  <c r="J6" i="2"/>
  <c r="J43" i="2"/>
  <c r="J54" i="2"/>
  <c r="L52" i="2"/>
  <c r="J21" i="2"/>
  <c r="L56" i="2"/>
  <c r="J49" i="2"/>
  <c r="J13" i="2"/>
  <c r="J22" i="2"/>
  <c r="L29" i="2"/>
  <c r="J57" i="2"/>
  <c r="J18" i="2"/>
  <c r="J67" i="2"/>
  <c r="J68" i="2"/>
  <c r="J16" i="2"/>
  <c r="J37" i="2"/>
  <c r="J44" i="2"/>
  <c r="J19" i="2"/>
  <c r="J66" i="2"/>
  <c r="J12" i="2"/>
  <c r="J61" i="2"/>
  <c r="J30" i="2"/>
  <c r="L23" i="2"/>
  <c r="J7" i="2"/>
  <c r="P43" i="2"/>
  <c r="J17" i="2"/>
  <c r="P40" i="2"/>
  <c r="R25" i="2"/>
  <c r="S25" i="2" s="1"/>
  <c r="P68" i="2"/>
  <c r="P17" i="2"/>
  <c r="G39" i="2"/>
  <c r="G56" i="2"/>
  <c r="G22" i="2"/>
  <c r="G54" i="2"/>
  <c r="G45" i="2"/>
  <c r="G52" i="2"/>
  <c r="G29" i="2"/>
  <c r="G68" i="2"/>
  <c r="G57" i="2"/>
  <c r="G23" i="2"/>
  <c r="G66" i="2"/>
  <c r="G30" i="3"/>
  <c r="G40" i="2"/>
  <c r="G30" i="2"/>
  <c r="J60" i="2"/>
  <c r="G43" i="2"/>
  <c r="G8" i="3"/>
  <c r="J51" i="2"/>
  <c r="J5" i="2"/>
  <c r="G49" i="2"/>
  <c r="G24" i="2"/>
  <c r="G50" i="2"/>
  <c r="G63" i="2"/>
  <c r="G61" i="2"/>
  <c r="G51" i="2"/>
  <c r="BV359" i="1"/>
  <c r="T28" i="1"/>
  <c r="Q6" i="2" s="1"/>
  <c r="R28" i="1"/>
  <c r="K6" i="2" s="1"/>
  <c r="H48" i="3"/>
  <c r="U28" i="1"/>
  <c r="J59" i="3"/>
  <c r="L59" i="3"/>
  <c r="H52" i="3"/>
  <c r="AK4" i="1"/>
  <c r="HE1" i="1"/>
  <c r="AJ3" i="1"/>
  <c r="BO3" i="1"/>
  <c r="BN357" i="1"/>
  <c r="BM359" i="1"/>
  <c r="BO270" i="1"/>
  <c r="M52" i="2" s="1"/>
  <c r="K43" i="3" s="1"/>
  <c r="BO213" i="1"/>
  <c r="M42" i="2" s="1"/>
  <c r="K33" i="3" s="1"/>
  <c r="IH1" i="1"/>
  <c r="BP339" i="1"/>
  <c r="N66" i="2" s="1"/>
  <c r="L53" i="3" s="1"/>
  <c r="BP4" i="1"/>
  <c r="S4" i="1" s="1"/>
  <c r="BP319" i="1"/>
  <c r="N61" i="2" s="1"/>
  <c r="L50" i="3" s="1"/>
  <c r="G32" i="3" l="1"/>
  <c r="G34" i="3"/>
  <c r="G47" i="3"/>
  <c r="G51" i="3"/>
  <c r="G55" i="3"/>
  <c r="AK11" i="1"/>
  <c r="BP332" i="1"/>
  <c r="N65" i="2" s="1"/>
  <c r="L52" i="3" s="1"/>
  <c r="AI181" i="1"/>
  <c r="I36" i="2" s="1"/>
  <c r="J28" i="3" s="1"/>
  <c r="J48" i="2"/>
  <c r="BV181" i="1"/>
  <c r="BV361" i="1" s="1"/>
  <c r="Q359" i="1"/>
  <c r="H57" i="3" s="1"/>
  <c r="G65" i="2"/>
  <c r="J70" i="2"/>
  <c r="BA359" i="1"/>
  <c r="BB359" i="1" s="1"/>
  <c r="J53" i="2"/>
  <c r="J59" i="2"/>
  <c r="BU361" i="1"/>
  <c r="AJ181" i="1"/>
  <c r="BO303" i="1"/>
  <c r="M59" i="2" s="1"/>
  <c r="K48" i="3" s="1"/>
  <c r="AH361" i="1"/>
  <c r="H72" i="2" s="1"/>
  <c r="I58" i="3" s="1"/>
  <c r="BN181" i="1"/>
  <c r="BO242" i="1"/>
  <c r="M48" i="2" s="1"/>
  <c r="K39" i="3" s="1"/>
  <c r="BO273" i="1"/>
  <c r="M53" i="2" s="1"/>
  <c r="K44" i="3" s="1"/>
  <c r="K54" i="2"/>
  <c r="R303" i="1"/>
  <c r="K59" i="2" s="1"/>
  <c r="R242" i="1"/>
  <c r="K48" i="2" s="1"/>
  <c r="K52" i="2"/>
  <c r="R273" i="1"/>
  <c r="K53" i="2" s="1"/>
  <c r="L24" i="2"/>
  <c r="BO49" i="1"/>
  <c r="M11" i="2" s="1"/>
  <c r="K10" i="3" s="1"/>
  <c r="K28" i="2"/>
  <c r="L65" i="2"/>
  <c r="L61" i="2"/>
  <c r="K61" i="2"/>
  <c r="R332" i="1"/>
  <c r="L46" i="2"/>
  <c r="L48" i="2"/>
  <c r="K15" i="2"/>
  <c r="BM361" i="1"/>
  <c r="R213" i="1"/>
  <c r="K42" i="2" s="1"/>
  <c r="H59" i="3"/>
  <c r="Q8" i="2"/>
  <c r="K8" i="2"/>
  <c r="L8" i="2"/>
  <c r="K13" i="2"/>
  <c r="L13" i="2"/>
  <c r="L15" i="2"/>
  <c r="J35" i="2"/>
  <c r="J65" i="2"/>
  <c r="K30" i="2"/>
  <c r="L30" i="2"/>
  <c r="Q25" i="2"/>
  <c r="L25" i="2"/>
  <c r="K25" i="2"/>
  <c r="BP263" i="1"/>
  <c r="N51" i="2" s="1"/>
  <c r="L42" i="3" s="1"/>
  <c r="BP239" i="1"/>
  <c r="N46" i="2" s="1"/>
  <c r="L38" i="3" s="1"/>
  <c r="BP280" i="1"/>
  <c r="N54" i="2" s="1"/>
  <c r="L35" i="3" s="1"/>
  <c r="BP225" i="1"/>
  <c r="N44" i="2" s="1"/>
  <c r="L36" i="3" s="1"/>
  <c r="BP249" i="1"/>
  <c r="N49" i="2" s="1"/>
  <c r="L40" i="3" s="1"/>
  <c r="BP232" i="1"/>
  <c r="N45" i="2" s="1"/>
  <c r="L37" i="3" s="1"/>
  <c r="BP348" i="1"/>
  <c r="N67" i="2" s="1"/>
  <c r="L54" i="3" s="1"/>
  <c r="K60" i="2"/>
  <c r="K40" i="2"/>
  <c r="K19" i="2"/>
  <c r="K20" i="2"/>
  <c r="BP19" i="1"/>
  <c r="N5" i="2" s="1"/>
  <c r="L5" i="3" s="1"/>
  <c r="BP11" i="1"/>
  <c r="N4" i="2" s="1"/>
  <c r="L4" i="3" s="1"/>
  <c r="L70" i="2"/>
  <c r="J20" i="2"/>
  <c r="L59" i="2"/>
  <c r="L53" i="2"/>
  <c r="J42" i="2"/>
  <c r="G20" i="2"/>
  <c r="G53" i="2"/>
  <c r="G15" i="2"/>
  <c r="G42" i="2"/>
  <c r="G48" i="2"/>
  <c r="G35" i="2"/>
  <c r="K24" i="2"/>
  <c r="R357" i="1"/>
  <c r="K70" i="2" s="1"/>
  <c r="K46" i="2"/>
  <c r="Q57" i="2"/>
  <c r="K57" i="2"/>
  <c r="HF1" i="1"/>
  <c r="AL4" i="1"/>
  <c r="BO357" i="1"/>
  <c r="M70" i="2" s="1"/>
  <c r="K56" i="3" s="1"/>
  <c r="AK3" i="1"/>
  <c r="BP3" i="1"/>
  <c r="BN359" i="1"/>
  <c r="BP213" i="1"/>
  <c r="N42" i="2" s="1"/>
  <c r="L33" i="3" s="1"/>
  <c r="II1" i="1"/>
  <c r="BQ339" i="1"/>
  <c r="BQ4" i="1"/>
  <c r="BQ319" i="1"/>
  <c r="BP270" i="1"/>
  <c r="N52" i="2" s="1"/>
  <c r="L43" i="3" s="1"/>
  <c r="AK49" i="1" l="1"/>
  <c r="AK181" i="1" s="1"/>
  <c r="AK361" i="1" s="1"/>
  <c r="AJ361" i="1"/>
  <c r="AI361" i="1"/>
  <c r="I72" i="2" s="1"/>
  <c r="J58" i="3" s="1"/>
  <c r="AL11" i="1"/>
  <c r="BO181" i="1"/>
  <c r="M36" i="2" s="1"/>
  <c r="K28" i="3" s="1"/>
  <c r="BP273" i="1"/>
  <c r="N53" i="2" s="1"/>
  <c r="L44" i="3" s="1"/>
  <c r="BQ332" i="1"/>
  <c r="BP303" i="1"/>
  <c r="N59" i="2" s="1"/>
  <c r="L48" i="3" s="1"/>
  <c r="BP242" i="1"/>
  <c r="N48" i="2" s="1"/>
  <c r="L39" i="3" s="1"/>
  <c r="BP49" i="1"/>
  <c r="N11" i="2" s="1"/>
  <c r="L10" i="3" s="1"/>
  <c r="BN361" i="1"/>
  <c r="L35" i="2"/>
  <c r="K35" i="2"/>
  <c r="K65" i="2"/>
  <c r="R359" i="1"/>
  <c r="BQ232" i="1"/>
  <c r="BQ239" i="1"/>
  <c r="BQ280" i="1"/>
  <c r="BQ225" i="1"/>
  <c r="BQ348" i="1"/>
  <c r="BQ263" i="1"/>
  <c r="BQ249" i="1"/>
  <c r="BQ11" i="1"/>
  <c r="BQ19" i="1"/>
  <c r="J71" i="2"/>
  <c r="G71" i="2"/>
  <c r="AM4" i="1"/>
  <c r="HG1" i="1"/>
  <c r="BQ3" i="1"/>
  <c r="AL3" i="1"/>
  <c r="BP357" i="1"/>
  <c r="N70" i="2" s="1"/>
  <c r="L56" i="3" s="1"/>
  <c r="BO359" i="1"/>
  <c r="M71" i="2" s="1"/>
  <c r="K57" i="3" s="1"/>
  <c r="BQ270" i="1"/>
  <c r="IJ1" i="1"/>
  <c r="BR319" i="1"/>
  <c r="BR332" i="1" s="1"/>
  <c r="BR4" i="1"/>
  <c r="BR339" i="1"/>
  <c r="BQ213" i="1"/>
  <c r="BP181" i="1" l="1"/>
  <c r="N36" i="2" s="1"/>
  <c r="L28" i="3" s="1"/>
  <c r="BQ303" i="1"/>
  <c r="AL49" i="1"/>
  <c r="BQ242" i="1"/>
  <c r="BQ273" i="1"/>
  <c r="BQ49" i="1"/>
  <c r="BO361" i="1"/>
  <c r="M72" i="2" s="1"/>
  <c r="K58" i="3" s="1"/>
  <c r="K71" i="2"/>
  <c r="L71" i="2"/>
  <c r="BR249" i="1"/>
  <c r="BR232" i="1"/>
  <c r="BR348" i="1"/>
  <c r="BR280" i="1"/>
  <c r="BR303" i="1" s="1"/>
  <c r="BR263" i="1"/>
  <c r="BR239" i="1"/>
  <c r="BR225" i="1"/>
  <c r="BR19" i="1"/>
  <c r="BR11" i="1"/>
  <c r="AM11" i="1"/>
  <c r="HH1" i="1"/>
  <c r="AN4" i="1"/>
  <c r="BQ357" i="1"/>
  <c r="BP359" i="1"/>
  <c r="N71" i="2" s="1"/>
  <c r="L57" i="3" s="1"/>
  <c r="AM3" i="1"/>
  <c r="BR3" i="1"/>
  <c r="BR270" i="1"/>
  <c r="BR213" i="1"/>
  <c r="IK1" i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BS339" i="1"/>
  <c r="BS4" i="1"/>
  <c r="S11" i="1" s="1"/>
  <c r="S49" i="1" s="1"/>
  <c r="S181" i="1" s="1"/>
  <c r="BS319" i="1"/>
  <c r="AM49" i="1" l="1"/>
  <c r="BQ181" i="1"/>
  <c r="AL181" i="1"/>
  <c r="BS332" i="1"/>
  <c r="BR242" i="1"/>
  <c r="BR273" i="1"/>
  <c r="BR49" i="1"/>
  <c r="BR181" i="1" s="1"/>
  <c r="BP361" i="1"/>
  <c r="N72" i="2" s="1"/>
  <c r="L58" i="3" s="1"/>
  <c r="BS232" i="1"/>
  <c r="BS263" i="1"/>
  <c r="BS249" i="1"/>
  <c r="BS239" i="1"/>
  <c r="BS348" i="1"/>
  <c r="BS280" i="1"/>
  <c r="BS225" i="1"/>
  <c r="BS11" i="1"/>
  <c r="BS19" i="1"/>
  <c r="AN11" i="1"/>
  <c r="HI1" i="1"/>
  <c r="AO4" i="1"/>
  <c r="BS3" i="1"/>
  <c r="AN3" i="1"/>
  <c r="BQ359" i="1"/>
  <c r="BT339" i="1"/>
  <c r="BT319" i="1"/>
  <c r="BT4" i="1"/>
  <c r="BS270" i="1"/>
  <c r="BR357" i="1"/>
  <c r="CH319" i="1" l="1"/>
  <c r="CI319" i="1" s="1"/>
  <c r="CH339" i="1"/>
  <c r="CI339" i="1" s="1"/>
  <c r="AO11" i="1"/>
  <c r="AN49" i="1"/>
  <c r="AM181" i="1"/>
  <c r="AL361" i="1"/>
  <c r="BS303" i="1"/>
  <c r="BS242" i="1"/>
  <c r="BS273" i="1"/>
  <c r="BS49" i="1"/>
  <c r="BT332" i="1"/>
  <c r="R13" i="2"/>
  <c r="S13" i="2" s="1"/>
  <c r="P32" i="2"/>
  <c r="R32" i="2"/>
  <c r="S32" i="2" s="1"/>
  <c r="R39" i="2"/>
  <c r="S39" i="2" s="1"/>
  <c r="BQ361" i="1"/>
  <c r="BS213" i="1"/>
  <c r="BT263" i="1"/>
  <c r="BT249" i="1"/>
  <c r="BT280" i="1"/>
  <c r="BT348" i="1"/>
  <c r="BT225" i="1"/>
  <c r="BT239" i="1"/>
  <c r="BT232" i="1"/>
  <c r="BT11" i="1"/>
  <c r="BT19" i="1"/>
  <c r="AP4" i="1"/>
  <c r="HJ1" i="1"/>
  <c r="HK1" i="1" s="1"/>
  <c r="HL1" i="1" s="1"/>
  <c r="HM1" i="1" s="1"/>
  <c r="HN1" i="1" s="1"/>
  <c r="HO1" i="1" s="1"/>
  <c r="HP1" i="1" s="1"/>
  <c r="HQ1" i="1" s="1"/>
  <c r="O22" i="2"/>
  <c r="CH4" i="1"/>
  <c r="CI4" i="1" s="1"/>
  <c r="AO3" i="1"/>
  <c r="BS357" i="1"/>
  <c r="BT3" i="1"/>
  <c r="BR359" i="1"/>
  <c r="BT270" i="1"/>
  <c r="CH270" i="1" l="1"/>
  <c r="CI270" i="1" s="1"/>
  <c r="CH225" i="1"/>
  <c r="CI225" i="1" s="1"/>
  <c r="R44" i="2" s="1"/>
  <c r="S44" i="2" s="1"/>
  <c r="CH263" i="1"/>
  <c r="CI263" i="1" s="1"/>
  <c r="R51" i="2" s="1"/>
  <c r="S51" i="2" s="1"/>
  <c r="CH19" i="1"/>
  <c r="CI19" i="1" s="1"/>
  <c r="CH332" i="1"/>
  <c r="CI332" i="1" s="1"/>
  <c r="CH239" i="1"/>
  <c r="CI239" i="1" s="1"/>
  <c r="CH348" i="1"/>
  <c r="CI348" i="1" s="1"/>
  <c r="CH249" i="1"/>
  <c r="CI249" i="1" s="1"/>
  <c r="R49" i="2" s="1"/>
  <c r="S49" i="2" s="1"/>
  <c r="CH232" i="1"/>
  <c r="CI232" i="1" s="1"/>
  <c r="R45" i="2" s="1"/>
  <c r="S45" i="2" s="1"/>
  <c r="CH280" i="1"/>
  <c r="CI280" i="1" s="1"/>
  <c r="R54" i="2" s="1"/>
  <c r="S54" i="2" s="1"/>
  <c r="CH11" i="1"/>
  <c r="CI11" i="1" s="1"/>
  <c r="AO49" i="1"/>
  <c r="G4" i="2"/>
  <c r="Q49" i="1"/>
  <c r="Q181" i="1" s="1"/>
  <c r="AN181" i="1"/>
  <c r="AM361" i="1"/>
  <c r="BS181" i="1"/>
  <c r="BT242" i="1"/>
  <c r="BT303" i="1"/>
  <c r="BT273" i="1"/>
  <c r="R24" i="2"/>
  <c r="S24" i="2" s="1"/>
  <c r="BT49" i="1"/>
  <c r="R30" i="2"/>
  <c r="S30" i="2" s="1"/>
  <c r="BR361" i="1"/>
  <c r="BT213" i="1"/>
  <c r="AP11" i="1"/>
  <c r="BA4" i="1"/>
  <c r="BB4" i="1" s="1"/>
  <c r="T4" i="1"/>
  <c r="T339" i="1"/>
  <c r="Q32" i="2"/>
  <c r="O16" i="2"/>
  <c r="O45" i="2"/>
  <c r="O54" i="2"/>
  <c r="O30" i="2"/>
  <c r="O66" i="2"/>
  <c r="O56" i="2"/>
  <c r="O39" i="2"/>
  <c r="U319" i="1"/>
  <c r="U332" i="1" s="1"/>
  <c r="O52" i="2"/>
  <c r="U339" i="1"/>
  <c r="O61" i="2"/>
  <c r="O13" i="2"/>
  <c r="R23" i="2"/>
  <c r="S23" i="2" s="1"/>
  <c r="S33" i="2"/>
  <c r="R37" i="2"/>
  <c r="S37" i="2" s="1"/>
  <c r="R16" i="2"/>
  <c r="S16" i="2" s="1"/>
  <c r="S55" i="2"/>
  <c r="R18" i="2"/>
  <c r="S18" i="2" s="1"/>
  <c r="R50" i="2"/>
  <c r="S50" i="2" s="1"/>
  <c r="R22" i="2"/>
  <c r="S22" i="2" s="1"/>
  <c r="P13" i="2"/>
  <c r="R66" i="2"/>
  <c r="S66" i="2" s="1"/>
  <c r="BS359" i="1"/>
  <c r="R60" i="2"/>
  <c r="S60" i="2" s="1"/>
  <c r="BU3" i="1"/>
  <c r="AP3" i="1"/>
  <c r="R7" i="2"/>
  <c r="S7" i="2" s="1"/>
  <c r="R19" i="2"/>
  <c r="S19" i="2" s="1"/>
  <c r="R29" i="2"/>
  <c r="S29" i="2" s="1"/>
  <c r="P39" i="2"/>
  <c r="R56" i="2"/>
  <c r="S56" i="2" s="1"/>
  <c r="R12" i="2"/>
  <c r="S12" i="2" s="1"/>
  <c r="R21" i="2"/>
  <c r="S21" i="2" s="1"/>
  <c r="BT357" i="1"/>
  <c r="BA11" i="1" l="1"/>
  <c r="BB11" i="1" s="1"/>
  <c r="CH273" i="1"/>
  <c r="CI273" i="1" s="1"/>
  <c r="R53" i="2" s="1"/>
  <c r="S53" i="2" s="1"/>
  <c r="CH357" i="1"/>
  <c r="CI357" i="1" s="1"/>
  <c r="R70" i="2" s="1"/>
  <c r="S70" i="2" s="1"/>
  <c r="CH242" i="1"/>
  <c r="CI242" i="1" s="1"/>
  <c r="R48" i="2" s="1"/>
  <c r="S48" i="2" s="1"/>
  <c r="CH213" i="1"/>
  <c r="CI213" i="1" s="1"/>
  <c r="R42" i="2" s="1"/>
  <c r="S42" i="2" s="1"/>
  <c r="CH303" i="1"/>
  <c r="CI303" i="1" s="1"/>
  <c r="R59" i="2" s="1"/>
  <c r="S59" i="2" s="1"/>
  <c r="CH49" i="1"/>
  <c r="CI49" i="1" s="1"/>
  <c r="AO181" i="1"/>
  <c r="G11" i="2"/>
  <c r="AN361" i="1"/>
  <c r="R67" i="2"/>
  <c r="S67" i="2" s="1"/>
  <c r="BT181" i="1"/>
  <c r="R46" i="2"/>
  <c r="S46" i="2" s="1"/>
  <c r="R52" i="2"/>
  <c r="S52" i="2" s="1"/>
  <c r="AP49" i="1"/>
  <c r="P28" i="2"/>
  <c r="R28" i="2"/>
  <c r="S28" i="2" s="1"/>
  <c r="BS361" i="1"/>
  <c r="T232" i="1"/>
  <c r="R4" i="2"/>
  <c r="U19" i="1"/>
  <c r="T11" i="1"/>
  <c r="Q4" i="2" s="1"/>
  <c r="T19" i="1"/>
  <c r="U280" i="1"/>
  <c r="U303" i="1" s="1"/>
  <c r="U232" i="1"/>
  <c r="U239" i="1"/>
  <c r="U225" i="1"/>
  <c r="U213" i="1"/>
  <c r="T225" i="1"/>
  <c r="T280" i="1"/>
  <c r="T303" i="1" s="1"/>
  <c r="U270" i="1"/>
  <c r="T239" i="1"/>
  <c r="U348" i="1"/>
  <c r="T348" i="1"/>
  <c r="T319" i="1"/>
  <c r="T332" i="1" s="1"/>
  <c r="T270" i="1"/>
  <c r="T263" i="1"/>
  <c r="T249" i="1"/>
  <c r="U263" i="1"/>
  <c r="U249" i="1"/>
  <c r="R5" i="2"/>
  <c r="S5" i="2" s="1"/>
  <c r="R4" i="1"/>
  <c r="R11" i="1" s="1"/>
  <c r="R49" i="1" s="1"/>
  <c r="R181" i="1" s="1"/>
  <c r="U4" i="1"/>
  <c r="U11" i="1" s="1"/>
  <c r="G26" i="3"/>
  <c r="G20" i="3"/>
  <c r="Q22" i="2"/>
  <c r="O37" i="2"/>
  <c r="O51" i="2"/>
  <c r="O19" i="2"/>
  <c r="O4" i="2"/>
  <c r="O29" i="2"/>
  <c r="O50" i="2"/>
  <c r="O24" i="2"/>
  <c r="O7" i="2"/>
  <c r="O12" i="2"/>
  <c r="O55" i="2"/>
  <c r="O67" i="2"/>
  <c r="O5" i="2"/>
  <c r="O49" i="2"/>
  <c r="O44" i="2"/>
  <c r="O18" i="2"/>
  <c r="O60" i="2"/>
  <c r="O21" i="2"/>
  <c r="O23" i="2"/>
  <c r="P61" i="2"/>
  <c r="R61" i="2"/>
  <c r="S61" i="2" s="1"/>
  <c r="S357" i="1"/>
  <c r="S359" i="1" s="1"/>
  <c r="S361" i="1" s="1"/>
  <c r="O46" i="2"/>
  <c r="G13" i="3"/>
  <c r="G50" i="3"/>
  <c r="G31" i="3"/>
  <c r="P24" i="2"/>
  <c r="P46" i="2"/>
  <c r="R65" i="2"/>
  <c r="S65" i="2" s="1"/>
  <c r="P30" i="2"/>
  <c r="P18" i="2"/>
  <c r="R20" i="2"/>
  <c r="S20" i="2" s="1"/>
  <c r="P66" i="2"/>
  <c r="P54" i="2"/>
  <c r="P12" i="2"/>
  <c r="P16" i="2"/>
  <c r="R15" i="2"/>
  <c r="S15" i="2" s="1"/>
  <c r="P37" i="2"/>
  <c r="P29" i="2"/>
  <c r="P7" i="2"/>
  <c r="P44" i="2"/>
  <c r="P19" i="2"/>
  <c r="P21" i="2"/>
  <c r="AQ3" i="1"/>
  <c r="P55" i="2"/>
  <c r="BV3" i="1"/>
  <c r="P52" i="2"/>
  <c r="P56" i="2"/>
  <c r="P60" i="2"/>
  <c r="P22" i="2"/>
  <c r="P49" i="2"/>
  <c r="P67" i="2"/>
  <c r="P50" i="2"/>
  <c r="P5" i="2"/>
  <c r="P51" i="2"/>
  <c r="P45" i="2"/>
  <c r="P4" i="2"/>
  <c r="U4" i="2" s="1"/>
  <c r="P23" i="2"/>
  <c r="R35" i="2"/>
  <c r="S35" i="2" s="1"/>
  <c r="BT359" i="1"/>
  <c r="V4" i="2" l="1"/>
  <c r="S4" i="2"/>
  <c r="CH359" i="1"/>
  <c r="CI359" i="1" s="1"/>
  <c r="R71" i="2" s="1"/>
  <c r="S71" i="2" s="1"/>
  <c r="CH181" i="1"/>
  <c r="CI181" i="1" s="1"/>
  <c r="AO361" i="1"/>
  <c r="T242" i="1"/>
  <c r="AP181" i="1"/>
  <c r="BA49" i="1"/>
  <c r="BB49" i="1" s="1"/>
  <c r="U242" i="1"/>
  <c r="Q52" i="2"/>
  <c r="T273" i="1"/>
  <c r="U273" i="1"/>
  <c r="T49" i="1"/>
  <c r="T181" i="1" s="1"/>
  <c r="Q28" i="2"/>
  <c r="U49" i="1"/>
  <c r="U181" i="1" s="1"/>
  <c r="T213" i="1"/>
  <c r="BT361" i="1"/>
  <c r="H4" i="3"/>
  <c r="Q13" i="2"/>
  <c r="Q24" i="2"/>
  <c r="Q61" i="2"/>
  <c r="Q361" i="1"/>
  <c r="Q46" i="2"/>
  <c r="Q39" i="2"/>
  <c r="J4" i="2"/>
  <c r="G42" i="3"/>
  <c r="Q51" i="2"/>
  <c r="G53" i="3"/>
  <c r="Q66" i="2"/>
  <c r="G17" i="3"/>
  <c r="Q19" i="2"/>
  <c r="G45" i="3"/>
  <c r="Q55" i="2"/>
  <c r="G16" i="3"/>
  <c r="Q18" i="2"/>
  <c r="G35" i="3"/>
  <c r="Q54" i="2"/>
  <c r="G12" i="3"/>
  <c r="Q16" i="2"/>
  <c r="G11" i="3"/>
  <c r="Q12" i="2"/>
  <c r="G54" i="3"/>
  <c r="Q67" i="2"/>
  <c r="G41" i="3"/>
  <c r="Q50" i="2"/>
  <c r="G29" i="3"/>
  <c r="Q37" i="2"/>
  <c r="G46" i="3"/>
  <c r="Q56" i="2"/>
  <c r="G25" i="3"/>
  <c r="Q30" i="2"/>
  <c r="G40" i="3"/>
  <c r="Q49" i="2"/>
  <c r="G5" i="3"/>
  <c r="Q5" i="2"/>
  <c r="G49" i="3"/>
  <c r="Q60" i="2"/>
  <c r="G37" i="3"/>
  <c r="Q45" i="2"/>
  <c r="G24" i="3"/>
  <c r="Q29" i="2"/>
  <c r="G7" i="3"/>
  <c r="Q7" i="2"/>
  <c r="G19" i="3"/>
  <c r="Q21" i="2"/>
  <c r="G21" i="3"/>
  <c r="Q23" i="2"/>
  <c r="G36" i="3"/>
  <c r="Q44" i="2"/>
  <c r="O70" i="2"/>
  <c r="O20" i="2"/>
  <c r="O65" i="2"/>
  <c r="O59" i="2"/>
  <c r="O11" i="2"/>
  <c r="O15" i="2"/>
  <c r="O53" i="2"/>
  <c r="O35" i="2"/>
  <c r="O48" i="2"/>
  <c r="O42" i="2"/>
  <c r="T357" i="1"/>
  <c r="G22" i="3"/>
  <c r="G43" i="3"/>
  <c r="G38" i="3"/>
  <c r="U357" i="1"/>
  <c r="G4" i="3"/>
  <c r="P65" i="2"/>
  <c r="P11" i="2"/>
  <c r="P59" i="2"/>
  <c r="P20" i="2"/>
  <c r="P35" i="2"/>
  <c r="AR3" i="1"/>
  <c r="P15" i="2"/>
  <c r="P42" i="2"/>
  <c r="P53" i="2"/>
  <c r="P70" i="2"/>
  <c r="P48" i="2"/>
  <c r="BW3" i="1"/>
  <c r="BA181" i="1" l="1"/>
  <c r="BB181" i="1" s="1"/>
  <c r="CH361" i="1"/>
  <c r="Q11" i="2"/>
  <c r="L4" i="2"/>
  <c r="Q36" i="2"/>
  <c r="R36" i="2"/>
  <c r="S36" i="2" s="1"/>
  <c r="R11" i="2"/>
  <c r="S11" i="2" s="1"/>
  <c r="AP361" i="1"/>
  <c r="U359" i="1"/>
  <c r="Q65" i="2"/>
  <c r="T359" i="1"/>
  <c r="H10" i="3"/>
  <c r="K4" i="2"/>
  <c r="J11" i="2"/>
  <c r="G36" i="2"/>
  <c r="G44" i="3"/>
  <c r="Q53" i="2"/>
  <c r="G39" i="3"/>
  <c r="Q48" i="2"/>
  <c r="G27" i="3"/>
  <c r="Q35" i="2"/>
  <c r="G48" i="3"/>
  <c r="Q59" i="2"/>
  <c r="G18" i="3"/>
  <c r="Q20" i="2"/>
  <c r="G56" i="3"/>
  <c r="Q70" i="2"/>
  <c r="G33" i="3"/>
  <c r="Q42" i="2"/>
  <c r="G14" i="3"/>
  <c r="Q15" i="2"/>
  <c r="O71" i="2"/>
  <c r="O36" i="2"/>
  <c r="G52" i="3"/>
  <c r="G10" i="3"/>
  <c r="P36" i="2"/>
  <c r="AS3" i="1"/>
  <c r="BX3" i="1"/>
  <c r="P71" i="2"/>
  <c r="CI361" i="1" l="1"/>
  <c r="R72" i="2" s="1"/>
  <c r="S72" i="2" s="1"/>
  <c r="BA361" i="1"/>
  <c r="BB361" i="1" s="1"/>
  <c r="P72" i="2"/>
  <c r="T361" i="1"/>
  <c r="Q72" i="2" s="1"/>
  <c r="U361" i="1"/>
  <c r="K11" i="2"/>
  <c r="R361" i="1"/>
  <c r="L11" i="2"/>
  <c r="H58" i="3"/>
  <c r="H28" i="3"/>
  <c r="J36" i="2"/>
  <c r="G72" i="2"/>
  <c r="G57" i="3"/>
  <c r="Q71" i="2"/>
  <c r="O72" i="2"/>
  <c r="G28" i="3"/>
  <c r="AT3" i="1"/>
  <c r="BY3" i="1"/>
  <c r="J72" i="2" l="1"/>
  <c r="L36" i="2"/>
  <c r="L72" i="2"/>
  <c r="K36" i="2"/>
  <c r="K72" i="2"/>
  <c r="G58" i="3"/>
  <c r="BZ3" i="1"/>
  <c r="AU3" i="1"/>
  <c r="AV3" i="1" l="1"/>
  <c r="CA3" i="1"/>
  <c r="CB3" i="1" l="1"/>
  <c r="AW3" i="1"/>
  <c r="AX3" i="1" l="1"/>
  <c r="CC3" i="1"/>
  <c r="CD3" i="1" l="1"/>
  <c r="AY3" i="1"/>
  <c r="CE3" i="1" l="1"/>
  <c r="AZ3" i="1"/>
  <c r="CF3" i="1" l="1"/>
  <c r="CG3" i="1" l="1"/>
</calcChain>
</file>

<file path=xl/sharedStrings.xml><?xml version="1.0" encoding="utf-8"?>
<sst xmlns="http://schemas.openxmlformats.org/spreadsheetml/2006/main" count="5082" uniqueCount="1742">
  <si>
    <t>-</t>
  </si>
  <si>
    <t>IKON Calls</t>
  </si>
  <si>
    <t>Mapping</t>
  </si>
  <si>
    <t>Legend</t>
  </si>
  <si>
    <t>Team</t>
  </si>
  <si>
    <t>Zone</t>
  </si>
  <si>
    <t>Region</t>
  </si>
  <si>
    <t>Dept. Territory Code</t>
  </si>
  <si>
    <t>Position_Code</t>
  </si>
  <si>
    <t>SAS_ID</t>
  </si>
  <si>
    <t>SPO Name</t>
  </si>
  <si>
    <t>Base Town</t>
  </si>
  <si>
    <t>Emp. Type</t>
  </si>
  <si>
    <t>Emp. Code</t>
  </si>
  <si>
    <t>Payroll
Status</t>
  </si>
  <si>
    <t>D.O.J</t>
  </si>
  <si>
    <t>Data</t>
  </si>
  <si>
    <t>Formula</t>
  </si>
  <si>
    <t>Reps</t>
  </si>
  <si>
    <t>CM</t>
  </si>
  <si>
    <t>DO+Touch Team</t>
  </si>
  <si>
    <t>National</t>
  </si>
  <si>
    <t>CM NATL-01</t>
  </si>
  <si>
    <t>TE NATL</t>
  </si>
  <si>
    <t>TE NATL-01</t>
  </si>
  <si>
    <t>SPO</t>
  </si>
  <si>
    <t>DO Team</t>
  </si>
  <si>
    <t>South-A</t>
  </si>
  <si>
    <t>Karachi-1</t>
  </si>
  <si>
    <t>KHI-01</t>
  </si>
  <si>
    <t>KHI01-FMCG01-SPO-01</t>
  </si>
  <si>
    <t>SD+Street</t>
  </si>
  <si>
    <t>G1847</t>
  </si>
  <si>
    <t>Prime-HR</t>
  </si>
  <si>
    <t>KHI-03</t>
  </si>
  <si>
    <t>KHI01-FMCG01-SPO-03</t>
  </si>
  <si>
    <t>KHI-04</t>
  </si>
  <si>
    <t>KHI01-FMCG01-SPO-04</t>
  </si>
  <si>
    <t>0114006</t>
  </si>
  <si>
    <t>G1810</t>
  </si>
  <si>
    <t>KHI-05</t>
  </si>
  <si>
    <t>KHI01-FMCG01-SPO-02</t>
  </si>
  <si>
    <t>0115004</t>
  </si>
  <si>
    <t>Vacant</t>
  </si>
  <si>
    <t>KHI01-FMCG01-SPO-00</t>
  </si>
  <si>
    <t>0114008</t>
  </si>
  <si>
    <t>KHI</t>
  </si>
  <si>
    <t>Un-Defined</t>
  </si>
  <si>
    <t>ST-KHI-1-DIR-PHR</t>
  </si>
  <si>
    <t>KHI01-FMCG01-ASM-01</t>
  </si>
  <si>
    <t>01140</t>
  </si>
  <si>
    <t>KHI-1</t>
  </si>
  <si>
    <t>GSM-PR</t>
  </si>
  <si>
    <t>ASM</t>
  </si>
  <si>
    <t>Karachi-2</t>
  </si>
  <si>
    <t>0115002</t>
  </si>
  <si>
    <t>KHI-07</t>
  </si>
  <si>
    <t>KHI02-FMCG01-SPO-02</t>
  </si>
  <si>
    <t>0126007</t>
  </si>
  <si>
    <t>G1768</t>
  </si>
  <si>
    <t>KHI-08</t>
  </si>
  <si>
    <t>KHI02-FMCG01-SPO-03</t>
  </si>
  <si>
    <t>0115003</t>
  </si>
  <si>
    <t>G1291</t>
  </si>
  <si>
    <t>KHI-09</t>
  </si>
  <si>
    <t>KHI02-FMCG01-SPO-04</t>
  </si>
  <si>
    <t>0114004</t>
  </si>
  <si>
    <t>KHI-10</t>
  </si>
  <si>
    <t>KHI02-FMCG01-SPO-05</t>
  </si>
  <si>
    <t>0115005</t>
  </si>
  <si>
    <t>G1535</t>
  </si>
  <si>
    <t>KHI02-FMCG01-SPO-00</t>
  </si>
  <si>
    <t>0115008</t>
  </si>
  <si>
    <t>ST-KHI-2-DIR-PHR</t>
  </si>
  <si>
    <t>KHI02-FMCG01-ASM-01</t>
  </si>
  <si>
    <t>01150</t>
  </si>
  <si>
    <t>KHI-2</t>
  </si>
  <si>
    <t>G0925</t>
  </si>
  <si>
    <t>Karachi-3</t>
  </si>
  <si>
    <t>0126008</t>
  </si>
  <si>
    <t>North</t>
  </si>
  <si>
    <t>0129002</t>
  </si>
  <si>
    <t>South</t>
  </si>
  <si>
    <t>0114007</t>
  </si>
  <si>
    <t>0114002</t>
  </si>
  <si>
    <t>0129003</t>
  </si>
  <si>
    <t>01290</t>
  </si>
  <si>
    <t>KHI-3</t>
  </si>
  <si>
    <t>LMT+Street</t>
  </si>
  <si>
    <t>E-01706</t>
  </si>
  <si>
    <t>Touch Team</t>
  </si>
  <si>
    <t>Karachi-4</t>
  </si>
  <si>
    <t>T-KHI-01</t>
  </si>
  <si>
    <t>KHI04-FMCG02-SPO-01</t>
  </si>
  <si>
    <t>0119001</t>
  </si>
  <si>
    <t>G0364</t>
  </si>
  <si>
    <t>T-KHI-02</t>
  </si>
  <si>
    <t>KHI04-FMCG02-SPO-02</t>
  </si>
  <si>
    <t>0119003</t>
  </si>
  <si>
    <t>G1657</t>
  </si>
  <si>
    <t>T-KHI-03</t>
  </si>
  <si>
    <t>KHI04-FMCG02-SPO-03</t>
  </si>
  <si>
    <t>0119004</t>
  </si>
  <si>
    <t>G1257</t>
  </si>
  <si>
    <t>T-KHI-04</t>
  </si>
  <si>
    <t>KHI04-FMCG02-SPO-04</t>
  </si>
  <si>
    <t>0119007</t>
  </si>
  <si>
    <t>G1628</t>
  </si>
  <si>
    <t>KHI04-FMCG02-SPO-00</t>
  </si>
  <si>
    <t>0119006</t>
  </si>
  <si>
    <t>TH-KHI-4-DIR-PHR</t>
  </si>
  <si>
    <t>KHI04-FMCG02-ASM-01</t>
  </si>
  <si>
    <t>01190</t>
  </si>
  <si>
    <t>KHI-4</t>
  </si>
  <si>
    <t>E-01708</t>
  </si>
  <si>
    <t>T-KHI-05</t>
  </si>
  <si>
    <t>0126001</t>
  </si>
  <si>
    <t>G1011</t>
  </si>
  <si>
    <t>T-KHI-06</t>
  </si>
  <si>
    <t>0126002</t>
  </si>
  <si>
    <t>G0862</t>
  </si>
  <si>
    <t>T-KHI-07</t>
  </si>
  <si>
    <t>0126006</t>
  </si>
  <si>
    <t>G1108</t>
  </si>
  <si>
    <t>T-KHI-08</t>
  </si>
  <si>
    <t>0126003</t>
  </si>
  <si>
    <t>G1205</t>
  </si>
  <si>
    <t>E-02621</t>
  </si>
  <si>
    <t>Karachi-6</t>
  </si>
  <si>
    <t>T-KHI-09</t>
  </si>
  <si>
    <t>0119002</t>
  </si>
  <si>
    <t>T-KHI-10</t>
  </si>
  <si>
    <t>0119005</t>
  </si>
  <si>
    <t>G1676</t>
  </si>
  <si>
    <t>T-KHI-11</t>
  </si>
  <si>
    <t>0126009</t>
  </si>
  <si>
    <t>G1149</t>
  </si>
  <si>
    <t>T-KHI-12</t>
  </si>
  <si>
    <t>0126005</t>
  </si>
  <si>
    <t>G1854</t>
  </si>
  <si>
    <t>0128001</t>
  </si>
  <si>
    <t>01280</t>
  </si>
  <si>
    <t>E-02623</t>
  </si>
  <si>
    <t>Karachi-7</t>
  </si>
  <si>
    <t>Whole Sale</t>
  </si>
  <si>
    <t>Faisalabad</t>
  </si>
  <si>
    <t>0111101</t>
  </si>
  <si>
    <t>KHI-WS</t>
  </si>
  <si>
    <t>E-01725</t>
  </si>
  <si>
    <t>TE</t>
  </si>
  <si>
    <t>0130002</t>
  </si>
  <si>
    <t>G1494</t>
  </si>
  <si>
    <t>STH-A Karachi</t>
  </si>
  <si>
    <t>RSM-STH-A</t>
  </si>
  <si>
    <t>STH-A-FMCG-RSM-01</t>
  </si>
  <si>
    <t>16</t>
  </si>
  <si>
    <t>Khawaja Ghulam Nabi</t>
  </si>
  <si>
    <t>E-02519</t>
  </si>
  <si>
    <t>RSM</t>
  </si>
  <si>
    <t>South-B</t>
  </si>
  <si>
    <t>Hyderabad-1</t>
  </si>
  <si>
    <t>HYD-01</t>
  </si>
  <si>
    <t>HYD01-FMCG01-SPO-01</t>
  </si>
  <si>
    <t>0112002</t>
  </si>
  <si>
    <t>HYD</t>
  </si>
  <si>
    <t>Sukkur</t>
  </si>
  <si>
    <t>HYD-02</t>
  </si>
  <si>
    <t>HYD01-FMCG01-SPO-02</t>
  </si>
  <si>
    <t>0112009</t>
  </si>
  <si>
    <t>G1290</t>
  </si>
  <si>
    <t>T-HYD-01</t>
  </si>
  <si>
    <t>HYD01-FMCG02-SPO-01</t>
  </si>
  <si>
    <t>0112003</t>
  </si>
  <si>
    <t>G1646</t>
  </si>
  <si>
    <t>T-HYD-02</t>
  </si>
  <si>
    <t>HYD01-FMCG02-SPO-02</t>
  </si>
  <si>
    <t>0120001</t>
  </si>
  <si>
    <t>G1353</t>
  </si>
  <si>
    <t>0112001</t>
  </si>
  <si>
    <t>SD</t>
  </si>
  <si>
    <t>HYD01-FMCG-SPO-00</t>
  </si>
  <si>
    <t>0112006</t>
  </si>
  <si>
    <t>STH-HYD-1-DIR-PHR</t>
  </si>
  <si>
    <t>HYD01-FMCG-ASM-01</t>
  </si>
  <si>
    <t>01120</t>
  </si>
  <si>
    <t>NWB01-FMCG01-SPO-01</t>
  </si>
  <si>
    <t>0112005</t>
  </si>
  <si>
    <t>NWB01-FMCG02-SPO-01</t>
  </si>
  <si>
    <t>0120004</t>
  </si>
  <si>
    <t>G1654</t>
  </si>
  <si>
    <t>O-NWB-01</t>
  </si>
  <si>
    <t>NWB01-FMCG-SPO-01</t>
  </si>
  <si>
    <t>0112008</t>
  </si>
  <si>
    <t>G1567</t>
  </si>
  <si>
    <t>O-NWB-02</t>
  </si>
  <si>
    <t>NWB01-FMCG-SPO-02</t>
  </si>
  <si>
    <t>0120006</t>
  </si>
  <si>
    <t>G1481</t>
  </si>
  <si>
    <t>O-NWB-03</t>
  </si>
  <si>
    <t>NWB01-FMCG-SPO-03</t>
  </si>
  <si>
    <t>0118005</t>
  </si>
  <si>
    <t>G1702</t>
  </si>
  <si>
    <t>STH-NWB-1-DIR-PHR</t>
  </si>
  <si>
    <t>NWB01-FMCG-ASM-01</t>
  </si>
  <si>
    <t>01200</t>
  </si>
  <si>
    <t>MPK-01</t>
  </si>
  <si>
    <t>MPK01-FMCG01-SPO-01</t>
  </si>
  <si>
    <t>0112004</t>
  </si>
  <si>
    <t>MPK-02</t>
  </si>
  <si>
    <t>MPK01-FMCG01-SPO-02</t>
  </si>
  <si>
    <t>0111301</t>
  </si>
  <si>
    <t>G1751</t>
  </si>
  <si>
    <t>T-MPK-01</t>
  </si>
  <si>
    <t>MPK01-FMCG02-SPO-01</t>
  </si>
  <si>
    <t>0120003</t>
  </si>
  <si>
    <t>G1075</t>
  </si>
  <si>
    <t>T-MPK-02</t>
  </si>
  <si>
    <t>MPK01-FMCG02-SPO-02</t>
  </si>
  <si>
    <t>0111302</t>
  </si>
  <si>
    <t>MPK01-FMCG-SPO-00</t>
  </si>
  <si>
    <t>0111303</t>
  </si>
  <si>
    <t>STH-MPK-1-DIR-PHR</t>
  </si>
  <si>
    <t>MPK01-FMCG-ASM-01</t>
  </si>
  <si>
    <t>01113</t>
  </si>
  <si>
    <t>E-02618</t>
  </si>
  <si>
    <t>0120002</t>
  </si>
  <si>
    <t>G0813</t>
  </si>
  <si>
    <t>South-C</t>
  </si>
  <si>
    <t>STH-C Sukkur</t>
  </si>
  <si>
    <t>RSM-STH-C</t>
  </si>
  <si>
    <t>STH-C-FMCG-RSM-01</t>
  </si>
  <si>
    <t>STH-B Hyderabad</t>
  </si>
  <si>
    <t>RSM-STH-B</t>
  </si>
  <si>
    <t>15</t>
  </si>
  <si>
    <t>E-01710</t>
  </si>
  <si>
    <t>QTA-01</t>
  </si>
  <si>
    <t>QTA01-FMCG01-SPO-01</t>
  </si>
  <si>
    <t>0117001</t>
  </si>
  <si>
    <t>G1313</t>
  </si>
  <si>
    <t>QTA-02</t>
  </si>
  <si>
    <t>QTA01-FMCG01-SPO-02</t>
  </si>
  <si>
    <t>0117002</t>
  </si>
  <si>
    <t>G0766</t>
  </si>
  <si>
    <t>T-QTA-01</t>
  </si>
  <si>
    <t>QTA01-FMCG02-SPO-01</t>
  </si>
  <si>
    <t>0117005</t>
  </si>
  <si>
    <t>G1857</t>
  </si>
  <si>
    <t>T-QTA-02</t>
  </si>
  <si>
    <t>QTA01-FMCG02-SPO-02</t>
  </si>
  <si>
    <t>0117008</t>
  </si>
  <si>
    <t>G1845</t>
  </si>
  <si>
    <t>QTA01-FMCG-SPO-00</t>
  </si>
  <si>
    <t>0117003</t>
  </si>
  <si>
    <t>STH-QTA-1-DIR-PHR</t>
  </si>
  <si>
    <t>QTA01-FMCG-ASM-01</t>
  </si>
  <si>
    <t>01170</t>
  </si>
  <si>
    <t>E-02620</t>
  </si>
  <si>
    <t>SUK-01</t>
  </si>
  <si>
    <t>SUK01-FMCG01-SPO-01</t>
  </si>
  <si>
    <t>0121001</t>
  </si>
  <si>
    <t>G1310</t>
  </si>
  <si>
    <t>SUK-02</t>
  </si>
  <si>
    <t>SUK01-FMCG01-SPO-02</t>
  </si>
  <si>
    <t>0118002</t>
  </si>
  <si>
    <t>G1091</t>
  </si>
  <si>
    <t>T-SUK-01</t>
  </si>
  <si>
    <t>SUK01-FMCG02-SPO-01</t>
  </si>
  <si>
    <t>0118001</t>
  </si>
  <si>
    <t>G1573</t>
  </si>
  <si>
    <t>T-SUK-02</t>
  </si>
  <si>
    <t>SUK01-FMCG02-SPO-02</t>
  </si>
  <si>
    <t>0121002</t>
  </si>
  <si>
    <t>G1182</t>
  </si>
  <si>
    <t>STH-SUK-1-DIR-PHR</t>
  </si>
  <si>
    <t>SUK01-FMCG-ASM-01</t>
  </si>
  <si>
    <t>01210</t>
  </si>
  <si>
    <t>LRK-01</t>
  </si>
  <si>
    <t>LRK01-FMCG01-SPO-01</t>
  </si>
  <si>
    <t>0118003</t>
  </si>
  <si>
    <t>LRK-02</t>
  </si>
  <si>
    <t>LRK01-FMCG01-SPO-02</t>
  </si>
  <si>
    <t>0118004</t>
  </si>
  <si>
    <t>G0702</t>
  </si>
  <si>
    <t>T-LRK-01</t>
  </si>
  <si>
    <t>LRK01-FMCG02-SPO-01</t>
  </si>
  <si>
    <t>0121004</t>
  </si>
  <si>
    <t>G1856</t>
  </si>
  <si>
    <t>T-LRK-02</t>
  </si>
  <si>
    <t>LRK01-FMCG02-SPO-02</t>
  </si>
  <si>
    <t>0121005</t>
  </si>
  <si>
    <t>G1484</t>
  </si>
  <si>
    <t>LRK01-FMCG-SPO-00</t>
  </si>
  <si>
    <t>0121003</t>
  </si>
  <si>
    <t>STH-LRK-1-DIR-PHR</t>
  </si>
  <si>
    <t>LRK01-FMCG-ASM-01</t>
  </si>
  <si>
    <t>01180</t>
  </si>
  <si>
    <t>E-01707</t>
  </si>
  <si>
    <t>0130102</t>
  </si>
  <si>
    <t>G1477</t>
  </si>
  <si>
    <t>South-D</t>
  </si>
  <si>
    <t>BWP-01</t>
  </si>
  <si>
    <t>BWP01-FMCG01-SPO-01</t>
  </si>
  <si>
    <t>0110001</t>
  </si>
  <si>
    <t>G1013</t>
  </si>
  <si>
    <t>BWP-02</t>
  </si>
  <si>
    <t>BWP01-FMCG01-SPO-02</t>
  </si>
  <si>
    <t>0110002</t>
  </si>
  <si>
    <t>G1680</t>
  </si>
  <si>
    <t>0110006</t>
  </si>
  <si>
    <t>G1260</t>
  </si>
  <si>
    <t>T-BWP-01</t>
  </si>
  <si>
    <t>BWP01-FMCG02-SPO-01</t>
  </si>
  <si>
    <t>0125002</t>
  </si>
  <si>
    <t>G1472</t>
  </si>
  <si>
    <t>0110009</t>
  </si>
  <si>
    <t>G1601</t>
  </si>
  <si>
    <t>BWP01-FMCG-SPO-00</t>
  </si>
  <si>
    <t>0110007</t>
  </si>
  <si>
    <t>STH-BWP-1-DIR-PHR</t>
  </si>
  <si>
    <t>BWP01-FMCG-ASM-01</t>
  </si>
  <si>
    <t>01100</t>
  </si>
  <si>
    <t>E-00835</t>
  </si>
  <si>
    <t>RYK-01</t>
  </si>
  <si>
    <t>RYK01-FMCG01-SPO-01</t>
  </si>
  <si>
    <t>0110003</t>
  </si>
  <si>
    <t>0110005</t>
  </si>
  <si>
    <t>0110004</t>
  </si>
  <si>
    <t>T-RYK-01</t>
  </si>
  <si>
    <t>RYK01-FMCG02-SPO-01</t>
  </si>
  <si>
    <t>0125003</t>
  </si>
  <si>
    <t>G1815</t>
  </si>
  <si>
    <t>0125004</t>
  </si>
  <si>
    <t>RYK01-FMCG-SPO-00</t>
  </si>
  <si>
    <t>0127005</t>
  </si>
  <si>
    <t>STH-RYK-1-DIR-PHR</t>
  </si>
  <si>
    <t>RYK01-FMCG-ASM-01</t>
  </si>
  <si>
    <t>01270</t>
  </si>
  <si>
    <t>MUX-01</t>
  </si>
  <si>
    <t>MUX01-FMCG01-SPO-01</t>
  </si>
  <si>
    <t>0116003</t>
  </si>
  <si>
    <t>MUX01-FMCG01-SPO-02</t>
  </si>
  <si>
    <t>0116007</t>
  </si>
  <si>
    <t>G1021</t>
  </si>
  <si>
    <t>T-MUX-01</t>
  </si>
  <si>
    <t>MUX01-FMCG02-SPO-01</t>
  </si>
  <si>
    <t>0123008</t>
  </si>
  <si>
    <t>G1630</t>
  </si>
  <si>
    <t>MUX01-FMCG02-SPO-02</t>
  </si>
  <si>
    <t>0111403</t>
  </si>
  <si>
    <t>G1246</t>
  </si>
  <si>
    <t>0111402</t>
  </si>
  <si>
    <t>G1722</t>
  </si>
  <si>
    <t>STH-MUX-1-DIR-PHR</t>
  </si>
  <si>
    <t>MUX01-FMCG-ASM-01</t>
  </si>
  <si>
    <t>01160</t>
  </si>
  <si>
    <t>E-02622</t>
  </si>
  <si>
    <t>MUX-03</t>
  </si>
  <si>
    <t>MUX02-FMCG01-SPO-01</t>
  </si>
  <si>
    <t>0116005</t>
  </si>
  <si>
    <t>G1760</t>
  </si>
  <si>
    <t>MUX-04</t>
  </si>
  <si>
    <t>MUX02-FMCG01-SPO-02</t>
  </si>
  <si>
    <t>0116002</t>
  </si>
  <si>
    <t>G1615</t>
  </si>
  <si>
    <t>T-MUX-03</t>
  </si>
  <si>
    <t>MUX02-FMCG02-SPO-01</t>
  </si>
  <si>
    <t>0123001</t>
  </si>
  <si>
    <t>G1350</t>
  </si>
  <si>
    <t>T-MUX-04</t>
  </si>
  <si>
    <t>MUX02-FMCG02-SPO-02</t>
  </si>
  <si>
    <t>0123003</t>
  </si>
  <si>
    <t>G1606</t>
  </si>
  <si>
    <t>MUX02-FMCG-SPO-00</t>
  </si>
  <si>
    <t>0123009</t>
  </si>
  <si>
    <t>STH-MUX-2-DIR-PHR</t>
  </si>
  <si>
    <t>MUX02-FMCG-ASM-01</t>
  </si>
  <si>
    <t>01230</t>
  </si>
  <si>
    <t>South-E</t>
  </si>
  <si>
    <t>0116004</t>
  </si>
  <si>
    <t>G1035</t>
  </si>
  <si>
    <t>0116006</t>
  </si>
  <si>
    <t>0123004</t>
  </si>
  <si>
    <t>G0974</t>
  </si>
  <si>
    <t>0125005</t>
  </si>
  <si>
    <t>01250</t>
  </si>
  <si>
    <t>E-01713</t>
  </si>
  <si>
    <t>LYH-01</t>
  </si>
  <si>
    <t>LYH01-FMCG01-SPO-01</t>
  </si>
  <si>
    <t>0111601</t>
  </si>
  <si>
    <t>LYH-02</t>
  </si>
  <si>
    <t>LYH01-FMCG01-SPO-02</t>
  </si>
  <si>
    <t>0111602</t>
  </si>
  <si>
    <t>G1511</t>
  </si>
  <si>
    <t>T-LYH-01</t>
  </si>
  <si>
    <t>LYH01-FMCG02-SPO-01</t>
  </si>
  <si>
    <t>0111603</t>
  </si>
  <si>
    <t>G1510</t>
  </si>
  <si>
    <t>T-LYH-02</t>
  </si>
  <si>
    <t>LYH01-FMCG02-SPO-02</t>
  </si>
  <si>
    <t>0111604</t>
  </si>
  <si>
    <t>G1512</t>
  </si>
  <si>
    <t>LYH01-FMCG-SPO-00</t>
  </si>
  <si>
    <t>0111605</t>
  </si>
  <si>
    <t>STH-LYH-1-DIR-PHR</t>
  </si>
  <si>
    <t>LYH01-FMCG-ASM-01</t>
  </si>
  <si>
    <t>01116</t>
  </si>
  <si>
    <t>E-02624</t>
  </si>
  <si>
    <t>FSD01-FMCG01-SPO-01</t>
  </si>
  <si>
    <t>0111501</t>
  </si>
  <si>
    <t>0111007</t>
  </si>
  <si>
    <t>G1497</t>
  </si>
  <si>
    <t>FSD01-FMCG01-SPO-02</t>
  </si>
  <si>
    <t>0111001</t>
  </si>
  <si>
    <t>0111503</t>
  </si>
  <si>
    <t>FSD01-FMCG02-SPO-02</t>
  </si>
  <si>
    <t>FSD-01</t>
  </si>
  <si>
    <t>0111003</t>
  </si>
  <si>
    <t>G1490</t>
  </si>
  <si>
    <t>STH-FSD-1-DIR-PHR</t>
  </si>
  <si>
    <t>FSD01-FMCG-ASM-01</t>
  </si>
  <si>
    <t>01110</t>
  </si>
  <si>
    <t>E-01711</t>
  </si>
  <si>
    <t>T-FSD-01</t>
  </si>
  <si>
    <t>0124001</t>
  </si>
  <si>
    <t>G1754</t>
  </si>
  <si>
    <t>Lahore</t>
  </si>
  <si>
    <t>FSD-02</t>
  </si>
  <si>
    <t>0111002</t>
  </si>
  <si>
    <t>G1778</t>
  </si>
  <si>
    <t>T-FSD-02</t>
  </si>
  <si>
    <t>0124004</t>
  </si>
  <si>
    <t>G1455</t>
  </si>
  <si>
    <t>0124007</t>
  </si>
  <si>
    <t>FSD03-FMCG-SPO-00</t>
  </si>
  <si>
    <t>0111505</t>
  </si>
  <si>
    <t>01115</t>
  </si>
  <si>
    <t>0555502</t>
  </si>
  <si>
    <t>G1602</t>
  </si>
  <si>
    <t>STH-E Faisalabad</t>
  </si>
  <si>
    <t>RSM-STH-E</t>
  </si>
  <si>
    <t>STH-E-FMCG-RSM-01</t>
  </si>
  <si>
    <t>01</t>
  </si>
  <si>
    <t>Kamran Zakir</t>
  </si>
  <si>
    <t>P-00508</t>
  </si>
  <si>
    <t>STH Karachi</t>
  </si>
  <si>
    <t>DGM-STH</t>
  </si>
  <si>
    <t>STH-FMCG-DGM-01</t>
  </si>
  <si>
    <t>P-00982</t>
  </si>
  <si>
    <t>DGM</t>
  </si>
  <si>
    <t>North-A</t>
  </si>
  <si>
    <t>LHR01-FMCG-SPO-01</t>
  </si>
  <si>
    <t>0220007</t>
  </si>
  <si>
    <t>G1692</t>
  </si>
  <si>
    <t>LHR01-FMCG-SPO-02</t>
  </si>
  <si>
    <t>0213005</t>
  </si>
  <si>
    <t>G1757</t>
  </si>
  <si>
    <t>LHR01-FMCG-SPO-03</t>
  </si>
  <si>
    <t>0220002</t>
  </si>
  <si>
    <t>G1844</t>
  </si>
  <si>
    <t>LHR01-FMCG-SPO-04</t>
  </si>
  <si>
    <t>0214001</t>
  </si>
  <si>
    <t>LHR01-FMCG-SPO-00</t>
  </si>
  <si>
    <t>0213007</t>
  </si>
  <si>
    <t>STH-LHR-1-DIR-PHR</t>
  </si>
  <si>
    <t>LHR01-FMCG-ASM-01</t>
  </si>
  <si>
    <t>02130</t>
  </si>
  <si>
    <t>G1043</t>
  </si>
  <si>
    <t>LHR02-FMCG01-SPO-01</t>
  </si>
  <si>
    <t>0214002</t>
  </si>
  <si>
    <t>G1638</t>
  </si>
  <si>
    <t>LHR02-FMCG01-SPO-02</t>
  </si>
  <si>
    <t>0214003</t>
  </si>
  <si>
    <t>T-LHR-03</t>
  </si>
  <si>
    <t>LHR02-FMCG02-SPO-01</t>
  </si>
  <si>
    <t>0220009</t>
  </si>
  <si>
    <t>G0985</t>
  </si>
  <si>
    <t>T-LHR-04</t>
  </si>
  <si>
    <t>LHR02-FMCG02-SPO-02</t>
  </si>
  <si>
    <t>0220004</t>
  </si>
  <si>
    <t>STH-LHR-2-DIR-PHR</t>
  </si>
  <si>
    <t>LHR02-FMCG-ASM-01</t>
  </si>
  <si>
    <t>02140</t>
  </si>
  <si>
    <t>G1743</t>
  </si>
  <si>
    <t>LHR03-FMCG01-SPO-01</t>
  </si>
  <si>
    <t>0214009</t>
  </si>
  <si>
    <t>LHR03-FMCG01-SPO-02</t>
  </si>
  <si>
    <t>0213001</t>
  </si>
  <si>
    <t>T-LHR-01</t>
  </si>
  <si>
    <t>LHR03-FMCG02-SPO-01</t>
  </si>
  <si>
    <t>0213002</t>
  </si>
  <si>
    <t>G1594</t>
  </si>
  <si>
    <t>0220001</t>
  </si>
  <si>
    <t>G1508</t>
  </si>
  <si>
    <t>0214004</t>
  </si>
  <si>
    <t>LHR03-FMCG-SPO-00</t>
  </si>
  <si>
    <t>0220006</t>
  </si>
  <si>
    <t>STH-LHR-3-DIR-PHR</t>
  </si>
  <si>
    <t>LHR03-FMCG-ASM-01</t>
  </si>
  <si>
    <t>02200</t>
  </si>
  <si>
    <t>G1274</t>
  </si>
  <si>
    <t>SPO-(WS-CM)</t>
  </si>
  <si>
    <t>0666602</t>
  </si>
  <si>
    <t>0666601</t>
  </si>
  <si>
    <t>E-01717</t>
  </si>
  <si>
    <t>LHR</t>
  </si>
  <si>
    <t>NTH-A Lahore</t>
  </si>
  <si>
    <t>RSM-NTH-A</t>
  </si>
  <si>
    <t>NTH-A-FMCG-RSM-01</t>
  </si>
  <si>
    <t>25</t>
  </si>
  <si>
    <t>Moeen Zafar</t>
  </si>
  <si>
    <t>E-00580</t>
  </si>
  <si>
    <t>North-B</t>
  </si>
  <si>
    <t>SKT-01</t>
  </si>
  <si>
    <t>SKT01-FMCG01-SPO-01</t>
  </si>
  <si>
    <t>0211004</t>
  </si>
  <si>
    <t>G1250</t>
  </si>
  <si>
    <t>0713001</t>
  </si>
  <si>
    <t>G1705</t>
  </si>
  <si>
    <t>T-SKT-01</t>
  </si>
  <si>
    <t>SKT01-FMCG02-SPO-01</t>
  </si>
  <si>
    <t>0713002</t>
  </si>
  <si>
    <t>0713003</t>
  </si>
  <si>
    <t>G1284</t>
  </si>
  <si>
    <t>SKT01-FMCG-SPO-00</t>
  </si>
  <si>
    <t>0713005</t>
  </si>
  <si>
    <t>STH-SKT-1-DIR-PHR</t>
  </si>
  <si>
    <t>SKT01-FMCG-ASM-01</t>
  </si>
  <si>
    <t>07130</t>
  </si>
  <si>
    <t>E-02281</t>
  </si>
  <si>
    <t>0217005</t>
  </si>
  <si>
    <t>G1824</t>
  </si>
  <si>
    <t>0215008</t>
  </si>
  <si>
    <t>G0979</t>
  </si>
  <si>
    <t>JLM01-FMCG-SPO-00</t>
  </si>
  <si>
    <t>0223005</t>
  </si>
  <si>
    <t>STH-JLM-1-DIR-PHR</t>
  </si>
  <si>
    <t>JLM01-FMCG-ASM-01</t>
  </si>
  <si>
    <t>02230</t>
  </si>
  <si>
    <t>G1629</t>
  </si>
  <si>
    <t>GUJ01-FMCG01-SPO-01</t>
  </si>
  <si>
    <t>0111701</t>
  </si>
  <si>
    <t>G1671</t>
  </si>
  <si>
    <t>0111702</t>
  </si>
  <si>
    <t>G1790</t>
  </si>
  <si>
    <t>GUJ01-FMCG02-SPO-01</t>
  </si>
  <si>
    <t>0111704</t>
  </si>
  <si>
    <t>G1777</t>
  </si>
  <si>
    <t>GUJ01-FMCG-SPO-00</t>
  </si>
  <si>
    <t>0111705</t>
  </si>
  <si>
    <t>STH-GUJ-1-DIR-PHR</t>
  </si>
  <si>
    <t>GUJ01-FMCG-ASM-01</t>
  </si>
  <si>
    <t>01117</t>
  </si>
  <si>
    <t>G1209</t>
  </si>
  <si>
    <t>GJW-01</t>
  </si>
  <si>
    <t>GJW01-FMCG01-SPO-01</t>
  </si>
  <si>
    <t>0211006</t>
  </si>
  <si>
    <t>Gujranwala</t>
  </si>
  <si>
    <t>G1476</t>
  </si>
  <si>
    <t>GJW-02</t>
  </si>
  <si>
    <t>0211002</t>
  </si>
  <si>
    <t>G1802</t>
  </si>
  <si>
    <t>T-GJW-01</t>
  </si>
  <si>
    <t>GJW01-FMCG02-SPO-01</t>
  </si>
  <si>
    <t>0221002</t>
  </si>
  <si>
    <t>G1767</t>
  </si>
  <si>
    <t>T-GJW-02</t>
  </si>
  <si>
    <t>0221003</t>
  </si>
  <si>
    <t>GJW01-FMCG-SPO-00</t>
  </si>
  <si>
    <t>0221004</t>
  </si>
  <si>
    <t>STH-GJW-1-DIR-PHR</t>
  </si>
  <si>
    <t>GJW01-FMCG-ASM-01</t>
  </si>
  <si>
    <t>02210</t>
  </si>
  <si>
    <t>GJW02-FMCG01-SPO-01</t>
  </si>
  <si>
    <t>0211001</t>
  </si>
  <si>
    <t>0211005</t>
  </si>
  <si>
    <t>G1485</t>
  </si>
  <si>
    <t>GJW02-FMCG02-SPO-01</t>
  </si>
  <si>
    <t>G1295</t>
  </si>
  <si>
    <t>0211003</t>
  </si>
  <si>
    <t>G1474</t>
  </si>
  <si>
    <t>STH-GJW-2-DIR-PHR</t>
  </si>
  <si>
    <t>GJW02-FMCG-ASM-01</t>
  </si>
  <si>
    <t>02110</t>
  </si>
  <si>
    <t>NTH-B Gujranwala</t>
  </si>
  <si>
    <t>RSM-NTH-B</t>
  </si>
  <si>
    <t>NTH-B-FMCG-RSM-01</t>
  </si>
  <si>
    <t>18</t>
  </si>
  <si>
    <t>Noman Ashfaq</t>
  </si>
  <si>
    <t>P-01643</t>
  </si>
  <si>
    <t>North-C</t>
  </si>
  <si>
    <t>KSR-01</t>
  </si>
  <si>
    <t>KSR01-FMCG01-SPO-01</t>
  </si>
  <si>
    <t>0111801</t>
  </si>
  <si>
    <t>G1706</t>
  </si>
  <si>
    <t>0111802</t>
  </si>
  <si>
    <t>G1547</t>
  </si>
  <si>
    <t>T-KSR-01</t>
  </si>
  <si>
    <t>KSR01-FMCG02-SPO-01</t>
  </si>
  <si>
    <t>0111803</t>
  </si>
  <si>
    <t>G1478</t>
  </si>
  <si>
    <t>0111804</t>
  </si>
  <si>
    <t>G1756</t>
  </si>
  <si>
    <t>KSR01-FMCG-SPO-00</t>
  </si>
  <si>
    <t>0111805</t>
  </si>
  <si>
    <t>STH-KSR-1-DIR-PHR</t>
  </si>
  <si>
    <t>KSR01-FMCG-ASM-01</t>
  </si>
  <si>
    <t>01118</t>
  </si>
  <si>
    <t>E-02533</t>
  </si>
  <si>
    <t>OKR-01</t>
  </si>
  <si>
    <t>OKR01-FMCG01-SPO-01</t>
  </si>
  <si>
    <t>0218003</t>
  </si>
  <si>
    <t>0218004</t>
  </si>
  <si>
    <t>T-OKR-01</t>
  </si>
  <si>
    <t>OKR01-FMCG02-SPO-01</t>
  </si>
  <si>
    <t>0222004</t>
  </si>
  <si>
    <t>G0927</t>
  </si>
  <si>
    <t>0222005</t>
  </si>
  <si>
    <t>0222003</t>
  </si>
  <si>
    <t>Islamabad</t>
  </si>
  <si>
    <t>STH-OKR-1-DIR-PHR</t>
  </si>
  <si>
    <t>OKR01-FMCG-ASM-01</t>
  </si>
  <si>
    <t>02220</t>
  </si>
  <si>
    <t>Sahiwal</t>
  </si>
  <si>
    <t>SWL-01</t>
  </si>
  <si>
    <t>SWL01-FMCG01-SPO-01</t>
  </si>
  <si>
    <t>0218001</t>
  </si>
  <si>
    <t>0218002</t>
  </si>
  <si>
    <t>0218006</t>
  </si>
  <si>
    <t>G1598</t>
  </si>
  <si>
    <t>T-SWL-01</t>
  </si>
  <si>
    <t>SWL01-FMCG02-SPO-01</t>
  </si>
  <si>
    <t>0222001</t>
  </si>
  <si>
    <t>SWL01-FMCG-SPO-00</t>
  </si>
  <si>
    <t>0218009</t>
  </si>
  <si>
    <t>STH-SWL-1-DIR-PHR</t>
  </si>
  <si>
    <t>SWL01-FMCG-ASM-01</t>
  </si>
  <si>
    <t>02180</t>
  </si>
  <si>
    <t>E-03014</t>
  </si>
  <si>
    <t>BWN-01</t>
  </si>
  <si>
    <t>BWN01-FMCG01-SPO-01</t>
  </si>
  <si>
    <t>0111901</t>
  </si>
  <si>
    <t>G1807</t>
  </si>
  <si>
    <t>BWN-02</t>
  </si>
  <si>
    <t>BWN01-FMCG01-SPO-02</t>
  </si>
  <si>
    <t>0111902</t>
  </si>
  <si>
    <t>G1518</t>
  </si>
  <si>
    <t>T-BWN-01</t>
  </si>
  <si>
    <t>BWN01-FMCG02-SPO-01</t>
  </si>
  <si>
    <t>0111903</t>
  </si>
  <si>
    <t>G1711</t>
  </si>
  <si>
    <t>BWN01-FMCG-SPO-00</t>
  </si>
  <si>
    <t>0111904</t>
  </si>
  <si>
    <t>STH-BWN-1-DIR-PHR</t>
  </si>
  <si>
    <t>BWN01-FMCG-ASM-01</t>
  </si>
  <si>
    <t>01119</t>
  </si>
  <si>
    <t>NTH-C Okara</t>
  </si>
  <si>
    <t>RSM-NTH-C</t>
  </si>
  <si>
    <t>NTH-C-FMCG-RSM-01</t>
  </si>
  <si>
    <t>19</t>
  </si>
  <si>
    <t>Naqash Afzal</t>
  </si>
  <si>
    <t>E-01722</t>
  </si>
  <si>
    <t>North-D</t>
  </si>
  <si>
    <t>0217004</t>
  </si>
  <si>
    <t>G1728</t>
  </si>
  <si>
    <t>Peshawar</t>
  </si>
  <si>
    <t>E-01788</t>
  </si>
  <si>
    <t>ISB-01</t>
  </si>
  <si>
    <t>ISB01-FMCG01-SPO-01</t>
  </si>
  <si>
    <t>0212001</t>
  </si>
  <si>
    <t>G1833</t>
  </si>
  <si>
    <t>ISB01-FMCG01-SPO-02</t>
  </si>
  <si>
    <t>0112101</t>
  </si>
  <si>
    <t>G1422</t>
  </si>
  <si>
    <t>T-ISB-01</t>
  </si>
  <si>
    <t>ISB01-FMCG02-SPO-01</t>
  </si>
  <si>
    <t>0226001</t>
  </si>
  <si>
    <t>G1532</t>
  </si>
  <si>
    <t>T-ISB-02</t>
  </si>
  <si>
    <t>ISB01-FMCG02-SPO-02</t>
  </si>
  <si>
    <t>0226002</t>
  </si>
  <si>
    <t>G1787</t>
  </si>
  <si>
    <t>ISB01-FMCG-SPO-00</t>
  </si>
  <si>
    <t>0212007</t>
  </si>
  <si>
    <t>STH-ISB-1-DIR-PHR</t>
  </si>
  <si>
    <t>ISB01-FMCG-ASM-01</t>
  </si>
  <si>
    <t>02120</t>
  </si>
  <si>
    <t>E-02619</t>
  </si>
  <si>
    <t>0212002</t>
  </si>
  <si>
    <t>RWP-01</t>
  </si>
  <si>
    <t>RWP01-FMCG01-SPO-01</t>
  </si>
  <si>
    <t>0217002</t>
  </si>
  <si>
    <t>RWP-02</t>
  </si>
  <si>
    <t>RWP01-FMCG01-SPO-02</t>
  </si>
  <si>
    <t>0217003</t>
  </si>
  <si>
    <t>G1550</t>
  </si>
  <si>
    <t>T-RWP-01</t>
  </si>
  <si>
    <t>RWP01-FMCG02-SPO-01</t>
  </si>
  <si>
    <t>0223001</t>
  </si>
  <si>
    <t>G1761</t>
  </si>
  <si>
    <t>T-RWP-02</t>
  </si>
  <si>
    <t>RWP01-FMCG02-SPO-02</t>
  </si>
  <si>
    <t>0223002</t>
  </si>
  <si>
    <t>G1041</t>
  </si>
  <si>
    <t>RWP01-FMCG-SPO-00</t>
  </si>
  <si>
    <t>0217007</t>
  </si>
  <si>
    <t>STH-RWP-1-DIR-PHR</t>
  </si>
  <si>
    <t>RWP01-FMCG-ASM-01</t>
  </si>
  <si>
    <t>02170</t>
  </si>
  <si>
    <t>0888802</t>
  </si>
  <si>
    <t>RWP-WS</t>
  </si>
  <si>
    <t>G1828</t>
  </si>
  <si>
    <t>CM RWP-01</t>
  </si>
  <si>
    <t>E-00272</t>
  </si>
  <si>
    <t>0217001</t>
  </si>
  <si>
    <t>E-01716</t>
  </si>
  <si>
    <t>NTH-D Islamabad</t>
  </si>
  <si>
    <t>RSM-NTH-D</t>
  </si>
  <si>
    <t>NTH-D-FMCG-RSM-01</t>
  </si>
  <si>
    <t>17</t>
  </si>
  <si>
    <t>Azeem Abbas</t>
  </si>
  <si>
    <t>P-00485</t>
  </si>
  <si>
    <t>North-E</t>
  </si>
  <si>
    <t>SGD-01</t>
  </si>
  <si>
    <t>SGD01-FMCG01-SPO-01</t>
  </si>
  <si>
    <t>0219011</t>
  </si>
  <si>
    <t>G1589</t>
  </si>
  <si>
    <t>SGD-02</t>
  </si>
  <si>
    <t>SGD01-FMCG01-SPO-02</t>
  </si>
  <si>
    <t>0219001</t>
  </si>
  <si>
    <t>G1813</t>
  </si>
  <si>
    <t>0219005</t>
  </si>
  <si>
    <t>T-SGD-01</t>
  </si>
  <si>
    <t>SGD01-FMCG02-SPO-01</t>
  </si>
  <si>
    <t>0219004</t>
  </si>
  <si>
    <t>G1178</t>
  </si>
  <si>
    <t>0219006</t>
  </si>
  <si>
    <t>SGD01-FMCG-SPO-00</t>
  </si>
  <si>
    <t>0219002</t>
  </si>
  <si>
    <t>STH-SGD-1-DIR-PHR</t>
  </si>
  <si>
    <t>SGD01-FMCG-ASM-01</t>
  </si>
  <si>
    <t>02190</t>
  </si>
  <si>
    <t>E-01270</t>
  </si>
  <si>
    <t>PSH-01</t>
  </si>
  <si>
    <t>PSH01-FMCG01-SPO-01</t>
  </si>
  <si>
    <t>0216002</t>
  </si>
  <si>
    <t>G1582</t>
  </si>
  <si>
    <t>PSH-02</t>
  </si>
  <si>
    <t>PSH01-FMCG01-SPO-02</t>
  </si>
  <si>
    <t>0224002</t>
  </si>
  <si>
    <t>0216003</t>
  </si>
  <si>
    <t>T-PSH-01</t>
  </si>
  <si>
    <t>PSH01-FMCG02-SPO-01</t>
  </si>
  <si>
    <t>0224001</t>
  </si>
  <si>
    <t>G1744</t>
  </si>
  <si>
    <t>T-PSH-02</t>
  </si>
  <si>
    <t>PSH01-FMCG02-SPO-02</t>
  </si>
  <si>
    <t>0224003</t>
  </si>
  <si>
    <t>PSH01-FMCG-SPO-00</t>
  </si>
  <si>
    <t>0224004</t>
  </si>
  <si>
    <t>STH-PSH-1-DIR-PHR</t>
  </si>
  <si>
    <t>PSH01-FMCG-ASM-01</t>
  </si>
  <si>
    <t>02240</t>
  </si>
  <si>
    <t>0999901</t>
  </si>
  <si>
    <t>E-01721</t>
  </si>
  <si>
    <t>0999902</t>
  </si>
  <si>
    <t>E-01718</t>
  </si>
  <si>
    <t>NTH-E Peshawar</t>
  </si>
  <si>
    <t>RSM-NTH-E</t>
  </si>
  <si>
    <t>NTH-E-FMCG-RSM-01</t>
  </si>
  <si>
    <t>02</t>
  </si>
  <si>
    <t>Sajid Maqbool</t>
  </si>
  <si>
    <t>E-00777</t>
  </si>
  <si>
    <t>North-F</t>
  </si>
  <si>
    <t>0212005</t>
  </si>
  <si>
    <t>0212004</t>
  </si>
  <si>
    <t>G1753</t>
  </si>
  <si>
    <t>0226004</t>
  </si>
  <si>
    <t>G1626</t>
  </si>
  <si>
    <t>0212003</t>
  </si>
  <si>
    <t>G0841</t>
  </si>
  <si>
    <t>STH-ABT-1-DIR-PHR</t>
  </si>
  <si>
    <t>ABT01-FMCG-ASM-01</t>
  </si>
  <si>
    <t>02260</t>
  </si>
  <si>
    <t>G1719</t>
  </si>
  <si>
    <t>Mingora</t>
  </si>
  <si>
    <t>MNG-01</t>
  </si>
  <si>
    <t>0227001</t>
  </si>
  <si>
    <t>G1259</t>
  </si>
  <si>
    <t>MNG-02</t>
  </si>
  <si>
    <t>0227002</t>
  </si>
  <si>
    <t>G1145</t>
  </si>
  <si>
    <t>0227003</t>
  </si>
  <si>
    <t>0215001</t>
  </si>
  <si>
    <t>G1423</t>
  </si>
  <si>
    <t>T-MNG-01</t>
  </si>
  <si>
    <t>0227006</t>
  </si>
  <si>
    <t>G1061</t>
  </si>
  <si>
    <t>0227007</t>
  </si>
  <si>
    <t>G1154</t>
  </si>
  <si>
    <t>E-00834</t>
  </si>
  <si>
    <t>0112201</t>
  </si>
  <si>
    <t>0112202</t>
  </si>
  <si>
    <t>0227005</t>
  </si>
  <si>
    <t>0112203</t>
  </si>
  <si>
    <t>MDN01-FMCG-SPO-00</t>
  </si>
  <si>
    <t>0112204</t>
  </si>
  <si>
    <t>STH-MDN-1-DIR-PHR</t>
  </si>
  <si>
    <t>MDN01-FMCG-ASM-01</t>
  </si>
  <si>
    <t>01122</t>
  </si>
  <si>
    <t>G1303</t>
  </si>
  <si>
    <t>NTH-F Mingora</t>
  </si>
  <si>
    <t>RSM-NTH-F</t>
  </si>
  <si>
    <t>NTH-F-FMCG-RSM-01</t>
  </si>
  <si>
    <t>NTH Lahore</t>
  </si>
  <si>
    <t>DGM-NTH</t>
  </si>
  <si>
    <t>NTH-FMCG-DGM-01</t>
  </si>
  <si>
    <t>P-01629</t>
  </si>
  <si>
    <t>INST</t>
  </si>
  <si>
    <t>NATL-FMCG-HOD-01</t>
  </si>
  <si>
    <t>0911002</t>
  </si>
  <si>
    <t>HO</t>
  </si>
  <si>
    <t>Direct W/S</t>
  </si>
  <si>
    <t>HOD</t>
  </si>
  <si>
    <t>FMCG Team</t>
  </si>
  <si>
    <t>ST-National</t>
  </si>
  <si>
    <t>Attendance</t>
  </si>
  <si>
    <t>Calls</t>
  </si>
  <si>
    <t>Avrg
Calls</t>
  </si>
  <si>
    <t>IKON
Used</t>
  </si>
  <si>
    <t>Active SPOs Today</t>
  </si>
  <si>
    <t>Active SPOs Today
Attn</t>
  </si>
  <si>
    <t>F.F Name</t>
  </si>
  <si>
    <t xml:space="preserve"># of Attn MTD </t>
  </si>
  <si>
    <t># of Calls Today</t>
  </si>
  <si>
    <t xml:space="preserve"># of Calls MTD </t>
  </si>
  <si>
    <t xml:space="preserve">Active SPOs MTD </t>
  </si>
  <si>
    <t>Comments</t>
  </si>
  <si>
    <t># Of Vacant</t>
  </si>
  <si>
    <t>Avrg
Attn</t>
  </si>
  <si>
    <t>Not
Using
IKON</t>
  </si>
  <si>
    <t># of Attn Yesterday</t>
  </si>
  <si>
    <t># of Calls Yesterday</t>
  </si>
  <si>
    <t>Averg
P/Rep/Day</t>
  </si>
  <si>
    <t>Status Calls</t>
  </si>
  <si>
    <t>Not Used IKON Today</t>
  </si>
  <si>
    <t>FAISALABAD</t>
  </si>
  <si>
    <t>0111009</t>
  </si>
  <si>
    <t>FSD01-FMCG-SPO-00</t>
  </si>
  <si>
    <t>JHANG</t>
  </si>
  <si>
    <t>G1872</t>
  </si>
  <si>
    <t>CHINIOT</t>
  </si>
  <si>
    <t>LAYYAH</t>
  </si>
  <si>
    <t>SARGODHA</t>
  </si>
  <si>
    <t>MIANWALI</t>
  </si>
  <si>
    <t>PESHAWAR</t>
  </si>
  <si>
    <t>0999903</t>
  </si>
  <si>
    <t>G1901</t>
  </si>
  <si>
    <t>KARACHI</t>
  </si>
  <si>
    <t>RAWALPINDI</t>
  </si>
  <si>
    <t>ISLAMABAD</t>
  </si>
  <si>
    <t>G1890</t>
  </si>
  <si>
    <t>CHAKWAL</t>
  </si>
  <si>
    <t>0888801</t>
  </si>
  <si>
    <t>0888803</t>
  </si>
  <si>
    <t>HYDERABAD</t>
  </si>
  <si>
    <t>UMER KOT</t>
  </si>
  <si>
    <t>STH-B-FMCG-RSM-01</t>
  </si>
  <si>
    <t>0211007</t>
  </si>
  <si>
    <t>GJW02-FMCG-SPO-00</t>
  </si>
  <si>
    <t>HAFIZABAD</t>
  </si>
  <si>
    <t>SIALKOT</t>
  </si>
  <si>
    <t>GUJRAT</t>
  </si>
  <si>
    <t>SAHIWAL</t>
  </si>
  <si>
    <t>CHICHAWATNI</t>
  </si>
  <si>
    <t>OKARA</t>
  </si>
  <si>
    <t>OKR01-FMCG-SPO-00</t>
  </si>
  <si>
    <t>KASUR</t>
  </si>
  <si>
    <t>PATTOKI</t>
  </si>
  <si>
    <t>MULTAN</t>
  </si>
  <si>
    <t>0116009</t>
  </si>
  <si>
    <t>MUX01-FMCG-SPO-00</t>
  </si>
  <si>
    <t>KHANEWAL</t>
  </si>
  <si>
    <t>VEHARI</t>
  </si>
  <si>
    <t>HASILPUR</t>
  </si>
  <si>
    <t>G1874</t>
  </si>
  <si>
    <t>LAHORE</t>
  </si>
  <si>
    <t>0214006</t>
  </si>
  <si>
    <t>LHR02-FMCG-SPO-00</t>
  </si>
  <si>
    <t>G1900</t>
  </si>
  <si>
    <t>0666603</t>
  </si>
  <si>
    <t>LARKANA</t>
  </si>
  <si>
    <t>QUETTA</t>
  </si>
  <si>
    <t>0117009</t>
  </si>
  <si>
    <t>DADU</t>
  </si>
  <si>
    <t>0120005</t>
  </si>
  <si>
    <t>NWB01-FMCG-SPO-00</t>
  </si>
  <si>
    <t>SUKKUR</t>
  </si>
  <si>
    <t>0118006</t>
  </si>
  <si>
    <t>SUK01-FMCG-SPO-00</t>
  </si>
  <si>
    <t>0130101</t>
  </si>
  <si>
    <t>ABBOTABAD</t>
  </si>
  <si>
    <t>0212006</t>
  </si>
  <si>
    <t>ABT01-FMCG-SPO-00</t>
  </si>
  <si>
    <t>ATTOCK</t>
  </si>
  <si>
    <t>MARDAN</t>
  </si>
  <si>
    <t>0112501</t>
  </si>
  <si>
    <t>JAUHRABAD</t>
  </si>
  <si>
    <t>0112402</t>
  </si>
  <si>
    <t>G1886</t>
  </si>
  <si>
    <t>0114003</t>
  </si>
  <si>
    <t>KHI01-FMCG01-SPO-05</t>
  </si>
  <si>
    <t>G1899</t>
  </si>
  <si>
    <t>G1877</t>
  </si>
  <si>
    <t>KHI02-FMCG01-SPO-01</t>
  </si>
  <si>
    <t>G1881</t>
  </si>
  <si>
    <t>0220005</t>
  </si>
  <si>
    <t>ABT01-FMCG01-SPO-01</t>
  </si>
  <si>
    <t>G1903</t>
  </si>
  <si>
    <t>FSD01-FMCG02-SPO-01</t>
  </si>
  <si>
    <t>G1891</t>
  </si>
  <si>
    <t>G1888</t>
  </si>
  <si>
    <t>0217006</t>
  </si>
  <si>
    <t>RWP01-FMCG03-SPO-01</t>
  </si>
  <si>
    <t>G1893</t>
  </si>
  <si>
    <t>ISB01-FMCG03-SPO-01</t>
  </si>
  <si>
    <t>0223007</t>
  </si>
  <si>
    <t>JLM01-FMCG03-SPO-01</t>
  </si>
  <si>
    <t>G1902</t>
  </si>
  <si>
    <t>0120007</t>
  </si>
  <si>
    <t>HYD01-FMCG03-SPO-02</t>
  </si>
  <si>
    <t>HYD01-FMCG03-SPO-01</t>
  </si>
  <si>
    <t>0221008</t>
  </si>
  <si>
    <t>GJW01-FMCG03-SPO-01</t>
  </si>
  <si>
    <t>G1884</t>
  </si>
  <si>
    <t>0222002</t>
  </si>
  <si>
    <t>OKR01-FMCG03-SPO-01</t>
  </si>
  <si>
    <t>PAKPATTAN</t>
  </si>
  <si>
    <t>G1894</t>
  </si>
  <si>
    <t>G1873</t>
  </si>
  <si>
    <t>G1892</t>
  </si>
  <si>
    <t>LHR03-FMCG03-SPO-01</t>
  </si>
  <si>
    <t>0220003</t>
  </si>
  <si>
    <t>0118008</t>
  </si>
  <si>
    <t>LRK01-FMCG03-SPO-01</t>
  </si>
  <si>
    <t>QTA01-FMCG03-SPO-01</t>
  </si>
  <si>
    <t>0120008</t>
  </si>
  <si>
    <t>NWB01-FMCG03-SPO-01</t>
  </si>
  <si>
    <t>0121006</t>
  </si>
  <si>
    <t>KHI-02</t>
  </si>
  <si>
    <t>KHI-06</t>
  </si>
  <si>
    <t>VACANT</t>
  </si>
  <si>
    <t>TH-KHI-3-DIR-PHR</t>
  </si>
  <si>
    <t>B-KHI-01</t>
  </si>
  <si>
    <t>B-KHI-02</t>
  </si>
  <si>
    <t>B-KHI-03</t>
  </si>
  <si>
    <t>B-KHI-04</t>
  </si>
  <si>
    <t>B-KHI-05</t>
  </si>
  <si>
    <t>O-LHR-01-PHR</t>
  </si>
  <si>
    <t>O-LHR-02-PHR</t>
  </si>
  <si>
    <t>O-LHR-03-PHR</t>
  </si>
  <si>
    <t>O-LHR-04-PHR</t>
  </si>
  <si>
    <t>O-LHR-05-PHR</t>
  </si>
  <si>
    <t>B-LHR-01</t>
  </si>
  <si>
    <t>LHR-01</t>
  </si>
  <si>
    <t>LHR-02</t>
  </si>
  <si>
    <t>T-LHR-02</t>
  </si>
  <si>
    <t>B-LHR-02</t>
  </si>
  <si>
    <t>LHR-03</t>
  </si>
  <si>
    <t>LHR-04</t>
  </si>
  <si>
    <t>WT-LHR-02</t>
  </si>
  <si>
    <t>B-ABT-01</t>
  </si>
  <si>
    <t>ABT-01</t>
  </si>
  <si>
    <t>T-ABT-01</t>
  </si>
  <si>
    <t>O-ABT-01</t>
  </si>
  <si>
    <t>O-BWP-03</t>
  </si>
  <si>
    <t>B-BWN-01</t>
  </si>
  <si>
    <t>O-JHG-01</t>
  </si>
  <si>
    <t>O-FSD-03</t>
  </si>
  <si>
    <t>M. AMJAD</t>
  </si>
  <si>
    <t>B-FSD-01</t>
  </si>
  <si>
    <t>B-FSD-02</t>
  </si>
  <si>
    <t>B-FSD-03</t>
  </si>
  <si>
    <t>O-GJW-01</t>
  </si>
  <si>
    <t>B-GJW-01</t>
  </si>
  <si>
    <t>O-GJW-02</t>
  </si>
  <si>
    <t>B-GJW-02</t>
  </si>
  <si>
    <t>O-GRT-01</t>
  </si>
  <si>
    <t>GRT-01</t>
  </si>
  <si>
    <t>T-GRT-01</t>
  </si>
  <si>
    <t>B-HYD-01</t>
  </si>
  <si>
    <t>B-HYD-02</t>
  </si>
  <si>
    <t>ISB-02</t>
  </si>
  <si>
    <t>B-ISB-01</t>
  </si>
  <si>
    <t>O-JHL-01</t>
  </si>
  <si>
    <t>O-JHL-02</t>
  </si>
  <si>
    <t>O-JHL-03</t>
  </si>
  <si>
    <t>B-JHL-01</t>
  </si>
  <si>
    <t>O-KSR-01</t>
  </si>
  <si>
    <t>B-KSR-01</t>
  </si>
  <si>
    <t>B-LRK-01</t>
  </si>
  <si>
    <t>B-MDN-01</t>
  </si>
  <si>
    <t>O-MDN-01</t>
  </si>
  <si>
    <t>O-MDN-02</t>
  </si>
  <si>
    <t>O-MDN-03</t>
  </si>
  <si>
    <t>O-MNG-01</t>
  </si>
  <si>
    <t>B-MNG-01</t>
  </si>
  <si>
    <t>MUX-02</t>
  </si>
  <si>
    <t>T-MUX-02</t>
  </si>
  <si>
    <t>O-MUX-01</t>
  </si>
  <si>
    <t>O-MUX-02</t>
  </si>
  <si>
    <t>B-NWB-01</t>
  </si>
  <si>
    <t>NWB-04</t>
  </si>
  <si>
    <t>T-NWB-04</t>
  </si>
  <si>
    <t>O-OKR-01</t>
  </si>
  <si>
    <t>B-OKR-01</t>
  </si>
  <si>
    <t>B-PSH-01</t>
  </si>
  <si>
    <t>B-QTA-01</t>
  </si>
  <si>
    <t>O-RYK-01</t>
  </si>
  <si>
    <t>O-RYK-02</t>
  </si>
  <si>
    <t>SHAHZAD ASAD BILAL</t>
  </si>
  <si>
    <t>B-RWP-01</t>
  </si>
  <si>
    <t>WS-RWP-01</t>
  </si>
  <si>
    <t>WT-RWP-01</t>
  </si>
  <si>
    <t>O-SWL-01</t>
  </si>
  <si>
    <t>B-SWL-01</t>
  </si>
  <si>
    <t>O-SGD-01</t>
  </si>
  <si>
    <t>B-SGD-01</t>
  </si>
  <si>
    <t>O-SKT-01</t>
  </si>
  <si>
    <t>B-SKT-01</t>
  </si>
  <si>
    <t>B-SUK-01</t>
  </si>
  <si>
    <t>KHI03-FMCG02-SPO-01</t>
  </si>
  <si>
    <t>KHI03-FMCG02-SPO-02</t>
  </si>
  <si>
    <t>KHI03-FMCG02-SPO-03</t>
  </si>
  <si>
    <t>KHI03-FMCG02-SPO-04</t>
  </si>
  <si>
    <t>KHI03-FMCG02-SPO-05</t>
  </si>
  <si>
    <t>KHI03-FMCG02-SPO-06</t>
  </si>
  <si>
    <t>KHI03-FMCG02-ASM-01</t>
  </si>
  <si>
    <t>KHI04-FMCG02-SPO-05</t>
  </si>
  <si>
    <t>KHI04-FMCG02-SPO-06</t>
  </si>
  <si>
    <t>KHI05-FMCG03-SPO-01</t>
  </si>
  <si>
    <t>KHI05-FMCG03-SPO-02</t>
  </si>
  <si>
    <t>KHI05-FMCG03-SPO-03</t>
  </si>
  <si>
    <t>KHI05-FMCG03-SPO-04</t>
  </si>
  <si>
    <t>KHI05-FMCG03-SPO-05</t>
  </si>
  <si>
    <t>SUK01-FMCG03-SPO-01</t>
  </si>
  <si>
    <t>BWP01-FMCG-SPO-01</t>
  </si>
  <si>
    <t>RYK01-FMCG-SPO-01</t>
  </si>
  <si>
    <t>RYK01-FMCG-SPO-02</t>
  </si>
  <si>
    <t>MUX01-FMCG-SPO-01</t>
  </si>
  <si>
    <t>MUX02-FMCG-SPO-01</t>
  </si>
  <si>
    <t>FSD01-FMCG-SPO-01</t>
  </si>
  <si>
    <t>FSD01-FMCG-SPO-02</t>
  </si>
  <si>
    <t>FSD03-FMCG03-SPO-01</t>
  </si>
  <si>
    <t>FSD03-FMCG03-SPO-02</t>
  </si>
  <si>
    <t>FSD03-FMCG03-SPO-03</t>
  </si>
  <si>
    <t>LHR01-FMCG-SPO-05</t>
  </si>
  <si>
    <t>LHR02-FMCG03-SPO-01</t>
  </si>
  <si>
    <t>LHR03-FMCG02-SPO-02</t>
  </si>
  <si>
    <t>NTH-A-FMCG02-SPOWS-01</t>
  </si>
  <si>
    <t>SKT01-FMCG-SPO-01</t>
  </si>
  <si>
    <t>SKT01-FMCG03-SPO-01</t>
  </si>
  <si>
    <t>JLM01-FMCG-SPO-01</t>
  </si>
  <si>
    <t>JLM01-FMCG-SPO-02</t>
  </si>
  <si>
    <t>JLM01-FMCG-SPO-03</t>
  </si>
  <si>
    <t>GUJ01-FMCG-SPO-01</t>
  </si>
  <si>
    <t>GJW01-FMCG-SPO-01</t>
  </si>
  <si>
    <t>GJW02-FMCG-SPO-01</t>
  </si>
  <si>
    <t>GJW02-FMCG03-SPO-01</t>
  </si>
  <si>
    <t>KSR01-FMCG-SPO-01</t>
  </si>
  <si>
    <t>KSR01-FMCG03-SPO-01</t>
  </si>
  <si>
    <t>OKR01-FMCG-SPO-01</t>
  </si>
  <si>
    <t>SWL01-FMCG-SPO-01</t>
  </si>
  <si>
    <t>SWL01-FMCG03-SPO-01</t>
  </si>
  <si>
    <t>BWN01-FMCG03-SPO-01</t>
  </si>
  <si>
    <t>NTH-D-FMCG01-SPOWS-01</t>
  </si>
  <si>
    <t>NTH-D-FMCG02-SPOWS-01</t>
  </si>
  <si>
    <t>SGD01-FMCG-SPO-01</t>
  </si>
  <si>
    <t>SGD01-FMCG03-SPO-01</t>
  </si>
  <si>
    <t>PSH01-FMCG03-SPO-01</t>
  </si>
  <si>
    <t>ABT01-FMCG03-SPO-01</t>
  </si>
  <si>
    <t>ABT01-FMCG02-SPO-01</t>
  </si>
  <si>
    <t>ABT01-FMCG-SPO-01</t>
  </si>
  <si>
    <t>NTH-F-FMCG01-SPO-01</t>
  </si>
  <si>
    <t>NTH-F-FMCG01-SPO-02</t>
  </si>
  <si>
    <t>NTH-F-FMCG02-SPO-01</t>
  </si>
  <si>
    <t>NTH-F-FMCG-SPO-01</t>
  </si>
  <si>
    <t>NTH-F-FMCG03-SPO-01</t>
  </si>
  <si>
    <t>MDN01-FMCG03-SPO-01</t>
  </si>
  <si>
    <t>MDN01-FMCG-SPO-01</t>
  </si>
  <si>
    <t>MDN01-FMCG-SPO-02</t>
  </si>
  <si>
    <t>MDN01-FMCG-SPO-03</t>
  </si>
  <si>
    <t>NAZ + NORTH KHI</t>
  </si>
  <si>
    <t>STREET</t>
  </si>
  <si>
    <t>PRIME-HR</t>
  </si>
  <si>
    <t>ORANGI TOWN-KHI</t>
  </si>
  <si>
    <t>F B AREA -KHI</t>
  </si>
  <si>
    <t>NEW KHI-KHI</t>
  </si>
  <si>
    <t>GULSHAN + JOHAR-KHI</t>
  </si>
  <si>
    <t>Others</t>
  </si>
  <si>
    <t>UN-DEFINED</t>
  </si>
  <si>
    <t>M. WAQAR IQBAL</t>
  </si>
  <si>
    <t>OLD CITY + BALDIA-KHI</t>
  </si>
  <si>
    <t>KORANGI + DHA-KHI</t>
  </si>
  <si>
    <t>SADDAR-KHI</t>
  </si>
  <si>
    <t>MALIR-KHI</t>
  </si>
  <si>
    <t>WAQAR ABDUL RASHEED</t>
  </si>
  <si>
    <t>KARACHI-2</t>
  </si>
  <si>
    <t>KARACHI-3</t>
  </si>
  <si>
    <t>OLD CITY -BALDIA KHI</t>
  </si>
  <si>
    <t>NAZIMABAD- NORTH KHI</t>
  </si>
  <si>
    <t>KHI03-FMCG02-SPO-00</t>
  </si>
  <si>
    <t>SABAHAT KHAN SOORI</t>
  </si>
  <si>
    <t>KARACHI-4</t>
  </si>
  <si>
    <t>GULSHAN-JOHAR-KHI</t>
  </si>
  <si>
    <t>KORANGI-KHI</t>
  </si>
  <si>
    <t>LANDHI-KHI</t>
  </si>
  <si>
    <t>DHA + CLIFTON-KHI</t>
  </si>
  <si>
    <t>M. DANISH</t>
  </si>
  <si>
    <t>KARACHI-5</t>
  </si>
  <si>
    <t>DHA + CLIFTON-KORANGI LANDHI KHI</t>
  </si>
  <si>
    <t>TARIQ ROAD -BAHADURABAD</t>
  </si>
  <si>
    <t>ORANGI - BALDIA - OLD CITY</t>
  </si>
  <si>
    <t>KHI05-FMCG03-SPO-00</t>
  </si>
  <si>
    <t>BLS-KHI-5-DIR-PHR</t>
  </si>
  <si>
    <t>KHI05-FMCG03-ASM-01</t>
  </si>
  <si>
    <t>SY. HASSAN IQBAL ZAIDI</t>
  </si>
  <si>
    <t>HYDERABAD-1</t>
  </si>
  <si>
    <t>SD+STREET</t>
  </si>
  <si>
    <t>NADEEM FAROOQI</t>
  </si>
  <si>
    <t>NAWABSHAH-1</t>
  </si>
  <si>
    <t>NAWABSHAH</t>
  </si>
  <si>
    <t>SHAHDADPUR</t>
  </si>
  <si>
    <t>NAUSHERO FEROZ</t>
  </si>
  <si>
    <t>FAISAL HASSAN</t>
  </si>
  <si>
    <t>MIRPUR KHAS-1</t>
  </si>
  <si>
    <t>MIPURKHAS</t>
  </si>
  <si>
    <t>G1875</t>
  </si>
  <si>
    <t>MIRPUR KHAS</t>
  </si>
  <si>
    <t>KAMIL SARDAR</t>
  </si>
  <si>
    <t>STH-B HYDERABAD</t>
  </si>
  <si>
    <t>TE-HYD-01</t>
  </si>
  <si>
    <t>STH-B-FMCG01-TE-01</t>
  </si>
  <si>
    <t>HYDERABAD TRADE</t>
  </si>
  <si>
    <t>QUETTA-1</t>
  </si>
  <si>
    <t>GHULAM ABBAS</t>
  </si>
  <si>
    <t>M. YOUSUF</t>
  </si>
  <si>
    <t>SUKKUR-1</t>
  </si>
  <si>
    <t>KASHIF ANSARI</t>
  </si>
  <si>
    <t>LARKANA-1</t>
  </si>
  <si>
    <t>JACOBABAD</t>
  </si>
  <si>
    <t>LARKANA TRADE</t>
  </si>
  <si>
    <t>IMRAN KHAN SOOMRO</t>
  </si>
  <si>
    <t>STH-C SUKKUR</t>
  </si>
  <si>
    <t>WS-SUK-01</t>
  </si>
  <si>
    <t>STH-C-FMCG01-SPOWS-01</t>
  </si>
  <si>
    <t>SUKKUR WS</t>
  </si>
  <si>
    <t>WHOLESALE</t>
  </si>
  <si>
    <t>BAHAWALPUR-1</t>
  </si>
  <si>
    <t>BAHWALPUR</t>
  </si>
  <si>
    <t>NASEER AHMED</t>
  </si>
  <si>
    <t>RAHIMYAR KHAN-1</t>
  </si>
  <si>
    <t>RAHIMYAR KHAN</t>
  </si>
  <si>
    <t>HR-FIRST</t>
  </si>
  <si>
    <t>KHANPUR</t>
  </si>
  <si>
    <t>AHMED PUR</t>
  </si>
  <si>
    <t>G1889</t>
  </si>
  <si>
    <t>MULTAN-1</t>
  </si>
  <si>
    <t>BUREWLA</t>
  </si>
  <si>
    <t>ZILE HUSSAIN HASHMI</t>
  </si>
  <si>
    <t>MULTAN-2</t>
  </si>
  <si>
    <t>DGK</t>
  </si>
  <si>
    <t>MUZAFARGARH</t>
  </si>
  <si>
    <t>M. SHAHID JAVAID</t>
  </si>
  <si>
    <t>MULTAN-3</t>
  </si>
  <si>
    <t>B-MUX-01</t>
  </si>
  <si>
    <t>MUX03-FMCG03-SPO-01</t>
  </si>
  <si>
    <t>B-MUX-02</t>
  </si>
  <si>
    <t>MUX03-FMCG03-SPO-02</t>
  </si>
  <si>
    <t>B-MUX-03</t>
  </si>
  <si>
    <t>MUX03-FMCG03-SPO-03</t>
  </si>
  <si>
    <t>B-MUX-04</t>
  </si>
  <si>
    <t>MUX03-FMCG03-SPO-04</t>
  </si>
  <si>
    <t>MUX03-FMCG-SPO-00</t>
  </si>
  <si>
    <t>BLS-MUX-3-DIR-PHR</t>
  </si>
  <si>
    <t>MUX03-FMCG03-ASM-01</t>
  </si>
  <si>
    <t>MALIK NADEEM AHMED</t>
  </si>
  <si>
    <t>LAYYAH-1</t>
  </si>
  <si>
    <t>KOT ADDU</t>
  </si>
  <si>
    <t>MUZAMIL BILAL</t>
  </si>
  <si>
    <t>FAISALABAD-1</t>
  </si>
  <si>
    <t>KAMRAN SHABBIR</t>
  </si>
  <si>
    <t>FAISALABAD-3</t>
  </si>
  <si>
    <t>BLS-FSD-3-DIR-PHR</t>
  </si>
  <si>
    <t>FSD03-FMCG03-ASM-01</t>
  </si>
  <si>
    <t>G1912</t>
  </si>
  <si>
    <t>STH-E FAISALABAD</t>
  </si>
  <si>
    <t>TE-FSD-01</t>
  </si>
  <si>
    <t>STH-E-FMCG01-TE-01</t>
  </si>
  <si>
    <t>FAISALABAD TRADE</t>
  </si>
  <si>
    <t>LAHORE-1</t>
  </si>
  <si>
    <t>LMT+STREET</t>
  </si>
  <si>
    <t>SHEIKUPURA</t>
  </si>
  <si>
    <t>LMT+SD+STREET</t>
  </si>
  <si>
    <t>M. HASEEB</t>
  </si>
  <si>
    <t>LAHORE-2</t>
  </si>
  <si>
    <t>M. SABTAIN</t>
  </si>
  <si>
    <t>LAHORE-3</t>
  </si>
  <si>
    <t>AGHA ALI HAIDER</t>
  </si>
  <si>
    <t>CM-LHR-01</t>
  </si>
  <si>
    <t>NTH-A-FMCG-CM-01</t>
  </si>
  <si>
    <t>LAHORE WS</t>
  </si>
  <si>
    <t>SIALKOT-1</t>
  </si>
  <si>
    <t>SHKARGARH/NAROWAL</t>
  </si>
  <si>
    <t>IJAZ TABASSUM</t>
  </si>
  <si>
    <t>JHELUM-1</t>
  </si>
  <si>
    <t>JHELUM</t>
  </si>
  <si>
    <t>MIRPUR AJK</t>
  </si>
  <si>
    <t>EHSAN AFZAL</t>
  </si>
  <si>
    <t>GUJRAT-1</t>
  </si>
  <si>
    <t>MANDIBAHUDDIN</t>
  </si>
  <si>
    <t>SY. GOHAR RAZA</t>
  </si>
  <si>
    <t>GUJRANWALA-1</t>
  </si>
  <si>
    <t>GUJRAWALA</t>
  </si>
  <si>
    <t>KAMOKEY</t>
  </si>
  <si>
    <t>WAQAS KAREEM</t>
  </si>
  <si>
    <t>GUJRANWALA-2</t>
  </si>
  <si>
    <t>WAQAS ALI</t>
  </si>
  <si>
    <t>KASUR-1</t>
  </si>
  <si>
    <t>GHULAM RASOOL</t>
  </si>
  <si>
    <t>OKARA-1</t>
  </si>
  <si>
    <t>TE-OKR-1-DIR-PHR</t>
  </si>
  <si>
    <t>OKR01-FMCG01-ASMTE-01</t>
  </si>
  <si>
    <t>OKARA TRADE</t>
  </si>
  <si>
    <t>VACANT OKR ASM</t>
  </si>
  <si>
    <t>SAHIWAL-1</t>
  </si>
  <si>
    <t>M. SARFARZ</t>
  </si>
  <si>
    <t>BAHAWALNAGAR-1</t>
  </si>
  <si>
    <t>BAHWALNGAR</t>
  </si>
  <si>
    <t>NASIR BASHIR</t>
  </si>
  <si>
    <t>ISLAMABAD-1</t>
  </si>
  <si>
    <t>SHAFQAT ZAMAN</t>
  </si>
  <si>
    <t>RAWALPINDI-1</t>
  </si>
  <si>
    <t>NTH-D ISLAMABAD</t>
  </si>
  <si>
    <t>RAWALPINDI WS</t>
  </si>
  <si>
    <t>CM-RWP-01</t>
  </si>
  <si>
    <t>NTH-D-FMCG-CM-01</t>
  </si>
  <si>
    <t>TE-RWP-01</t>
  </si>
  <si>
    <t>NTH-D-FMCG01-TE-01</t>
  </si>
  <si>
    <t>CHAKWAL TRADE</t>
  </si>
  <si>
    <t>SARGODHA-1</t>
  </si>
  <si>
    <t>TE-SGD-1-DIR-PHR</t>
  </si>
  <si>
    <t>SGD01-FMCG01-ASMTE-01</t>
  </si>
  <si>
    <t>ADNAN SAJID</t>
  </si>
  <si>
    <t>SARGODHA TRADE</t>
  </si>
  <si>
    <t>PESHAWAR-1</t>
  </si>
  <si>
    <t>KOHAT/PESHAWAR</t>
  </si>
  <si>
    <t>SARDAR WARIS ALI KHAN</t>
  </si>
  <si>
    <t>NTH-E PESHAWAR</t>
  </si>
  <si>
    <t>WT-PSH-01</t>
  </si>
  <si>
    <t>NTH-E-FMCG02-SPOWS-01</t>
  </si>
  <si>
    <t>PESHAWAR WS</t>
  </si>
  <si>
    <t>CM-PSH-01</t>
  </si>
  <si>
    <t>NTH-E-FMCG-CM-01</t>
  </si>
  <si>
    <t>TE-PSH-01</t>
  </si>
  <si>
    <t>NTH-E-FMCG01-TE-01</t>
  </si>
  <si>
    <t>PESHAWAR TRADE</t>
  </si>
  <si>
    <t>ABBOTTABAD-1</t>
  </si>
  <si>
    <t>ABBOTABD</t>
  </si>
  <si>
    <t>NAVAID IQBAL</t>
  </si>
  <si>
    <t>NTH-F MINGORA</t>
  </si>
  <si>
    <t>TE-MNG-01</t>
  </si>
  <si>
    <t>NTH-F-FMCG01-TE-01</t>
  </si>
  <si>
    <t>MINGORA TRADE</t>
  </si>
  <si>
    <t>MINGORA</t>
  </si>
  <si>
    <t>TEMARGARAH</t>
  </si>
  <si>
    <t>NTH-F-FMCG-RSM-00</t>
  </si>
  <si>
    <t>LATIF KHAN</t>
  </si>
  <si>
    <t>MARDAN-1</t>
  </si>
  <si>
    <t>SAEED AHMED</t>
  </si>
  <si>
    <t>CM-KHI-01</t>
  </si>
  <si>
    <t>STH-C-FMCG-RSM-00</t>
  </si>
  <si>
    <t>TE-KHI-01</t>
  </si>
  <si>
    <t>STH-A-FMCG01-TE-01</t>
  </si>
  <si>
    <t>82</t>
  </si>
  <si>
    <t>81</t>
  </si>
  <si>
    <t>National CM</t>
  </si>
  <si>
    <t>National TE</t>
  </si>
  <si>
    <t>SPO Unmap</t>
  </si>
  <si>
    <t>SPO-(WS CM)</t>
  </si>
  <si>
    <t xml:space="preserve">Touch </t>
  </si>
  <si>
    <t>Sathi</t>
  </si>
  <si>
    <t>HYBRID</t>
  </si>
  <si>
    <t>Faisalabad-2</t>
  </si>
  <si>
    <t>T-FSD-04</t>
  </si>
  <si>
    <t>JHG-02</t>
  </si>
  <si>
    <t>FSD-05</t>
  </si>
  <si>
    <t>T-JHG-02</t>
  </si>
  <si>
    <t>T-FSD-05</t>
  </si>
  <si>
    <t>STH-FSD-2-DIR-PHR</t>
  </si>
  <si>
    <t>0124002</t>
  </si>
  <si>
    <t>0111502</t>
  </si>
  <si>
    <t>0111005</t>
  </si>
  <si>
    <t>0111504</t>
  </si>
  <si>
    <t>0124003</t>
  </si>
  <si>
    <t>TOBA TEKH SINGH</t>
  </si>
  <si>
    <t>CPD+PHR</t>
  </si>
  <si>
    <t>G1040</t>
  </si>
  <si>
    <t>G1571</t>
  </si>
  <si>
    <t>G1572</t>
  </si>
  <si>
    <t>G1326</t>
  </si>
  <si>
    <t>01240</t>
  </si>
  <si>
    <t>G0778</t>
  </si>
  <si>
    <t>LAHORE-6</t>
  </si>
  <si>
    <t>G0121</t>
  </si>
  <si>
    <t>LAHORE-4</t>
  </si>
  <si>
    <t>WS-LHR-01</t>
  </si>
  <si>
    <t>LAHORE-5</t>
  </si>
  <si>
    <t>BLISS</t>
  </si>
  <si>
    <t>LAHORE-7</t>
  </si>
  <si>
    <t>TE-LHR-01</t>
  </si>
  <si>
    <t>B-LHR-03</t>
  </si>
  <si>
    <t>0130302</t>
  </si>
  <si>
    <t>0130304</t>
  </si>
  <si>
    <t>WHHOLESALE</t>
  </si>
  <si>
    <t>E-01719</t>
  </si>
  <si>
    <t>CM MUX-01</t>
  </si>
  <si>
    <t>TE-MUX-01</t>
  </si>
  <si>
    <t>RSM-STH-D</t>
  </si>
  <si>
    <t>Multan-4</t>
  </si>
  <si>
    <t>Multan-5</t>
  </si>
  <si>
    <t>0444401</t>
  </si>
  <si>
    <t>0444402</t>
  </si>
  <si>
    <t>24</t>
  </si>
  <si>
    <t>Majid Khan</t>
  </si>
  <si>
    <t>G1121</t>
  </si>
  <si>
    <t>G1554</t>
  </si>
  <si>
    <t>E-01712</t>
  </si>
  <si>
    <t>FAISALABAD-4</t>
  </si>
  <si>
    <t>0555501</t>
  </si>
  <si>
    <t>CM FSD-01</t>
  </si>
  <si>
    <t>E-01714</t>
  </si>
  <si>
    <t>Gujranwala-3</t>
  </si>
  <si>
    <t>TE-GJW-01</t>
  </si>
  <si>
    <t>0130402</t>
  </si>
  <si>
    <t>DERA ISMAIL KHAN</t>
  </si>
  <si>
    <t>DIK-01</t>
  </si>
  <si>
    <t>O-DIK-01</t>
  </si>
  <si>
    <t>T-DIK-01</t>
  </si>
  <si>
    <t>B-DIK-01</t>
  </si>
  <si>
    <t>0210001</t>
  </si>
  <si>
    <t>0210002</t>
  </si>
  <si>
    <t>0210006</t>
  </si>
  <si>
    <t>0210007</t>
  </si>
  <si>
    <t>BANNU</t>
  </si>
  <si>
    <t>G0919</t>
  </si>
  <si>
    <t>G1566</t>
  </si>
  <si>
    <t>G1736</t>
  </si>
  <si>
    <t>G1730</t>
  </si>
  <si>
    <t>STH-DIK-1-DIR-PHR</t>
  </si>
  <si>
    <t>02100</t>
  </si>
  <si>
    <t>G1456</t>
  </si>
  <si>
    <t>STH-D-FMCG-CM-01</t>
  </si>
  <si>
    <t>STH-D-FMCG01-TE-01</t>
  </si>
  <si>
    <t>FSD02-FMCG02-SPO-02</t>
  </si>
  <si>
    <t>FSD02-FMCG01-SPO-01</t>
  </si>
  <si>
    <t>FSD02-FMCG01-SPO-02</t>
  </si>
  <si>
    <t>FSD02-FMCG02-SPO-01</t>
  </si>
  <si>
    <t>FSD02-FMCG-ASM-01</t>
  </si>
  <si>
    <t>STH-E-FMCG-CM-01</t>
  </si>
  <si>
    <t>NTH-A-FMCG01-SPOWS-01</t>
  </si>
  <si>
    <t>NTH-A-FMCG01-TE-01</t>
  </si>
  <si>
    <t>NTH-A-FMCG03-SPO-01</t>
  </si>
  <si>
    <t>NTH-B-FMCG01-TE-01</t>
  </si>
  <si>
    <t>DIK01-FMCG01-SPO-01</t>
  </si>
  <si>
    <t>DIK01-FMCG-SPO-01</t>
  </si>
  <si>
    <t>DIK01-FMCG02-SPO-01</t>
  </si>
  <si>
    <t>DIK01-FMCG03-SPO-01</t>
  </si>
  <si>
    <t>DIK01-FMCG-ASM-01</t>
  </si>
  <si>
    <t>FSD02-FMCG02-SPO-03</t>
  </si>
  <si>
    <t>STH-D-FMCG-RSM-01</t>
  </si>
  <si>
    <t>ASM Unmap</t>
  </si>
  <si>
    <t>ASM/TE</t>
  </si>
  <si>
    <t>0130103</t>
  </si>
  <si>
    <t>IMRAN KHAN SOOMRO (TE-LRK-1-DIR-PHR)</t>
  </si>
  <si>
    <t>0130104</t>
  </si>
  <si>
    <t>M. YOUSUF (TE-QTA-1-DIR-PHR)</t>
  </si>
  <si>
    <t>QUETTA TRADE</t>
  </si>
  <si>
    <t>QTA01-FMCG01-ASMTE-01</t>
  </si>
  <si>
    <t>LRK01-FMCG01-ASMTE-01</t>
  </si>
  <si>
    <t>0130502</t>
  </si>
  <si>
    <t>VACANT OKR ASMTE (TE-OKR-1-DIR-PHR)</t>
  </si>
  <si>
    <t>OKR01-FMCG01-ASM-01</t>
  </si>
  <si>
    <t>STH-A-FMCG-CM-00</t>
  </si>
  <si>
    <t>08888</t>
  </si>
  <si>
    <t>NTH-D-FMCG-CM-00</t>
  </si>
  <si>
    <t>01125</t>
  </si>
  <si>
    <t>0227004</t>
  </si>
  <si>
    <t>RSM Unmap</t>
  </si>
  <si>
    <t>Active SPOs MTD 
Attn</t>
  </si>
  <si>
    <t>Active SPOs Today
Calls</t>
  </si>
  <si>
    <t>Active SPOs MTD 
Calls</t>
  </si>
  <si>
    <t>CM Unmap</t>
  </si>
  <si>
    <t>06666</t>
  </si>
  <si>
    <t>09999</t>
  </si>
  <si>
    <t>NTH-A-FMCG-CM-00</t>
  </si>
  <si>
    <t>NTH-E-FMCG-CM-00</t>
  </si>
  <si>
    <t>SY. HUZAIFA ALI (KHI-01)</t>
  </si>
  <si>
    <t>WAQASUDDIN (KHI-02)</t>
  </si>
  <si>
    <t>SAMEER KHAN (KHI-03)</t>
  </si>
  <si>
    <t>M. QADEER ALAM (KHI-04)</t>
  </si>
  <si>
    <t>RIAZ (KHI-05)</t>
  </si>
  <si>
    <t>FMCG UNMAPPED (KHI01)</t>
  </si>
  <si>
    <t>ABDUL HASEEB (KHI-06)</t>
  </si>
  <si>
    <t>SHAHID ABDUL QADIR (KHI-07)</t>
  </si>
  <si>
    <t>WAQAS HASSAM (KHI-08)</t>
  </si>
  <si>
    <t>M. USMAN (KHI-09)</t>
  </si>
  <si>
    <t>HAMMAD WASEEM (KHI-10)</t>
  </si>
  <si>
    <t>FMCG UNMAPPED (KHI02)</t>
  </si>
  <si>
    <t>SHAHID HAMEED (T-KHI-01)</t>
  </si>
  <si>
    <t>KHAWAR (T-KHI-02)</t>
  </si>
  <si>
    <t>M. JAMSHED (T-KHI-03)</t>
  </si>
  <si>
    <t>FAIZ BIN SALEEM (T-KHI-04)</t>
  </si>
  <si>
    <t>FMCG UNMAPPED (KHI03)</t>
  </si>
  <si>
    <t>M. ASAD KHAN (T-KHI-06)</t>
  </si>
  <si>
    <t>ABDUL RAFAY (T-KHI-07)</t>
  </si>
  <si>
    <t>ASHAR UR REHMAN (T-KHI-08)</t>
  </si>
  <si>
    <t>SY. USAMA AHMED (T-KHI-09)</t>
  </si>
  <si>
    <t>SHAHROZ (T-KHI-10)</t>
  </si>
  <si>
    <t>M. WASEM (T-KHI-12)</t>
  </si>
  <si>
    <t>FMCG UNMAPPED (KHI04)</t>
  </si>
  <si>
    <t>MUHAMAMD FURQAN (B-KHI-03)</t>
  </si>
  <si>
    <t>FMCG UNMAPPED (KHI05)</t>
  </si>
  <si>
    <t>OWAIS ABID (CM-KHI-01)</t>
  </si>
  <si>
    <t>M. AMEEN (TE-KHI-01)</t>
  </si>
  <si>
    <t>SY. ADNAN ALI ZAIDI (HYD-01)</t>
  </si>
  <si>
    <t>SALMAN AHMED (HYD-02)</t>
  </si>
  <si>
    <t>M. WASEEQ (T-HYD-01)</t>
  </si>
  <si>
    <t>ALI AHMED SHAIKH (T-HYD-02)</t>
  </si>
  <si>
    <t>VACANT B HYD 1 (B-HYD-01)</t>
  </si>
  <si>
    <t>FMCG UNMAPPED (HYD01)</t>
  </si>
  <si>
    <t>MUHAMAMD HUSSAIN (NWB-04)</t>
  </si>
  <si>
    <t>M. AHSAN (T-NWB-04)</t>
  </si>
  <si>
    <t>VACANT B NWB 1 (B-NWB-01)</t>
  </si>
  <si>
    <t>M. IRFAN (O-NWB-01)</t>
  </si>
  <si>
    <t>RASHID ALI (O-NWB-02)</t>
  </si>
  <si>
    <t>VIJAY KUMAR (O-NWB-03)</t>
  </si>
  <si>
    <t>FMCG UNMAPPED (NWB01)</t>
  </si>
  <si>
    <t>GHULAM NABI (MPK-01)</t>
  </si>
  <si>
    <t>DILEEP KUMAR CHOUDRI (MPK-02)</t>
  </si>
  <si>
    <t>JUNAID SHAIKH (T-MPK-01)</t>
  </si>
  <si>
    <t>FMCG UNMAPPED (MPK01)</t>
  </si>
  <si>
    <t>M. ALI MEMON (TE-HYD-01)</t>
  </si>
  <si>
    <t>Vacant RSM</t>
  </si>
  <si>
    <t>RAVI KUMAR (QTA-01)</t>
  </si>
  <si>
    <t>GHULAM ABBAS (QTA-02)</t>
  </si>
  <si>
    <t>NIZAM UDDIN (T-QTA-02)</t>
  </si>
  <si>
    <t>BOR MUHAMMAD (B-QTA-01)</t>
  </si>
  <si>
    <t>FMCG UNMAPPED (QTA01)</t>
  </si>
  <si>
    <t>NISAR AHMED (SUK-01)</t>
  </si>
  <si>
    <t>ASIF AHMED SIIDDIQUI (SUK-02)</t>
  </si>
  <si>
    <t>M. SULEMAN (T-SUK-01)</t>
  </si>
  <si>
    <t>AMJAD ALI (T-SUK-02)</t>
  </si>
  <si>
    <t>VACANT B SUK 1 (B-SUK-01)</t>
  </si>
  <si>
    <t>FMCG UNMAPPED (SUK01)</t>
  </si>
  <si>
    <t>HAIBAT ALI (LRK-02)</t>
  </si>
  <si>
    <t>SHAHZEB (T-LRK-01)</t>
  </si>
  <si>
    <t>NADEEM (T-LRK-02)</t>
  </si>
  <si>
    <t>FMCG UNMAPPED (LRK01)</t>
  </si>
  <si>
    <t>SABIR (WS-SUK-01)</t>
  </si>
  <si>
    <t>STH-C - RSM - FMCG Unmapped</t>
  </si>
  <si>
    <t>MASOOD IRFAN (BWP-01)</t>
  </si>
  <si>
    <t>M. AHMED (BWP-02)</t>
  </si>
  <si>
    <t>ALI RAZA (T-BWP-01)</t>
  </si>
  <si>
    <t>ASIM NAVEED (O-BWP-03)</t>
  </si>
  <si>
    <t>FMCG UNMAPPED (BWP01)</t>
  </si>
  <si>
    <t>M. AMEEN (RYK-01)</t>
  </si>
  <si>
    <t>ZAHID HUSSAIN (T-RYK-01)</t>
  </si>
  <si>
    <t>ALI HASSAN (O-RYK-01)</t>
  </si>
  <si>
    <t>SAJID SAEED (O-RYK-02)</t>
  </si>
  <si>
    <t>FMCG UNMAPPED (RYK01)</t>
  </si>
  <si>
    <t>YASIR ALI (MUX-02)</t>
  </si>
  <si>
    <t>M. NOMAN NAVEED (T-MUX-01)</t>
  </si>
  <si>
    <t>ARMAN AYOUB (T-MUX-02)</t>
  </si>
  <si>
    <t>JUNAID SHAFQAT (O-MUX-01)</t>
  </si>
  <si>
    <t>FMCG UNMAPPED (MUX01)</t>
  </si>
  <si>
    <t>M. NADEEM (MUX-03)</t>
  </si>
  <si>
    <t>HASEEB KHAN (MUX-04)</t>
  </si>
  <si>
    <t>M. ALI FAWAD (T-MUX-03)</t>
  </si>
  <si>
    <t>M. KASHIF MALIK (T-MUX-04)</t>
  </si>
  <si>
    <t>HAROON RASHEED BHUTTA (O-MUX-02)</t>
  </si>
  <si>
    <t>FMCG UNMAPPED (MUX02)</t>
  </si>
  <si>
    <t>M. ARIF SHABBIR (B-MUX-02)</t>
  </si>
  <si>
    <t>SHAHBAZ ALTAF (B-MUX-03)</t>
  </si>
  <si>
    <t>FMCG UNMAPPED (MUX03)</t>
  </si>
  <si>
    <t>ASIF ALI (CM-MUX-01)</t>
  </si>
  <si>
    <t>M. DILBAR KHAN (TE-MUX-01)</t>
  </si>
  <si>
    <t>SADIQ HUSSAIN (LYH-01)</t>
  </si>
  <si>
    <t>HASSAN MUKHTIAR (LYH-02)</t>
  </si>
  <si>
    <t>AMIR BASHIR (T-LYH-01)</t>
  </si>
  <si>
    <t>KHURRAM SHAHZAD (T-LYH-02)</t>
  </si>
  <si>
    <t>FMCG UNMAPPED (LYH01)</t>
  </si>
  <si>
    <t>M. FAHAD (FSD-01)</t>
  </si>
  <si>
    <t>JAMAL KHAN (FSD-02)</t>
  </si>
  <si>
    <t>M. SHOAIB (T-FSD-01)</t>
  </si>
  <si>
    <t>FAISAL ADNAN (T-FSD-02)</t>
  </si>
  <si>
    <t>KHURSHEED ABBAS (O-JHG-01)</t>
  </si>
  <si>
    <t>FAHAD (O-FSD-03)</t>
  </si>
  <si>
    <t>FMCG UNMAPPED (FSD01)</t>
  </si>
  <si>
    <t>RAHEEL AKBAR (T-FSD-04)</t>
  </si>
  <si>
    <t>ABDUL HASEEB IRSHAD (JHG-02)</t>
  </si>
  <si>
    <t>PATRIS MASIH (FSD-05)</t>
  </si>
  <si>
    <t>M. SAJID (T-JHG-02)</t>
  </si>
  <si>
    <t>ALI SHAN (T-FSD-05)</t>
  </si>
  <si>
    <t>ALI ZAIN UL ABDEEN</t>
  </si>
  <si>
    <t>SAMRAZ ALI (B-FSD-01)</t>
  </si>
  <si>
    <t>M. WASEEM (B-FSD-02)</t>
  </si>
  <si>
    <t>MUDASIR NAZIR (B-FSD-03)</t>
  </si>
  <si>
    <t>FMCG UNMAPPED (FSD03)</t>
  </si>
  <si>
    <t>M. USMAN (CM-FSD-01)</t>
  </si>
  <si>
    <t>TANVEER UL HASSAN (TE-FSD-01)</t>
  </si>
  <si>
    <t>NASIR BAIG</t>
  </si>
  <si>
    <t>ALI RAZA (O-LHR-01-PHR)</t>
  </si>
  <si>
    <t>M. SUBHAN (O-LHR-02-PHR)</t>
  </si>
  <si>
    <t>AHMED ALI (O-LHR-03-PHR)</t>
  </si>
  <si>
    <t>ALI HASNAIN (O-LHR-04-PHR)</t>
  </si>
  <si>
    <t>M. USMAN KHAN (O-LHR-05-PHR)</t>
  </si>
  <si>
    <t>FMCG UNMAPPED (LHR01)</t>
  </si>
  <si>
    <t>ADEEL ARIF (LHR-01)</t>
  </si>
  <si>
    <t>ABID ALI (LHR-02)</t>
  </si>
  <si>
    <t>M. IMRAN IJAZ (T-LHR-01)</t>
  </si>
  <si>
    <t>ASIF ALI NASIR (T-LHR-02)</t>
  </si>
  <si>
    <t>UMAR WASEEM (B-LHR-01)</t>
  </si>
  <si>
    <t>FMCG UNMAPPED (LHR02)</t>
  </si>
  <si>
    <t>JUNAID ALI KHAN (LHR-04)</t>
  </si>
  <si>
    <t>AMIR NAZEER (T-LHR-03)</t>
  </si>
  <si>
    <t>SULTAN HAIDER (T-LHR-04)</t>
  </si>
  <si>
    <t>FMCG UNMAPPED (LHR03)</t>
  </si>
  <si>
    <t>ANEES UR REHMAN (WS-LHR-01)</t>
  </si>
  <si>
    <t>NEHROZ ABBAS (WT-LHR-02)</t>
  </si>
  <si>
    <t>SY. SALMAN HAIDER ZAIDI (CM-LHR-01)</t>
  </si>
  <si>
    <t>Sy. Salman Zaidi (CM LHR)</t>
  </si>
  <si>
    <t>WAQAS RASOOL (TE-LHR-01)</t>
  </si>
  <si>
    <t>NOMAN ALI (SKT-01)</t>
  </si>
  <si>
    <t>SHARJEEL KHAWAR (T-SKT-01)</t>
  </si>
  <si>
    <t>M. ASIM (O-SKT-01)</t>
  </si>
  <si>
    <t>HAMAD ALI (B-SKT-01)</t>
  </si>
  <si>
    <t>FMCG UNMAPPED (SKT01)</t>
  </si>
  <si>
    <t>M. ABUBAKAR (O-JHL-01)</t>
  </si>
  <si>
    <t>M. NAEEM (O-JHL-02)</t>
  </si>
  <si>
    <t>AHMED AFAQ (O-JHL-03)</t>
  </si>
  <si>
    <t>M. JUNAID AKHTAR (B-JHL-01)</t>
  </si>
  <si>
    <t>FMCG UNMAPPED (JLM01)</t>
  </si>
  <si>
    <t>WASEEM MUSHTAQ (GRT-01)</t>
  </si>
  <si>
    <t>BABAR ALI (T-GRT-01)</t>
  </si>
  <si>
    <t>M. RAMZAN (O-GRT-01)</t>
  </si>
  <si>
    <t>FMCG UNMAPPED (GUJ01)</t>
  </si>
  <si>
    <t>MAAZ WASEEM USMANI (GJW-01)</t>
  </si>
  <si>
    <t>FARHAN HAIDER (T-GJW-01)</t>
  </si>
  <si>
    <t>M. NAVEED (O-GJW-01)</t>
  </si>
  <si>
    <t>SHAHRIYAR SUBHANI (B-GJW-01)</t>
  </si>
  <si>
    <t>FMCG UNMAPPED (GJW01)</t>
  </si>
  <si>
    <t>UZAIR ZAFAR (GJW-02)</t>
  </si>
  <si>
    <t>SY. IMRAN HAIDER (T-GJW-02)</t>
  </si>
  <si>
    <t>M. IMTIZAZ HUSSAIN (O-GJW-02)</t>
  </si>
  <si>
    <t>M. ABUBAKAR (B-GJW-02)</t>
  </si>
  <si>
    <t>FMCG UNMAPPED (GJW02)</t>
  </si>
  <si>
    <t>MURTAZA HAIDER (TE-GJW-01)</t>
  </si>
  <si>
    <t>M. IQBAL (KSR-01)</t>
  </si>
  <si>
    <t>AQIB NIAZ AHMED (T-KSR-01)</t>
  </si>
  <si>
    <t>NAJAM SAQIB (O-KSR-01)</t>
  </si>
  <si>
    <t>GHULAM FAREED (B-KSR-01)</t>
  </si>
  <si>
    <t>FMCG UNMAPPED (KSR01)</t>
  </si>
  <si>
    <t>SAJJAD HUSSAIN (OKR-01)</t>
  </si>
  <si>
    <t>HAIDER KHAN (T-OKR-01)</t>
  </si>
  <si>
    <t>RAB NAWAZ (O-OKR-01)</t>
  </si>
  <si>
    <t>KHURRAM SHAHZAD (B-OKR-01)</t>
  </si>
  <si>
    <t>FMCG UNMAPPED (OKR01)</t>
  </si>
  <si>
    <t>KAMAL RIZWAN (T-SWL-01)</t>
  </si>
  <si>
    <t>FURQAN HAIDER (B-SWL-01)</t>
  </si>
  <si>
    <t>SHAHZAD LIAQUAT (O-SWL-01)</t>
  </si>
  <si>
    <t>AWAIS IRSHAD (SWL-01)</t>
  </si>
  <si>
    <t>FMCG UNMAPPED (SWL01)</t>
  </si>
  <si>
    <t>ISHFAQ AHMED (BWN-01)</t>
  </si>
  <si>
    <t>GHULAM MURTUZA (BWN-02)</t>
  </si>
  <si>
    <t>ABDUL REHMAN (T-BWN-01)</t>
  </si>
  <si>
    <t>M. AKHTAR (B-BWN-01)</t>
  </si>
  <si>
    <t>FMCG UNMAPPED (BWN01)</t>
  </si>
  <si>
    <t>M. AHTSHAM (ISB-01)</t>
  </si>
  <si>
    <t>M. FAIZAN GOHAR (ISB-02)</t>
  </si>
  <si>
    <t>M. KASHIF (T-ISB-01)</t>
  </si>
  <si>
    <t>FAIZAN AHMED (T-ISB-02)</t>
  </si>
  <si>
    <t>M. AWAIS (B-ISB-01)</t>
  </si>
  <si>
    <t>FMCG UNMAPPED (ISB01)</t>
  </si>
  <si>
    <t>M. USMAN (RWP-01)</t>
  </si>
  <si>
    <t>UMAR RAFI (RWP-02)</t>
  </si>
  <si>
    <t>M. TALHA (T-RWP-01)</t>
  </si>
  <si>
    <t>NAVEED AHMED SAEED (T-RWP-02)</t>
  </si>
  <si>
    <t>HAMZA (B-RWP-01)</t>
  </si>
  <si>
    <t>FMCG UNMAPPED (RWP01)</t>
  </si>
  <si>
    <t>M. ASAD HABIB (WS-RWP-01)</t>
  </si>
  <si>
    <t>FAISAL SARDAR (WT-RWP-01)</t>
  </si>
  <si>
    <t>ALTAF HUSSAIN (CM-RWP-01)</t>
  </si>
  <si>
    <t>Altaf Hussain (CM RWP)</t>
  </si>
  <si>
    <t>SAEED SALEEM (TE-RWP-01)</t>
  </si>
  <si>
    <t>AHMED HASSAN (SGD-01)</t>
  </si>
  <si>
    <t>ABDUL REHMAN (SGD-02)</t>
  </si>
  <si>
    <t>AMEER HAMZA (T-SGD-01)</t>
  </si>
  <si>
    <t>SAFWAN DANISH (O-SGD-01)</t>
  </si>
  <si>
    <t>FMCG UNMAPPED (SGD01)</t>
  </si>
  <si>
    <t>JALAL KHAN (PSH-01)</t>
  </si>
  <si>
    <t>M. OWAIS RAZA (PSH-02)</t>
  </si>
  <si>
    <t>M. ISHAQ (T-PSH-01)</t>
  </si>
  <si>
    <t>AHSAN ISHTIAQ (T-PSH-02)</t>
  </si>
  <si>
    <t>HASSAN SHAH (B-PSH-01)</t>
  </si>
  <si>
    <t>FMCG UNMAPPED (PSH01)</t>
  </si>
  <si>
    <t>ABDUL HADI (WT-PSH-01)</t>
  </si>
  <si>
    <t>DANIYAL HUSSAIN MUGHAL (CM-PSH-01)</t>
  </si>
  <si>
    <t>Daniyal Hussain (CM PSH)</t>
  </si>
  <si>
    <t>M. IRFAN (DIK-01)</t>
  </si>
  <si>
    <t>M. SHAHZAD (O-DIK-01)</t>
  </si>
  <si>
    <t>IZAN ABBAS (T-DIK-01)</t>
  </si>
  <si>
    <t>M. ASHAN SHAH (B-DIK-01)</t>
  </si>
  <si>
    <t>M. ALI NAWAZ</t>
  </si>
  <si>
    <t>ADNAN SAJID (TE-SGD-1-DIR-PHR)</t>
  </si>
  <si>
    <t>FAIZAN ALI (TE-PSH-01)</t>
  </si>
  <si>
    <t>HABIB ULLAH (ABT-01)</t>
  </si>
  <si>
    <t>AMIR KHAN (T-ABT-01)</t>
  </si>
  <si>
    <t>NAVEED KHAN (O-ABT-01)</t>
  </si>
  <si>
    <t>SY. ABRAR HUSSAIN SHAH (B-ABT-01)</t>
  </si>
  <si>
    <t>FMCG UNMAPPED (ABT01)</t>
  </si>
  <si>
    <t>IQBAL AHMAD KHAN (TE-MNG-01)</t>
  </si>
  <si>
    <t>BARKAT ALI (MNG-01)</t>
  </si>
  <si>
    <t>AYYAZ KHAN (MNG-02)</t>
  </si>
  <si>
    <t>SALAHAUDDIN (T-MNG-01)</t>
  </si>
  <si>
    <t>SHAHID MEHMOOD AWAN (O-MNG-01)</t>
  </si>
  <si>
    <t>ABBAS KHAN (B-MNG-01)</t>
  </si>
  <si>
    <t>MNG01-FMCG Unmapped</t>
  </si>
  <si>
    <t>NTH-F- RSM - FMCG Unmapp</t>
  </si>
  <si>
    <t>RAMEEZ (O-MDN-01)</t>
  </si>
  <si>
    <t>TAHIR AMEEN (O-MDN-02)</t>
  </si>
  <si>
    <t>SHAHAB KHAN (O-MDN-03)</t>
  </si>
  <si>
    <t>M. ARIF (B-MDN-01)</t>
  </si>
  <si>
    <t>FMCG UNMAPPED (MDN01)</t>
  </si>
  <si>
    <t>NTH-F - RSM - FMCG Unmapped</t>
  </si>
  <si>
    <t>NADEEM AHMED KHAN</t>
  </si>
  <si>
    <t>NATIONAL FMCG INST</t>
  </si>
  <si>
    <t>NATIONAL</t>
  </si>
  <si>
    <t>CHANNEL MANAGER + W/SPO</t>
  </si>
  <si>
    <t>TERRITORY EXECUTIVE</t>
  </si>
  <si>
    <t>G1613</t>
  </si>
  <si>
    <t>VACANT (B-KHI-04)</t>
  </si>
  <si>
    <t>VACANT (MUX-01)</t>
  </si>
  <si>
    <t>M. AYYAN (B-KHI-01)</t>
  </si>
  <si>
    <t>ABDUL HADI (B-KHI-02)</t>
  </si>
  <si>
    <t>Sana Ullah (T-QTA-01)</t>
  </si>
  <si>
    <t>G1935</t>
  </si>
  <si>
    <t>M.Zeeshan (B-MUX-01)</t>
  </si>
  <si>
    <t>UMAR BASHEER (B-MUX-04)</t>
  </si>
  <si>
    <t>G1932</t>
  </si>
  <si>
    <t>KHIZAR ASHRAF (B-LHR-03)</t>
  </si>
  <si>
    <t>ABDULLAH QURESHI (T-KHI-11)</t>
  </si>
  <si>
    <t>BALDIA</t>
  </si>
  <si>
    <t>LAST EMP</t>
  </si>
  <si>
    <t>M. AYYAN (B-KHI-02)</t>
  </si>
  <si>
    <t>VACANT (T-KHI-11)</t>
  </si>
  <si>
    <t>KHIZAR ASHRAF (LHR-03)</t>
  </si>
  <si>
    <t>VACANT (B-LHR-02)</t>
  </si>
  <si>
    <t>MUNEEB (B-LHR-03)</t>
  </si>
  <si>
    <t>Gul Zaib Khan (B-SUK-01)</t>
  </si>
  <si>
    <t>G1937</t>
  </si>
  <si>
    <t>Gazanfar Ali (B-HYD-01)</t>
  </si>
  <si>
    <t>G1933</t>
  </si>
  <si>
    <t>Dawood Arshad (MUX-01)</t>
  </si>
  <si>
    <t>G1934</t>
  </si>
  <si>
    <t>G1938</t>
  </si>
  <si>
    <t>M. Hasnain (B-NWB-01)</t>
  </si>
  <si>
    <t>Jawad Ali (B-HYD-02)</t>
  </si>
  <si>
    <t>KASHAN RAZA (B-KHI-05)</t>
  </si>
  <si>
    <t>ZAYAN AHMED (B-KHI-04)</t>
  </si>
  <si>
    <t>G1942</t>
  </si>
  <si>
    <t>SHAFQAT ZAMAN (SGD-02)</t>
  </si>
  <si>
    <t>FAWAD MEHMOOD (B-LRK-01)</t>
  </si>
  <si>
    <t>G1944</t>
  </si>
  <si>
    <t>G1943</t>
  </si>
  <si>
    <t>SY. FARZAN ALI SHAH (T-KHI-05)</t>
  </si>
  <si>
    <t>WAQAR AHMED (LRK-01)</t>
  </si>
  <si>
    <t>G1870</t>
  </si>
  <si>
    <t>ABDUL HAMEED (LRK-01)</t>
  </si>
  <si>
    <t>PADAM SINGH (T-MPK-02)</t>
  </si>
  <si>
    <t>SAAD SALEEM (B-SGD-01)</t>
  </si>
  <si>
    <t>M. ASGHAR (B-FSD-01)</t>
  </si>
  <si>
    <t>G1948</t>
  </si>
  <si>
    <t>VACANT (B-LHR-01)</t>
  </si>
  <si>
    <t>VACANT (T-MPK-02)</t>
  </si>
  <si>
    <t>SHAHZEB (B-LRK-01)</t>
  </si>
  <si>
    <t>FAWAD MEHMOOD (T-LRK-01)</t>
  </si>
  <si>
    <t>HARIS AFTAB (B-SGD-01)</t>
  </si>
  <si>
    <t>G1953</t>
  </si>
  <si>
    <t>Calls + Exception Other Calls</t>
  </si>
  <si>
    <t>Vacant ASM-FSD-02</t>
  </si>
  <si>
    <t>MEEZAN MALIK (NWB-04)</t>
  </si>
  <si>
    <t>AFNAN UL HAQ BABAR (ABT-01)</t>
  </si>
  <si>
    <t>VACANT ASM LHR-02</t>
  </si>
  <si>
    <t>VACANT (B-KHI-01)</t>
  </si>
  <si>
    <t>MANZOOR ALAM (PSH-02)</t>
  </si>
  <si>
    <t>G1959</t>
  </si>
  <si>
    <t>SAQIB IMAM (O-RYK-02)</t>
  </si>
  <si>
    <t>G1957</t>
  </si>
  <si>
    <t>Resigned</t>
  </si>
  <si>
    <t>VACANT (B-HYD-02)</t>
  </si>
  <si>
    <t>VACANT (T-KHI-04)</t>
  </si>
  <si>
    <t>FAWAD ALI (T-PSH-02)</t>
  </si>
  <si>
    <t>G1962</t>
  </si>
  <si>
    <t>SALMAN BUTT (LHR-04)</t>
  </si>
  <si>
    <t>G1960</t>
  </si>
  <si>
    <t>REHMAN ALLAH DITTA (LHR-03)</t>
  </si>
  <si>
    <t>M. IMRAN IJAZ</t>
  </si>
  <si>
    <t>ALI HAIDER (T-LHR-01)</t>
  </si>
  <si>
    <t>G1965</t>
  </si>
  <si>
    <t>VACANT (T-GJW-01)</t>
  </si>
  <si>
    <t>VACANT ASM-GUJ-01</t>
  </si>
  <si>
    <t>VACANT (TE-GJW-01)</t>
  </si>
  <si>
    <t>VACANT (T-KHI-05)</t>
  </si>
  <si>
    <t>M. ROHAB (T-LHR-04)</t>
  </si>
  <si>
    <t>G1967</t>
  </si>
  <si>
    <t>G1968</t>
  </si>
  <si>
    <t>M. RAFAY MALIK (ISB-02)</t>
  </si>
  <si>
    <t>G1969</t>
  </si>
  <si>
    <t>REHMAN MEHMOOD (LHR-02)</t>
  </si>
  <si>
    <t>E-03411</t>
  </si>
  <si>
    <t>E-03412</t>
  </si>
  <si>
    <t>E-03413</t>
  </si>
  <si>
    <t>E-03410</t>
  </si>
  <si>
    <t>VACANT (T-LHR-02)</t>
  </si>
  <si>
    <t>`</t>
  </si>
  <si>
    <t>Attendance 
(Oct-2026)</t>
  </si>
  <si>
    <t>Calls + Exceptions Other Calls
(Oct-2026)</t>
  </si>
  <si>
    <t>VACANT (RWP-01)</t>
  </si>
  <si>
    <t>M. OSAMA (B-KHI-05)</t>
  </si>
  <si>
    <t>G1970</t>
  </si>
  <si>
    <t>VACANT (O-LHR-05-PHR)</t>
  </si>
  <si>
    <t>FMCG Team – IKON MTD Call Performance Summary Till 14-Oct-2026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</si>
</sst>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[$-409]d\-mmm\-yy;@"/>
    <numFmt numFmtId="167" formatCode="_(* #,##0_);_(* \(#,##0\);_(* &quot;-&quot;??_);_(@_)"/>
    <numFmt numFmtId="168" formatCode="[$-409]dd\-mmm\-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Aptos"/>
      <family val="2"/>
    </font>
    <font>
      <b/>
      <sz val="12"/>
      <color theme="1"/>
      <name val="Aptos"/>
      <family val="2"/>
    </font>
    <font>
      <b/>
      <sz val="8"/>
      <color theme="1"/>
      <name val="Aptos"/>
      <family val="2"/>
    </font>
    <font>
      <b/>
      <sz val="24"/>
      <color theme="1"/>
      <name val="Aptos"/>
      <family val="2"/>
    </font>
    <font>
      <b/>
      <sz val="22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DFFD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4">
    <xf numFmtId="0" fontId="0" fillId="0" borderId="0" xfId="0"/>
    <xf numFmtId="165" fontId="0" fillId="0" borderId="0" xfId="1" applyNumberFormat="1" applyFont="1"/>
    <xf numFmtId="0" fontId="0" fillId="0" borderId="8" xfId="0" applyBorder="1"/>
    <xf numFmtId="167" fontId="0" fillId="0" borderId="8" xfId="1" applyNumberFormat="1" applyFont="1" applyBorder="1"/>
    <xf numFmtId="167" fontId="0" fillId="0" borderId="14" xfId="1" applyNumberFormat="1" applyFont="1" applyBorder="1"/>
    <xf numFmtId="167" fontId="0" fillId="0" borderId="30" xfId="1" applyNumberFormat="1" applyFont="1" applyBorder="1"/>
    <xf numFmtId="167" fontId="0" fillId="0" borderId="15" xfId="1" applyNumberFormat="1" applyFont="1" applyBorder="1"/>
    <xf numFmtId="167" fontId="0" fillId="0" borderId="36" xfId="1" applyNumberFormat="1" applyFont="1" applyBorder="1"/>
    <xf numFmtId="167" fontId="4" fillId="9" borderId="8" xfId="1" applyNumberFormat="1" applyFont="1" applyFill="1" applyBorder="1"/>
    <xf numFmtId="167" fontId="4" fillId="6" borderId="8" xfId="1" applyNumberFormat="1" applyFont="1" applyFill="1" applyBorder="1"/>
    <xf numFmtId="167" fontId="4" fillId="4" borderId="8" xfId="1" applyNumberFormat="1" applyFont="1" applyFill="1" applyBorder="1"/>
    <xf numFmtId="167" fontId="4" fillId="9" borderId="15" xfId="1" applyNumberFormat="1" applyFont="1" applyFill="1" applyBorder="1"/>
    <xf numFmtId="167" fontId="4" fillId="6" borderId="15" xfId="1" applyNumberFormat="1" applyFont="1" applyFill="1" applyBorder="1"/>
    <xf numFmtId="167" fontId="4" fillId="4" borderId="15" xfId="1" applyNumberFormat="1" applyFont="1" applyFill="1" applyBorder="1"/>
    <xf numFmtId="167" fontId="4" fillId="9" borderId="9" xfId="1" applyNumberFormat="1" applyFont="1" applyFill="1" applyBorder="1"/>
    <xf numFmtId="167" fontId="4" fillId="6" borderId="9" xfId="1" applyNumberFormat="1" applyFont="1" applyFill="1" applyBorder="1"/>
    <xf numFmtId="167" fontId="4" fillId="4" borderId="9" xfId="1" applyNumberFormat="1" applyFont="1" applyFill="1" applyBorder="1"/>
    <xf numFmtId="167" fontId="4" fillId="8" borderId="38" xfId="1" applyNumberFormat="1" applyFont="1" applyFill="1" applyBorder="1"/>
    <xf numFmtId="0" fontId="4" fillId="6" borderId="11" xfId="0" applyFont="1" applyFill="1" applyBorder="1" applyAlignment="1">
      <alignment vertical="center" wrapText="1"/>
    </xf>
    <xf numFmtId="0" fontId="4" fillId="6" borderId="31" xfId="0" applyFont="1" applyFill="1" applyBorder="1" applyAlignment="1">
      <alignment vertical="center" wrapText="1"/>
    </xf>
    <xf numFmtId="0" fontId="4" fillId="5" borderId="31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168" fontId="6" fillId="10" borderId="11" xfId="1" applyNumberFormat="1" applyFont="1" applyFill="1" applyBorder="1" applyAlignment="1">
      <alignment horizontal="center" vertical="center" wrapText="1"/>
    </xf>
    <xf numFmtId="168" fontId="6" fillId="10" borderId="31" xfId="1" applyNumberFormat="1" applyFont="1" applyFill="1" applyBorder="1" applyAlignment="1">
      <alignment horizontal="center" vertical="center" wrapText="1"/>
    </xf>
    <xf numFmtId="168" fontId="6" fillId="7" borderId="31" xfId="1" applyNumberFormat="1" applyFont="1" applyFill="1" applyBorder="1" applyAlignment="1">
      <alignment horizontal="center" vertical="center" wrapText="1"/>
    </xf>
    <xf numFmtId="168" fontId="6" fillId="7" borderId="11" xfId="1" applyNumberFormat="1" applyFont="1" applyFill="1" applyBorder="1" applyAlignment="1">
      <alignment horizontal="center" vertical="center" wrapText="1"/>
    </xf>
    <xf numFmtId="167" fontId="4" fillId="0" borderId="22" xfId="1" applyNumberFormat="1" applyFont="1" applyFill="1" applyBorder="1"/>
    <xf numFmtId="167" fontId="4" fillId="0" borderId="23" xfId="1" applyNumberFormat="1" applyFont="1" applyFill="1" applyBorder="1"/>
    <xf numFmtId="167" fontId="4" fillId="0" borderId="8" xfId="1" applyNumberFormat="1" applyFont="1" applyFill="1" applyBorder="1"/>
    <xf numFmtId="167" fontId="4" fillId="0" borderId="15" xfId="1" applyNumberFormat="1" applyFont="1" applyFill="1" applyBorder="1"/>
    <xf numFmtId="167" fontId="4" fillId="0" borderId="30" xfId="1" applyNumberFormat="1" applyFont="1" applyFill="1" applyBorder="1"/>
    <xf numFmtId="167" fontId="4" fillId="0" borderId="36" xfId="1" applyNumberFormat="1" applyFont="1" applyFill="1" applyBorder="1"/>
    <xf numFmtId="0" fontId="4" fillId="0" borderId="26" xfId="0" applyFont="1" applyBorder="1"/>
    <xf numFmtId="0" fontId="4" fillId="0" borderId="22" xfId="0" applyFont="1" applyBorder="1"/>
    <xf numFmtId="165" fontId="4" fillId="0" borderId="22" xfId="1" applyNumberFormat="1" applyFont="1" applyFill="1" applyBorder="1"/>
    <xf numFmtId="167" fontId="4" fillId="0" borderId="26" xfId="1" applyNumberFormat="1" applyFont="1" applyFill="1" applyBorder="1"/>
    <xf numFmtId="167" fontId="4" fillId="0" borderId="21" xfId="1" applyNumberFormat="1" applyFont="1" applyFill="1" applyBorder="1"/>
    <xf numFmtId="0" fontId="4" fillId="0" borderId="14" xfId="0" applyFont="1" applyBorder="1"/>
    <xf numFmtId="0" fontId="4" fillId="0" borderId="8" xfId="0" applyFont="1" applyBorder="1"/>
    <xf numFmtId="165" fontId="4" fillId="0" borderId="8" xfId="1" applyNumberFormat="1" applyFont="1" applyFill="1" applyBorder="1"/>
    <xf numFmtId="167" fontId="4" fillId="0" borderId="14" xfId="1" applyNumberFormat="1" applyFont="1" applyFill="1" applyBorder="1"/>
    <xf numFmtId="167" fontId="4" fillId="0" borderId="10" xfId="1" applyNumberFormat="1" applyFont="1" applyFill="1" applyBorder="1"/>
    <xf numFmtId="0" fontId="4" fillId="9" borderId="14" xfId="0" applyFont="1" applyFill="1" applyBorder="1"/>
    <xf numFmtId="0" fontId="4" fillId="9" borderId="8" xfId="0" applyFont="1" applyFill="1" applyBorder="1"/>
    <xf numFmtId="165" fontId="4" fillId="9" borderId="8" xfId="1" applyNumberFormat="1" applyFont="1" applyFill="1" applyBorder="1"/>
    <xf numFmtId="167" fontId="4" fillId="9" borderId="14" xfId="1" applyNumberFormat="1" applyFont="1" applyFill="1" applyBorder="1"/>
    <xf numFmtId="167" fontId="4" fillId="9" borderId="10" xfId="1" applyNumberFormat="1" applyFont="1" applyFill="1" applyBorder="1"/>
    <xf numFmtId="0" fontId="4" fillId="6" borderId="14" xfId="0" applyFont="1" applyFill="1" applyBorder="1"/>
    <xf numFmtId="0" fontId="4" fillId="6" borderId="8" xfId="0" applyFont="1" applyFill="1" applyBorder="1"/>
    <xf numFmtId="165" fontId="4" fillId="6" borderId="8" xfId="1" applyNumberFormat="1" applyFont="1" applyFill="1" applyBorder="1"/>
    <xf numFmtId="167" fontId="4" fillId="6" borderId="14" xfId="1" applyNumberFormat="1" applyFont="1" applyFill="1" applyBorder="1"/>
    <xf numFmtId="167" fontId="4" fillId="6" borderId="10" xfId="1" applyNumberFormat="1" applyFont="1" applyFill="1" applyBorder="1"/>
    <xf numFmtId="0" fontId="4" fillId="4" borderId="14" xfId="0" applyFont="1" applyFill="1" applyBorder="1"/>
    <xf numFmtId="0" fontId="4" fillId="4" borderId="8" xfId="0" applyFont="1" applyFill="1" applyBorder="1"/>
    <xf numFmtId="165" fontId="4" fillId="4" borderId="8" xfId="1" applyNumberFormat="1" applyFont="1" applyFill="1" applyBorder="1"/>
    <xf numFmtId="167" fontId="4" fillId="4" borderId="14" xfId="1" applyNumberFormat="1" applyFont="1" applyFill="1" applyBorder="1"/>
    <xf numFmtId="167" fontId="4" fillId="4" borderId="10" xfId="1" applyNumberFormat="1" applyFont="1" applyFill="1" applyBorder="1"/>
    <xf numFmtId="0" fontId="4" fillId="0" borderId="27" xfId="0" applyFont="1" applyBorder="1"/>
    <xf numFmtId="0" fontId="4" fillId="0" borderId="30" xfId="0" applyFont="1" applyBorder="1"/>
    <xf numFmtId="165" fontId="4" fillId="0" borderId="30" xfId="1" applyNumberFormat="1" applyFont="1" applyFill="1" applyBorder="1"/>
    <xf numFmtId="167" fontId="4" fillId="0" borderId="27" xfId="1" applyNumberFormat="1" applyFont="1" applyFill="1" applyBorder="1"/>
    <xf numFmtId="167" fontId="4" fillId="0" borderId="7" xfId="1" applyNumberFormat="1" applyFont="1" applyFill="1" applyBorder="1"/>
    <xf numFmtId="167" fontId="4" fillId="0" borderId="28" xfId="1" applyNumberFormat="1" applyFont="1" applyFill="1" applyBorder="1"/>
    <xf numFmtId="167" fontId="4" fillId="0" borderId="9" xfId="1" applyNumberFormat="1" applyFont="1" applyFill="1" applyBorder="1"/>
    <xf numFmtId="167" fontId="4" fillId="0" borderId="38" xfId="1" applyNumberFormat="1" applyFont="1" applyFill="1" applyBorder="1"/>
    <xf numFmtId="167" fontId="0" fillId="0" borderId="0" xfId="1" applyNumberFormat="1" applyFont="1"/>
    <xf numFmtId="167" fontId="0" fillId="0" borderId="27" xfId="1" applyNumberFormat="1" applyFont="1" applyBorder="1"/>
    <xf numFmtId="0" fontId="11" fillId="0" borderId="0" xfId="0" applyFont="1"/>
    <xf numFmtId="167" fontId="7" fillId="6" borderId="13" xfId="1" applyNumberFormat="1" applyFont="1" applyFill="1" applyBorder="1" applyAlignment="1">
      <alignment horizontal="center" vertical="center" wrapText="1"/>
    </xf>
    <xf numFmtId="167" fontId="12" fillId="0" borderId="17" xfId="1" applyNumberFormat="1" applyFont="1" applyBorder="1"/>
    <xf numFmtId="167" fontId="12" fillId="0" borderId="18" xfId="1" applyNumberFormat="1" applyFont="1" applyBorder="1"/>
    <xf numFmtId="167" fontId="12" fillId="0" borderId="19" xfId="1" applyNumberFormat="1" applyFont="1" applyBorder="1"/>
    <xf numFmtId="167" fontId="12" fillId="0" borderId="20" xfId="1" applyNumberFormat="1" applyFont="1" applyBorder="1"/>
    <xf numFmtId="167" fontId="12" fillId="8" borderId="17" xfId="1" applyNumberFormat="1" applyFont="1" applyFill="1" applyBorder="1"/>
    <xf numFmtId="167" fontId="12" fillId="8" borderId="18" xfId="1" applyNumberFormat="1" applyFont="1" applyFill="1" applyBorder="1"/>
    <xf numFmtId="167" fontId="12" fillId="8" borderId="19" xfId="1" applyNumberFormat="1" applyFont="1" applyFill="1" applyBorder="1"/>
    <xf numFmtId="167" fontId="12" fillId="8" borderId="20" xfId="1" applyNumberFormat="1" applyFont="1" applyFill="1" applyBorder="1"/>
    <xf numFmtId="167" fontId="12" fillId="9" borderId="17" xfId="1" applyNumberFormat="1" applyFont="1" applyFill="1" applyBorder="1"/>
    <xf numFmtId="167" fontId="12" fillId="9" borderId="18" xfId="1" applyNumberFormat="1" applyFont="1" applyFill="1" applyBorder="1"/>
    <xf numFmtId="167" fontId="12" fillId="9" borderId="19" xfId="1" applyNumberFormat="1" applyFont="1" applyFill="1" applyBorder="1"/>
    <xf numFmtId="167" fontId="12" fillId="9" borderId="20" xfId="1" applyNumberFormat="1" applyFont="1" applyFill="1" applyBorder="1"/>
    <xf numFmtId="167" fontId="12" fillId="6" borderId="17" xfId="1" applyNumberFormat="1" applyFont="1" applyFill="1" applyBorder="1"/>
    <xf numFmtId="167" fontId="12" fillId="6" borderId="18" xfId="1" applyNumberFormat="1" applyFont="1" applyFill="1" applyBorder="1"/>
    <xf numFmtId="167" fontId="12" fillId="6" borderId="19" xfId="1" applyNumberFormat="1" applyFont="1" applyFill="1" applyBorder="1"/>
    <xf numFmtId="167" fontId="12" fillId="6" borderId="20" xfId="1" applyNumberFormat="1" applyFont="1" applyFill="1" applyBorder="1"/>
    <xf numFmtId="167" fontId="12" fillId="4" borderId="17" xfId="1" applyNumberFormat="1" applyFont="1" applyFill="1" applyBorder="1"/>
    <xf numFmtId="167" fontId="12" fillId="4" borderId="18" xfId="1" applyNumberFormat="1" applyFont="1" applyFill="1" applyBorder="1"/>
    <xf numFmtId="167" fontId="12" fillId="4" borderId="19" xfId="1" applyNumberFormat="1" applyFont="1" applyFill="1" applyBorder="1"/>
    <xf numFmtId="167" fontId="12" fillId="4" borderId="20" xfId="1" applyNumberFormat="1" applyFont="1" applyFill="1" applyBorder="1"/>
    <xf numFmtId="167" fontId="12" fillId="8" borderId="35" xfId="1" applyNumberFormat="1" applyFont="1" applyFill="1" applyBorder="1"/>
    <xf numFmtId="167" fontId="12" fillId="8" borderId="29" xfId="1" applyNumberFormat="1" applyFont="1" applyFill="1" applyBorder="1"/>
    <xf numFmtId="167" fontId="12" fillId="8" borderId="34" xfId="1" applyNumberFormat="1" applyFont="1" applyFill="1" applyBorder="1"/>
    <xf numFmtId="167" fontId="12" fillId="8" borderId="48" xfId="1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165" fontId="12" fillId="0" borderId="16" xfId="1" applyNumberFormat="1" applyFont="1" applyBorder="1" applyAlignment="1">
      <alignment horizontal="left" vertical="center"/>
    </xf>
    <xf numFmtId="167" fontId="12" fillId="0" borderId="17" xfId="1" applyNumberFormat="1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8" borderId="18" xfId="0" applyFont="1" applyFill="1" applyBorder="1" applyAlignment="1">
      <alignment horizontal="left" vertical="center"/>
    </xf>
    <xf numFmtId="0" fontId="12" fillId="8" borderId="16" xfId="0" applyFont="1" applyFill="1" applyBorder="1" applyAlignment="1">
      <alignment horizontal="left" vertical="center"/>
    </xf>
    <xf numFmtId="165" fontId="12" fillId="8" borderId="16" xfId="1" applyNumberFormat="1" applyFont="1" applyFill="1" applyBorder="1" applyAlignment="1">
      <alignment horizontal="left" vertical="center"/>
    </xf>
    <xf numFmtId="167" fontId="12" fillId="8" borderId="17" xfId="1" applyNumberFormat="1" applyFont="1" applyFill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165" fontId="12" fillId="0" borderId="25" xfId="1" applyNumberFormat="1" applyFont="1" applyBorder="1" applyAlignment="1">
      <alignment horizontal="left" vertical="center"/>
    </xf>
    <xf numFmtId="168" fontId="12" fillId="0" borderId="16" xfId="0" applyNumberFormat="1" applyFont="1" applyBorder="1" applyAlignment="1">
      <alignment horizontal="left" vertical="center"/>
    </xf>
    <xf numFmtId="0" fontId="12" fillId="9" borderId="18" xfId="0" applyFont="1" applyFill="1" applyBorder="1" applyAlignment="1">
      <alignment horizontal="left" vertical="center"/>
    </xf>
    <xf numFmtId="0" fontId="12" fillId="9" borderId="16" xfId="0" applyFont="1" applyFill="1" applyBorder="1" applyAlignment="1">
      <alignment horizontal="left" vertical="center"/>
    </xf>
    <xf numFmtId="165" fontId="12" fillId="9" borderId="16" xfId="1" applyNumberFormat="1" applyFont="1" applyFill="1" applyBorder="1" applyAlignment="1">
      <alignment horizontal="left" vertical="center"/>
    </xf>
    <xf numFmtId="167" fontId="12" fillId="9" borderId="17" xfId="1" applyNumberFormat="1" applyFont="1" applyFill="1" applyBorder="1" applyAlignment="1">
      <alignment horizontal="left" vertical="center"/>
    </xf>
    <xf numFmtId="0" fontId="12" fillId="0" borderId="16" xfId="0" quotePrefix="1" applyFont="1" applyBorder="1" applyAlignment="1">
      <alignment horizontal="left" vertical="center"/>
    </xf>
    <xf numFmtId="0" fontId="12" fillId="6" borderId="18" xfId="0" applyFont="1" applyFill="1" applyBorder="1" applyAlignment="1">
      <alignment horizontal="left" vertical="center"/>
    </xf>
    <xf numFmtId="0" fontId="12" fillId="6" borderId="16" xfId="0" applyFont="1" applyFill="1" applyBorder="1" applyAlignment="1">
      <alignment horizontal="left" vertical="center"/>
    </xf>
    <xf numFmtId="165" fontId="12" fillId="6" borderId="16" xfId="1" applyNumberFormat="1" applyFont="1" applyFill="1" applyBorder="1" applyAlignment="1">
      <alignment horizontal="left" vertical="center"/>
    </xf>
    <xf numFmtId="0" fontId="12" fillId="6" borderId="16" xfId="0" quotePrefix="1" applyFont="1" applyFill="1" applyBorder="1" applyAlignment="1">
      <alignment horizontal="left" vertical="center"/>
    </xf>
    <xf numFmtId="167" fontId="12" fillId="6" borderId="17" xfId="1" applyNumberFormat="1" applyFont="1" applyFill="1" applyBorder="1" applyAlignment="1">
      <alignment horizontal="left" vertical="center"/>
    </xf>
    <xf numFmtId="168" fontId="12" fillId="8" borderId="16" xfId="0" applyNumberFormat="1" applyFont="1" applyFill="1" applyBorder="1" applyAlignment="1">
      <alignment horizontal="left" vertical="center"/>
    </xf>
    <xf numFmtId="0" fontId="12" fillId="8" borderId="16" xfId="0" quotePrefix="1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left" vertical="center"/>
    </xf>
    <xf numFmtId="165" fontId="12" fillId="4" borderId="16" xfId="1" applyNumberFormat="1" applyFont="1" applyFill="1" applyBorder="1" applyAlignment="1">
      <alignment horizontal="left" vertical="center"/>
    </xf>
    <xf numFmtId="167" fontId="12" fillId="4" borderId="17" xfId="1" applyNumberFormat="1" applyFont="1" applyFill="1" applyBorder="1" applyAlignment="1">
      <alignment horizontal="left" vertical="center"/>
    </xf>
    <xf numFmtId="0" fontId="12" fillId="8" borderId="29" xfId="0" applyFont="1" applyFill="1" applyBorder="1" applyAlignment="1">
      <alignment horizontal="left" vertical="center"/>
    </xf>
    <xf numFmtId="0" fontId="12" fillId="8" borderId="47" xfId="0" applyFont="1" applyFill="1" applyBorder="1" applyAlignment="1">
      <alignment horizontal="left" vertical="center"/>
    </xf>
    <xf numFmtId="165" fontId="12" fillId="8" borderId="47" xfId="1" applyNumberFormat="1" applyFont="1" applyFill="1" applyBorder="1" applyAlignment="1">
      <alignment horizontal="left" vertical="center"/>
    </xf>
    <xf numFmtId="167" fontId="12" fillId="8" borderId="35" xfId="1" applyNumberFormat="1" applyFont="1" applyFill="1" applyBorder="1" applyAlignment="1">
      <alignment horizontal="left" vertical="center"/>
    </xf>
    <xf numFmtId="167" fontId="12" fillId="8" borderId="50" xfId="1" applyNumberFormat="1" applyFont="1" applyFill="1" applyBorder="1"/>
    <xf numFmtId="167" fontId="12" fillId="9" borderId="51" xfId="1" applyNumberFormat="1" applyFont="1" applyFill="1" applyBorder="1"/>
    <xf numFmtId="167" fontId="12" fillId="9" borderId="0" xfId="1" applyNumberFormat="1" applyFont="1" applyFill="1" applyBorder="1"/>
    <xf numFmtId="167" fontId="12" fillId="8" borderId="0" xfId="1" applyNumberFormat="1" applyFont="1" applyFill="1" applyBorder="1"/>
    <xf numFmtId="167" fontId="12" fillId="8" borderId="51" xfId="1" applyNumberFormat="1" applyFont="1" applyFill="1" applyBorder="1"/>
    <xf numFmtId="168" fontId="12" fillId="0" borderId="16" xfId="0" quotePrefix="1" applyNumberFormat="1" applyFont="1" applyBorder="1" applyAlignment="1">
      <alignment horizontal="left" vertical="center"/>
    </xf>
    <xf numFmtId="0" fontId="12" fillId="9" borderId="16" xfId="0" quotePrefix="1" applyFont="1" applyFill="1" applyBorder="1" applyAlignment="1">
      <alignment horizontal="left" vertical="center"/>
    </xf>
    <xf numFmtId="0" fontId="12" fillId="0" borderId="25" xfId="0" quotePrefix="1" applyFont="1" applyBorder="1" applyAlignment="1">
      <alignment horizontal="left" vertical="center"/>
    </xf>
    <xf numFmtId="0" fontId="0" fillId="0" borderId="22" xfId="0" applyBorder="1"/>
    <xf numFmtId="167" fontId="2" fillId="0" borderId="0" xfId="1" applyNumberFormat="1" applyFont="1"/>
    <xf numFmtId="168" fontId="12" fillId="0" borderId="25" xfId="0" applyNumberFormat="1" applyFont="1" applyBorder="1" applyAlignment="1">
      <alignment horizontal="left" vertical="center"/>
    </xf>
    <xf numFmtId="168" fontId="12" fillId="9" borderId="16" xfId="0" applyNumberFormat="1" applyFont="1" applyFill="1" applyBorder="1" applyAlignment="1">
      <alignment horizontal="left" vertical="center"/>
    </xf>
    <xf numFmtId="168" fontId="12" fillId="6" borderId="16" xfId="0" applyNumberFormat="1" applyFont="1" applyFill="1" applyBorder="1" applyAlignment="1">
      <alignment horizontal="left" vertical="center"/>
    </xf>
    <xf numFmtId="168" fontId="12" fillId="4" borderId="16" xfId="0" applyNumberFormat="1" applyFont="1" applyFill="1" applyBorder="1" applyAlignment="1">
      <alignment horizontal="left" vertical="center"/>
    </xf>
    <xf numFmtId="168" fontId="12" fillId="8" borderId="47" xfId="0" applyNumberFormat="1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167" fontId="0" fillId="0" borderId="0" xfId="0" applyNumberFormat="1"/>
    <xf numFmtId="0" fontId="3" fillId="6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2" fillId="11" borderId="46" xfId="0" applyFont="1" applyFill="1" applyBorder="1" applyAlignment="1">
      <alignment horizontal="center" vertical="center" wrapText="1"/>
    </xf>
    <xf numFmtId="0" fontId="12" fillId="5" borderId="46" xfId="0" applyFont="1" applyFill="1" applyBorder="1" applyAlignment="1">
      <alignment horizontal="center" vertical="center" wrapText="1"/>
    </xf>
    <xf numFmtId="0" fontId="12" fillId="3" borderId="46" xfId="0" applyFont="1" applyFill="1" applyBorder="1" applyAlignment="1">
      <alignment horizontal="center" vertical="center" wrapText="1"/>
    </xf>
    <xf numFmtId="166" fontId="12" fillId="5" borderId="46" xfId="0" applyNumberFormat="1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37" xfId="0" applyFont="1" applyFill="1" applyBorder="1" applyAlignment="1">
      <alignment horizontal="center" vertical="center" wrapText="1"/>
    </xf>
    <xf numFmtId="167" fontId="7" fillId="6" borderId="11" xfId="1" applyNumberFormat="1" applyFont="1" applyFill="1" applyBorder="1" applyAlignment="1">
      <alignment horizontal="center" vertical="center" wrapText="1"/>
    </xf>
    <xf numFmtId="167" fontId="7" fillId="6" borderId="31" xfId="1" applyNumberFormat="1" applyFont="1" applyFill="1" applyBorder="1" applyAlignment="1">
      <alignment horizontal="center" vertical="center" wrapText="1"/>
    </xf>
    <xf numFmtId="167" fontId="7" fillId="6" borderId="12" xfId="1" applyNumberFormat="1" applyFont="1" applyFill="1" applyBorder="1" applyAlignment="1">
      <alignment horizontal="center" vertical="center" wrapText="1"/>
    </xf>
    <xf numFmtId="167" fontId="7" fillId="7" borderId="11" xfId="1" applyNumberFormat="1" applyFont="1" applyFill="1" applyBorder="1" applyAlignment="1">
      <alignment horizontal="center" vertical="center" wrapText="1"/>
    </xf>
    <xf numFmtId="167" fontId="7" fillId="7" borderId="31" xfId="1" applyNumberFormat="1" applyFont="1" applyFill="1" applyBorder="1" applyAlignment="1">
      <alignment horizontal="center" vertical="center" wrapText="1"/>
    </xf>
    <xf numFmtId="167" fontId="7" fillId="7" borderId="12" xfId="1" applyNumberFormat="1" applyFont="1" applyFill="1" applyBorder="1" applyAlignment="1">
      <alignment horizontal="center" vertical="center" wrapText="1"/>
    </xf>
    <xf numFmtId="167" fontId="7" fillId="7" borderId="13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5" borderId="31" xfId="0" applyFont="1" applyFill="1" applyBorder="1" applyAlignment="1">
      <alignment horizontal="center" vertical="center" wrapText="1"/>
    </xf>
    <xf numFmtId="168" fontId="15" fillId="13" borderId="11" xfId="1" applyNumberFormat="1" applyFont="1" applyFill="1" applyBorder="1" applyAlignment="1">
      <alignment horizontal="center" vertical="center" wrapText="1"/>
    </xf>
    <xf numFmtId="168" fontId="15" fillId="10" borderId="31" xfId="1" applyNumberFormat="1" applyFont="1" applyFill="1" applyBorder="1" applyAlignment="1">
      <alignment horizontal="center" vertical="center" wrapText="1"/>
    </xf>
    <xf numFmtId="168" fontId="15" fillId="10" borderId="37" xfId="1" applyNumberFormat="1" applyFont="1" applyFill="1" applyBorder="1" applyAlignment="1">
      <alignment horizontal="center" vertical="center" wrapText="1"/>
    </xf>
    <xf numFmtId="167" fontId="15" fillId="13" borderId="37" xfId="1" applyNumberFormat="1" applyFont="1" applyFill="1" applyBorder="1" applyAlignment="1">
      <alignment horizontal="center" vertical="center" wrapText="1"/>
    </xf>
    <xf numFmtId="168" fontId="15" fillId="12" borderId="11" xfId="1" applyNumberFormat="1" applyFont="1" applyFill="1" applyBorder="1" applyAlignment="1">
      <alignment horizontal="center" vertical="center" wrapText="1"/>
    </xf>
    <xf numFmtId="168" fontId="15" fillId="7" borderId="49" xfId="1" applyNumberFormat="1" applyFont="1" applyFill="1" applyBorder="1" applyAlignment="1">
      <alignment horizontal="center" vertical="center" wrapText="1"/>
    </xf>
    <xf numFmtId="168" fontId="15" fillId="7" borderId="31" xfId="1" applyNumberFormat="1" applyFont="1" applyFill="1" applyBorder="1" applyAlignment="1">
      <alignment horizontal="center" vertical="center" wrapText="1"/>
    </xf>
    <xf numFmtId="168" fontId="15" fillId="7" borderId="37" xfId="1" applyNumberFormat="1" applyFont="1" applyFill="1" applyBorder="1" applyAlignment="1">
      <alignment horizontal="center" vertical="center" wrapText="1"/>
    </xf>
    <xf numFmtId="168" fontId="15" fillId="12" borderId="37" xfId="1" applyNumberFormat="1" applyFont="1" applyFill="1" applyBorder="1" applyAlignment="1">
      <alignment horizontal="center" vertical="center" wrapText="1"/>
    </xf>
    <xf numFmtId="168" fontId="15" fillId="7" borderId="39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5" fontId="12" fillId="0" borderId="25" xfId="0" applyNumberFormat="1" applyFont="1" applyBorder="1" applyAlignment="1">
      <alignment horizontal="left" vertical="center"/>
    </xf>
    <xf numFmtId="164" fontId="0" fillId="0" borderId="0" xfId="0" applyNumberFormat="1"/>
    <xf numFmtId="17" fontId="10" fillId="0" borderId="4" xfId="0" applyNumberFormat="1" applyFont="1" applyBorder="1" applyAlignment="1">
      <alignment horizontal="center" vertical="center"/>
    </xf>
    <xf numFmtId="17" fontId="10" fillId="0" borderId="5" xfId="0" applyNumberFormat="1" applyFont="1" applyBorder="1" applyAlignment="1">
      <alignment horizontal="center" vertical="center"/>
    </xf>
    <xf numFmtId="17" fontId="10" fillId="0" borderId="6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66" fontId="12" fillId="2" borderId="5" xfId="0" applyNumberFormat="1" applyFont="1" applyFill="1" applyBorder="1" applyAlignment="1">
      <alignment horizontal="center" vertical="center"/>
    </xf>
    <xf numFmtId="168" fontId="7" fillId="6" borderId="4" xfId="0" applyNumberFormat="1" applyFont="1" applyFill="1" applyBorder="1" applyAlignment="1">
      <alignment horizontal="center" vertical="center" wrapText="1"/>
    </xf>
    <xf numFmtId="168" fontId="7" fillId="6" borderId="5" xfId="0" applyNumberFormat="1" applyFont="1" applyFill="1" applyBorder="1" applyAlignment="1">
      <alignment horizontal="center" vertical="center" wrapText="1"/>
    </xf>
    <xf numFmtId="168" fontId="7" fillId="7" borderId="1" xfId="0" applyNumberFormat="1" applyFont="1" applyFill="1" applyBorder="1" applyAlignment="1">
      <alignment horizontal="center" vertical="center" wrapText="1"/>
    </xf>
    <xf numFmtId="168" fontId="7" fillId="7" borderId="2" xfId="0" applyNumberFormat="1" applyFont="1" applyFill="1" applyBorder="1" applyAlignment="1">
      <alignment horizontal="center" vertical="center" wrapText="1"/>
    </xf>
    <xf numFmtId="168" fontId="7" fillId="7" borderId="3" xfId="0" applyNumberFormat="1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168" fontId="5" fillId="10" borderId="4" xfId="0" applyNumberFormat="1" applyFont="1" applyFill="1" applyBorder="1" applyAlignment="1">
      <alignment horizontal="center" vertical="center" wrapText="1"/>
    </xf>
    <xf numFmtId="168" fontId="5" fillId="10" borderId="5" xfId="0" applyNumberFormat="1" applyFont="1" applyFill="1" applyBorder="1" applyAlignment="1">
      <alignment horizontal="center" vertical="center" wrapText="1"/>
    </xf>
    <xf numFmtId="168" fontId="5" fillId="10" borderId="6" xfId="0" applyNumberFormat="1" applyFont="1" applyFill="1" applyBorder="1" applyAlignment="1">
      <alignment horizontal="center" vertical="center" wrapText="1"/>
    </xf>
    <xf numFmtId="168" fontId="6" fillId="11" borderId="39" xfId="1" applyNumberFormat="1" applyFont="1" applyFill="1" applyBorder="1" applyAlignment="1">
      <alignment horizontal="center" vertical="center"/>
    </xf>
    <xf numFmtId="168" fontId="6" fillId="11" borderId="40" xfId="1" applyNumberFormat="1" applyFont="1" applyFill="1" applyBorder="1" applyAlignment="1">
      <alignment horizontal="center" vertical="center"/>
    </xf>
    <xf numFmtId="168" fontId="6" fillId="11" borderId="41" xfId="1" applyNumberFormat="1" applyFont="1" applyFill="1" applyBorder="1" applyAlignment="1">
      <alignment horizontal="center" vertical="center"/>
    </xf>
    <xf numFmtId="168" fontId="8" fillId="10" borderId="4" xfId="0" applyNumberFormat="1" applyFont="1" applyFill="1" applyBorder="1" applyAlignment="1">
      <alignment horizontal="center" vertical="center" wrapText="1"/>
    </xf>
    <xf numFmtId="168" fontId="8" fillId="10" borderId="5" xfId="0" applyNumberFormat="1" applyFont="1" applyFill="1" applyBorder="1" applyAlignment="1">
      <alignment horizontal="center" vertical="center" wrapText="1"/>
    </xf>
    <xf numFmtId="168" fontId="8" fillId="10" borderId="6" xfId="0" applyNumberFormat="1" applyFont="1" applyFill="1" applyBorder="1" applyAlignment="1">
      <alignment horizontal="center" vertical="center" wrapText="1"/>
    </xf>
    <xf numFmtId="168" fontId="5" fillId="7" borderId="4" xfId="0" applyNumberFormat="1" applyFont="1" applyFill="1" applyBorder="1" applyAlignment="1">
      <alignment horizontal="center" vertical="center" wrapText="1"/>
    </xf>
    <xf numFmtId="168" fontId="5" fillId="7" borderId="5" xfId="0" applyNumberFormat="1" applyFont="1" applyFill="1" applyBorder="1" applyAlignment="1">
      <alignment horizontal="center" vertical="center" wrapText="1"/>
    </xf>
    <xf numFmtId="168" fontId="5" fillId="7" borderId="6" xfId="0" applyNumberFormat="1" applyFont="1" applyFill="1" applyBorder="1" applyAlignment="1">
      <alignment horizontal="center" vertical="center" wrapText="1"/>
    </xf>
    <xf numFmtId="168" fontId="8" fillId="7" borderId="4" xfId="0" applyNumberFormat="1" applyFont="1" applyFill="1" applyBorder="1" applyAlignment="1">
      <alignment horizontal="center" vertical="center" wrapText="1"/>
    </xf>
    <xf numFmtId="168" fontId="8" fillId="7" borderId="5" xfId="0" applyNumberFormat="1" applyFont="1" applyFill="1" applyBorder="1" applyAlignment="1">
      <alignment horizontal="center" vertical="center" wrapText="1"/>
    </xf>
    <xf numFmtId="168" fontId="8" fillId="7" borderId="6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168" fontId="5" fillId="10" borderId="1" xfId="0" applyNumberFormat="1" applyFont="1" applyFill="1" applyBorder="1" applyAlignment="1">
      <alignment horizontal="center" vertical="center" wrapText="1"/>
    </xf>
    <xf numFmtId="168" fontId="5" fillId="10" borderId="2" xfId="0" applyNumberFormat="1" applyFont="1" applyFill="1" applyBorder="1" applyAlignment="1">
      <alignment horizontal="center" vertical="center" wrapText="1"/>
    </xf>
    <xf numFmtId="168" fontId="5" fillId="7" borderId="1" xfId="0" applyNumberFormat="1" applyFont="1" applyFill="1" applyBorder="1" applyAlignment="1">
      <alignment horizontal="center" vertical="center" wrapText="1"/>
    </xf>
    <xf numFmtId="168" fontId="5" fillId="7" borderId="2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omma 3" xfId="2" xr:uid="{B68C45A0-F944-449B-83C9-EBEC21DED38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2983987-C2E5-422C-B480-7E113AD74B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F8AD20-3306-4E65-973E-955E012F6F67}">
  <we:reference id="WA200010215" version="2.0.0.1" store="Omex" storeType="OMEX"/>
  <we:alternateReferences>
    <we:reference id="WA200010215" version="2.0.0.1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CC78-5AD5-4CC9-A8AF-6601EDDC703B}">
  <sheetPr codeName="Sheet3" filterMode="1">
    <tabColor rgb="FF00B0F0"/>
  </sheetPr>
  <dimension ref="A1:AKL372"/>
  <sheetViews>
    <sheetView tabSelected="1" zoomScale="90" zoomScaleNormal="90" workbookViewId="0">
      <pane xSplit="21" ySplit="3" topLeftCell="BC182" activePane="bottomRight" state="frozen"/>
      <selection pane="topRight" activeCell="V1" sqref="V1"/>
      <selection pane="bottomLeft" activeCell="A4" sqref="A4"/>
      <selection pane="bottomRight" activeCell="P182" sqref="P182"/>
    </sheetView>
  </sheetViews>
  <sheetFormatPr defaultRowHeight="14.4"/>
  <cols>
    <col min="1" max="1" width="8.109375" style="93" customWidth="1"/>
    <col min="2" max="2" width="7.33203125" style="93" hidden="1" customWidth="1"/>
    <col min="3" max="3" width="8.21875" style="93" bestFit="1" customWidth="1"/>
    <col min="4" max="4" width="9.88671875" style="95" customWidth="1"/>
    <col min="5" max="5" width="17.44140625" style="93" bestFit="1" customWidth="1"/>
    <col min="6" max="6" width="14.6640625" style="93" hidden="1" customWidth="1"/>
    <col min="7" max="7" width="8" style="93" bestFit="1" customWidth="1"/>
    <col min="8" max="8" width="20.6640625" style="93" bestFit="1" customWidth="1"/>
    <col min="9" max="9" width="20.6640625" style="93" hidden="1" customWidth="1"/>
    <col min="10" max="10" width="12.77734375" style="93" hidden="1" customWidth="1"/>
    <col min="11" max="11" width="9.21875" style="93" hidden="1" customWidth="1"/>
    <col min="12" max="12" width="11.6640625" style="93" hidden="1" customWidth="1"/>
    <col min="13" max="13" width="9.33203125" style="93" hidden="1" customWidth="1"/>
    <col min="14" max="14" width="8.44140625" style="96" hidden="1" customWidth="1"/>
    <col min="15" max="15" width="6.33203125" customWidth="1"/>
    <col min="16" max="21" width="7.44140625" customWidth="1"/>
    <col min="22" max="30" width="6.6640625" customWidth="1"/>
    <col min="31" max="40" width="7.44140625" customWidth="1"/>
    <col min="41" max="52" width="5.21875" customWidth="1"/>
    <col min="53" max="53" width="6.44140625" customWidth="1"/>
    <col min="54" max="54" width="5.109375" customWidth="1"/>
    <col min="55" max="63" width="6.6640625" customWidth="1"/>
    <col min="64" max="73" width="7.44140625" customWidth="1"/>
    <col min="74" max="74" width="5.21875" customWidth="1"/>
    <col min="75" max="85" width="5.21875" bestFit="1" customWidth="1"/>
    <col min="86" max="86" width="6.77734375" bestFit="1" customWidth="1"/>
    <col min="87" max="87" width="6.5546875" customWidth="1"/>
    <col min="88" max="88" width="11.6640625" customWidth="1"/>
    <col min="89" max="89" width="8.77734375" bestFit="1" customWidth="1"/>
    <col min="90" max="91" width="10.44140625" customWidth="1"/>
    <col min="92" max="97" width="8.88671875" customWidth="1"/>
    <col min="98" max="98" width="11.33203125" customWidth="1"/>
    <col min="99" max="99" width="12" customWidth="1"/>
    <col min="100" max="100" width="12.44140625" customWidth="1"/>
    <col min="101" max="101" width="14.5546875" customWidth="1"/>
    <col min="102" max="102" width="15.33203125" customWidth="1"/>
    <col min="103" max="106" width="13.77734375" customWidth="1"/>
    <col min="107" max="107" width="12.44140625" customWidth="1"/>
    <col min="108" max="108" width="12.77734375" customWidth="1"/>
    <col min="109" max="109" width="11.44140625" customWidth="1"/>
    <col min="110" max="110" width="11.77734375" customWidth="1"/>
    <col min="111" max="111" width="10.6640625" customWidth="1"/>
    <col min="112" max="113" width="12.44140625" customWidth="1"/>
    <col min="114" max="114" width="12.77734375" customWidth="1"/>
    <col min="115" max="115" width="12.6640625" customWidth="1"/>
    <col min="116" max="116" width="12.21875" customWidth="1"/>
    <col min="117" max="117" width="11.109375" customWidth="1"/>
    <col min="118" max="119" width="12.44140625" customWidth="1"/>
    <col min="120" max="120" width="12.77734375" customWidth="1"/>
    <col min="121" max="121" width="12.6640625" customWidth="1"/>
    <col min="122" max="122" width="12.21875" customWidth="1"/>
    <col min="123" max="123" width="11.77734375" customWidth="1"/>
    <col min="124" max="124" width="10.77734375" customWidth="1"/>
    <col min="125" max="125" width="10.109375" customWidth="1"/>
    <col min="126" max="126" width="9.6640625" customWidth="1"/>
    <col min="127" max="127" width="13" customWidth="1"/>
    <col min="128" max="129" width="11.77734375" customWidth="1"/>
    <col min="130" max="130" width="12.6640625" customWidth="1"/>
    <col min="131" max="131" width="10.109375" customWidth="1"/>
    <col min="132" max="132" width="9.6640625" customWidth="1"/>
    <col min="133" max="133" width="13" customWidth="1"/>
    <col min="134" max="135" width="11.77734375" customWidth="1"/>
    <col min="136" max="136" width="10.77734375" customWidth="1"/>
    <col min="137" max="137" width="10.109375" customWidth="1"/>
    <col min="138" max="138" width="9.6640625" customWidth="1"/>
    <col min="139" max="139" width="11.6640625" customWidth="1"/>
    <col min="140" max="143" width="11.44140625" customWidth="1"/>
    <col min="144" max="144" width="11.6640625" customWidth="1"/>
    <col min="145" max="145" width="11.44140625" customWidth="1"/>
    <col min="146" max="146" width="11" customWidth="1"/>
    <col min="147" max="147" width="12.44140625" customWidth="1"/>
    <col min="148" max="148" width="10.77734375" customWidth="1"/>
    <col min="149" max="149" width="10.44140625" customWidth="1"/>
    <col min="150" max="150" width="9.77734375" customWidth="1"/>
    <col min="151" max="151" width="11.6640625" customWidth="1"/>
    <col min="152" max="152" width="11.44140625" customWidth="1"/>
    <col min="153" max="153" width="16.109375" customWidth="1"/>
    <col min="154" max="154" width="10.77734375" customWidth="1"/>
    <col min="155" max="155" width="10.44140625" customWidth="1"/>
    <col min="156" max="156" width="9.77734375" customWidth="1"/>
    <col min="157" max="158" width="11.21875" customWidth="1"/>
    <col min="159" max="159" width="10.21875" customWidth="1"/>
    <col min="160" max="165" width="11.21875" customWidth="1"/>
    <col min="166" max="168" width="11.109375" customWidth="1"/>
    <col min="169" max="171" width="12.44140625" customWidth="1"/>
    <col min="172" max="173" width="10" customWidth="1"/>
    <col min="174" max="179" width="13.33203125" customWidth="1"/>
    <col min="180" max="184" width="8.88671875" customWidth="1"/>
    <col min="185" max="185" width="13" customWidth="1"/>
    <col min="186" max="186" width="15.6640625" customWidth="1"/>
    <col min="187" max="194" width="8.88671875" customWidth="1"/>
    <col min="195" max="195" width="8.6640625" bestFit="1" customWidth="1"/>
    <col min="196" max="196" width="17.6640625" bestFit="1" customWidth="1"/>
    <col min="197" max="205" width="9.109375" bestFit="1" customWidth="1"/>
    <col min="206" max="227" width="10.109375" bestFit="1" customWidth="1"/>
    <col min="228" max="231" width="9.44140625" bestFit="1" customWidth="1"/>
    <col min="232" max="236" width="9.109375" bestFit="1" customWidth="1"/>
    <col min="237" max="258" width="10.109375" bestFit="1" customWidth="1"/>
    <col min="259" max="259" width="47.5546875" customWidth="1"/>
    <col min="260" max="260" width="13.6640625" customWidth="1"/>
    <col min="261" max="261" width="13" customWidth="1"/>
    <col min="262" max="262" width="13.44140625" customWidth="1"/>
    <col min="263" max="263" width="10" customWidth="1"/>
    <col min="264" max="264" width="13.6640625" customWidth="1"/>
    <col min="265" max="265" width="14.6640625" customWidth="1"/>
    <col min="266" max="266" width="14.21875" customWidth="1"/>
    <col min="267" max="267" width="13.88671875" customWidth="1"/>
    <col min="268" max="268" width="12.21875" customWidth="1"/>
    <col min="269" max="269" width="14.21875" customWidth="1"/>
    <col min="270" max="270" width="14.6640625" customWidth="1"/>
    <col min="271" max="271" width="13.6640625" customWidth="1"/>
    <col min="272" max="272" width="13" customWidth="1"/>
    <col min="273" max="276" width="12" customWidth="1"/>
    <col min="277" max="277" width="13.88671875" customWidth="1"/>
    <col min="278" max="279" width="13" customWidth="1"/>
    <col min="280" max="280" width="10.44140625" customWidth="1"/>
    <col min="281" max="282" width="13.44140625" customWidth="1"/>
    <col min="283" max="283" width="13.6640625" customWidth="1"/>
    <col min="284" max="284" width="12.6640625" customWidth="1"/>
    <col min="285" max="286" width="11.77734375" customWidth="1"/>
    <col min="287" max="287" width="8.77734375" customWidth="1"/>
    <col min="288" max="288" width="9.21875" customWidth="1"/>
    <col min="289" max="289" width="14.21875" customWidth="1"/>
    <col min="290" max="290" width="13.44140625" customWidth="1"/>
    <col min="291" max="291" width="13" customWidth="1"/>
    <col min="292" max="292" width="10.44140625" customWidth="1"/>
    <col min="293" max="294" width="13.44140625" customWidth="1"/>
    <col min="295" max="295" width="13.6640625" customWidth="1"/>
    <col min="296" max="296" width="13" customWidth="1"/>
    <col min="297" max="300" width="12" customWidth="1"/>
    <col min="301" max="301" width="13.88671875" customWidth="1"/>
    <col min="302" max="302" width="13.44140625" customWidth="1"/>
    <col min="303" max="303" width="12.21875" customWidth="1"/>
    <col min="304" max="304" width="10.44140625" customWidth="1"/>
    <col min="305" max="306" width="13.44140625" customWidth="1"/>
    <col min="307" max="307" width="13.6640625" customWidth="1"/>
    <col min="308" max="308" width="13" customWidth="1"/>
    <col min="309" max="312" width="12" customWidth="1"/>
    <col min="313" max="313" width="14.33203125" customWidth="1"/>
    <col min="314" max="315" width="13.44140625" customWidth="1"/>
    <col min="316" max="316" width="12" customWidth="1"/>
    <col min="317" max="317" width="13" customWidth="1"/>
    <col min="318" max="318" width="14.33203125" customWidth="1"/>
    <col min="319" max="319" width="13.6640625" customWidth="1"/>
    <col min="320" max="324" width="12" customWidth="1"/>
    <col min="325" max="325" width="19.6640625" customWidth="1"/>
    <col min="326" max="329" width="12" customWidth="1"/>
    <col min="330" max="330" width="12.6640625" customWidth="1"/>
    <col min="331" max="331" width="13.6640625" customWidth="1"/>
    <col min="332" max="336" width="12" customWidth="1"/>
    <col min="337" max="337" width="15" customWidth="1"/>
    <col min="338" max="342" width="12" customWidth="1"/>
    <col min="343" max="343" width="13.6640625" customWidth="1"/>
    <col min="344" max="348" width="12" customWidth="1"/>
    <col min="349" max="349" width="14.44140625" customWidth="1"/>
    <col min="350" max="354" width="12" customWidth="1"/>
    <col min="355" max="355" width="13.6640625" customWidth="1"/>
    <col min="356" max="360" width="12" customWidth="1"/>
    <col min="361" max="361" width="14.109375" customWidth="1"/>
    <col min="362" max="366" width="12" customWidth="1"/>
    <col min="367" max="367" width="13.6640625" customWidth="1"/>
    <col min="368" max="372" width="12" customWidth="1"/>
    <col min="373" max="374" width="14.44140625" customWidth="1"/>
    <col min="375" max="375" width="13.77734375" customWidth="1"/>
    <col min="376" max="377" width="12" customWidth="1"/>
    <col min="378" max="378" width="13" customWidth="1"/>
    <col min="379" max="379" width="13.6640625" customWidth="1"/>
    <col min="380" max="381" width="14" customWidth="1"/>
    <col min="382" max="382" width="13.6640625" customWidth="1"/>
    <col min="383" max="384" width="10.6640625" customWidth="1"/>
    <col min="385" max="385" width="15.109375" customWidth="1"/>
    <col min="386" max="386" width="15.44140625" customWidth="1"/>
    <col min="387" max="387" width="14.5546875" customWidth="1"/>
    <col min="388" max="388" width="12" customWidth="1"/>
    <col min="389" max="390" width="15.109375" customWidth="1"/>
    <col min="391" max="391" width="13.6640625" customWidth="1"/>
    <col min="392" max="392" width="12.33203125" customWidth="1"/>
    <col min="393" max="393" width="11.33203125" customWidth="1"/>
    <col min="394" max="394" width="12.33203125" customWidth="1"/>
    <col min="395" max="396" width="10" customWidth="1"/>
    <col min="397" max="397" width="15.88671875" customWidth="1"/>
    <col min="398" max="398" width="12.6640625" customWidth="1"/>
    <col min="399" max="399" width="13.6640625" customWidth="1"/>
    <col min="400" max="400" width="11.33203125" customWidth="1"/>
    <col min="401" max="401" width="12.33203125" customWidth="1"/>
    <col min="402" max="403" width="13.6640625" customWidth="1"/>
    <col min="404" max="404" width="17.88671875" customWidth="1"/>
    <col min="405" max="405" width="18.44140625" customWidth="1"/>
    <col min="406" max="413" width="11.33203125" customWidth="1"/>
    <col min="414" max="418" width="8.88671875" customWidth="1"/>
    <col min="419" max="443" width="11.33203125" customWidth="1"/>
    <col min="444" max="444" width="14" bestFit="1" customWidth="1"/>
    <col min="445" max="445" width="14" customWidth="1"/>
    <col min="446" max="446" width="16.33203125" bestFit="1" customWidth="1"/>
    <col min="447" max="448" width="30.88671875" customWidth="1"/>
    <col min="459" max="459" width="35.6640625" bestFit="1" customWidth="1"/>
    <col min="460" max="468" width="20.77734375" customWidth="1"/>
    <col min="469" max="469" width="24.21875" customWidth="1"/>
    <col min="470" max="470" width="23.21875" customWidth="1"/>
    <col min="471" max="471" width="20.77734375" customWidth="1"/>
    <col min="478" max="478" width="72.44140625" customWidth="1"/>
    <col min="479" max="480" width="18.5546875" customWidth="1"/>
    <col min="481" max="481" width="10.33203125" customWidth="1"/>
    <col min="482" max="483" width="18.5546875" bestFit="1" customWidth="1"/>
    <col min="484" max="484" width="9.88671875" customWidth="1"/>
    <col min="485" max="486" width="17.88671875" customWidth="1"/>
    <col min="487" max="487" width="9.109375" bestFit="1" customWidth="1"/>
    <col min="488" max="489" width="17.6640625" customWidth="1"/>
    <col min="490" max="490" width="9.109375" bestFit="1" customWidth="1"/>
    <col min="491" max="492" width="17.5546875" customWidth="1"/>
    <col min="493" max="493" width="10" bestFit="1" customWidth="1"/>
    <col min="494" max="495" width="17.44140625" customWidth="1"/>
    <col min="496" max="496" width="13.109375" bestFit="1" customWidth="1"/>
    <col min="497" max="498" width="18.21875" customWidth="1"/>
    <col min="499" max="499" width="13.109375" bestFit="1" customWidth="1"/>
    <col min="500" max="501" width="18.44140625" customWidth="1"/>
    <col min="502" max="502" width="11.5546875" bestFit="1" customWidth="1"/>
    <col min="503" max="504" width="17.21875" customWidth="1"/>
    <col min="505" max="505" width="11.5546875" bestFit="1" customWidth="1"/>
    <col min="506" max="507" width="18" customWidth="1"/>
    <col min="508" max="508" width="11.5546875" bestFit="1" customWidth="1"/>
    <col min="509" max="509" width="17.33203125" customWidth="1"/>
    <col min="510" max="510" width="17.44140625" customWidth="1"/>
    <col min="511" max="511" width="11.5546875" bestFit="1" customWidth="1"/>
    <col min="512" max="513" width="18.21875" customWidth="1"/>
    <col min="514" max="514" width="11.5546875" bestFit="1" customWidth="1"/>
    <col min="515" max="515" width="21.44140625" customWidth="1"/>
    <col min="516" max="516" width="20.77734375" customWidth="1"/>
    <col min="517" max="517" width="20.21875" customWidth="1"/>
    <col min="518" max="518" width="13.109375" customWidth="1"/>
    <col min="519" max="519" width="21.33203125" customWidth="1"/>
    <col min="520" max="520" width="20.5546875" customWidth="1"/>
    <col min="521" max="521" width="19.88671875" customWidth="1"/>
    <col min="522" max="522" width="18.21875" customWidth="1"/>
    <col min="523" max="523" width="21.21875" customWidth="1"/>
    <col min="524" max="524" width="11.33203125" customWidth="1"/>
    <col min="525" max="525" width="21.5546875" customWidth="1"/>
    <col min="526" max="526" width="12.109375" customWidth="1"/>
    <col min="527" max="527" width="20.6640625" customWidth="1"/>
    <col min="528" max="528" width="9" customWidth="1"/>
    <col min="529" max="529" width="25.88671875" customWidth="1"/>
    <col min="530" max="530" width="23.21875" customWidth="1"/>
    <col min="531" max="531" width="9.6640625" bestFit="1" customWidth="1"/>
    <col min="532" max="533" width="9" bestFit="1" customWidth="1"/>
    <col min="535" max="536" width="13.6640625" customWidth="1"/>
    <col min="537" max="537" width="12.88671875" bestFit="1" customWidth="1"/>
    <col min="538" max="538" width="40.5546875" bestFit="1" customWidth="1"/>
    <col min="539" max="539" width="11.44140625" bestFit="1" customWidth="1"/>
    <col min="540" max="540" width="17.88671875" customWidth="1"/>
    <col min="541" max="541" width="34.5546875" customWidth="1"/>
    <col min="572" max="572" width="72.44140625" customWidth="1"/>
    <col min="573" max="574" width="18.5546875" customWidth="1"/>
    <col min="575" max="575" width="10.33203125" customWidth="1"/>
    <col min="576" max="577" width="18.6640625" bestFit="1" customWidth="1"/>
    <col min="578" max="578" width="9.88671875" customWidth="1"/>
    <col min="579" max="580" width="17.88671875" customWidth="1"/>
    <col min="581" max="581" width="9.109375" bestFit="1" customWidth="1"/>
    <col min="582" max="583" width="17.6640625" customWidth="1"/>
    <col min="584" max="584" width="9.109375" bestFit="1" customWidth="1"/>
    <col min="585" max="586" width="17.5546875" customWidth="1"/>
    <col min="587" max="587" width="10" bestFit="1" customWidth="1"/>
    <col min="588" max="589" width="17.44140625" customWidth="1"/>
    <col min="590" max="590" width="13.109375" bestFit="1" customWidth="1"/>
    <col min="591" max="592" width="18.21875" customWidth="1"/>
    <col min="593" max="593" width="13.109375" bestFit="1" customWidth="1"/>
    <col min="594" max="595" width="18.44140625" customWidth="1"/>
    <col min="596" max="596" width="11.5546875" bestFit="1" customWidth="1"/>
    <col min="597" max="598" width="17.21875" customWidth="1"/>
    <col min="599" max="599" width="8.5546875" customWidth="1"/>
    <col min="600" max="601" width="18" customWidth="1"/>
    <col min="602" max="602" width="10.109375" customWidth="1"/>
    <col min="603" max="603" width="17.33203125" customWidth="1"/>
    <col min="604" max="604" width="17.44140625" customWidth="1"/>
    <col min="605" max="605" width="11.5546875" bestFit="1" customWidth="1"/>
    <col min="606" max="607" width="18.21875" customWidth="1"/>
    <col min="608" max="608" width="11.6640625" bestFit="1" customWidth="1"/>
    <col min="609" max="609" width="21.44140625" customWidth="1"/>
    <col min="610" max="610" width="20.77734375" customWidth="1"/>
    <col min="611" max="611" width="20.21875" hidden="1" customWidth="1"/>
    <col min="612" max="612" width="13.109375" customWidth="1"/>
    <col min="613" max="613" width="21.33203125" hidden="1" customWidth="1"/>
    <col min="614" max="614" width="20.5546875" hidden="1" customWidth="1"/>
    <col min="615" max="615" width="19.88671875" hidden="1" customWidth="1"/>
    <col min="616" max="616" width="18.21875" hidden="1" customWidth="1"/>
    <col min="617" max="617" width="21.21875" hidden="1" customWidth="1"/>
    <col min="618" max="618" width="11.33203125" hidden="1" customWidth="1"/>
    <col min="619" max="619" width="21.5546875" hidden="1" customWidth="1"/>
    <col min="620" max="620" width="12.109375" hidden="1" customWidth="1"/>
    <col min="621" max="621" width="20.6640625" hidden="1" customWidth="1"/>
    <col min="622" max="622" width="9" hidden="1" customWidth="1"/>
    <col min="623" max="623" width="21.33203125" hidden="1" customWidth="1"/>
    <col min="624" max="624" width="20.5546875" hidden="1" customWidth="1"/>
    <col min="625" max="625" width="19.88671875" hidden="1" customWidth="1"/>
    <col min="626" max="626" width="18.21875" hidden="1" customWidth="1"/>
    <col min="627" max="627" width="21.21875" hidden="1" customWidth="1"/>
    <col min="628" max="628" width="11.33203125" hidden="1" customWidth="1"/>
    <col min="629" max="629" width="21.5546875" hidden="1" customWidth="1"/>
    <col min="630" max="630" width="12.109375" hidden="1" customWidth="1"/>
    <col min="631" max="631" width="20.6640625" hidden="1" customWidth="1"/>
    <col min="632" max="632" width="9" hidden="1" customWidth="1"/>
    <col min="633" max="633" width="25.88671875" customWidth="1"/>
    <col min="634" max="634" width="23.21875" customWidth="1"/>
    <col min="635" max="635" width="9.6640625" bestFit="1" customWidth="1"/>
    <col min="636" max="636" width="20.77734375" hidden="1" customWidth="1"/>
    <col min="637" max="637" width="20.21875" hidden="1" customWidth="1"/>
    <col min="638" max="638" width="10.109375" hidden="1" customWidth="1"/>
    <col min="639" max="639" width="9" hidden="1" customWidth="1"/>
    <col min="640" max="641" width="17.33203125" hidden="1" customWidth="1"/>
    <col min="642" max="642" width="9" hidden="1" customWidth="1"/>
    <col min="643" max="643" width="20.6640625" hidden="1" customWidth="1"/>
    <col min="644" max="644" width="23.6640625" hidden="1" customWidth="1"/>
    <col min="645" max="645" width="9.44140625" hidden="1" customWidth="1"/>
    <col min="646" max="646" width="20.77734375" hidden="1" customWidth="1"/>
    <col min="647" max="647" width="21" hidden="1" customWidth="1"/>
    <col min="648" max="648" width="11.109375" hidden="1" customWidth="1"/>
    <col min="649" max="649" width="22.109375" hidden="1" customWidth="1"/>
    <col min="650" max="650" width="21" hidden="1" customWidth="1"/>
    <col min="651" max="651" width="9" hidden="1" customWidth="1"/>
    <col min="652" max="653" width="20.5546875" hidden="1" customWidth="1"/>
    <col min="654" max="654" width="10.88671875" hidden="1" customWidth="1"/>
    <col min="655" max="655" width="13" customWidth="1"/>
    <col min="656" max="656" width="13.109375" customWidth="1"/>
    <col min="657" max="657" width="13.21875" customWidth="1"/>
    <col min="658" max="663" width="12" customWidth="1"/>
    <col min="664" max="671" width="9" bestFit="1" customWidth="1"/>
    <col min="673" max="674" width="13.6640625" customWidth="1"/>
    <col min="675" max="675" width="12.88671875" bestFit="1" customWidth="1"/>
    <col min="676" max="676" width="40.5546875" bestFit="1" customWidth="1"/>
    <col min="677" max="677" width="11.44140625" bestFit="1" customWidth="1"/>
    <col min="678" max="678" width="17.88671875" customWidth="1"/>
    <col min="679" max="679" width="34.5546875" customWidth="1"/>
    <col min="683" max="744" width="8.88671875" customWidth="1"/>
    <col min="745" max="745" width="45.88671875" customWidth="1"/>
    <col min="746" max="746" width="14.44140625" customWidth="1"/>
    <col min="747" max="747" width="33.21875" customWidth="1"/>
    <col min="748" max="748" width="34.109375" customWidth="1"/>
    <col min="749" max="749" width="24.109375" customWidth="1"/>
    <col min="750" max="750" width="25" customWidth="1"/>
    <col min="751" max="751" width="19" customWidth="1"/>
    <col min="752" max="752" width="23.109375" customWidth="1"/>
    <col min="753" max="754" width="23.33203125" customWidth="1"/>
    <col min="755" max="755" width="23" customWidth="1"/>
    <col min="756" max="767" width="22.33203125" customWidth="1"/>
    <col min="768" max="788" width="8.88671875" customWidth="1"/>
    <col min="789" max="789" width="32.88671875" customWidth="1"/>
    <col min="790" max="790" width="13.77734375" customWidth="1"/>
    <col min="791" max="799" width="20" customWidth="1"/>
    <col min="800" max="800" width="20.109375" customWidth="1"/>
    <col min="801" max="801" width="20.88671875" customWidth="1"/>
    <col min="802" max="803" width="20.109375" customWidth="1"/>
    <col min="804" max="821" width="8.88671875" customWidth="1"/>
    <col min="822" max="822" width="32.88671875" customWidth="1"/>
    <col min="823" max="823" width="13.77734375" customWidth="1"/>
    <col min="824" max="824" width="13.44140625" customWidth="1"/>
    <col min="825" max="825" width="15.33203125" customWidth="1"/>
    <col min="826" max="832" width="20" customWidth="1"/>
    <col min="833" max="833" width="15.33203125" customWidth="1"/>
    <col min="834" max="840" width="20" customWidth="1"/>
    <col min="841" max="841" width="15.33203125" customWidth="1"/>
    <col min="842" max="848" width="20" customWidth="1"/>
    <col min="849" max="849" width="15.33203125" customWidth="1"/>
    <col min="850" max="856" width="20" customWidth="1"/>
    <col min="857" max="857" width="20.109375" customWidth="1"/>
    <col min="858" max="858" width="20.88671875" customWidth="1"/>
    <col min="859" max="859" width="23.6640625" customWidth="1"/>
    <col min="860" max="869" width="8.88671875" customWidth="1"/>
    <col min="874" max="874" width="37.5546875" customWidth="1"/>
    <col min="875" max="876" width="18.5546875" customWidth="1"/>
    <col min="877" max="878" width="10.33203125" customWidth="1"/>
    <col min="879" max="879" width="18.6640625" bestFit="1" customWidth="1"/>
    <col min="880" max="880" width="20.109375" customWidth="1"/>
    <col min="881" max="881" width="10.33203125" customWidth="1"/>
    <col min="882" max="882" width="10.5546875" customWidth="1"/>
    <col min="883" max="884" width="15.109375" customWidth="1"/>
    <col min="885" max="886" width="10.33203125" customWidth="1"/>
    <col min="887" max="888" width="17.77734375" customWidth="1"/>
    <col min="889" max="890" width="10.33203125" customWidth="1"/>
    <col min="891" max="892" width="17.44140625" customWidth="1"/>
    <col min="893" max="894" width="10.33203125" customWidth="1"/>
    <col min="895" max="895" width="18.21875" customWidth="1"/>
    <col min="896" max="896" width="14.109375" customWidth="1"/>
    <col min="897" max="898" width="10.33203125" customWidth="1"/>
    <col min="899" max="899" width="11.5546875" bestFit="1" customWidth="1"/>
    <col min="900" max="900" width="17.21875" customWidth="1"/>
    <col min="901" max="902" width="10.33203125" customWidth="1"/>
    <col min="903" max="904" width="18" customWidth="1"/>
    <col min="905" max="906" width="10.33203125" customWidth="1"/>
    <col min="907" max="907" width="17.44140625" customWidth="1"/>
    <col min="908" max="908" width="11.5546875" bestFit="1" customWidth="1"/>
    <col min="909" max="910" width="10.33203125" customWidth="1"/>
    <col min="911" max="911" width="14.77734375" customWidth="1"/>
    <col min="912" max="912" width="17.109375" customWidth="1"/>
    <col min="913" max="914" width="10.33203125" customWidth="1"/>
    <col min="915" max="915" width="13.109375" customWidth="1"/>
    <col min="916" max="916" width="21.33203125" customWidth="1"/>
    <col min="917" max="918" width="10.33203125" customWidth="1"/>
    <col min="919" max="919" width="18.21875" customWidth="1"/>
    <col min="920" max="920" width="21.21875" customWidth="1"/>
    <col min="921" max="922" width="10.33203125" customWidth="1"/>
    <col min="923" max="923" width="12.109375" customWidth="1"/>
    <col min="924" max="924" width="20.6640625" customWidth="1"/>
    <col min="925" max="926" width="10.33203125" customWidth="1"/>
    <col min="927" max="927" width="20.5546875" customWidth="1"/>
    <col min="928" max="928" width="19.88671875" customWidth="1"/>
    <col min="929" max="930" width="10.33203125" customWidth="1"/>
    <col min="931" max="931" width="11.33203125" customWidth="1"/>
    <col min="932" max="932" width="21.5546875" customWidth="1"/>
    <col min="933" max="934" width="10.33203125" customWidth="1"/>
    <col min="935" max="935" width="15.44140625" customWidth="1"/>
    <col min="936" max="936" width="14.6640625" customWidth="1"/>
    <col min="937" max="937" width="10.33203125" customWidth="1"/>
    <col min="938" max="938" width="10.33203125" hidden="1" customWidth="1"/>
    <col min="939" max="939" width="20.77734375" hidden="1" customWidth="1"/>
    <col min="940" max="940" width="20.21875" hidden="1" customWidth="1"/>
    <col min="941" max="942" width="10.33203125" hidden="1" customWidth="1"/>
    <col min="943" max="944" width="17.33203125" customWidth="1"/>
    <col min="945" max="945" width="10.33203125" customWidth="1"/>
    <col min="946" max="946" width="10.33203125" hidden="1" customWidth="1"/>
    <col min="947" max="947" width="23.6640625" hidden="1" customWidth="1"/>
    <col min="948" max="948" width="9.44140625" hidden="1" customWidth="1"/>
    <col min="949" max="950" width="10.33203125" hidden="1" customWidth="1"/>
    <col min="951" max="951" width="11.109375" customWidth="1"/>
    <col min="952" max="952" width="22.109375" customWidth="1"/>
    <col min="953" max="953" width="10.33203125" customWidth="1"/>
    <col min="954" max="954" width="10.33203125" hidden="1" customWidth="1"/>
    <col min="955" max="956" width="20.5546875" hidden="1" customWidth="1"/>
    <col min="957" max="958" width="10.33203125" hidden="1" customWidth="1"/>
    <col min="959" max="959" width="13.109375" customWidth="1"/>
    <col min="960" max="960" width="13.21875" customWidth="1"/>
    <col min="961" max="961" width="10.33203125" customWidth="1"/>
    <col min="962" max="962" width="10.33203125" hidden="1" customWidth="1"/>
    <col min="963" max="964" width="12" hidden="1" customWidth="1"/>
    <col min="965" max="966" width="10.33203125" hidden="1" customWidth="1"/>
    <col min="967" max="968" width="18.21875" customWidth="1"/>
    <col min="969" max="969" width="10.33203125" customWidth="1"/>
    <col min="970" max="970" width="10.33203125" hidden="1" customWidth="1"/>
    <col min="971" max="971" width="21.33203125" hidden="1" customWidth="1"/>
    <col min="972" max="972" width="20.5546875" hidden="1" customWidth="1"/>
    <col min="973" max="973" width="10.33203125" hidden="1" customWidth="1"/>
    <col min="974" max="974" width="13.5546875" hidden="1" customWidth="1"/>
    <col min="975" max="975" width="21.33203125" customWidth="1"/>
    <col min="976" max="976" width="20.5546875" customWidth="1"/>
    <col min="977" max="977" width="10.33203125" customWidth="1"/>
    <col min="978" max="978" width="14.33203125" customWidth="1"/>
    <col min="979" max="981" width="20.5546875" customWidth="1"/>
    <col min="982" max="982" width="20.77734375" customWidth="1"/>
    <col min="983" max="983" width="20.21875" customWidth="1"/>
    <col min="984" max="984" width="10.109375" customWidth="1"/>
    <col min="985" max="985" width="9" customWidth="1"/>
    <col min="986" max="987" width="17.33203125" customWidth="1"/>
    <col min="988" max="988" width="9" customWidth="1"/>
    <col min="989" max="989" width="20.6640625" customWidth="1"/>
    <col min="990" max="990" width="23.6640625" customWidth="1"/>
    <col min="991" max="991" width="9.44140625" customWidth="1"/>
    <col min="992" max="992" width="20.77734375" customWidth="1"/>
    <col min="993" max="993" width="21" customWidth="1"/>
    <col min="994" max="994" width="11.109375" customWidth="1"/>
    <col min="995" max="995" width="22.109375" customWidth="1"/>
    <col min="996" max="996" width="21" customWidth="1"/>
    <col min="997" max="997" width="9" customWidth="1"/>
    <col min="998" max="999" width="20.5546875" customWidth="1"/>
    <col min="1000" max="1000" width="10.88671875" customWidth="1"/>
    <col min="1001" max="1001" width="13" customWidth="1"/>
    <col min="1002" max="1007" width="12" customWidth="1"/>
    <col min="1008" max="1012" width="9" bestFit="1" customWidth="1"/>
    <col min="1013" max="1013" width="10.88671875" customWidth="1"/>
    <col min="1014" max="1014" width="16.44140625" customWidth="1"/>
    <col min="1015" max="1015" width="19.5546875" customWidth="1"/>
    <col min="1016" max="1016" width="17.77734375" customWidth="1"/>
    <col min="1017" max="1017" width="11.21875" customWidth="1"/>
    <col min="1019" max="1020" width="13.6640625" customWidth="1"/>
    <col min="1021" max="1021" width="12.88671875" bestFit="1" customWidth="1"/>
    <col min="1022" max="1024" width="13.6640625" customWidth="1"/>
    <col min="1025" max="1025" width="40.5546875" bestFit="1" customWidth="1"/>
    <col min="1026" max="1026" width="11.44140625" bestFit="1" customWidth="1"/>
    <col min="1027" max="1027" width="17.88671875" customWidth="1"/>
    <col min="1028" max="1028" width="34.5546875" customWidth="1"/>
    <col min="15297" max="15297" width="12" bestFit="1" customWidth="1"/>
    <col min="15298" max="15298" width="14.44140625" bestFit="1" customWidth="1"/>
    <col min="15299" max="15299" width="12" bestFit="1" customWidth="1"/>
    <col min="15300" max="15300" width="14.44140625" bestFit="1" customWidth="1"/>
    <col min="15301" max="15301" width="12" bestFit="1" customWidth="1"/>
    <col min="15302" max="15302" width="14.44140625" bestFit="1" customWidth="1"/>
    <col min="15303" max="15303" width="12" bestFit="1" customWidth="1"/>
    <col min="15304" max="15304" width="14.44140625" bestFit="1" customWidth="1"/>
    <col min="15305" max="15305" width="12" bestFit="1" customWidth="1"/>
    <col min="15306" max="15306" width="14.44140625" bestFit="1" customWidth="1"/>
    <col min="15307" max="15307" width="12" bestFit="1" customWidth="1"/>
    <col min="15308" max="15308" width="14.44140625" bestFit="1" customWidth="1"/>
    <col min="15309" max="15309" width="12" bestFit="1" customWidth="1"/>
    <col min="15310" max="15310" width="14.44140625" bestFit="1" customWidth="1"/>
    <col min="15311" max="15311" width="12" bestFit="1" customWidth="1"/>
    <col min="15312" max="15312" width="14.44140625" bestFit="1" customWidth="1"/>
    <col min="15313" max="15313" width="12" bestFit="1" customWidth="1"/>
    <col min="15314" max="15314" width="14.44140625" bestFit="1" customWidth="1"/>
    <col min="15315" max="15315" width="12" bestFit="1" customWidth="1"/>
    <col min="15316" max="15316" width="14.44140625" bestFit="1" customWidth="1"/>
    <col min="15317" max="15317" width="12" bestFit="1" customWidth="1"/>
    <col min="15318" max="15318" width="14.44140625" bestFit="1" customWidth="1"/>
    <col min="15319" max="15319" width="12" bestFit="1" customWidth="1"/>
    <col min="15320" max="15320" width="14.44140625" bestFit="1" customWidth="1"/>
    <col min="15321" max="15324" width="14.88671875" bestFit="1" customWidth="1"/>
    <col min="15399" max="15399" width="9.33203125" bestFit="1" customWidth="1"/>
    <col min="15400" max="15400" width="47.5546875" bestFit="1" customWidth="1"/>
    <col min="15401" max="15401" width="16.88671875" bestFit="1" customWidth="1"/>
    <col min="15402" max="15402" width="16.33203125" bestFit="1" customWidth="1"/>
    <col min="15403" max="15403" width="16.88671875" bestFit="1" customWidth="1"/>
    <col min="15404" max="15404" width="15.88671875" bestFit="1" customWidth="1"/>
    <col min="15405" max="15405" width="16.33203125" bestFit="1" customWidth="1"/>
    <col min="15406" max="15406" width="15.88671875" bestFit="1" customWidth="1"/>
    <col min="15407" max="15407" width="16.33203125" bestFit="1" customWidth="1"/>
    <col min="15408" max="15408" width="15.44140625" bestFit="1" customWidth="1"/>
    <col min="15409" max="15409" width="16.33203125" bestFit="1" customWidth="1"/>
    <col min="15410" max="15410" width="15" bestFit="1" customWidth="1"/>
    <col min="15411" max="15411" width="15.88671875" bestFit="1" customWidth="1"/>
    <col min="15412" max="15412" width="16.88671875" bestFit="1" customWidth="1"/>
    <col min="15413" max="15413" width="14.6640625" bestFit="1" customWidth="1"/>
    <col min="15414" max="15414" width="15.109375" bestFit="1" customWidth="1"/>
    <col min="15415" max="15418" width="14.88671875" customWidth="1"/>
    <col min="15419" max="15419" width="13.109375" customWidth="1"/>
  </cols>
  <sheetData>
    <row r="1" spans="1:258" ht="15" customHeight="1" thickBot="1">
      <c r="N1" s="96" t="s">
        <v>1734</v>
      </c>
      <c r="CK1" s="67"/>
      <c r="GO1">
        <v>2</v>
      </c>
      <c r="GP1">
        <f>GO1+1</f>
        <v>3</v>
      </c>
      <c r="GQ1">
        <f t="shared" ref="GQ1:HJ1" si="0">GP1+1</f>
        <v>4</v>
      </c>
      <c r="GR1">
        <f t="shared" si="0"/>
        <v>5</v>
      </c>
      <c r="GS1">
        <f t="shared" si="0"/>
        <v>6</v>
      </c>
      <c r="GT1">
        <f t="shared" si="0"/>
        <v>7</v>
      </c>
      <c r="GU1">
        <f t="shared" si="0"/>
        <v>8</v>
      </c>
      <c r="GV1">
        <f t="shared" si="0"/>
        <v>9</v>
      </c>
      <c r="GW1">
        <f t="shared" si="0"/>
        <v>10</v>
      </c>
      <c r="GX1">
        <f t="shared" si="0"/>
        <v>11</v>
      </c>
      <c r="GY1">
        <f t="shared" si="0"/>
        <v>12</v>
      </c>
      <c r="GZ1">
        <f t="shared" si="0"/>
        <v>13</v>
      </c>
      <c r="HA1">
        <f t="shared" si="0"/>
        <v>14</v>
      </c>
      <c r="HB1">
        <f t="shared" si="0"/>
        <v>15</v>
      </c>
      <c r="HC1">
        <f t="shared" si="0"/>
        <v>16</v>
      </c>
      <c r="HD1">
        <f t="shared" si="0"/>
        <v>17</v>
      </c>
      <c r="HE1">
        <f t="shared" si="0"/>
        <v>18</v>
      </c>
      <c r="HF1">
        <f t="shared" si="0"/>
        <v>19</v>
      </c>
      <c r="HG1">
        <f t="shared" si="0"/>
        <v>20</v>
      </c>
      <c r="HH1">
        <f t="shared" si="0"/>
        <v>21</v>
      </c>
      <c r="HI1">
        <f t="shared" si="0"/>
        <v>22</v>
      </c>
      <c r="HJ1">
        <f t="shared" si="0"/>
        <v>23</v>
      </c>
      <c r="HK1">
        <f t="shared" ref="HK1" si="1">HJ1+1</f>
        <v>24</v>
      </c>
      <c r="HL1">
        <f t="shared" ref="HL1" si="2">HK1+1</f>
        <v>25</v>
      </c>
      <c r="HM1">
        <f t="shared" ref="HM1" si="3">HL1+1</f>
        <v>26</v>
      </c>
      <c r="HN1">
        <f t="shared" ref="HN1" si="4">HM1+1</f>
        <v>27</v>
      </c>
      <c r="HO1">
        <f t="shared" ref="HO1" si="5">HN1+1</f>
        <v>28</v>
      </c>
      <c r="HP1">
        <f t="shared" ref="HP1" si="6">HO1+1</f>
        <v>29</v>
      </c>
      <c r="HQ1">
        <f t="shared" ref="HQ1" si="7">HP1+1</f>
        <v>30</v>
      </c>
      <c r="HT1">
        <v>2</v>
      </c>
      <c r="HU1">
        <f>+HT1+1</f>
        <v>3</v>
      </c>
      <c r="HV1">
        <f t="shared" ref="HV1:IK1" si="8">+HU1+1</f>
        <v>4</v>
      </c>
      <c r="HW1">
        <f t="shared" si="8"/>
        <v>5</v>
      </c>
      <c r="HX1">
        <f t="shared" si="8"/>
        <v>6</v>
      </c>
      <c r="HY1">
        <f t="shared" si="8"/>
        <v>7</v>
      </c>
      <c r="HZ1">
        <f t="shared" si="8"/>
        <v>8</v>
      </c>
      <c r="IA1">
        <f t="shared" si="8"/>
        <v>9</v>
      </c>
      <c r="IB1">
        <f t="shared" si="8"/>
        <v>10</v>
      </c>
      <c r="IC1">
        <f t="shared" si="8"/>
        <v>11</v>
      </c>
      <c r="ID1">
        <f t="shared" si="8"/>
        <v>12</v>
      </c>
      <c r="IE1">
        <f t="shared" si="8"/>
        <v>13</v>
      </c>
      <c r="IF1">
        <f t="shared" si="8"/>
        <v>14</v>
      </c>
      <c r="IG1">
        <f t="shared" si="8"/>
        <v>15</v>
      </c>
      <c r="IH1">
        <f t="shared" si="8"/>
        <v>16</v>
      </c>
      <c r="II1">
        <f t="shared" si="8"/>
        <v>17</v>
      </c>
      <c r="IJ1">
        <f t="shared" si="8"/>
        <v>18</v>
      </c>
      <c r="IK1">
        <f t="shared" si="8"/>
        <v>19</v>
      </c>
      <c r="IL1">
        <f t="shared" ref="IL1" si="9">+IK1+1</f>
        <v>20</v>
      </c>
      <c r="IM1">
        <f t="shared" ref="IM1:IO1" si="10">+IL1+1</f>
        <v>21</v>
      </c>
      <c r="IN1">
        <f t="shared" si="10"/>
        <v>22</v>
      </c>
      <c r="IO1">
        <f t="shared" si="10"/>
        <v>23</v>
      </c>
      <c r="IP1">
        <f t="shared" ref="IP1" si="11">+IO1+1</f>
        <v>24</v>
      </c>
      <c r="IQ1">
        <f t="shared" ref="IQ1" si="12">+IP1+1</f>
        <v>25</v>
      </c>
      <c r="IR1">
        <f t="shared" ref="IR1" si="13">+IQ1+1</f>
        <v>26</v>
      </c>
      <c r="IS1">
        <f t="shared" ref="IS1" si="14">+IR1+1</f>
        <v>27</v>
      </c>
      <c r="IT1">
        <f t="shared" ref="IT1" si="15">+IS1+1</f>
        <v>28</v>
      </c>
      <c r="IU1">
        <f t="shared" ref="IU1" si="16">+IT1+1</f>
        <v>29</v>
      </c>
      <c r="IV1">
        <f t="shared" ref="IV1:IW1" si="17">+IU1+1</f>
        <v>30</v>
      </c>
      <c r="IW1">
        <f t="shared" si="17"/>
        <v>31</v>
      </c>
    </row>
    <row r="2" spans="1:258" s="67" customFormat="1" ht="17.399999999999999" customHeight="1" thickBot="1">
      <c r="A2" s="189" t="s">
        <v>1741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1"/>
      <c r="O2" s="191"/>
      <c r="P2" s="191"/>
      <c r="Q2" s="191"/>
      <c r="R2" s="191"/>
      <c r="S2" s="191"/>
      <c r="T2" s="191"/>
      <c r="U2" s="191"/>
      <c r="V2" s="192" t="s">
        <v>1735</v>
      </c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4" t="s">
        <v>1736</v>
      </c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6"/>
      <c r="GM2" s="197" t="s">
        <v>1</v>
      </c>
      <c r="GN2" s="198"/>
      <c r="GO2" s="186" t="s">
        <v>825</v>
      </c>
      <c r="GP2" s="187"/>
      <c r="GQ2" s="187"/>
      <c r="GR2" s="187"/>
      <c r="GS2" s="187"/>
      <c r="GT2" s="187"/>
      <c r="GU2" s="187"/>
      <c r="GV2" s="187"/>
      <c r="GW2" s="187"/>
      <c r="GX2" s="187"/>
      <c r="GY2" s="187"/>
      <c r="GZ2" s="187"/>
      <c r="HA2" s="187"/>
      <c r="HB2" s="187"/>
      <c r="HC2" s="187"/>
      <c r="HD2" s="187"/>
      <c r="HE2" s="187"/>
      <c r="HF2" s="187"/>
      <c r="HG2" s="187"/>
      <c r="HH2" s="187"/>
      <c r="HI2" s="187"/>
      <c r="HJ2" s="187"/>
      <c r="HK2" s="187"/>
      <c r="HL2" s="187"/>
      <c r="HM2" s="187"/>
      <c r="HN2" s="187"/>
      <c r="HO2" s="187"/>
      <c r="HP2" s="187"/>
      <c r="HQ2" s="187"/>
      <c r="HR2" s="187"/>
      <c r="HS2" s="188"/>
      <c r="HT2" s="186" t="s">
        <v>826</v>
      </c>
      <c r="HU2" s="187"/>
      <c r="HV2" s="187"/>
      <c r="HW2" s="187"/>
      <c r="HX2" s="187"/>
      <c r="HY2" s="187"/>
      <c r="HZ2" s="187"/>
      <c r="IA2" s="187"/>
      <c r="IB2" s="187"/>
      <c r="IC2" s="187"/>
      <c r="ID2" s="187"/>
      <c r="IE2" s="187"/>
      <c r="IF2" s="187"/>
      <c r="IG2" s="187"/>
      <c r="IH2" s="187"/>
      <c r="II2" s="187"/>
      <c r="IJ2" s="187"/>
      <c r="IK2" s="187"/>
      <c r="IL2" s="187"/>
      <c r="IM2" s="187"/>
      <c r="IN2" s="187"/>
      <c r="IO2" s="187"/>
      <c r="IP2" s="187"/>
      <c r="IQ2" s="187"/>
      <c r="IR2" s="187"/>
      <c r="IS2" s="187"/>
      <c r="IT2" s="187"/>
      <c r="IU2" s="187"/>
      <c r="IV2" s="187"/>
      <c r="IW2" s="187"/>
      <c r="IX2" s="188"/>
    </row>
    <row r="3" spans="1:258" s="164" customFormat="1" ht="30.6" customHeight="1" thickBot="1">
      <c r="A3" s="148" t="s">
        <v>3</v>
      </c>
      <c r="B3" s="149" t="s">
        <v>4</v>
      </c>
      <c r="C3" s="149" t="s">
        <v>5</v>
      </c>
      <c r="D3" s="149" t="s">
        <v>6</v>
      </c>
      <c r="E3" s="149" t="s">
        <v>7</v>
      </c>
      <c r="F3" s="149" t="s">
        <v>8</v>
      </c>
      <c r="G3" s="149" t="s">
        <v>9</v>
      </c>
      <c r="H3" s="149" t="s">
        <v>10</v>
      </c>
      <c r="I3" s="150" t="s">
        <v>1662</v>
      </c>
      <c r="J3" s="151" t="s">
        <v>11</v>
      </c>
      <c r="K3" s="151" t="s">
        <v>12</v>
      </c>
      <c r="L3" s="150" t="s">
        <v>13</v>
      </c>
      <c r="M3" s="151" t="s">
        <v>14</v>
      </c>
      <c r="N3" s="152" t="s">
        <v>15</v>
      </c>
      <c r="O3" s="153" t="s">
        <v>18</v>
      </c>
      <c r="P3" s="154" t="s">
        <v>837</v>
      </c>
      <c r="Q3" s="155" t="s">
        <v>830</v>
      </c>
      <c r="R3" s="155" t="s">
        <v>1398</v>
      </c>
      <c r="S3" s="155" t="s">
        <v>1399</v>
      </c>
      <c r="T3" s="155" t="s">
        <v>1400</v>
      </c>
      <c r="U3" s="156" t="s">
        <v>828</v>
      </c>
      <c r="V3" s="157">
        <v>1</v>
      </c>
      <c r="W3" s="158">
        <f>V3+1</f>
        <v>2</v>
      </c>
      <c r="X3" s="158">
        <f t="shared" ref="X3:AZ3" si="18">W3+1</f>
        <v>3</v>
      </c>
      <c r="Y3" s="158">
        <f t="shared" si="18"/>
        <v>4</v>
      </c>
      <c r="Z3" s="158">
        <f t="shared" si="18"/>
        <v>5</v>
      </c>
      <c r="AA3" s="158">
        <f t="shared" si="18"/>
        <v>6</v>
      </c>
      <c r="AB3" s="158">
        <f t="shared" si="18"/>
        <v>7</v>
      </c>
      <c r="AC3" s="158">
        <f t="shared" si="18"/>
        <v>8</v>
      </c>
      <c r="AD3" s="158">
        <f t="shared" si="18"/>
        <v>9</v>
      </c>
      <c r="AE3" s="158">
        <f t="shared" si="18"/>
        <v>10</v>
      </c>
      <c r="AF3" s="158">
        <f t="shared" si="18"/>
        <v>11</v>
      </c>
      <c r="AG3" s="158">
        <f t="shared" si="18"/>
        <v>12</v>
      </c>
      <c r="AH3" s="158">
        <f t="shared" si="18"/>
        <v>13</v>
      </c>
      <c r="AI3" s="158">
        <f t="shared" si="18"/>
        <v>14</v>
      </c>
      <c r="AJ3" s="158">
        <f t="shared" si="18"/>
        <v>15</v>
      </c>
      <c r="AK3" s="158">
        <f t="shared" si="18"/>
        <v>16</v>
      </c>
      <c r="AL3" s="158">
        <f t="shared" si="18"/>
        <v>17</v>
      </c>
      <c r="AM3" s="158">
        <f t="shared" si="18"/>
        <v>18</v>
      </c>
      <c r="AN3" s="158">
        <f>AM3+1</f>
        <v>19</v>
      </c>
      <c r="AO3" s="158">
        <f t="shared" si="18"/>
        <v>20</v>
      </c>
      <c r="AP3" s="158">
        <f t="shared" si="18"/>
        <v>21</v>
      </c>
      <c r="AQ3" s="158">
        <f t="shared" si="18"/>
        <v>22</v>
      </c>
      <c r="AR3" s="158">
        <f t="shared" si="18"/>
        <v>23</v>
      </c>
      <c r="AS3" s="158">
        <f t="shared" si="18"/>
        <v>24</v>
      </c>
      <c r="AT3" s="158">
        <f t="shared" si="18"/>
        <v>25</v>
      </c>
      <c r="AU3" s="158">
        <f t="shared" si="18"/>
        <v>26</v>
      </c>
      <c r="AV3" s="158">
        <f t="shared" si="18"/>
        <v>27</v>
      </c>
      <c r="AW3" s="158">
        <f t="shared" si="18"/>
        <v>28</v>
      </c>
      <c r="AX3" s="158">
        <f t="shared" si="18"/>
        <v>29</v>
      </c>
      <c r="AY3" s="158">
        <f t="shared" si="18"/>
        <v>30</v>
      </c>
      <c r="AZ3" s="159">
        <f t="shared" si="18"/>
        <v>31</v>
      </c>
      <c r="BA3" s="68" t="s">
        <v>825</v>
      </c>
      <c r="BB3" s="68" t="s">
        <v>838</v>
      </c>
      <c r="BC3" s="160">
        <v>1</v>
      </c>
      <c r="BD3" s="161">
        <f>BC3+1</f>
        <v>2</v>
      </c>
      <c r="BE3" s="161">
        <f t="shared" ref="BE3:CG3" si="19">BD3+1</f>
        <v>3</v>
      </c>
      <c r="BF3" s="161">
        <f t="shared" si="19"/>
        <v>4</v>
      </c>
      <c r="BG3" s="161">
        <f t="shared" si="19"/>
        <v>5</v>
      </c>
      <c r="BH3" s="161">
        <f t="shared" si="19"/>
        <v>6</v>
      </c>
      <c r="BI3" s="161">
        <f t="shared" si="19"/>
        <v>7</v>
      </c>
      <c r="BJ3" s="161">
        <f t="shared" si="19"/>
        <v>8</v>
      </c>
      <c r="BK3" s="161">
        <f t="shared" si="19"/>
        <v>9</v>
      </c>
      <c r="BL3" s="161">
        <f t="shared" si="19"/>
        <v>10</v>
      </c>
      <c r="BM3" s="161">
        <f t="shared" si="19"/>
        <v>11</v>
      </c>
      <c r="BN3" s="161">
        <f t="shared" si="19"/>
        <v>12</v>
      </c>
      <c r="BO3" s="161">
        <f t="shared" si="19"/>
        <v>13</v>
      </c>
      <c r="BP3" s="161">
        <f t="shared" si="19"/>
        <v>14</v>
      </c>
      <c r="BQ3" s="161">
        <f t="shared" si="19"/>
        <v>15</v>
      </c>
      <c r="BR3" s="161">
        <f t="shared" si="19"/>
        <v>16</v>
      </c>
      <c r="BS3" s="161">
        <f t="shared" si="19"/>
        <v>17</v>
      </c>
      <c r="BT3" s="161">
        <f t="shared" si="19"/>
        <v>18</v>
      </c>
      <c r="BU3" s="161">
        <f t="shared" si="19"/>
        <v>19</v>
      </c>
      <c r="BV3" s="161">
        <f t="shared" si="19"/>
        <v>20</v>
      </c>
      <c r="BW3" s="161">
        <f t="shared" si="19"/>
        <v>21</v>
      </c>
      <c r="BX3" s="161">
        <f t="shared" si="19"/>
        <v>22</v>
      </c>
      <c r="BY3" s="161">
        <f t="shared" si="19"/>
        <v>23</v>
      </c>
      <c r="BZ3" s="161">
        <f t="shared" si="19"/>
        <v>24</v>
      </c>
      <c r="CA3" s="161">
        <f t="shared" si="19"/>
        <v>25</v>
      </c>
      <c r="CB3" s="161">
        <f t="shared" si="19"/>
        <v>26</v>
      </c>
      <c r="CC3" s="161">
        <f t="shared" si="19"/>
        <v>27</v>
      </c>
      <c r="CD3" s="161">
        <f t="shared" si="19"/>
        <v>28</v>
      </c>
      <c r="CE3" s="161">
        <f t="shared" si="19"/>
        <v>29</v>
      </c>
      <c r="CF3" s="161">
        <f t="shared" si="19"/>
        <v>30</v>
      </c>
      <c r="CG3" s="162">
        <f t="shared" si="19"/>
        <v>31</v>
      </c>
      <c r="CH3" s="163" t="s">
        <v>826</v>
      </c>
      <c r="CI3" s="163" t="s">
        <v>827</v>
      </c>
      <c r="CK3" s="147">
        <f ca="1">NETWORKDAYS.INTL(EOMONTH(TODAY(),-1)+1,TODAY(),11)</f>
        <v>13</v>
      </c>
      <c r="GL3" s="165"/>
      <c r="GM3" s="166" t="s">
        <v>3</v>
      </c>
      <c r="GN3" s="167" t="s">
        <v>2</v>
      </c>
      <c r="GO3" s="168">
        <v>1</v>
      </c>
      <c r="GP3" s="168">
        <f>GO3+1</f>
        <v>2</v>
      </c>
      <c r="GQ3" s="168">
        <f t="shared" ref="GQ3:IX3" si="20">GP3+1</f>
        <v>3</v>
      </c>
      <c r="GR3" s="168">
        <f t="shared" si="20"/>
        <v>4</v>
      </c>
      <c r="GS3" s="168">
        <f t="shared" si="20"/>
        <v>5</v>
      </c>
      <c r="GT3" s="168">
        <f t="shared" si="20"/>
        <v>6</v>
      </c>
      <c r="GU3" s="168">
        <f t="shared" si="20"/>
        <v>7</v>
      </c>
      <c r="GV3" s="168">
        <f t="shared" si="20"/>
        <v>8</v>
      </c>
      <c r="GW3" s="168">
        <f t="shared" si="20"/>
        <v>9</v>
      </c>
      <c r="GX3" s="168">
        <f t="shared" si="20"/>
        <v>10</v>
      </c>
      <c r="GY3" s="168">
        <f t="shared" si="20"/>
        <v>11</v>
      </c>
      <c r="GZ3" s="168">
        <f t="shared" si="20"/>
        <v>12</v>
      </c>
      <c r="HA3" s="168">
        <f t="shared" si="20"/>
        <v>13</v>
      </c>
      <c r="HB3" s="168">
        <f t="shared" si="20"/>
        <v>14</v>
      </c>
      <c r="HC3" s="168">
        <f t="shared" si="20"/>
        <v>15</v>
      </c>
      <c r="HD3" s="168">
        <f t="shared" si="20"/>
        <v>16</v>
      </c>
      <c r="HE3" s="168">
        <f t="shared" si="20"/>
        <v>17</v>
      </c>
      <c r="HF3" s="168">
        <f t="shared" si="20"/>
        <v>18</v>
      </c>
      <c r="HG3" s="168">
        <f t="shared" si="20"/>
        <v>19</v>
      </c>
      <c r="HH3" s="168">
        <f t="shared" si="20"/>
        <v>20</v>
      </c>
      <c r="HI3" s="168">
        <f t="shared" si="20"/>
        <v>21</v>
      </c>
      <c r="HJ3" s="168">
        <f t="shared" si="20"/>
        <v>22</v>
      </c>
      <c r="HK3" s="168">
        <f t="shared" si="20"/>
        <v>23</v>
      </c>
      <c r="HL3" s="168">
        <f t="shared" si="20"/>
        <v>24</v>
      </c>
      <c r="HM3" s="168">
        <f t="shared" si="20"/>
        <v>25</v>
      </c>
      <c r="HN3" s="168">
        <f t="shared" si="20"/>
        <v>26</v>
      </c>
      <c r="HO3" s="168">
        <f t="shared" si="20"/>
        <v>27</v>
      </c>
      <c r="HP3" s="168">
        <f t="shared" si="20"/>
        <v>28</v>
      </c>
      <c r="HQ3" s="168">
        <f t="shared" si="20"/>
        <v>29</v>
      </c>
      <c r="HR3" s="168">
        <f t="shared" si="20"/>
        <v>30</v>
      </c>
      <c r="HS3" s="169">
        <f t="shared" si="20"/>
        <v>31</v>
      </c>
      <c r="HT3" s="168">
        <v>1</v>
      </c>
      <c r="HU3" s="168">
        <f t="shared" si="20"/>
        <v>2</v>
      </c>
      <c r="HV3" s="168">
        <f t="shared" si="20"/>
        <v>3</v>
      </c>
      <c r="HW3" s="168">
        <f t="shared" si="20"/>
        <v>4</v>
      </c>
      <c r="HX3" s="168">
        <f t="shared" si="20"/>
        <v>5</v>
      </c>
      <c r="HY3" s="168">
        <f t="shared" si="20"/>
        <v>6</v>
      </c>
      <c r="HZ3" s="168">
        <f t="shared" si="20"/>
        <v>7</v>
      </c>
      <c r="IA3" s="168">
        <f t="shared" si="20"/>
        <v>8</v>
      </c>
      <c r="IB3" s="168">
        <f t="shared" si="20"/>
        <v>9</v>
      </c>
      <c r="IC3" s="168">
        <f t="shared" si="20"/>
        <v>10</v>
      </c>
      <c r="ID3" s="168">
        <f t="shared" si="20"/>
        <v>11</v>
      </c>
      <c r="IE3" s="168">
        <f t="shared" si="20"/>
        <v>12</v>
      </c>
      <c r="IF3" s="168">
        <f t="shared" si="20"/>
        <v>13</v>
      </c>
      <c r="IG3" s="168">
        <f t="shared" si="20"/>
        <v>14</v>
      </c>
      <c r="IH3" s="168">
        <f t="shared" si="20"/>
        <v>15</v>
      </c>
      <c r="II3" s="168">
        <f t="shared" si="20"/>
        <v>16</v>
      </c>
      <c r="IJ3" s="168">
        <f t="shared" si="20"/>
        <v>17</v>
      </c>
      <c r="IK3" s="168">
        <f t="shared" si="20"/>
        <v>18</v>
      </c>
      <c r="IL3" s="168">
        <f t="shared" si="20"/>
        <v>19</v>
      </c>
      <c r="IM3" s="168">
        <f t="shared" si="20"/>
        <v>20</v>
      </c>
      <c r="IN3" s="168">
        <f t="shared" si="20"/>
        <v>21</v>
      </c>
      <c r="IO3" s="168">
        <f t="shared" si="20"/>
        <v>22</v>
      </c>
      <c r="IP3" s="168">
        <f t="shared" si="20"/>
        <v>23</v>
      </c>
      <c r="IQ3" s="168">
        <f t="shared" si="20"/>
        <v>24</v>
      </c>
      <c r="IR3" s="168">
        <f t="shared" si="20"/>
        <v>25</v>
      </c>
      <c r="IS3" s="168">
        <f t="shared" si="20"/>
        <v>26</v>
      </c>
      <c r="IT3" s="168">
        <f t="shared" si="20"/>
        <v>27</v>
      </c>
      <c r="IU3" s="168">
        <f t="shared" si="20"/>
        <v>28</v>
      </c>
      <c r="IV3" s="168">
        <f t="shared" si="20"/>
        <v>29</v>
      </c>
      <c r="IW3" s="168">
        <f t="shared" si="20"/>
        <v>30</v>
      </c>
      <c r="IX3" s="169">
        <f t="shared" si="20"/>
        <v>31</v>
      </c>
    </row>
    <row r="4" spans="1:258" hidden="1">
      <c r="A4" s="97" t="s">
        <v>25</v>
      </c>
      <c r="B4" s="98" t="s">
        <v>26</v>
      </c>
      <c r="C4" s="98" t="s">
        <v>27</v>
      </c>
      <c r="D4" s="99" t="s">
        <v>28</v>
      </c>
      <c r="E4" s="98" t="s">
        <v>29</v>
      </c>
      <c r="F4" s="98" t="s">
        <v>30</v>
      </c>
      <c r="G4" s="98">
        <v>114001</v>
      </c>
      <c r="H4" s="98" t="s">
        <v>1406</v>
      </c>
      <c r="I4" s="98" t="s">
        <v>1406</v>
      </c>
      <c r="J4" s="98" t="s">
        <v>1091</v>
      </c>
      <c r="K4" s="98" t="s">
        <v>1092</v>
      </c>
      <c r="L4" s="98" t="s">
        <v>32</v>
      </c>
      <c r="M4" s="98" t="s">
        <v>1093</v>
      </c>
      <c r="N4" s="108">
        <v>46127</v>
      </c>
      <c r="O4" s="100">
        <v>1</v>
      </c>
      <c r="P4" s="69">
        <v>0</v>
      </c>
      <c r="Q4" s="69">
        <f t="shared" ref="Q4:Q36" si="21">IFERROR(IF(OR(AI4&gt;0),1,0),0)</f>
        <v>0</v>
      </c>
      <c r="R4" s="69">
        <f>IFERROR(IF(OR(BA4&gt;0),1,0),0)</f>
        <v>1</v>
      </c>
      <c r="S4" s="69">
        <f t="shared" ref="S4:S10" si="22">IFERROR(IF(OR(BP4&gt;0),1,0),0)</f>
        <v>0</v>
      </c>
      <c r="T4" s="69">
        <f>IFERROR(IF(OR(CH4&gt;0),1,0),0)</f>
        <v>1</v>
      </c>
      <c r="U4" s="69">
        <f>IFERROR(IF(OR(BA4&gt;0,CH4&gt;0),1,0),0)</f>
        <v>1</v>
      </c>
      <c r="V4" s="70">
        <f t="shared" ref="V4" si="23">GO4</f>
        <v>1</v>
      </c>
      <c r="W4" s="71">
        <f t="shared" ref="W4:AZ4" si="24">GP4</f>
        <v>1</v>
      </c>
      <c r="X4" s="71">
        <f t="shared" si="24"/>
        <v>0</v>
      </c>
      <c r="Y4" s="71">
        <f t="shared" si="24"/>
        <v>0</v>
      </c>
      <c r="Z4" s="71">
        <f t="shared" si="24"/>
        <v>1</v>
      </c>
      <c r="AA4" s="71">
        <f t="shared" si="24"/>
        <v>1</v>
      </c>
      <c r="AB4" s="71">
        <f t="shared" si="24"/>
        <v>1</v>
      </c>
      <c r="AC4" s="71">
        <f t="shared" si="24"/>
        <v>1</v>
      </c>
      <c r="AD4" s="71">
        <f t="shared" si="24"/>
        <v>1</v>
      </c>
      <c r="AE4" s="71">
        <f t="shared" si="24"/>
        <v>1</v>
      </c>
      <c r="AF4" s="71">
        <f t="shared" si="24"/>
        <v>0</v>
      </c>
      <c r="AG4" s="71">
        <f t="shared" si="24"/>
        <v>1</v>
      </c>
      <c r="AH4" s="71">
        <f t="shared" si="24"/>
        <v>1</v>
      </c>
      <c r="AI4" s="71">
        <f t="shared" si="24"/>
        <v>0</v>
      </c>
      <c r="AJ4" s="71">
        <f t="shared" si="24"/>
        <v>0</v>
      </c>
      <c r="AK4" s="71">
        <f t="shared" si="24"/>
        <v>0</v>
      </c>
      <c r="AL4" s="71">
        <f t="shared" si="24"/>
        <v>0</v>
      </c>
      <c r="AM4" s="71">
        <f t="shared" si="24"/>
        <v>0</v>
      </c>
      <c r="AN4" s="71">
        <f t="shared" si="24"/>
        <v>0</v>
      </c>
      <c r="AO4" s="71">
        <f t="shared" si="24"/>
        <v>0</v>
      </c>
      <c r="AP4" s="71">
        <f t="shared" si="24"/>
        <v>0</v>
      </c>
      <c r="AQ4" s="71">
        <f t="shared" si="24"/>
        <v>0</v>
      </c>
      <c r="AR4" s="71">
        <f t="shared" si="24"/>
        <v>0</v>
      </c>
      <c r="AS4" s="71">
        <f t="shared" si="24"/>
        <v>0</v>
      </c>
      <c r="AT4" s="71">
        <f t="shared" si="24"/>
        <v>0</v>
      </c>
      <c r="AU4" s="71">
        <f t="shared" si="24"/>
        <v>0</v>
      </c>
      <c r="AV4" s="71">
        <f t="shared" si="24"/>
        <v>0</v>
      </c>
      <c r="AW4" s="71">
        <f t="shared" si="24"/>
        <v>0</v>
      </c>
      <c r="AX4" s="71">
        <f t="shared" si="24"/>
        <v>0</v>
      </c>
      <c r="AY4" s="71">
        <f t="shared" si="24"/>
        <v>0</v>
      </c>
      <c r="AZ4" s="72">
        <f t="shared" si="24"/>
        <v>0</v>
      </c>
      <c r="BA4" s="70">
        <f t="shared" ref="BA4" si="25">SUM(V4:AZ4)</f>
        <v>10</v>
      </c>
      <c r="BB4" s="69">
        <f ca="1">IFERROR(BA4/$CK$3/(O4-P4),0)</f>
        <v>0.76923076923076927</v>
      </c>
      <c r="BC4" s="70">
        <f t="shared" ref="BC4" si="26">HT4</f>
        <v>0</v>
      </c>
      <c r="BD4" s="71">
        <f t="shared" ref="BD4:CG4" si="27">HU4</f>
        <v>0</v>
      </c>
      <c r="BE4" s="71">
        <f t="shared" si="27"/>
        <v>0</v>
      </c>
      <c r="BF4" s="71">
        <f t="shared" si="27"/>
        <v>0</v>
      </c>
      <c r="BG4" s="71">
        <f t="shared" si="27"/>
        <v>0</v>
      </c>
      <c r="BH4" s="71">
        <f t="shared" si="27"/>
        <v>17</v>
      </c>
      <c r="BI4" s="71">
        <f t="shared" si="27"/>
        <v>29</v>
      </c>
      <c r="BJ4" s="71">
        <f t="shared" si="27"/>
        <v>26</v>
      </c>
      <c r="BK4" s="71">
        <f t="shared" si="27"/>
        <v>0</v>
      </c>
      <c r="BL4" s="71">
        <f t="shared" si="27"/>
        <v>18</v>
      </c>
      <c r="BM4" s="71">
        <f t="shared" si="27"/>
        <v>0</v>
      </c>
      <c r="BN4" s="71">
        <f t="shared" si="27"/>
        <v>33</v>
      </c>
      <c r="BO4" s="71">
        <f t="shared" si="27"/>
        <v>43</v>
      </c>
      <c r="BP4" s="71">
        <f t="shared" si="27"/>
        <v>0</v>
      </c>
      <c r="BQ4" s="71">
        <f t="shared" si="27"/>
        <v>0</v>
      </c>
      <c r="BR4" s="71">
        <f t="shared" si="27"/>
        <v>0</v>
      </c>
      <c r="BS4" s="71">
        <f t="shared" si="27"/>
        <v>0</v>
      </c>
      <c r="BT4" s="71">
        <f t="shared" si="27"/>
        <v>0</v>
      </c>
      <c r="BU4" s="71">
        <f t="shared" si="27"/>
        <v>0</v>
      </c>
      <c r="BV4" s="71">
        <f t="shared" si="27"/>
        <v>0</v>
      </c>
      <c r="BW4" s="71">
        <f t="shared" si="27"/>
        <v>0</v>
      </c>
      <c r="BX4" s="71">
        <f t="shared" si="27"/>
        <v>0</v>
      </c>
      <c r="BY4" s="71">
        <f t="shared" si="27"/>
        <v>0</v>
      </c>
      <c r="BZ4" s="71">
        <f t="shared" si="27"/>
        <v>0</v>
      </c>
      <c r="CA4" s="71">
        <f t="shared" si="27"/>
        <v>0</v>
      </c>
      <c r="CB4" s="71">
        <f t="shared" si="27"/>
        <v>0</v>
      </c>
      <c r="CC4" s="71">
        <f t="shared" si="27"/>
        <v>0</v>
      </c>
      <c r="CD4" s="71">
        <f t="shared" si="27"/>
        <v>0</v>
      </c>
      <c r="CE4" s="71">
        <f t="shared" si="27"/>
        <v>0</v>
      </c>
      <c r="CF4" s="71">
        <f t="shared" si="27"/>
        <v>0</v>
      </c>
      <c r="CG4" s="71">
        <f t="shared" si="27"/>
        <v>0</v>
      </c>
      <c r="CH4" s="70">
        <f t="shared" ref="CH4" si="28">SUM(BC4:CG4)</f>
        <v>166</v>
      </c>
      <c r="CI4" s="69">
        <f ca="1">IFERROR(CH4/$CK$3/(O4-P4),0)</f>
        <v>12.76923076923077</v>
      </c>
      <c r="GM4" s="137" t="s">
        <v>16</v>
      </c>
      <c r="GN4" s="101" t="str">
        <f>F4</f>
        <v>KHI01-FMCG01-SPO-01</v>
      </c>
      <c r="GO4" s="4">
        <v>1</v>
      </c>
      <c r="GP4" s="4">
        <v>1</v>
      </c>
      <c r="GQ4" s="4">
        <v>0</v>
      </c>
      <c r="GR4" s="4">
        <v>0</v>
      </c>
      <c r="GS4" s="4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0</v>
      </c>
      <c r="GZ4" s="3">
        <v>1</v>
      </c>
      <c r="HA4" s="3">
        <v>1</v>
      </c>
      <c r="HB4" s="3">
        <v>0</v>
      </c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6"/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3">
        <v>17</v>
      </c>
      <c r="HZ4" s="3">
        <v>29</v>
      </c>
      <c r="IA4" s="3">
        <v>26</v>
      </c>
      <c r="IB4" s="3">
        <v>0</v>
      </c>
      <c r="IC4" s="3">
        <v>18</v>
      </c>
      <c r="ID4" s="3">
        <v>0</v>
      </c>
      <c r="IE4" s="3">
        <v>33</v>
      </c>
      <c r="IF4" s="3">
        <v>43</v>
      </c>
      <c r="IG4" s="3">
        <v>0</v>
      </c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6"/>
    </row>
    <row r="5" spans="1:258" hidden="1">
      <c r="A5" s="97" t="s">
        <v>25</v>
      </c>
      <c r="B5" s="98" t="s">
        <v>26</v>
      </c>
      <c r="C5" s="98" t="s">
        <v>27</v>
      </c>
      <c r="D5" s="99" t="s">
        <v>28</v>
      </c>
      <c r="E5" s="98" t="s">
        <v>948</v>
      </c>
      <c r="F5" s="98" t="s">
        <v>41</v>
      </c>
      <c r="G5" s="98" t="s">
        <v>909</v>
      </c>
      <c r="H5" s="98" t="s">
        <v>1407</v>
      </c>
      <c r="I5" s="98" t="s">
        <v>1407</v>
      </c>
      <c r="J5" s="98" t="s">
        <v>1094</v>
      </c>
      <c r="K5" s="98" t="s">
        <v>1092</v>
      </c>
      <c r="L5" s="98" t="s">
        <v>911</v>
      </c>
      <c r="M5" s="101" t="s">
        <v>1093</v>
      </c>
      <c r="N5" s="139">
        <v>46220</v>
      </c>
      <c r="O5" s="100">
        <v>1</v>
      </c>
      <c r="P5" s="69">
        <v>0</v>
      </c>
      <c r="Q5" s="69">
        <f t="shared" si="21"/>
        <v>1</v>
      </c>
      <c r="R5" s="69">
        <f>IFERROR(IF(OR(BA5&gt;0),1,0),0)</f>
        <v>1</v>
      </c>
      <c r="S5" s="69">
        <f t="shared" si="22"/>
        <v>0</v>
      </c>
      <c r="T5" s="69">
        <f>IFERROR(IF(OR(CH5&gt;0),1,0),0)</f>
        <v>1</v>
      </c>
      <c r="U5" s="69">
        <f>IFERROR(IF(OR(BA5&gt;0,CH5&gt;0),1,0),0)</f>
        <v>1</v>
      </c>
      <c r="V5" s="70">
        <f t="shared" ref="V5" si="29">GO5</f>
        <v>1</v>
      </c>
      <c r="W5" s="71">
        <f t="shared" ref="W5" si="30">GP5</f>
        <v>1</v>
      </c>
      <c r="X5" s="71">
        <f t="shared" ref="X5" si="31">GQ5</f>
        <v>1</v>
      </c>
      <c r="Y5" s="71">
        <f t="shared" ref="Y5" si="32">GR5</f>
        <v>0</v>
      </c>
      <c r="Z5" s="71">
        <f t="shared" ref="Z5" si="33">GS5</f>
        <v>1</v>
      </c>
      <c r="AA5" s="71">
        <f t="shared" ref="AA5" si="34">GT5</f>
        <v>1</v>
      </c>
      <c r="AB5" s="71">
        <f t="shared" ref="AB5" si="35">GU5</f>
        <v>1</v>
      </c>
      <c r="AC5" s="71">
        <f t="shared" ref="AC5" si="36">GV5</f>
        <v>1</v>
      </c>
      <c r="AD5" s="71">
        <f t="shared" ref="AD5" si="37">GW5</f>
        <v>1</v>
      </c>
      <c r="AE5" s="71">
        <f t="shared" ref="AE5" si="38">GX5</f>
        <v>1</v>
      </c>
      <c r="AF5" s="71">
        <f t="shared" ref="AF5" si="39">GY5</f>
        <v>0</v>
      </c>
      <c r="AG5" s="71">
        <f t="shared" ref="AG5" si="40">GZ5</f>
        <v>1</v>
      </c>
      <c r="AH5" s="71">
        <f t="shared" ref="AH5" si="41">HA5</f>
        <v>1</v>
      </c>
      <c r="AI5" s="71">
        <f t="shared" ref="AI5" si="42">HB5</f>
        <v>1</v>
      </c>
      <c r="AJ5" s="71">
        <f t="shared" ref="AJ5" si="43">HC5</f>
        <v>0</v>
      </c>
      <c r="AK5" s="71">
        <f t="shared" ref="AK5" si="44">HD5</f>
        <v>0</v>
      </c>
      <c r="AL5" s="71">
        <f t="shared" ref="AL5" si="45">HE5</f>
        <v>0</v>
      </c>
      <c r="AM5" s="71">
        <f t="shared" ref="AM5" si="46">HF5</f>
        <v>0</v>
      </c>
      <c r="AN5" s="71">
        <f t="shared" ref="AN5" si="47">HG5</f>
        <v>0</v>
      </c>
      <c r="AO5" s="71">
        <f t="shared" ref="AO5" si="48">HH5</f>
        <v>0</v>
      </c>
      <c r="AP5" s="71">
        <f t="shared" ref="AP5" si="49">HI5</f>
        <v>0</v>
      </c>
      <c r="AQ5" s="71">
        <f t="shared" ref="AQ5" si="50">HJ5</f>
        <v>0</v>
      </c>
      <c r="AR5" s="71">
        <f t="shared" ref="AR5" si="51">HK5</f>
        <v>0</v>
      </c>
      <c r="AS5" s="71">
        <f t="shared" ref="AS5" si="52">HL5</f>
        <v>0</v>
      </c>
      <c r="AT5" s="71">
        <f t="shared" ref="AT5" si="53">HM5</f>
        <v>0</v>
      </c>
      <c r="AU5" s="71">
        <f t="shared" ref="AU5" si="54">HN5</f>
        <v>0</v>
      </c>
      <c r="AV5" s="71">
        <f t="shared" ref="AV5" si="55">HO5</f>
        <v>0</v>
      </c>
      <c r="AW5" s="71">
        <f t="shared" ref="AW5" si="56">HP5</f>
        <v>0</v>
      </c>
      <c r="AX5" s="71">
        <f t="shared" ref="AX5" si="57">HQ5</f>
        <v>0</v>
      </c>
      <c r="AY5" s="71">
        <f t="shared" ref="AY5" si="58">HR5</f>
        <v>0</v>
      </c>
      <c r="AZ5" s="72">
        <f t="shared" ref="AZ5" si="59">HS5</f>
        <v>0</v>
      </c>
      <c r="BA5" s="70">
        <f t="shared" ref="BA5:BA59" si="60">SUM(V5:AZ5)</f>
        <v>12</v>
      </c>
      <c r="BB5" s="69">
        <f t="shared" ref="BB5:BB68" ca="1" si="61">IFERROR(BA5/$CK$3/(O5-P5),0)</f>
        <v>0.92307692307692313</v>
      </c>
      <c r="BC5" s="70">
        <f t="shared" ref="BC5" si="62">HT5</f>
        <v>0</v>
      </c>
      <c r="BD5" s="71">
        <f t="shared" ref="BD5" si="63">HU5</f>
        <v>0</v>
      </c>
      <c r="BE5" s="71">
        <f t="shared" ref="BE5" si="64">HV5</f>
        <v>0</v>
      </c>
      <c r="BF5" s="71">
        <f t="shared" ref="BF5" si="65">HW5</f>
        <v>0</v>
      </c>
      <c r="BG5" s="71">
        <f t="shared" ref="BG5" si="66">HX5</f>
        <v>18</v>
      </c>
      <c r="BH5" s="71">
        <f t="shared" ref="BH5" si="67">HY5</f>
        <v>29</v>
      </c>
      <c r="BI5" s="71">
        <f t="shared" ref="BI5" si="68">HZ5</f>
        <v>26</v>
      </c>
      <c r="BJ5" s="71">
        <f t="shared" ref="BJ5" si="69">IA5</f>
        <v>0</v>
      </c>
      <c r="BK5" s="71">
        <f t="shared" ref="BK5" si="70">IB5</f>
        <v>26</v>
      </c>
      <c r="BL5" s="71">
        <f t="shared" ref="BL5" si="71">IC5</f>
        <v>26</v>
      </c>
      <c r="BM5" s="71">
        <f t="shared" ref="BM5" si="72">ID5</f>
        <v>0</v>
      </c>
      <c r="BN5" s="71">
        <f t="shared" ref="BN5" si="73">IE5</f>
        <v>0</v>
      </c>
      <c r="BO5" s="71">
        <f t="shared" ref="BO5" si="74">IF5</f>
        <v>21</v>
      </c>
      <c r="BP5" s="71">
        <f t="shared" ref="BP5" si="75">IG5</f>
        <v>0</v>
      </c>
      <c r="BQ5" s="71">
        <f t="shared" ref="BQ5" si="76">IH5</f>
        <v>0</v>
      </c>
      <c r="BR5" s="71">
        <f t="shared" ref="BR5" si="77">II5</f>
        <v>0</v>
      </c>
      <c r="BS5" s="71">
        <f t="shared" ref="BS5" si="78">IJ5</f>
        <v>0</v>
      </c>
      <c r="BT5" s="71">
        <f t="shared" ref="BT5" si="79">IK5</f>
        <v>0</v>
      </c>
      <c r="BU5" s="71">
        <f t="shared" ref="BU5" si="80">IL5</f>
        <v>0</v>
      </c>
      <c r="BV5" s="71">
        <f t="shared" ref="BV5" si="81">IM5</f>
        <v>0</v>
      </c>
      <c r="BW5" s="71">
        <f t="shared" ref="BW5" si="82">IN5</f>
        <v>0</v>
      </c>
      <c r="BX5" s="71">
        <f t="shared" ref="BX5" si="83">IO5</f>
        <v>0</v>
      </c>
      <c r="BY5" s="71">
        <f t="shared" ref="BY5" si="84">IP5</f>
        <v>0</v>
      </c>
      <c r="BZ5" s="71">
        <f t="shared" ref="BZ5" si="85">IQ5</f>
        <v>0</v>
      </c>
      <c r="CA5" s="71">
        <f t="shared" ref="CA5" si="86">IR5</f>
        <v>0</v>
      </c>
      <c r="CB5" s="71">
        <f t="shared" ref="CB5" si="87">IS5</f>
        <v>0</v>
      </c>
      <c r="CC5" s="71">
        <f t="shared" ref="CC5" si="88">IT5</f>
        <v>0</v>
      </c>
      <c r="CD5" s="71">
        <f t="shared" ref="CD5" si="89">IU5</f>
        <v>0</v>
      </c>
      <c r="CE5" s="71">
        <f t="shared" ref="CE5" si="90">IV5</f>
        <v>0</v>
      </c>
      <c r="CF5" s="71">
        <f t="shared" ref="CF5" si="91">IW5</f>
        <v>0</v>
      </c>
      <c r="CG5" s="71">
        <f t="shared" ref="CG5" si="92">IX5</f>
        <v>0</v>
      </c>
      <c r="CH5" s="70">
        <f t="shared" ref="CH5:CH68" si="93">SUM(BC5:CG5)</f>
        <v>146</v>
      </c>
      <c r="CI5" s="69">
        <f t="shared" ref="CI5:CI68" ca="1" si="94">IFERROR(CH5/$CK$3/(O5-P5),0)</f>
        <v>11.23076923076923</v>
      </c>
      <c r="GM5" s="2" t="s">
        <v>16</v>
      </c>
      <c r="GN5" s="98" t="str">
        <f t="shared" ref="GN5:GN58" si="95">F5</f>
        <v>KHI01-FMCG01-SPO-02</v>
      </c>
      <c r="GO5" s="4">
        <v>1</v>
      </c>
      <c r="GP5" s="3">
        <v>1</v>
      </c>
      <c r="GQ5" s="3">
        <v>1</v>
      </c>
      <c r="GR5" s="3">
        <v>0</v>
      </c>
      <c r="GS5" s="3">
        <v>1</v>
      </c>
      <c r="GT5" s="3">
        <v>1</v>
      </c>
      <c r="GU5" s="3">
        <v>1</v>
      </c>
      <c r="GV5" s="3">
        <v>1</v>
      </c>
      <c r="GW5" s="3">
        <v>1</v>
      </c>
      <c r="GX5" s="3">
        <v>1</v>
      </c>
      <c r="GY5" s="3">
        <v>0</v>
      </c>
      <c r="GZ5" s="3">
        <v>1</v>
      </c>
      <c r="HA5" s="3">
        <v>1</v>
      </c>
      <c r="HB5" s="3">
        <v>1</v>
      </c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6"/>
      <c r="HT5" s="4">
        <v>0</v>
      </c>
      <c r="HU5" s="3">
        <v>0</v>
      </c>
      <c r="HV5" s="3">
        <v>0</v>
      </c>
      <c r="HW5" s="3">
        <v>0</v>
      </c>
      <c r="HX5" s="3">
        <v>18</v>
      </c>
      <c r="HY5" s="3">
        <v>29</v>
      </c>
      <c r="HZ5" s="3">
        <v>26</v>
      </c>
      <c r="IA5" s="3">
        <v>0</v>
      </c>
      <c r="IB5" s="3">
        <v>26</v>
      </c>
      <c r="IC5" s="3">
        <v>26</v>
      </c>
      <c r="ID5" s="3">
        <v>0</v>
      </c>
      <c r="IE5" s="3">
        <v>0</v>
      </c>
      <c r="IF5" s="3">
        <v>21</v>
      </c>
      <c r="IG5" s="3">
        <v>0</v>
      </c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6"/>
    </row>
    <row r="6" spans="1:258" hidden="1">
      <c r="A6" s="97" t="s">
        <v>25</v>
      </c>
      <c r="B6" s="98" t="s">
        <v>26</v>
      </c>
      <c r="C6" s="98" t="s">
        <v>27</v>
      </c>
      <c r="D6" s="99" t="s">
        <v>28</v>
      </c>
      <c r="E6" s="98" t="s">
        <v>34</v>
      </c>
      <c r="F6" s="98" t="s">
        <v>35</v>
      </c>
      <c r="G6" s="98">
        <v>114005</v>
      </c>
      <c r="H6" s="98" t="s">
        <v>1408</v>
      </c>
      <c r="I6" s="98" t="s">
        <v>1408</v>
      </c>
      <c r="J6" s="98" t="s">
        <v>1095</v>
      </c>
      <c r="K6" s="98" t="s">
        <v>1092</v>
      </c>
      <c r="L6" s="98" t="s">
        <v>133</v>
      </c>
      <c r="M6" s="101" t="s">
        <v>1093</v>
      </c>
      <c r="N6" s="139">
        <v>45839</v>
      </c>
      <c r="O6" s="100">
        <v>1</v>
      </c>
      <c r="P6" s="69">
        <v>0</v>
      </c>
      <c r="Q6" s="69">
        <f t="shared" si="21"/>
        <v>1</v>
      </c>
      <c r="R6" s="69">
        <f t="shared" ref="R6:R10" si="96">IFERROR(IF(OR(BA6&gt;0),1,0),0)</f>
        <v>1</v>
      </c>
      <c r="S6" s="69">
        <f t="shared" si="22"/>
        <v>0</v>
      </c>
      <c r="T6" s="69">
        <f t="shared" ref="T6:T10" si="97">IFERROR(IF(OR(CH6&gt;0),1,0),0)</f>
        <v>1</v>
      </c>
      <c r="U6" s="69">
        <f t="shared" ref="U6:U10" si="98">IFERROR(IF(OR(BA6&gt;0,CH6&gt;0),1,0),0)</f>
        <v>1</v>
      </c>
      <c r="V6" s="70">
        <f t="shared" ref="V6:V10" si="99">GO6</f>
        <v>1</v>
      </c>
      <c r="W6" s="71">
        <f t="shared" ref="W6:W10" si="100">GP6</f>
        <v>1</v>
      </c>
      <c r="X6" s="71">
        <f t="shared" ref="X6:X10" si="101">GQ6</f>
        <v>1</v>
      </c>
      <c r="Y6" s="71">
        <f t="shared" ref="Y6:Y10" si="102">GR6</f>
        <v>0</v>
      </c>
      <c r="Z6" s="71">
        <f t="shared" ref="Z6:Z10" si="103">GS6</f>
        <v>1</v>
      </c>
      <c r="AA6" s="71">
        <f t="shared" ref="AA6:AA10" si="104">GT6</f>
        <v>1</v>
      </c>
      <c r="AB6" s="71">
        <f t="shared" ref="AB6:AB10" si="105">GU6</f>
        <v>1</v>
      </c>
      <c r="AC6" s="71">
        <f t="shared" ref="AC6:AC10" si="106">GV6</f>
        <v>1</v>
      </c>
      <c r="AD6" s="71">
        <f t="shared" ref="AD6:AD10" si="107">GW6</f>
        <v>1</v>
      </c>
      <c r="AE6" s="71">
        <f t="shared" ref="AE6:AE10" si="108">GX6</f>
        <v>1</v>
      </c>
      <c r="AF6" s="71">
        <f t="shared" ref="AF6:AF10" si="109">GY6</f>
        <v>0</v>
      </c>
      <c r="AG6" s="71">
        <f t="shared" ref="AG6:AG10" si="110">GZ6</f>
        <v>1</v>
      </c>
      <c r="AH6" s="71">
        <f t="shared" ref="AH6:AH10" si="111">HA6</f>
        <v>1</v>
      </c>
      <c r="AI6" s="71">
        <f t="shared" ref="AI6:AI10" si="112">HB6</f>
        <v>1</v>
      </c>
      <c r="AJ6" s="71">
        <f t="shared" ref="AJ6:AJ10" si="113">HC6</f>
        <v>0</v>
      </c>
      <c r="AK6" s="71">
        <f t="shared" ref="AK6:AK10" si="114">HD6</f>
        <v>0</v>
      </c>
      <c r="AL6" s="71">
        <f t="shared" ref="AL6:AL10" si="115">HE6</f>
        <v>0</v>
      </c>
      <c r="AM6" s="71">
        <f t="shared" ref="AM6:AM10" si="116">HF6</f>
        <v>0</v>
      </c>
      <c r="AN6" s="71">
        <f t="shared" ref="AN6:AN10" si="117">HG6</f>
        <v>0</v>
      </c>
      <c r="AO6" s="71">
        <f t="shared" ref="AO6:AO10" si="118">HH6</f>
        <v>0</v>
      </c>
      <c r="AP6" s="71">
        <f t="shared" ref="AP6:AP10" si="119">HI6</f>
        <v>0</v>
      </c>
      <c r="AQ6" s="71">
        <f t="shared" ref="AQ6:AQ10" si="120">HJ6</f>
        <v>0</v>
      </c>
      <c r="AR6" s="71">
        <f t="shared" ref="AR6:AR10" si="121">HK6</f>
        <v>0</v>
      </c>
      <c r="AS6" s="71">
        <f t="shared" ref="AS6:AS10" si="122">HL6</f>
        <v>0</v>
      </c>
      <c r="AT6" s="71">
        <f t="shared" ref="AT6:AT10" si="123">HM6</f>
        <v>0</v>
      </c>
      <c r="AU6" s="71">
        <f t="shared" ref="AU6:AU10" si="124">HN6</f>
        <v>0</v>
      </c>
      <c r="AV6" s="71">
        <f t="shared" ref="AV6:AV10" si="125">HO6</f>
        <v>0</v>
      </c>
      <c r="AW6" s="71">
        <f t="shared" ref="AW6:AW10" si="126">HP6</f>
        <v>0</v>
      </c>
      <c r="AX6" s="71">
        <f t="shared" ref="AX6:AX10" si="127">HQ6</f>
        <v>0</v>
      </c>
      <c r="AY6" s="71">
        <f t="shared" ref="AY6:AY10" si="128">HR6</f>
        <v>0</v>
      </c>
      <c r="AZ6" s="72">
        <f t="shared" ref="AZ6:AZ10" si="129">HS6</f>
        <v>0</v>
      </c>
      <c r="BA6" s="70">
        <f t="shared" si="60"/>
        <v>12</v>
      </c>
      <c r="BB6" s="69">
        <f t="shared" ca="1" si="61"/>
        <v>0.92307692307692313</v>
      </c>
      <c r="BC6" s="70">
        <f t="shared" ref="BC6:BC10" si="130">HT6</f>
        <v>19</v>
      </c>
      <c r="BD6" s="71">
        <f t="shared" ref="BD6:BD10" si="131">HU6</f>
        <v>20</v>
      </c>
      <c r="BE6" s="71">
        <f t="shared" ref="BE6:BE10" si="132">HV6</f>
        <v>26</v>
      </c>
      <c r="BF6" s="71">
        <f t="shared" ref="BF6:BF10" si="133">HW6</f>
        <v>0</v>
      </c>
      <c r="BG6" s="71">
        <f t="shared" ref="BG6:BG10" si="134">HX6</f>
        <v>52</v>
      </c>
      <c r="BH6" s="71">
        <f t="shared" ref="BH6:BH10" si="135">HY6</f>
        <v>0</v>
      </c>
      <c r="BI6" s="71">
        <f t="shared" ref="BI6:BI10" si="136">HZ6</f>
        <v>52</v>
      </c>
      <c r="BJ6" s="71">
        <f t="shared" ref="BJ6:BJ10" si="137">IA6</f>
        <v>46</v>
      </c>
      <c r="BK6" s="71">
        <f t="shared" ref="BK6:BK10" si="138">IB6</f>
        <v>46</v>
      </c>
      <c r="BL6" s="71">
        <f t="shared" ref="BL6:BL10" si="139">IC6</f>
        <v>41</v>
      </c>
      <c r="BM6" s="71">
        <f t="shared" ref="BM6:BM10" si="140">ID6</f>
        <v>0</v>
      </c>
      <c r="BN6" s="71">
        <f t="shared" ref="BN6:BN10" si="141">IE6</f>
        <v>29</v>
      </c>
      <c r="BO6" s="71">
        <f t="shared" ref="BO6:BO10" si="142">IF6</f>
        <v>44</v>
      </c>
      <c r="BP6" s="71">
        <f t="shared" ref="BP6:BP10" si="143">IG6</f>
        <v>0</v>
      </c>
      <c r="BQ6" s="71">
        <f t="shared" ref="BQ6:BQ10" si="144">IH6</f>
        <v>0</v>
      </c>
      <c r="BR6" s="71">
        <f t="shared" ref="BR6:BR10" si="145">II6</f>
        <v>0</v>
      </c>
      <c r="BS6" s="71">
        <f t="shared" ref="BS6:BS10" si="146">IJ6</f>
        <v>0</v>
      </c>
      <c r="BT6" s="71">
        <f t="shared" ref="BT6:BT10" si="147">IK6</f>
        <v>0</v>
      </c>
      <c r="BU6" s="71">
        <f t="shared" ref="BU6:BU10" si="148">IL6</f>
        <v>0</v>
      </c>
      <c r="BV6" s="71">
        <f t="shared" ref="BV6:BV10" si="149">IM6</f>
        <v>0</v>
      </c>
      <c r="BW6" s="71">
        <f t="shared" ref="BW6:BW10" si="150">IN6</f>
        <v>0</v>
      </c>
      <c r="BX6" s="71">
        <f t="shared" ref="BX6:BX10" si="151">IO6</f>
        <v>0</v>
      </c>
      <c r="BY6" s="71">
        <f t="shared" ref="BY6:BY10" si="152">IP6</f>
        <v>0</v>
      </c>
      <c r="BZ6" s="71">
        <f t="shared" ref="BZ6:BZ10" si="153">IQ6</f>
        <v>0</v>
      </c>
      <c r="CA6" s="71">
        <f t="shared" ref="CA6:CA10" si="154">IR6</f>
        <v>0</v>
      </c>
      <c r="CB6" s="71">
        <f t="shared" ref="CB6:CB10" si="155">IS6</f>
        <v>0</v>
      </c>
      <c r="CC6" s="71">
        <f t="shared" ref="CC6:CC10" si="156">IT6</f>
        <v>0</v>
      </c>
      <c r="CD6" s="71">
        <f t="shared" ref="CD6:CD10" si="157">IU6</f>
        <v>0</v>
      </c>
      <c r="CE6" s="71">
        <f t="shared" ref="CE6:CE10" si="158">IV6</f>
        <v>0</v>
      </c>
      <c r="CF6" s="71">
        <f t="shared" ref="CF6:CF10" si="159">IW6</f>
        <v>0</v>
      </c>
      <c r="CG6" s="71">
        <f t="shared" ref="CG6:CG10" si="160">IX6</f>
        <v>0</v>
      </c>
      <c r="CH6" s="70">
        <f t="shared" si="93"/>
        <v>375</v>
      </c>
      <c r="CI6" s="69">
        <f t="shared" ca="1" si="94"/>
        <v>28.846153846153847</v>
      </c>
      <c r="GM6" s="2" t="s">
        <v>16</v>
      </c>
      <c r="GN6" s="98" t="str">
        <f t="shared" si="95"/>
        <v>KHI01-FMCG01-SPO-03</v>
      </c>
      <c r="GO6" s="4">
        <v>1</v>
      </c>
      <c r="GP6" s="3">
        <v>1</v>
      </c>
      <c r="GQ6" s="3">
        <v>1</v>
      </c>
      <c r="GR6" s="3">
        <v>0</v>
      </c>
      <c r="GS6" s="3">
        <v>1</v>
      </c>
      <c r="GT6" s="3">
        <v>1</v>
      </c>
      <c r="GU6" s="3">
        <v>1</v>
      </c>
      <c r="GV6" s="3">
        <v>1</v>
      </c>
      <c r="GW6" s="3">
        <v>1</v>
      </c>
      <c r="GX6" s="3">
        <v>1</v>
      </c>
      <c r="GY6" s="3">
        <v>0</v>
      </c>
      <c r="GZ6" s="3">
        <v>1</v>
      </c>
      <c r="HA6" s="3">
        <v>1</v>
      </c>
      <c r="HB6" s="3">
        <v>1</v>
      </c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6"/>
      <c r="HT6" s="4">
        <v>19</v>
      </c>
      <c r="HU6" s="3">
        <v>20</v>
      </c>
      <c r="HV6" s="3">
        <v>26</v>
      </c>
      <c r="HW6" s="3">
        <v>0</v>
      </c>
      <c r="HX6" s="3">
        <v>52</v>
      </c>
      <c r="HY6" s="3">
        <v>0</v>
      </c>
      <c r="HZ6" s="3">
        <v>52</v>
      </c>
      <c r="IA6" s="3">
        <v>46</v>
      </c>
      <c r="IB6" s="3">
        <v>46</v>
      </c>
      <c r="IC6" s="3">
        <v>41</v>
      </c>
      <c r="ID6" s="3">
        <v>0</v>
      </c>
      <c r="IE6" s="3">
        <v>29</v>
      </c>
      <c r="IF6" s="3">
        <v>44</v>
      </c>
      <c r="IG6" s="3">
        <v>0</v>
      </c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6"/>
    </row>
    <row r="7" spans="1:258" hidden="1">
      <c r="A7" s="97" t="s">
        <v>25</v>
      </c>
      <c r="B7" s="98" t="s">
        <v>26</v>
      </c>
      <c r="C7" s="98" t="s">
        <v>27</v>
      </c>
      <c r="D7" s="99" t="s">
        <v>28</v>
      </c>
      <c r="E7" s="98" t="s">
        <v>36</v>
      </c>
      <c r="F7" s="98" t="s">
        <v>37</v>
      </c>
      <c r="G7" s="98" t="s">
        <v>38</v>
      </c>
      <c r="H7" s="98" t="s">
        <v>1409</v>
      </c>
      <c r="I7" s="98" t="s">
        <v>1409</v>
      </c>
      <c r="J7" s="98" t="s">
        <v>1096</v>
      </c>
      <c r="K7" s="98" t="s">
        <v>1092</v>
      </c>
      <c r="L7" s="98" t="s">
        <v>39</v>
      </c>
      <c r="M7" s="101" t="s">
        <v>1093</v>
      </c>
      <c r="N7" s="139">
        <v>46038</v>
      </c>
      <c r="O7" s="100">
        <v>1</v>
      </c>
      <c r="P7" s="69">
        <v>0</v>
      </c>
      <c r="Q7" s="69">
        <f t="shared" si="21"/>
        <v>1</v>
      </c>
      <c r="R7" s="69">
        <f t="shared" si="96"/>
        <v>1</v>
      </c>
      <c r="S7" s="69">
        <f t="shared" si="22"/>
        <v>0</v>
      </c>
      <c r="T7" s="69">
        <f t="shared" si="97"/>
        <v>1</v>
      </c>
      <c r="U7" s="69">
        <f t="shared" si="98"/>
        <v>1</v>
      </c>
      <c r="V7" s="70">
        <f t="shared" si="99"/>
        <v>1</v>
      </c>
      <c r="W7" s="71">
        <f t="shared" si="100"/>
        <v>1</v>
      </c>
      <c r="X7" s="71">
        <f t="shared" si="101"/>
        <v>1</v>
      </c>
      <c r="Y7" s="71">
        <f t="shared" si="102"/>
        <v>0</v>
      </c>
      <c r="Z7" s="71">
        <f t="shared" si="103"/>
        <v>1</v>
      </c>
      <c r="AA7" s="71">
        <f t="shared" si="104"/>
        <v>1</v>
      </c>
      <c r="AB7" s="71">
        <f t="shared" si="105"/>
        <v>1</v>
      </c>
      <c r="AC7" s="71">
        <f t="shared" si="106"/>
        <v>1</v>
      </c>
      <c r="AD7" s="71">
        <f t="shared" si="107"/>
        <v>1</v>
      </c>
      <c r="AE7" s="71">
        <f t="shared" si="108"/>
        <v>1</v>
      </c>
      <c r="AF7" s="71">
        <f t="shared" si="109"/>
        <v>0</v>
      </c>
      <c r="AG7" s="71">
        <f t="shared" si="110"/>
        <v>1</v>
      </c>
      <c r="AH7" s="71">
        <f t="shared" si="111"/>
        <v>1</v>
      </c>
      <c r="AI7" s="71">
        <f t="shared" si="112"/>
        <v>1</v>
      </c>
      <c r="AJ7" s="71">
        <f t="shared" si="113"/>
        <v>0</v>
      </c>
      <c r="AK7" s="71">
        <f t="shared" si="114"/>
        <v>0</v>
      </c>
      <c r="AL7" s="71">
        <f t="shared" si="115"/>
        <v>0</v>
      </c>
      <c r="AM7" s="71">
        <f t="shared" si="116"/>
        <v>0</v>
      </c>
      <c r="AN7" s="71">
        <f t="shared" si="117"/>
        <v>0</v>
      </c>
      <c r="AO7" s="71">
        <f t="shared" si="118"/>
        <v>0</v>
      </c>
      <c r="AP7" s="71">
        <f t="shared" si="119"/>
        <v>0</v>
      </c>
      <c r="AQ7" s="71">
        <f t="shared" si="120"/>
        <v>0</v>
      </c>
      <c r="AR7" s="71">
        <f t="shared" si="121"/>
        <v>0</v>
      </c>
      <c r="AS7" s="71">
        <f t="shared" si="122"/>
        <v>0</v>
      </c>
      <c r="AT7" s="71">
        <f t="shared" si="123"/>
        <v>0</v>
      </c>
      <c r="AU7" s="71">
        <f t="shared" si="124"/>
        <v>0</v>
      </c>
      <c r="AV7" s="71">
        <f t="shared" si="125"/>
        <v>0</v>
      </c>
      <c r="AW7" s="71">
        <f t="shared" si="126"/>
        <v>0</v>
      </c>
      <c r="AX7" s="71">
        <f t="shared" si="127"/>
        <v>0</v>
      </c>
      <c r="AY7" s="71">
        <f t="shared" si="128"/>
        <v>0</v>
      </c>
      <c r="AZ7" s="72">
        <f t="shared" si="129"/>
        <v>0</v>
      </c>
      <c r="BA7" s="70">
        <f t="shared" si="60"/>
        <v>12</v>
      </c>
      <c r="BB7" s="69">
        <f t="shared" ca="1" si="61"/>
        <v>0.92307692307692313</v>
      </c>
      <c r="BC7" s="70">
        <f t="shared" si="130"/>
        <v>26</v>
      </c>
      <c r="BD7" s="71">
        <f t="shared" si="131"/>
        <v>27</v>
      </c>
      <c r="BE7" s="71">
        <f t="shared" si="132"/>
        <v>38</v>
      </c>
      <c r="BF7" s="71">
        <f t="shared" si="133"/>
        <v>0</v>
      </c>
      <c r="BG7" s="71">
        <f t="shared" si="134"/>
        <v>19</v>
      </c>
      <c r="BH7" s="71">
        <f t="shared" si="135"/>
        <v>24</v>
      </c>
      <c r="BI7" s="71">
        <f t="shared" si="136"/>
        <v>29</v>
      </c>
      <c r="BJ7" s="71">
        <f t="shared" si="137"/>
        <v>26</v>
      </c>
      <c r="BK7" s="71">
        <f t="shared" si="138"/>
        <v>32</v>
      </c>
      <c r="BL7" s="71">
        <f t="shared" si="139"/>
        <v>35</v>
      </c>
      <c r="BM7" s="71">
        <f t="shared" si="140"/>
        <v>0</v>
      </c>
      <c r="BN7" s="71">
        <f t="shared" si="141"/>
        <v>33</v>
      </c>
      <c r="BO7" s="71">
        <f t="shared" si="142"/>
        <v>30</v>
      </c>
      <c r="BP7" s="71">
        <f t="shared" si="143"/>
        <v>0</v>
      </c>
      <c r="BQ7" s="71">
        <f t="shared" si="144"/>
        <v>0</v>
      </c>
      <c r="BR7" s="71">
        <f t="shared" si="145"/>
        <v>0</v>
      </c>
      <c r="BS7" s="71">
        <f t="shared" si="146"/>
        <v>0</v>
      </c>
      <c r="BT7" s="71">
        <f t="shared" si="147"/>
        <v>0</v>
      </c>
      <c r="BU7" s="71">
        <f t="shared" si="148"/>
        <v>0</v>
      </c>
      <c r="BV7" s="71">
        <f t="shared" si="149"/>
        <v>0</v>
      </c>
      <c r="BW7" s="71">
        <f t="shared" si="150"/>
        <v>0</v>
      </c>
      <c r="BX7" s="71">
        <f t="shared" si="151"/>
        <v>0</v>
      </c>
      <c r="BY7" s="71">
        <f t="shared" si="152"/>
        <v>0</v>
      </c>
      <c r="BZ7" s="71">
        <f t="shared" si="153"/>
        <v>0</v>
      </c>
      <c r="CA7" s="71">
        <f t="shared" si="154"/>
        <v>0</v>
      </c>
      <c r="CB7" s="71">
        <f t="shared" si="155"/>
        <v>0</v>
      </c>
      <c r="CC7" s="71">
        <f t="shared" si="156"/>
        <v>0</v>
      </c>
      <c r="CD7" s="71">
        <f t="shared" si="157"/>
        <v>0</v>
      </c>
      <c r="CE7" s="71">
        <f t="shared" si="158"/>
        <v>0</v>
      </c>
      <c r="CF7" s="71">
        <f t="shared" si="159"/>
        <v>0</v>
      </c>
      <c r="CG7" s="71">
        <f t="shared" si="160"/>
        <v>0</v>
      </c>
      <c r="CH7" s="70">
        <f t="shared" si="93"/>
        <v>319</v>
      </c>
      <c r="CI7" s="69">
        <f t="shared" ca="1" si="94"/>
        <v>24.53846153846154</v>
      </c>
      <c r="GM7" s="2" t="s">
        <v>16</v>
      </c>
      <c r="GN7" s="98" t="str">
        <f t="shared" si="95"/>
        <v>KHI01-FMCG01-SPO-04</v>
      </c>
      <c r="GO7" s="4">
        <v>1</v>
      </c>
      <c r="GP7" s="3">
        <v>1</v>
      </c>
      <c r="GQ7" s="3">
        <v>1</v>
      </c>
      <c r="GR7" s="3">
        <v>0</v>
      </c>
      <c r="GS7" s="3">
        <v>1</v>
      </c>
      <c r="GT7" s="3">
        <v>1</v>
      </c>
      <c r="GU7" s="3">
        <v>1</v>
      </c>
      <c r="GV7" s="3">
        <v>1</v>
      </c>
      <c r="GW7" s="3">
        <v>1</v>
      </c>
      <c r="GX7" s="3">
        <v>1</v>
      </c>
      <c r="GY7" s="3">
        <v>0</v>
      </c>
      <c r="GZ7" s="3">
        <v>1</v>
      </c>
      <c r="HA7" s="3">
        <v>1</v>
      </c>
      <c r="HB7" s="3">
        <v>1</v>
      </c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6"/>
      <c r="HT7" s="4">
        <v>26</v>
      </c>
      <c r="HU7" s="3">
        <v>27</v>
      </c>
      <c r="HV7" s="3">
        <v>38</v>
      </c>
      <c r="HW7" s="3">
        <v>0</v>
      </c>
      <c r="HX7" s="3">
        <v>19</v>
      </c>
      <c r="HY7" s="3">
        <v>24</v>
      </c>
      <c r="HZ7" s="3">
        <v>29</v>
      </c>
      <c r="IA7" s="3">
        <v>26</v>
      </c>
      <c r="IB7" s="3">
        <v>32</v>
      </c>
      <c r="IC7" s="3">
        <v>35</v>
      </c>
      <c r="ID7" s="3">
        <v>0</v>
      </c>
      <c r="IE7" s="3">
        <v>33</v>
      </c>
      <c r="IF7" s="3">
        <v>30</v>
      </c>
      <c r="IG7" s="3">
        <v>0</v>
      </c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6"/>
    </row>
    <row r="8" spans="1:258" hidden="1">
      <c r="A8" s="97" t="s">
        <v>25</v>
      </c>
      <c r="B8" s="98" t="s">
        <v>26</v>
      </c>
      <c r="C8" s="98" t="s">
        <v>27</v>
      </c>
      <c r="D8" s="99" t="s">
        <v>28</v>
      </c>
      <c r="E8" s="98" t="s">
        <v>40</v>
      </c>
      <c r="F8" s="98" t="s">
        <v>910</v>
      </c>
      <c r="G8" s="98" t="s">
        <v>42</v>
      </c>
      <c r="H8" s="98" t="s">
        <v>1410</v>
      </c>
      <c r="I8" s="98" t="s">
        <v>1410</v>
      </c>
      <c r="J8" s="98" t="s">
        <v>1097</v>
      </c>
      <c r="K8" s="98" t="s">
        <v>1092</v>
      </c>
      <c r="L8" s="98" t="s">
        <v>139</v>
      </c>
      <c r="M8" s="101" t="s">
        <v>1093</v>
      </c>
      <c r="N8" s="139">
        <v>46135</v>
      </c>
      <c r="O8" s="100">
        <v>1</v>
      </c>
      <c r="P8" s="69">
        <v>0</v>
      </c>
      <c r="Q8" s="69">
        <f t="shared" si="21"/>
        <v>1</v>
      </c>
      <c r="R8" s="69">
        <f t="shared" si="96"/>
        <v>1</v>
      </c>
      <c r="S8" s="69">
        <f t="shared" si="22"/>
        <v>0</v>
      </c>
      <c r="T8" s="69">
        <f t="shared" si="97"/>
        <v>1</v>
      </c>
      <c r="U8" s="69">
        <f t="shared" si="98"/>
        <v>1</v>
      </c>
      <c r="V8" s="70">
        <f t="shared" si="99"/>
        <v>1</v>
      </c>
      <c r="W8" s="71">
        <f t="shared" si="100"/>
        <v>1</v>
      </c>
      <c r="X8" s="71">
        <f t="shared" si="101"/>
        <v>1</v>
      </c>
      <c r="Y8" s="71">
        <f t="shared" si="102"/>
        <v>0</v>
      </c>
      <c r="Z8" s="71">
        <f t="shared" si="103"/>
        <v>1</v>
      </c>
      <c r="AA8" s="71">
        <f t="shared" si="104"/>
        <v>1</v>
      </c>
      <c r="AB8" s="71">
        <f t="shared" si="105"/>
        <v>1</v>
      </c>
      <c r="AC8" s="71">
        <f t="shared" si="106"/>
        <v>1</v>
      </c>
      <c r="AD8" s="71">
        <f t="shared" si="107"/>
        <v>1</v>
      </c>
      <c r="AE8" s="71">
        <f t="shared" si="108"/>
        <v>1</v>
      </c>
      <c r="AF8" s="71">
        <f t="shared" si="109"/>
        <v>0</v>
      </c>
      <c r="AG8" s="71">
        <f t="shared" si="110"/>
        <v>1</v>
      </c>
      <c r="AH8" s="71">
        <f t="shared" si="111"/>
        <v>1</v>
      </c>
      <c r="AI8" s="71">
        <f t="shared" si="112"/>
        <v>1</v>
      </c>
      <c r="AJ8" s="71">
        <f t="shared" si="113"/>
        <v>0</v>
      </c>
      <c r="AK8" s="71">
        <f t="shared" si="114"/>
        <v>0</v>
      </c>
      <c r="AL8" s="71">
        <f t="shared" si="115"/>
        <v>0</v>
      </c>
      <c r="AM8" s="71">
        <f t="shared" si="116"/>
        <v>0</v>
      </c>
      <c r="AN8" s="71">
        <f t="shared" si="117"/>
        <v>0</v>
      </c>
      <c r="AO8" s="71">
        <f t="shared" si="118"/>
        <v>0</v>
      </c>
      <c r="AP8" s="71">
        <f t="shared" si="119"/>
        <v>0</v>
      </c>
      <c r="AQ8" s="71">
        <f t="shared" si="120"/>
        <v>0</v>
      </c>
      <c r="AR8" s="71">
        <f t="shared" si="121"/>
        <v>0</v>
      </c>
      <c r="AS8" s="71">
        <f t="shared" si="122"/>
        <v>0</v>
      </c>
      <c r="AT8" s="71">
        <f t="shared" si="123"/>
        <v>0</v>
      </c>
      <c r="AU8" s="71">
        <f t="shared" si="124"/>
        <v>0</v>
      </c>
      <c r="AV8" s="71">
        <f t="shared" si="125"/>
        <v>0</v>
      </c>
      <c r="AW8" s="71">
        <f t="shared" si="126"/>
        <v>0</v>
      </c>
      <c r="AX8" s="71">
        <f t="shared" si="127"/>
        <v>0</v>
      </c>
      <c r="AY8" s="71">
        <f t="shared" si="128"/>
        <v>0</v>
      </c>
      <c r="AZ8" s="72">
        <f t="shared" si="129"/>
        <v>0</v>
      </c>
      <c r="BA8" s="70">
        <f t="shared" si="60"/>
        <v>12</v>
      </c>
      <c r="BB8" s="69">
        <f t="shared" ca="1" si="61"/>
        <v>0.92307692307692313</v>
      </c>
      <c r="BC8" s="70">
        <f t="shared" si="130"/>
        <v>0</v>
      </c>
      <c r="BD8" s="71">
        <f t="shared" si="131"/>
        <v>0</v>
      </c>
      <c r="BE8" s="71">
        <f t="shared" si="132"/>
        <v>25</v>
      </c>
      <c r="BF8" s="71">
        <f t="shared" si="133"/>
        <v>0</v>
      </c>
      <c r="BG8" s="71">
        <f t="shared" si="134"/>
        <v>38</v>
      </c>
      <c r="BH8" s="71">
        <f t="shared" si="135"/>
        <v>0</v>
      </c>
      <c r="BI8" s="71">
        <f t="shared" si="136"/>
        <v>28</v>
      </c>
      <c r="BJ8" s="71">
        <f t="shared" si="137"/>
        <v>35</v>
      </c>
      <c r="BK8" s="71">
        <f t="shared" si="138"/>
        <v>0</v>
      </c>
      <c r="BL8" s="71">
        <f t="shared" si="139"/>
        <v>39</v>
      </c>
      <c r="BM8" s="71">
        <f t="shared" si="140"/>
        <v>0</v>
      </c>
      <c r="BN8" s="71">
        <f t="shared" si="141"/>
        <v>41</v>
      </c>
      <c r="BO8" s="71">
        <f t="shared" si="142"/>
        <v>29</v>
      </c>
      <c r="BP8" s="71">
        <f t="shared" si="143"/>
        <v>0</v>
      </c>
      <c r="BQ8" s="71">
        <f t="shared" si="144"/>
        <v>0</v>
      </c>
      <c r="BR8" s="71">
        <f t="shared" si="145"/>
        <v>0</v>
      </c>
      <c r="BS8" s="71">
        <f t="shared" si="146"/>
        <v>0</v>
      </c>
      <c r="BT8" s="71">
        <f t="shared" si="147"/>
        <v>0</v>
      </c>
      <c r="BU8" s="71">
        <f t="shared" si="148"/>
        <v>0</v>
      </c>
      <c r="BV8" s="71">
        <f t="shared" si="149"/>
        <v>0</v>
      </c>
      <c r="BW8" s="71">
        <f t="shared" si="150"/>
        <v>0</v>
      </c>
      <c r="BX8" s="71">
        <f t="shared" si="151"/>
        <v>0</v>
      </c>
      <c r="BY8" s="71">
        <f t="shared" si="152"/>
        <v>0</v>
      </c>
      <c r="BZ8" s="71">
        <f t="shared" si="153"/>
        <v>0</v>
      </c>
      <c r="CA8" s="71">
        <f t="shared" si="154"/>
        <v>0</v>
      </c>
      <c r="CB8" s="71">
        <f t="shared" si="155"/>
        <v>0</v>
      </c>
      <c r="CC8" s="71">
        <f t="shared" si="156"/>
        <v>0</v>
      </c>
      <c r="CD8" s="71">
        <f t="shared" si="157"/>
        <v>0</v>
      </c>
      <c r="CE8" s="71">
        <f t="shared" si="158"/>
        <v>0</v>
      </c>
      <c r="CF8" s="71">
        <f t="shared" si="159"/>
        <v>0</v>
      </c>
      <c r="CG8" s="71">
        <f t="shared" si="160"/>
        <v>0</v>
      </c>
      <c r="CH8" s="70">
        <f t="shared" si="93"/>
        <v>235</v>
      </c>
      <c r="CI8" s="69">
        <f t="shared" ca="1" si="94"/>
        <v>18.076923076923077</v>
      </c>
      <c r="GM8" s="2" t="s">
        <v>16</v>
      </c>
      <c r="GN8" s="98" t="str">
        <f t="shared" si="95"/>
        <v>KHI01-FMCG01-SPO-05</v>
      </c>
      <c r="GO8" s="4">
        <v>1</v>
      </c>
      <c r="GP8" s="3">
        <v>1</v>
      </c>
      <c r="GQ8" s="3">
        <v>1</v>
      </c>
      <c r="GR8" s="3">
        <v>0</v>
      </c>
      <c r="GS8" s="3">
        <v>1</v>
      </c>
      <c r="GT8" s="3">
        <v>1</v>
      </c>
      <c r="GU8" s="3">
        <v>1</v>
      </c>
      <c r="GV8" s="3">
        <v>1</v>
      </c>
      <c r="GW8" s="3">
        <v>1</v>
      </c>
      <c r="GX8" s="3">
        <v>1</v>
      </c>
      <c r="GY8" s="3">
        <v>0</v>
      </c>
      <c r="GZ8" s="3">
        <v>1</v>
      </c>
      <c r="HA8" s="3">
        <v>1</v>
      </c>
      <c r="HB8" s="3">
        <v>1</v>
      </c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6"/>
      <c r="HT8" s="4">
        <v>0</v>
      </c>
      <c r="HU8" s="3">
        <v>0</v>
      </c>
      <c r="HV8" s="3">
        <v>25</v>
      </c>
      <c r="HW8" s="3">
        <v>0</v>
      </c>
      <c r="HX8" s="3">
        <v>38</v>
      </c>
      <c r="HY8" s="3">
        <v>0</v>
      </c>
      <c r="HZ8" s="3">
        <v>28</v>
      </c>
      <c r="IA8" s="3">
        <v>35</v>
      </c>
      <c r="IB8" s="3">
        <v>0</v>
      </c>
      <c r="IC8" s="3">
        <v>39</v>
      </c>
      <c r="ID8" s="3">
        <v>0</v>
      </c>
      <c r="IE8" s="3">
        <v>41</v>
      </c>
      <c r="IF8" s="3">
        <v>29</v>
      </c>
      <c r="IG8" s="3">
        <v>0</v>
      </c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6"/>
    </row>
    <row r="9" spans="1:258" hidden="1">
      <c r="A9" s="97" t="s">
        <v>1287</v>
      </c>
      <c r="B9" s="98" t="s">
        <v>26</v>
      </c>
      <c r="C9" s="98" t="s">
        <v>27</v>
      </c>
      <c r="D9" s="99" t="s">
        <v>28</v>
      </c>
      <c r="E9" s="98" t="s">
        <v>1098</v>
      </c>
      <c r="F9" s="98" t="s">
        <v>44</v>
      </c>
      <c r="G9" s="98" t="s">
        <v>45</v>
      </c>
      <c r="H9" s="98" t="s">
        <v>1411</v>
      </c>
      <c r="I9" s="98" t="s">
        <v>1411</v>
      </c>
      <c r="J9" s="98" t="s">
        <v>857</v>
      </c>
      <c r="K9" s="98" t="s">
        <v>1099</v>
      </c>
      <c r="L9" s="98" t="s">
        <v>1099</v>
      </c>
      <c r="M9" s="98" t="s">
        <v>1099</v>
      </c>
      <c r="N9" s="108">
        <v>45474</v>
      </c>
      <c r="O9" s="100">
        <v>0</v>
      </c>
      <c r="P9" s="69">
        <v>0</v>
      </c>
      <c r="Q9" s="69">
        <f t="shared" si="21"/>
        <v>0</v>
      </c>
      <c r="R9" s="69">
        <f t="shared" si="96"/>
        <v>0</v>
      </c>
      <c r="S9" s="69">
        <f t="shared" si="22"/>
        <v>0</v>
      </c>
      <c r="T9" s="69">
        <f t="shared" si="97"/>
        <v>0</v>
      </c>
      <c r="U9" s="69">
        <f t="shared" si="98"/>
        <v>0</v>
      </c>
      <c r="V9" s="70">
        <f t="shared" si="99"/>
        <v>0</v>
      </c>
      <c r="W9" s="71">
        <f t="shared" si="100"/>
        <v>0</v>
      </c>
      <c r="X9" s="71">
        <f t="shared" si="101"/>
        <v>0</v>
      </c>
      <c r="Y9" s="71">
        <f t="shared" si="102"/>
        <v>0</v>
      </c>
      <c r="Z9" s="71">
        <f t="shared" si="103"/>
        <v>0</v>
      </c>
      <c r="AA9" s="71">
        <f t="shared" si="104"/>
        <v>0</v>
      </c>
      <c r="AB9" s="71">
        <f t="shared" si="105"/>
        <v>0</v>
      </c>
      <c r="AC9" s="71">
        <f t="shared" si="106"/>
        <v>0</v>
      </c>
      <c r="AD9" s="71">
        <f t="shared" si="107"/>
        <v>0</v>
      </c>
      <c r="AE9" s="71">
        <f t="shared" si="108"/>
        <v>0</v>
      </c>
      <c r="AF9" s="71">
        <f t="shared" si="109"/>
        <v>0</v>
      </c>
      <c r="AG9" s="71">
        <f t="shared" si="110"/>
        <v>0</v>
      </c>
      <c r="AH9" s="71">
        <f t="shared" si="111"/>
        <v>0</v>
      </c>
      <c r="AI9" s="71">
        <f t="shared" si="112"/>
        <v>0</v>
      </c>
      <c r="AJ9" s="71">
        <f t="shared" si="113"/>
        <v>0</v>
      </c>
      <c r="AK9" s="71">
        <f t="shared" si="114"/>
        <v>0</v>
      </c>
      <c r="AL9" s="71">
        <f t="shared" si="115"/>
        <v>0</v>
      </c>
      <c r="AM9" s="71">
        <f t="shared" si="116"/>
        <v>0</v>
      </c>
      <c r="AN9" s="71">
        <f t="shared" si="117"/>
        <v>0</v>
      </c>
      <c r="AO9" s="71">
        <f t="shared" si="118"/>
        <v>0</v>
      </c>
      <c r="AP9" s="71">
        <f t="shared" si="119"/>
        <v>0</v>
      </c>
      <c r="AQ9" s="71">
        <f t="shared" si="120"/>
        <v>0</v>
      </c>
      <c r="AR9" s="71">
        <f t="shared" si="121"/>
        <v>0</v>
      </c>
      <c r="AS9" s="71">
        <f t="shared" si="122"/>
        <v>0</v>
      </c>
      <c r="AT9" s="71">
        <f t="shared" si="123"/>
        <v>0</v>
      </c>
      <c r="AU9" s="71">
        <f t="shared" si="124"/>
        <v>0</v>
      </c>
      <c r="AV9" s="71">
        <f t="shared" si="125"/>
        <v>0</v>
      </c>
      <c r="AW9" s="71">
        <f t="shared" si="126"/>
        <v>0</v>
      </c>
      <c r="AX9" s="71">
        <f t="shared" si="127"/>
        <v>0</v>
      </c>
      <c r="AY9" s="71">
        <f t="shared" si="128"/>
        <v>0</v>
      </c>
      <c r="AZ9" s="72">
        <f t="shared" si="129"/>
        <v>0</v>
      </c>
      <c r="BA9" s="70">
        <f t="shared" si="60"/>
        <v>0</v>
      </c>
      <c r="BB9" s="69">
        <f t="shared" ca="1" si="61"/>
        <v>0</v>
      </c>
      <c r="BC9" s="70">
        <f t="shared" si="130"/>
        <v>0</v>
      </c>
      <c r="BD9" s="71">
        <f t="shared" si="131"/>
        <v>0</v>
      </c>
      <c r="BE9" s="71">
        <f t="shared" si="132"/>
        <v>0</v>
      </c>
      <c r="BF9" s="71">
        <f t="shared" si="133"/>
        <v>0</v>
      </c>
      <c r="BG9" s="71">
        <f t="shared" si="134"/>
        <v>0</v>
      </c>
      <c r="BH9" s="71">
        <f t="shared" si="135"/>
        <v>0</v>
      </c>
      <c r="BI9" s="71">
        <f t="shared" si="136"/>
        <v>0</v>
      </c>
      <c r="BJ9" s="71">
        <f t="shared" si="137"/>
        <v>0</v>
      </c>
      <c r="BK9" s="71">
        <f t="shared" si="138"/>
        <v>0</v>
      </c>
      <c r="BL9" s="71">
        <f t="shared" si="139"/>
        <v>0</v>
      </c>
      <c r="BM9" s="71">
        <f t="shared" si="140"/>
        <v>0</v>
      </c>
      <c r="BN9" s="71">
        <f t="shared" si="141"/>
        <v>0</v>
      </c>
      <c r="BO9" s="71">
        <f t="shared" si="142"/>
        <v>0</v>
      </c>
      <c r="BP9" s="71">
        <f t="shared" si="143"/>
        <v>0</v>
      </c>
      <c r="BQ9" s="71">
        <f t="shared" si="144"/>
        <v>0</v>
      </c>
      <c r="BR9" s="71">
        <f t="shared" si="145"/>
        <v>0</v>
      </c>
      <c r="BS9" s="71">
        <f t="shared" si="146"/>
        <v>0</v>
      </c>
      <c r="BT9" s="71">
        <f t="shared" si="147"/>
        <v>0</v>
      </c>
      <c r="BU9" s="71">
        <f t="shared" si="148"/>
        <v>0</v>
      </c>
      <c r="BV9" s="71">
        <f t="shared" si="149"/>
        <v>0</v>
      </c>
      <c r="BW9" s="71">
        <f t="shared" si="150"/>
        <v>0</v>
      </c>
      <c r="BX9" s="71">
        <f t="shared" si="151"/>
        <v>0</v>
      </c>
      <c r="BY9" s="71">
        <f t="shared" si="152"/>
        <v>0</v>
      </c>
      <c r="BZ9" s="71">
        <f t="shared" si="153"/>
        <v>0</v>
      </c>
      <c r="CA9" s="71">
        <f t="shared" si="154"/>
        <v>0</v>
      </c>
      <c r="CB9" s="71">
        <f t="shared" si="155"/>
        <v>0</v>
      </c>
      <c r="CC9" s="71">
        <f t="shared" si="156"/>
        <v>0</v>
      </c>
      <c r="CD9" s="71">
        <f t="shared" si="157"/>
        <v>0</v>
      </c>
      <c r="CE9" s="71">
        <f t="shared" si="158"/>
        <v>0</v>
      </c>
      <c r="CF9" s="71">
        <f t="shared" si="159"/>
        <v>0</v>
      </c>
      <c r="CG9" s="71">
        <f t="shared" si="160"/>
        <v>0</v>
      </c>
      <c r="CH9" s="70">
        <f t="shared" si="93"/>
        <v>0</v>
      </c>
      <c r="CI9" s="69">
        <f t="shared" ca="1" si="94"/>
        <v>0</v>
      </c>
      <c r="GM9" s="2" t="s">
        <v>16</v>
      </c>
      <c r="GN9" s="98" t="str">
        <f t="shared" si="95"/>
        <v>KHI01-FMCG01-SPO-00</v>
      </c>
      <c r="GO9" s="4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6"/>
      <c r="HT9" s="4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6"/>
    </row>
    <row r="10" spans="1:258" hidden="1">
      <c r="A10" s="97" t="s">
        <v>1380</v>
      </c>
      <c r="B10" s="98" t="s">
        <v>26</v>
      </c>
      <c r="C10" s="98" t="s">
        <v>27</v>
      </c>
      <c r="D10" s="99" t="s">
        <v>28</v>
      </c>
      <c r="E10" s="98" t="s">
        <v>48</v>
      </c>
      <c r="F10" s="98" t="s">
        <v>49</v>
      </c>
      <c r="G10" s="98" t="s">
        <v>50</v>
      </c>
      <c r="H10" s="98" t="s">
        <v>1100</v>
      </c>
      <c r="I10" s="98" t="s">
        <v>1100</v>
      </c>
      <c r="J10" s="98" t="s">
        <v>857</v>
      </c>
      <c r="K10" s="98" t="s">
        <v>1092</v>
      </c>
      <c r="L10" s="98" t="s">
        <v>127</v>
      </c>
      <c r="M10" s="101" t="s">
        <v>52</v>
      </c>
      <c r="N10" s="139">
        <v>45941</v>
      </c>
      <c r="O10" s="100">
        <v>0</v>
      </c>
      <c r="P10" s="69">
        <v>0</v>
      </c>
      <c r="Q10" s="69">
        <f t="shared" si="21"/>
        <v>0</v>
      </c>
      <c r="R10" s="69">
        <f t="shared" si="96"/>
        <v>0</v>
      </c>
      <c r="S10" s="69">
        <f t="shared" si="22"/>
        <v>0</v>
      </c>
      <c r="T10" s="69">
        <f t="shared" si="97"/>
        <v>0</v>
      </c>
      <c r="U10" s="69">
        <f t="shared" si="98"/>
        <v>0</v>
      </c>
      <c r="V10" s="70">
        <f t="shared" si="99"/>
        <v>0</v>
      </c>
      <c r="W10" s="71">
        <f t="shared" si="100"/>
        <v>0</v>
      </c>
      <c r="X10" s="71">
        <f t="shared" si="101"/>
        <v>0</v>
      </c>
      <c r="Y10" s="71">
        <f t="shared" si="102"/>
        <v>0</v>
      </c>
      <c r="Z10" s="71">
        <f t="shared" si="103"/>
        <v>0</v>
      </c>
      <c r="AA10" s="71">
        <f t="shared" si="104"/>
        <v>0</v>
      </c>
      <c r="AB10" s="71">
        <f t="shared" si="105"/>
        <v>0</v>
      </c>
      <c r="AC10" s="71">
        <f t="shared" si="106"/>
        <v>0</v>
      </c>
      <c r="AD10" s="71">
        <f t="shared" si="107"/>
        <v>0</v>
      </c>
      <c r="AE10" s="71">
        <f t="shared" si="108"/>
        <v>0</v>
      </c>
      <c r="AF10" s="71">
        <f t="shared" si="109"/>
        <v>0</v>
      </c>
      <c r="AG10" s="71">
        <f t="shared" si="110"/>
        <v>0</v>
      </c>
      <c r="AH10" s="71">
        <f t="shared" si="111"/>
        <v>0</v>
      </c>
      <c r="AI10" s="71">
        <f t="shared" si="112"/>
        <v>0</v>
      </c>
      <c r="AJ10" s="71">
        <f t="shared" si="113"/>
        <v>0</v>
      </c>
      <c r="AK10" s="71">
        <f t="shared" si="114"/>
        <v>0</v>
      </c>
      <c r="AL10" s="71">
        <f t="shared" si="115"/>
        <v>0</v>
      </c>
      <c r="AM10" s="71">
        <f t="shared" si="116"/>
        <v>0</v>
      </c>
      <c r="AN10" s="71">
        <f t="shared" si="117"/>
        <v>0</v>
      </c>
      <c r="AO10" s="71">
        <f t="shared" si="118"/>
        <v>0</v>
      </c>
      <c r="AP10" s="71">
        <f t="shared" si="119"/>
        <v>0</v>
      </c>
      <c r="AQ10" s="71">
        <f t="shared" si="120"/>
        <v>0</v>
      </c>
      <c r="AR10" s="71">
        <f t="shared" si="121"/>
        <v>0</v>
      </c>
      <c r="AS10" s="71">
        <f t="shared" si="122"/>
        <v>0</v>
      </c>
      <c r="AT10" s="71">
        <f t="shared" si="123"/>
        <v>0</v>
      </c>
      <c r="AU10" s="71">
        <f t="shared" si="124"/>
        <v>0</v>
      </c>
      <c r="AV10" s="71">
        <f t="shared" si="125"/>
        <v>0</v>
      </c>
      <c r="AW10" s="71">
        <f t="shared" si="126"/>
        <v>0</v>
      </c>
      <c r="AX10" s="71">
        <f t="shared" si="127"/>
        <v>0</v>
      </c>
      <c r="AY10" s="71">
        <f t="shared" si="128"/>
        <v>0</v>
      </c>
      <c r="AZ10" s="72">
        <f t="shared" si="129"/>
        <v>0</v>
      </c>
      <c r="BA10" s="70">
        <f t="shared" si="60"/>
        <v>0</v>
      </c>
      <c r="BB10" s="69">
        <f t="shared" ca="1" si="61"/>
        <v>0</v>
      </c>
      <c r="BC10" s="70">
        <f t="shared" si="130"/>
        <v>0</v>
      </c>
      <c r="BD10" s="71">
        <f t="shared" si="131"/>
        <v>0</v>
      </c>
      <c r="BE10" s="71">
        <f t="shared" si="132"/>
        <v>0</v>
      </c>
      <c r="BF10" s="71">
        <f t="shared" si="133"/>
        <v>0</v>
      </c>
      <c r="BG10" s="71">
        <f t="shared" si="134"/>
        <v>0</v>
      </c>
      <c r="BH10" s="71">
        <f t="shared" si="135"/>
        <v>0</v>
      </c>
      <c r="BI10" s="71">
        <f t="shared" si="136"/>
        <v>0</v>
      </c>
      <c r="BJ10" s="71">
        <f t="shared" si="137"/>
        <v>0</v>
      </c>
      <c r="BK10" s="71">
        <f t="shared" si="138"/>
        <v>0</v>
      </c>
      <c r="BL10" s="71">
        <f t="shared" si="139"/>
        <v>0</v>
      </c>
      <c r="BM10" s="71">
        <f t="shared" si="140"/>
        <v>0</v>
      </c>
      <c r="BN10" s="71">
        <f t="shared" si="141"/>
        <v>0</v>
      </c>
      <c r="BO10" s="71">
        <f t="shared" si="142"/>
        <v>0</v>
      </c>
      <c r="BP10" s="71">
        <f t="shared" si="143"/>
        <v>0</v>
      </c>
      <c r="BQ10" s="71">
        <f t="shared" si="144"/>
        <v>0</v>
      </c>
      <c r="BR10" s="71">
        <f t="shared" si="145"/>
        <v>0</v>
      </c>
      <c r="BS10" s="71">
        <f t="shared" si="146"/>
        <v>0</v>
      </c>
      <c r="BT10" s="71">
        <f t="shared" si="147"/>
        <v>0</v>
      </c>
      <c r="BU10" s="71">
        <f t="shared" si="148"/>
        <v>0</v>
      </c>
      <c r="BV10" s="71">
        <f t="shared" si="149"/>
        <v>0</v>
      </c>
      <c r="BW10" s="71">
        <f t="shared" si="150"/>
        <v>0</v>
      </c>
      <c r="BX10" s="71">
        <f t="shared" si="151"/>
        <v>0</v>
      </c>
      <c r="BY10" s="71">
        <f t="shared" si="152"/>
        <v>0</v>
      </c>
      <c r="BZ10" s="71">
        <f t="shared" si="153"/>
        <v>0</v>
      </c>
      <c r="CA10" s="71">
        <f t="shared" si="154"/>
        <v>0</v>
      </c>
      <c r="CB10" s="71">
        <f t="shared" si="155"/>
        <v>0</v>
      </c>
      <c r="CC10" s="71">
        <f t="shared" si="156"/>
        <v>0</v>
      </c>
      <c r="CD10" s="71">
        <f t="shared" si="157"/>
        <v>0</v>
      </c>
      <c r="CE10" s="71">
        <f t="shared" si="158"/>
        <v>0</v>
      </c>
      <c r="CF10" s="71">
        <f t="shared" si="159"/>
        <v>0</v>
      </c>
      <c r="CG10" s="71">
        <f t="shared" si="160"/>
        <v>0</v>
      </c>
      <c r="CH10" s="70">
        <f t="shared" si="93"/>
        <v>0</v>
      </c>
      <c r="CI10" s="69">
        <f t="shared" ca="1" si="94"/>
        <v>0</v>
      </c>
      <c r="GM10" s="2" t="s">
        <v>16</v>
      </c>
      <c r="GN10" s="98" t="str">
        <f t="shared" si="95"/>
        <v>KHI01-FMCG01-ASM-01</v>
      </c>
      <c r="GO10" s="4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6"/>
      <c r="HT10" s="4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6"/>
    </row>
    <row r="11" spans="1:258" hidden="1">
      <c r="A11" s="102" t="s">
        <v>53</v>
      </c>
      <c r="B11" s="103" t="s">
        <v>26</v>
      </c>
      <c r="C11" s="103" t="s">
        <v>27</v>
      </c>
      <c r="D11" s="104" t="s">
        <v>28</v>
      </c>
      <c r="E11" s="103" t="s">
        <v>48</v>
      </c>
      <c r="F11" s="103" t="s">
        <v>49</v>
      </c>
      <c r="G11" s="103" t="s">
        <v>50</v>
      </c>
      <c r="H11" s="103" t="s">
        <v>1100</v>
      </c>
      <c r="I11" s="103" t="s">
        <v>1100</v>
      </c>
      <c r="J11" s="103" t="s">
        <v>51</v>
      </c>
      <c r="K11" s="103" t="s">
        <v>31</v>
      </c>
      <c r="L11" s="103" t="s">
        <v>127</v>
      </c>
      <c r="M11" s="103" t="s">
        <v>52</v>
      </c>
      <c r="N11" s="119">
        <v>45941</v>
      </c>
      <c r="O11" s="105">
        <f>SUM(O4:O10)</f>
        <v>5</v>
      </c>
      <c r="P11" s="73">
        <f>SUM(P4:P10)</f>
        <v>0</v>
      </c>
      <c r="Q11" s="73">
        <f t="shared" si="21"/>
        <v>1</v>
      </c>
      <c r="R11" s="73">
        <f>SUM(R4:R10)</f>
        <v>5</v>
      </c>
      <c r="S11" s="73">
        <f>SUM(S4:S10)</f>
        <v>0</v>
      </c>
      <c r="T11" s="73">
        <f>SUM(T4:T10)</f>
        <v>5</v>
      </c>
      <c r="U11" s="73">
        <f>SUM(U4:U10)</f>
        <v>5</v>
      </c>
      <c r="V11" s="74">
        <f t="shared" ref="V11:CA11" si="161">SUM(V4:V10)</f>
        <v>5</v>
      </c>
      <c r="W11" s="75">
        <f t="shared" si="161"/>
        <v>5</v>
      </c>
      <c r="X11" s="75">
        <f t="shared" si="161"/>
        <v>4</v>
      </c>
      <c r="Y11" s="75">
        <f t="shared" si="161"/>
        <v>0</v>
      </c>
      <c r="Z11" s="75">
        <f t="shared" si="161"/>
        <v>5</v>
      </c>
      <c r="AA11" s="75">
        <f t="shared" si="161"/>
        <v>5</v>
      </c>
      <c r="AB11" s="75">
        <f t="shared" si="161"/>
        <v>5</v>
      </c>
      <c r="AC11" s="75">
        <f t="shared" si="161"/>
        <v>5</v>
      </c>
      <c r="AD11" s="75">
        <f t="shared" si="161"/>
        <v>5</v>
      </c>
      <c r="AE11" s="75">
        <f t="shared" si="161"/>
        <v>5</v>
      </c>
      <c r="AF11" s="75">
        <f t="shared" si="161"/>
        <v>0</v>
      </c>
      <c r="AG11" s="75">
        <f t="shared" si="161"/>
        <v>5</v>
      </c>
      <c r="AH11" s="75">
        <f t="shared" si="161"/>
        <v>5</v>
      </c>
      <c r="AI11" s="75">
        <f t="shared" si="161"/>
        <v>4</v>
      </c>
      <c r="AJ11" s="75">
        <f t="shared" si="161"/>
        <v>0</v>
      </c>
      <c r="AK11" s="75">
        <f t="shared" si="161"/>
        <v>0</v>
      </c>
      <c r="AL11" s="75">
        <f t="shared" si="161"/>
        <v>0</v>
      </c>
      <c r="AM11" s="75">
        <f t="shared" si="161"/>
        <v>0</v>
      </c>
      <c r="AN11" s="75">
        <f t="shared" si="161"/>
        <v>0</v>
      </c>
      <c r="AO11" s="75">
        <f t="shared" si="161"/>
        <v>0</v>
      </c>
      <c r="AP11" s="75">
        <f t="shared" si="161"/>
        <v>0</v>
      </c>
      <c r="AQ11" s="75">
        <f t="shared" si="161"/>
        <v>0</v>
      </c>
      <c r="AR11" s="75">
        <f t="shared" si="161"/>
        <v>0</v>
      </c>
      <c r="AS11" s="75">
        <f t="shared" si="161"/>
        <v>0</v>
      </c>
      <c r="AT11" s="75">
        <f t="shared" si="161"/>
        <v>0</v>
      </c>
      <c r="AU11" s="75">
        <f t="shared" si="161"/>
        <v>0</v>
      </c>
      <c r="AV11" s="75">
        <f t="shared" si="161"/>
        <v>0</v>
      </c>
      <c r="AW11" s="75">
        <f t="shared" si="161"/>
        <v>0</v>
      </c>
      <c r="AX11" s="75">
        <f t="shared" si="161"/>
        <v>0</v>
      </c>
      <c r="AY11" s="75">
        <f t="shared" si="161"/>
        <v>0</v>
      </c>
      <c r="AZ11" s="76">
        <f t="shared" si="161"/>
        <v>0</v>
      </c>
      <c r="BA11" s="74">
        <f t="shared" si="60"/>
        <v>58</v>
      </c>
      <c r="BB11" s="73">
        <f t="shared" ca="1" si="61"/>
        <v>0.89230769230769236</v>
      </c>
      <c r="BC11" s="74">
        <f t="shared" si="161"/>
        <v>45</v>
      </c>
      <c r="BD11" s="75">
        <f t="shared" si="161"/>
        <v>47</v>
      </c>
      <c r="BE11" s="75">
        <f t="shared" si="161"/>
        <v>89</v>
      </c>
      <c r="BF11" s="75">
        <f t="shared" si="161"/>
        <v>0</v>
      </c>
      <c r="BG11" s="75">
        <f t="shared" si="161"/>
        <v>127</v>
      </c>
      <c r="BH11" s="75">
        <f t="shared" si="161"/>
        <v>70</v>
      </c>
      <c r="BI11" s="75">
        <f t="shared" si="161"/>
        <v>164</v>
      </c>
      <c r="BJ11" s="75">
        <f t="shared" si="161"/>
        <v>133</v>
      </c>
      <c r="BK11" s="75">
        <f t="shared" si="161"/>
        <v>104</v>
      </c>
      <c r="BL11" s="75">
        <f t="shared" si="161"/>
        <v>159</v>
      </c>
      <c r="BM11" s="75">
        <f t="shared" si="161"/>
        <v>0</v>
      </c>
      <c r="BN11" s="75">
        <f t="shared" si="161"/>
        <v>136</v>
      </c>
      <c r="BO11" s="75">
        <f t="shared" si="161"/>
        <v>167</v>
      </c>
      <c r="BP11" s="75">
        <f t="shared" si="161"/>
        <v>0</v>
      </c>
      <c r="BQ11" s="75">
        <f t="shared" si="161"/>
        <v>0</v>
      </c>
      <c r="BR11" s="75">
        <f t="shared" si="161"/>
        <v>0</v>
      </c>
      <c r="BS11" s="75">
        <f t="shared" si="161"/>
        <v>0</v>
      </c>
      <c r="BT11" s="75">
        <f t="shared" si="161"/>
        <v>0</v>
      </c>
      <c r="BU11" s="75">
        <f t="shared" si="161"/>
        <v>0</v>
      </c>
      <c r="BV11" s="75">
        <f t="shared" si="161"/>
        <v>0</v>
      </c>
      <c r="BW11" s="75">
        <f t="shared" si="161"/>
        <v>0</v>
      </c>
      <c r="BX11" s="75">
        <f t="shared" si="161"/>
        <v>0</v>
      </c>
      <c r="BY11" s="75">
        <f t="shared" si="161"/>
        <v>0</v>
      </c>
      <c r="BZ11" s="75">
        <f t="shared" si="161"/>
        <v>0</v>
      </c>
      <c r="CA11" s="75">
        <f t="shared" si="161"/>
        <v>0</v>
      </c>
      <c r="CB11" s="75">
        <f t="shared" ref="CB11:CG11" si="162">SUM(CB4:CB10)</f>
        <v>0</v>
      </c>
      <c r="CC11" s="75">
        <f t="shared" si="162"/>
        <v>0</v>
      </c>
      <c r="CD11" s="75">
        <f t="shared" si="162"/>
        <v>0</v>
      </c>
      <c r="CE11" s="75">
        <f t="shared" si="162"/>
        <v>0</v>
      </c>
      <c r="CF11" s="75">
        <f t="shared" si="162"/>
        <v>0</v>
      </c>
      <c r="CG11" s="75">
        <f t="shared" si="162"/>
        <v>0</v>
      </c>
      <c r="CH11" s="74">
        <f t="shared" si="93"/>
        <v>1241</v>
      </c>
      <c r="CI11" s="73">
        <f t="shared" ca="1" si="94"/>
        <v>19.092307692307692</v>
      </c>
      <c r="GM11" s="2" t="s">
        <v>17</v>
      </c>
      <c r="GN11" s="103" t="str">
        <f t="shared" si="95"/>
        <v>KHI01-FMCG01-ASM-01</v>
      </c>
      <c r="GO11" s="4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6"/>
      <c r="HT11" s="4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6"/>
    </row>
    <row r="12" spans="1:258" hidden="1">
      <c r="A12" s="106" t="s">
        <v>25</v>
      </c>
      <c r="B12" s="98" t="s">
        <v>26</v>
      </c>
      <c r="C12" s="98" t="s">
        <v>27</v>
      </c>
      <c r="D12" s="99" t="s">
        <v>1106</v>
      </c>
      <c r="E12" s="98" t="s">
        <v>949</v>
      </c>
      <c r="F12" s="98" t="s">
        <v>913</v>
      </c>
      <c r="G12" s="98" t="s">
        <v>55</v>
      </c>
      <c r="H12" s="98" t="s">
        <v>1412</v>
      </c>
      <c r="I12" s="98" t="s">
        <v>1412</v>
      </c>
      <c r="J12" s="98" t="s">
        <v>1101</v>
      </c>
      <c r="K12" s="98" t="s">
        <v>1092</v>
      </c>
      <c r="L12" s="98" t="s">
        <v>914</v>
      </c>
      <c r="M12" s="101" t="s">
        <v>1093</v>
      </c>
      <c r="N12" s="139">
        <v>46202</v>
      </c>
      <c r="O12" s="100">
        <v>1</v>
      </c>
      <c r="P12" s="69">
        <v>0</v>
      </c>
      <c r="Q12" s="69">
        <f t="shared" si="21"/>
        <v>1</v>
      </c>
      <c r="R12" s="69">
        <f t="shared" ref="R12:R18" si="163">IFERROR(IF(OR(BA12&gt;0),1,0),0)</f>
        <v>1</v>
      </c>
      <c r="S12" s="69">
        <f t="shared" ref="S12:S18" si="164">IFERROR(IF(OR(BP12&gt;0),1,0),0)</f>
        <v>0</v>
      </c>
      <c r="T12" s="69">
        <f t="shared" ref="T12:T18" si="165">IFERROR(IF(OR(CH12&gt;0),1,0),0)</f>
        <v>1</v>
      </c>
      <c r="U12" s="69">
        <f t="shared" ref="U12:U18" si="166">IFERROR(IF(OR(BA12&gt;0,CH12&gt;0),1,0),0)</f>
        <v>1</v>
      </c>
      <c r="V12" s="70">
        <f t="shared" ref="V12:V18" si="167">GO12</f>
        <v>1</v>
      </c>
      <c r="W12" s="71">
        <f t="shared" ref="W12:W18" si="168">GP12</f>
        <v>1</v>
      </c>
      <c r="X12" s="71">
        <f t="shared" ref="X12:X18" si="169">GQ12</f>
        <v>1</v>
      </c>
      <c r="Y12" s="71">
        <f t="shared" ref="Y12:Y18" si="170">GR12</f>
        <v>0</v>
      </c>
      <c r="Z12" s="71">
        <f t="shared" ref="Z12:Z18" si="171">GS12</f>
        <v>1</v>
      </c>
      <c r="AA12" s="71">
        <f t="shared" ref="AA12:AA18" si="172">GT12</f>
        <v>1</v>
      </c>
      <c r="AB12" s="71">
        <f t="shared" ref="AB12:AB18" si="173">GU12</f>
        <v>1</v>
      </c>
      <c r="AC12" s="71">
        <f t="shared" ref="AC12:AC18" si="174">GV12</f>
        <v>1</v>
      </c>
      <c r="AD12" s="71">
        <f t="shared" ref="AD12:AD18" si="175">GW12</f>
        <v>1</v>
      </c>
      <c r="AE12" s="71">
        <f t="shared" ref="AE12:AE18" si="176">GX12</f>
        <v>1</v>
      </c>
      <c r="AF12" s="71">
        <f t="shared" ref="AF12:AF18" si="177">GY12</f>
        <v>0</v>
      </c>
      <c r="AG12" s="71">
        <f t="shared" ref="AG12:AG18" si="178">GZ12</f>
        <v>1</v>
      </c>
      <c r="AH12" s="71">
        <f t="shared" ref="AH12:AH18" si="179">HA12</f>
        <v>1</v>
      </c>
      <c r="AI12" s="71">
        <f t="shared" ref="AI12:AI18" si="180">HB12</f>
        <v>1</v>
      </c>
      <c r="AJ12" s="71">
        <f t="shared" ref="AJ12:AJ18" si="181">HC12</f>
        <v>0</v>
      </c>
      <c r="AK12" s="71">
        <f t="shared" ref="AK12:AK18" si="182">HD12</f>
        <v>0</v>
      </c>
      <c r="AL12" s="71">
        <f t="shared" ref="AL12:AL18" si="183">HE12</f>
        <v>0</v>
      </c>
      <c r="AM12" s="71">
        <f t="shared" ref="AM12:AM18" si="184">HF12</f>
        <v>0</v>
      </c>
      <c r="AN12" s="71">
        <f t="shared" ref="AN12:AN18" si="185">HG12</f>
        <v>0</v>
      </c>
      <c r="AO12" s="71">
        <f t="shared" ref="AO12:AO18" si="186">HH12</f>
        <v>0</v>
      </c>
      <c r="AP12" s="71">
        <f t="shared" ref="AP12:AP18" si="187">HI12</f>
        <v>0</v>
      </c>
      <c r="AQ12" s="71">
        <f t="shared" ref="AQ12:AQ18" si="188">HJ12</f>
        <v>0</v>
      </c>
      <c r="AR12" s="71">
        <f t="shared" ref="AR12:AR18" si="189">HK12</f>
        <v>0</v>
      </c>
      <c r="AS12" s="71">
        <f t="shared" ref="AS12:AS18" si="190">HL12</f>
        <v>0</v>
      </c>
      <c r="AT12" s="71">
        <f t="shared" ref="AT12:AT18" si="191">HM12</f>
        <v>0</v>
      </c>
      <c r="AU12" s="71">
        <f t="shared" ref="AU12:AU18" si="192">HN12</f>
        <v>0</v>
      </c>
      <c r="AV12" s="71">
        <f t="shared" ref="AV12:AV18" si="193">HO12</f>
        <v>0</v>
      </c>
      <c r="AW12" s="71">
        <f t="shared" ref="AW12:AW18" si="194">HP12</f>
        <v>0</v>
      </c>
      <c r="AX12" s="71">
        <f t="shared" ref="AX12:AX18" si="195">HQ12</f>
        <v>0</v>
      </c>
      <c r="AY12" s="71">
        <f t="shared" ref="AY12:AY18" si="196">HR12</f>
        <v>0</v>
      </c>
      <c r="AZ12" s="72">
        <f t="shared" ref="AZ12:AZ18" si="197">HS12</f>
        <v>0</v>
      </c>
      <c r="BA12" s="70">
        <f t="shared" si="60"/>
        <v>12</v>
      </c>
      <c r="BB12" s="69">
        <f t="shared" ca="1" si="61"/>
        <v>0.92307692307692313</v>
      </c>
      <c r="BC12" s="70">
        <f t="shared" ref="BC12:BC18" si="198">HT12</f>
        <v>0</v>
      </c>
      <c r="BD12" s="71">
        <f t="shared" ref="BD12:BD18" si="199">HU12</f>
        <v>0</v>
      </c>
      <c r="BE12" s="71">
        <f t="shared" ref="BE12:BE18" si="200">HV12</f>
        <v>31</v>
      </c>
      <c r="BF12" s="71">
        <f t="shared" ref="BF12:BF18" si="201">HW12</f>
        <v>0</v>
      </c>
      <c r="BG12" s="71">
        <f t="shared" ref="BG12:BG18" si="202">HX12</f>
        <v>50</v>
      </c>
      <c r="BH12" s="71">
        <f t="shared" ref="BH12:BH18" si="203">HY12</f>
        <v>0</v>
      </c>
      <c r="BI12" s="71">
        <f t="shared" ref="BI12:BI18" si="204">HZ12</f>
        <v>0</v>
      </c>
      <c r="BJ12" s="71">
        <f t="shared" ref="BJ12:BJ18" si="205">IA12</f>
        <v>36</v>
      </c>
      <c r="BK12" s="71">
        <f t="shared" ref="BK12:BK18" si="206">IB12</f>
        <v>37</v>
      </c>
      <c r="BL12" s="71">
        <f t="shared" ref="BL12:BL18" si="207">IC12</f>
        <v>40</v>
      </c>
      <c r="BM12" s="71">
        <f t="shared" ref="BM12:BM18" si="208">ID12</f>
        <v>0</v>
      </c>
      <c r="BN12" s="71">
        <f t="shared" ref="BN12:BN18" si="209">IE12</f>
        <v>33</v>
      </c>
      <c r="BO12" s="71">
        <f t="shared" ref="BO12:BO18" si="210">IF12</f>
        <v>0</v>
      </c>
      <c r="BP12" s="71">
        <f t="shared" ref="BP12:BP18" si="211">IG12</f>
        <v>0</v>
      </c>
      <c r="BQ12" s="71">
        <f t="shared" ref="BQ12:BQ18" si="212">IH12</f>
        <v>0</v>
      </c>
      <c r="BR12" s="71">
        <f t="shared" ref="BR12:BR18" si="213">II12</f>
        <v>0</v>
      </c>
      <c r="BS12" s="71">
        <f t="shared" ref="BS12:BS18" si="214">IJ12</f>
        <v>0</v>
      </c>
      <c r="BT12" s="71">
        <f t="shared" ref="BT12:BT18" si="215">IK12</f>
        <v>0</v>
      </c>
      <c r="BU12" s="71">
        <f t="shared" ref="BU12:BU18" si="216">IL12</f>
        <v>0</v>
      </c>
      <c r="BV12" s="71">
        <f t="shared" ref="BV12:BV18" si="217">IM12</f>
        <v>0</v>
      </c>
      <c r="BW12" s="71">
        <f t="shared" ref="BW12:BW18" si="218">IN12</f>
        <v>0</v>
      </c>
      <c r="BX12" s="71">
        <f t="shared" ref="BX12:BX18" si="219">IO12</f>
        <v>0</v>
      </c>
      <c r="BY12" s="71">
        <f t="shared" ref="BY12:BY18" si="220">IP12</f>
        <v>0</v>
      </c>
      <c r="BZ12" s="71">
        <f t="shared" ref="BZ12:BZ18" si="221">IQ12</f>
        <v>0</v>
      </c>
      <c r="CA12" s="71">
        <f t="shared" ref="CA12:CA18" si="222">IR12</f>
        <v>0</v>
      </c>
      <c r="CB12" s="71">
        <f t="shared" ref="CB12:CB18" si="223">IS12</f>
        <v>0</v>
      </c>
      <c r="CC12" s="71">
        <f t="shared" ref="CC12:CC18" si="224">IT12</f>
        <v>0</v>
      </c>
      <c r="CD12" s="71">
        <f t="shared" ref="CD12:CD18" si="225">IU12</f>
        <v>0</v>
      </c>
      <c r="CE12" s="71">
        <f t="shared" ref="CE12:CE18" si="226">IV12</f>
        <v>0</v>
      </c>
      <c r="CF12" s="71">
        <f t="shared" ref="CF12:CF18" si="227">IW12</f>
        <v>0</v>
      </c>
      <c r="CG12" s="71">
        <f t="shared" ref="CG12:CG18" si="228">IX12</f>
        <v>0</v>
      </c>
      <c r="CH12" s="70">
        <f t="shared" si="93"/>
        <v>227</v>
      </c>
      <c r="CI12" s="69">
        <f t="shared" ca="1" si="94"/>
        <v>17.46153846153846</v>
      </c>
      <c r="GM12" s="2" t="s">
        <v>16</v>
      </c>
      <c r="GN12" s="98" t="str">
        <f t="shared" si="95"/>
        <v>KHI02-FMCG01-SPO-01</v>
      </c>
      <c r="GO12" s="4">
        <v>1</v>
      </c>
      <c r="GP12" s="3">
        <v>1</v>
      </c>
      <c r="GQ12" s="3">
        <v>1</v>
      </c>
      <c r="GR12" s="3">
        <v>0</v>
      </c>
      <c r="GS12" s="3">
        <v>1</v>
      </c>
      <c r="GT12" s="3">
        <v>1</v>
      </c>
      <c r="GU12" s="3">
        <v>1</v>
      </c>
      <c r="GV12" s="3">
        <v>1</v>
      </c>
      <c r="GW12" s="3">
        <v>1</v>
      </c>
      <c r="GX12" s="3">
        <v>1</v>
      </c>
      <c r="GY12" s="3">
        <v>0</v>
      </c>
      <c r="GZ12" s="3">
        <v>1</v>
      </c>
      <c r="HA12" s="3">
        <v>1</v>
      </c>
      <c r="HB12" s="3">
        <v>1</v>
      </c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6"/>
      <c r="HT12" s="4">
        <v>0</v>
      </c>
      <c r="HU12" s="3">
        <v>0</v>
      </c>
      <c r="HV12" s="3">
        <v>31</v>
      </c>
      <c r="HW12" s="3">
        <v>0</v>
      </c>
      <c r="HX12" s="3">
        <v>50</v>
      </c>
      <c r="HY12" s="3">
        <v>0</v>
      </c>
      <c r="HZ12" s="3">
        <v>0</v>
      </c>
      <c r="IA12" s="3">
        <v>36</v>
      </c>
      <c r="IB12" s="3">
        <v>37</v>
      </c>
      <c r="IC12" s="3">
        <v>40</v>
      </c>
      <c r="ID12" s="3">
        <v>0</v>
      </c>
      <c r="IE12" s="3">
        <v>33</v>
      </c>
      <c r="IF12" s="3">
        <v>0</v>
      </c>
      <c r="IG12" s="3">
        <v>0</v>
      </c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6"/>
    </row>
    <row r="13" spans="1:258" hidden="1">
      <c r="A13" s="106" t="s">
        <v>25</v>
      </c>
      <c r="B13" s="101" t="s">
        <v>26</v>
      </c>
      <c r="C13" s="98" t="s">
        <v>27</v>
      </c>
      <c r="D13" s="107" t="s">
        <v>1106</v>
      </c>
      <c r="E13" s="101" t="s">
        <v>56</v>
      </c>
      <c r="F13" s="101" t="s">
        <v>57</v>
      </c>
      <c r="G13" s="98" t="s">
        <v>58</v>
      </c>
      <c r="H13" s="101" t="s">
        <v>1413</v>
      </c>
      <c r="I13" s="101" t="s">
        <v>1413</v>
      </c>
      <c r="J13" s="101" t="s">
        <v>1102</v>
      </c>
      <c r="K13" s="98" t="s">
        <v>1092</v>
      </c>
      <c r="L13" s="101" t="s">
        <v>59</v>
      </c>
      <c r="M13" s="101" t="s">
        <v>1093</v>
      </c>
      <c r="N13" s="139">
        <v>45988</v>
      </c>
      <c r="O13" s="100">
        <v>1</v>
      </c>
      <c r="P13" s="69">
        <v>0</v>
      </c>
      <c r="Q13" s="69">
        <f t="shared" si="21"/>
        <v>1</v>
      </c>
      <c r="R13" s="69">
        <f t="shared" si="163"/>
        <v>1</v>
      </c>
      <c r="S13" s="69">
        <f t="shared" si="164"/>
        <v>0</v>
      </c>
      <c r="T13" s="69">
        <f t="shared" si="165"/>
        <v>1</v>
      </c>
      <c r="U13" s="69">
        <f t="shared" si="166"/>
        <v>1</v>
      </c>
      <c r="V13" s="70">
        <f t="shared" si="167"/>
        <v>1</v>
      </c>
      <c r="W13" s="71">
        <f t="shared" si="168"/>
        <v>1</v>
      </c>
      <c r="X13" s="71">
        <f t="shared" si="169"/>
        <v>1</v>
      </c>
      <c r="Y13" s="71">
        <f t="shared" si="170"/>
        <v>0</v>
      </c>
      <c r="Z13" s="71">
        <f t="shared" si="171"/>
        <v>1</v>
      </c>
      <c r="AA13" s="71">
        <f t="shared" si="172"/>
        <v>1</v>
      </c>
      <c r="AB13" s="71">
        <f t="shared" si="173"/>
        <v>1</v>
      </c>
      <c r="AC13" s="71">
        <f t="shared" si="174"/>
        <v>1</v>
      </c>
      <c r="AD13" s="71">
        <f t="shared" si="175"/>
        <v>1</v>
      </c>
      <c r="AE13" s="71">
        <f t="shared" si="176"/>
        <v>1</v>
      </c>
      <c r="AF13" s="71">
        <f t="shared" si="177"/>
        <v>0</v>
      </c>
      <c r="AG13" s="71">
        <f t="shared" si="178"/>
        <v>1</v>
      </c>
      <c r="AH13" s="71">
        <f t="shared" si="179"/>
        <v>1</v>
      </c>
      <c r="AI13" s="71">
        <f t="shared" si="180"/>
        <v>1</v>
      </c>
      <c r="AJ13" s="71">
        <f t="shared" si="181"/>
        <v>0</v>
      </c>
      <c r="AK13" s="71">
        <f t="shared" si="182"/>
        <v>0</v>
      </c>
      <c r="AL13" s="71">
        <f t="shared" si="183"/>
        <v>0</v>
      </c>
      <c r="AM13" s="71">
        <f t="shared" si="184"/>
        <v>0</v>
      </c>
      <c r="AN13" s="71">
        <f t="shared" si="185"/>
        <v>0</v>
      </c>
      <c r="AO13" s="71">
        <f t="shared" si="186"/>
        <v>0</v>
      </c>
      <c r="AP13" s="71">
        <f t="shared" si="187"/>
        <v>0</v>
      </c>
      <c r="AQ13" s="71">
        <f t="shared" si="188"/>
        <v>0</v>
      </c>
      <c r="AR13" s="71">
        <f t="shared" si="189"/>
        <v>0</v>
      </c>
      <c r="AS13" s="71">
        <f t="shared" si="190"/>
        <v>0</v>
      </c>
      <c r="AT13" s="71">
        <f t="shared" si="191"/>
        <v>0</v>
      </c>
      <c r="AU13" s="71">
        <f t="shared" si="192"/>
        <v>0</v>
      </c>
      <c r="AV13" s="71">
        <f t="shared" si="193"/>
        <v>0</v>
      </c>
      <c r="AW13" s="71">
        <f t="shared" si="194"/>
        <v>0</v>
      </c>
      <c r="AX13" s="71">
        <f t="shared" si="195"/>
        <v>0</v>
      </c>
      <c r="AY13" s="71">
        <f t="shared" si="196"/>
        <v>0</v>
      </c>
      <c r="AZ13" s="72">
        <f t="shared" si="197"/>
        <v>0</v>
      </c>
      <c r="BA13" s="70">
        <f t="shared" si="60"/>
        <v>12</v>
      </c>
      <c r="BB13" s="69">
        <f t="shared" ca="1" si="61"/>
        <v>0.92307692307692313</v>
      </c>
      <c r="BC13" s="70">
        <f t="shared" si="198"/>
        <v>37</v>
      </c>
      <c r="BD13" s="71">
        <f t="shared" si="199"/>
        <v>43</v>
      </c>
      <c r="BE13" s="71">
        <f t="shared" si="200"/>
        <v>37</v>
      </c>
      <c r="BF13" s="71">
        <f t="shared" si="201"/>
        <v>0</v>
      </c>
      <c r="BG13" s="71">
        <f t="shared" si="202"/>
        <v>46</v>
      </c>
      <c r="BH13" s="71">
        <f t="shared" si="203"/>
        <v>30</v>
      </c>
      <c r="BI13" s="71">
        <f t="shared" si="204"/>
        <v>37</v>
      </c>
      <c r="BJ13" s="71">
        <f t="shared" si="205"/>
        <v>59</v>
      </c>
      <c r="BK13" s="71">
        <f t="shared" si="206"/>
        <v>34</v>
      </c>
      <c r="BL13" s="71">
        <f t="shared" si="207"/>
        <v>0</v>
      </c>
      <c r="BM13" s="71">
        <f t="shared" si="208"/>
        <v>0</v>
      </c>
      <c r="BN13" s="71">
        <f t="shared" si="209"/>
        <v>15</v>
      </c>
      <c r="BO13" s="71">
        <f t="shared" si="210"/>
        <v>35</v>
      </c>
      <c r="BP13" s="71">
        <f t="shared" si="211"/>
        <v>0</v>
      </c>
      <c r="BQ13" s="71">
        <f t="shared" si="212"/>
        <v>0</v>
      </c>
      <c r="BR13" s="71">
        <f t="shared" si="213"/>
        <v>0</v>
      </c>
      <c r="BS13" s="71">
        <f t="shared" si="214"/>
        <v>0</v>
      </c>
      <c r="BT13" s="71">
        <f t="shared" si="215"/>
        <v>0</v>
      </c>
      <c r="BU13" s="71">
        <f t="shared" si="216"/>
        <v>0</v>
      </c>
      <c r="BV13" s="71">
        <f t="shared" si="217"/>
        <v>0</v>
      </c>
      <c r="BW13" s="71">
        <f t="shared" si="218"/>
        <v>0</v>
      </c>
      <c r="BX13" s="71">
        <f t="shared" si="219"/>
        <v>0</v>
      </c>
      <c r="BY13" s="71">
        <f t="shared" si="220"/>
        <v>0</v>
      </c>
      <c r="BZ13" s="71">
        <f t="shared" si="221"/>
        <v>0</v>
      </c>
      <c r="CA13" s="71">
        <f t="shared" si="222"/>
        <v>0</v>
      </c>
      <c r="CB13" s="71">
        <f t="shared" si="223"/>
        <v>0</v>
      </c>
      <c r="CC13" s="71">
        <f t="shared" si="224"/>
        <v>0</v>
      </c>
      <c r="CD13" s="71">
        <f t="shared" si="225"/>
        <v>0</v>
      </c>
      <c r="CE13" s="71">
        <f t="shared" si="226"/>
        <v>0</v>
      </c>
      <c r="CF13" s="71">
        <f t="shared" si="227"/>
        <v>0</v>
      </c>
      <c r="CG13" s="71">
        <f t="shared" si="228"/>
        <v>0</v>
      </c>
      <c r="CH13" s="70">
        <f t="shared" si="93"/>
        <v>373</v>
      </c>
      <c r="CI13" s="69">
        <f t="shared" ca="1" si="94"/>
        <v>28.692307692307693</v>
      </c>
      <c r="GM13" s="2" t="s">
        <v>16</v>
      </c>
      <c r="GN13" s="101" t="str">
        <f t="shared" si="95"/>
        <v>KHI02-FMCG01-SPO-02</v>
      </c>
      <c r="GO13" s="4">
        <v>1</v>
      </c>
      <c r="GP13" s="3">
        <v>1</v>
      </c>
      <c r="GQ13" s="3">
        <v>1</v>
      </c>
      <c r="GR13" s="3">
        <v>0</v>
      </c>
      <c r="GS13" s="3">
        <v>1</v>
      </c>
      <c r="GT13" s="3">
        <v>1</v>
      </c>
      <c r="GU13" s="3">
        <v>1</v>
      </c>
      <c r="GV13" s="3">
        <v>1</v>
      </c>
      <c r="GW13" s="3">
        <v>1</v>
      </c>
      <c r="GX13" s="3">
        <v>1</v>
      </c>
      <c r="GY13" s="3">
        <v>0</v>
      </c>
      <c r="GZ13" s="3">
        <v>1</v>
      </c>
      <c r="HA13" s="3">
        <v>1</v>
      </c>
      <c r="HB13" s="3">
        <v>1</v>
      </c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6"/>
      <c r="HT13" s="4">
        <v>37</v>
      </c>
      <c r="HU13" s="3">
        <v>43</v>
      </c>
      <c r="HV13" s="3">
        <v>37</v>
      </c>
      <c r="HW13" s="3">
        <v>0</v>
      </c>
      <c r="HX13" s="3">
        <v>46</v>
      </c>
      <c r="HY13" s="3">
        <v>30</v>
      </c>
      <c r="HZ13" s="3">
        <v>37</v>
      </c>
      <c r="IA13" s="3">
        <v>59</v>
      </c>
      <c r="IB13" s="3">
        <v>34</v>
      </c>
      <c r="IC13" s="3">
        <v>0</v>
      </c>
      <c r="ID13" s="3">
        <v>0</v>
      </c>
      <c r="IE13" s="3">
        <v>15</v>
      </c>
      <c r="IF13" s="3">
        <v>35</v>
      </c>
      <c r="IG13" s="3">
        <v>0</v>
      </c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6"/>
    </row>
    <row r="14" spans="1:258" hidden="1">
      <c r="A14" s="97" t="s">
        <v>25</v>
      </c>
      <c r="B14" s="98" t="s">
        <v>26</v>
      </c>
      <c r="C14" s="98" t="s">
        <v>27</v>
      </c>
      <c r="D14" s="99" t="s">
        <v>1106</v>
      </c>
      <c r="E14" s="98" t="s">
        <v>60</v>
      </c>
      <c r="F14" s="98" t="s">
        <v>61</v>
      </c>
      <c r="G14" s="98" t="s">
        <v>62</v>
      </c>
      <c r="H14" s="98" t="s">
        <v>1414</v>
      </c>
      <c r="I14" s="98" t="s">
        <v>1414</v>
      </c>
      <c r="J14" s="98" t="s">
        <v>1103</v>
      </c>
      <c r="K14" s="98" t="s">
        <v>1092</v>
      </c>
      <c r="L14" s="98" t="s">
        <v>63</v>
      </c>
      <c r="M14" s="101" t="s">
        <v>1093</v>
      </c>
      <c r="N14" s="139">
        <v>45190</v>
      </c>
      <c r="O14" s="100">
        <v>1</v>
      </c>
      <c r="P14" s="69">
        <v>0</v>
      </c>
      <c r="Q14" s="69">
        <f t="shared" si="21"/>
        <v>1</v>
      </c>
      <c r="R14" s="69">
        <f t="shared" si="163"/>
        <v>1</v>
      </c>
      <c r="S14" s="69">
        <f t="shared" si="164"/>
        <v>0</v>
      </c>
      <c r="T14" s="69">
        <f t="shared" si="165"/>
        <v>1</v>
      </c>
      <c r="U14" s="69">
        <f t="shared" si="166"/>
        <v>1</v>
      </c>
      <c r="V14" s="70">
        <f t="shared" si="167"/>
        <v>1</v>
      </c>
      <c r="W14" s="71">
        <f t="shared" si="168"/>
        <v>1</v>
      </c>
      <c r="X14" s="71">
        <f t="shared" si="169"/>
        <v>1</v>
      </c>
      <c r="Y14" s="71">
        <f t="shared" si="170"/>
        <v>0</v>
      </c>
      <c r="Z14" s="71">
        <f t="shared" si="171"/>
        <v>1</v>
      </c>
      <c r="AA14" s="71">
        <f t="shared" si="172"/>
        <v>1</v>
      </c>
      <c r="AB14" s="71">
        <f t="shared" si="173"/>
        <v>1</v>
      </c>
      <c r="AC14" s="71">
        <f t="shared" si="174"/>
        <v>1</v>
      </c>
      <c r="AD14" s="71">
        <f t="shared" si="175"/>
        <v>1</v>
      </c>
      <c r="AE14" s="71">
        <f t="shared" si="176"/>
        <v>1</v>
      </c>
      <c r="AF14" s="71">
        <f t="shared" si="177"/>
        <v>0</v>
      </c>
      <c r="AG14" s="71">
        <f t="shared" si="178"/>
        <v>1</v>
      </c>
      <c r="AH14" s="71">
        <f t="shared" si="179"/>
        <v>1</v>
      </c>
      <c r="AI14" s="71">
        <f t="shared" si="180"/>
        <v>1</v>
      </c>
      <c r="AJ14" s="71">
        <f t="shared" si="181"/>
        <v>0</v>
      </c>
      <c r="AK14" s="71">
        <f t="shared" si="182"/>
        <v>0</v>
      </c>
      <c r="AL14" s="71">
        <f t="shared" si="183"/>
        <v>0</v>
      </c>
      <c r="AM14" s="71">
        <f t="shared" si="184"/>
        <v>0</v>
      </c>
      <c r="AN14" s="71">
        <f t="shared" si="185"/>
        <v>0</v>
      </c>
      <c r="AO14" s="71">
        <f t="shared" si="186"/>
        <v>0</v>
      </c>
      <c r="AP14" s="71">
        <f t="shared" si="187"/>
        <v>0</v>
      </c>
      <c r="AQ14" s="71">
        <f t="shared" si="188"/>
        <v>0</v>
      </c>
      <c r="AR14" s="71">
        <f t="shared" si="189"/>
        <v>0</v>
      </c>
      <c r="AS14" s="71">
        <f t="shared" si="190"/>
        <v>0</v>
      </c>
      <c r="AT14" s="71">
        <f t="shared" si="191"/>
        <v>0</v>
      </c>
      <c r="AU14" s="71">
        <f t="shared" si="192"/>
        <v>0</v>
      </c>
      <c r="AV14" s="71">
        <f t="shared" si="193"/>
        <v>0</v>
      </c>
      <c r="AW14" s="71">
        <f t="shared" si="194"/>
        <v>0</v>
      </c>
      <c r="AX14" s="71">
        <f t="shared" si="195"/>
        <v>0</v>
      </c>
      <c r="AY14" s="71">
        <f t="shared" si="196"/>
        <v>0</v>
      </c>
      <c r="AZ14" s="72">
        <f t="shared" si="197"/>
        <v>0</v>
      </c>
      <c r="BA14" s="70">
        <f t="shared" si="60"/>
        <v>12</v>
      </c>
      <c r="BB14" s="69">
        <f t="shared" ca="1" si="61"/>
        <v>0.92307692307692313</v>
      </c>
      <c r="BC14" s="70">
        <f t="shared" si="198"/>
        <v>30</v>
      </c>
      <c r="BD14" s="71">
        <f t="shared" si="199"/>
        <v>33</v>
      </c>
      <c r="BE14" s="71">
        <f t="shared" si="200"/>
        <v>31</v>
      </c>
      <c r="BF14" s="71">
        <f t="shared" si="201"/>
        <v>0</v>
      </c>
      <c r="BG14" s="71">
        <f t="shared" si="202"/>
        <v>34</v>
      </c>
      <c r="BH14" s="71">
        <f t="shared" si="203"/>
        <v>45</v>
      </c>
      <c r="BI14" s="71">
        <f t="shared" si="204"/>
        <v>35</v>
      </c>
      <c r="BJ14" s="71">
        <f t="shared" si="205"/>
        <v>29</v>
      </c>
      <c r="BK14" s="71">
        <f t="shared" si="206"/>
        <v>41</v>
      </c>
      <c r="BL14" s="71">
        <f t="shared" si="207"/>
        <v>31</v>
      </c>
      <c r="BM14" s="71">
        <f t="shared" si="208"/>
        <v>0</v>
      </c>
      <c r="BN14" s="71">
        <f t="shared" si="209"/>
        <v>37</v>
      </c>
      <c r="BO14" s="71">
        <f t="shared" si="210"/>
        <v>44</v>
      </c>
      <c r="BP14" s="71">
        <f t="shared" si="211"/>
        <v>0</v>
      </c>
      <c r="BQ14" s="71">
        <f t="shared" si="212"/>
        <v>0</v>
      </c>
      <c r="BR14" s="71">
        <f t="shared" si="213"/>
        <v>0</v>
      </c>
      <c r="BS14" s="71">
        <f t="shared" si="214"/>
        <v>0</v>
      </c>
      <c r="BT14" s="71">
        <f t="shared" si="215"/>
        <v>0</v>
      </c>
      <c r="BU14" s="71">
        <f t="shared" si="216"/>
        <v>0</v>
      </c>
      <c r="BV14" s="71">
        <f t="shared" si="217"/>
        <v>0</v>
      </c>
      <c r="BW14" s="71">
        <f t="shared" si="218"/>
        <v>0</v>
      </c>
      <c r="BX14" s="71">
        <f t="shared" si="219"/>
        <v>0</v>
      </c>
      <c r="BY14" s="71">
        <f t="shared" si="220"/>
        <v>0</v>
      </c>
      <c r="BZ14" s="71">
        <f t="shared" si="221"/>
        <v>0</v>
      </c>
      <c r="CA14" s="71">
        <f t="shared" si="222"/>
        <v>0</v>
      </c>
      <c r="CB14" s="71">
        <f t="shared" si="223"/>
        <v>0</v>
      </c>
      <c r="CC14" s="71">
        <f t="shared" si="224"/>
        <v>0</v>
      </c>
      <c r="CD14" s="71">
        <f t="shared" si="225"/>
        <v>0</v>
      </c>
      <c r="CE14" s="71">
        <f t="shared" si="226"/>
        <v>0</v>
      </c>
      <c r="CF14" s="71">
        <f t="shared" si="227"/>
        <v>0</v>
      </c>
      <c r="CG14" s="71">
        <f t="shared" si="228"/>
        <v>0</v>
      </c>
      <c r="CH14" s="70">
        <f t="shared" si="93"/>
        <v>390</v>
      </c>
      <c r="CI14" s="69">
        <f t="shared" ca="1" si="94"/>
        <v>30</v>
      </c>
      <c r="GM14" s="2" t="s">
        <v>16</v>
      </c>
      <c r="GN14" s="98" t="str">
        <f t="shared" si="95"/>
        <v>KHI02-FMCG01-SPO-03</v>
      </c>
      <c r="GO14" s="4">
        <v>1</v>
      </c>
      <c r="GP14" s="3">
        <v>1</v>
      </c>
      <c r="GQ14" s="3">
        <v>1</v>
      </c>
      <c r="GR14" s="3">
        <v>0</v>
      </c>
      <c r="GS14" s="3">
        <v>1</v>
      </c>
      <c r="GT14" s="3">
        <v>1</v>
      </c>
      <c r="GU14" s="3">
        <v>1</v>
      </c>
      <c r="GV14" s="3">
        <v>1</v>
      </c>
      <c r="GW14" s="3">
        <v>1</v>
      </c>
      <c r="GX14" s="3">
        <v>1</v>
      </c>
      <c r="GY14" s="3">
        <v>0</v>
      </c>
      <c r="GZ14" s="3">
        <v>1</v>
      </c>
      <c r="HA14" s="3">
        <v>1</v>
      </c>
      <c r="HB14" s="3">
        <v>1</v>
      </c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6"/>
      <c r="HT14" s="4">
        <v>30</v>
      </c>
      <c r="HU14" s="3">
        <v>33</v>
      </c>
      <c r="HV14" s="3">
        <v>31</v>
      </c>
      <c r="HW14" s="3">
        <v>0</v>
      </c>
      <c r="HX14" s="3">
        <v>34</v>
      </c>
      <c r="HY14" s="3">
        <v>45</v>
      </c>
      <c r="HZ14" s="3">
        <v>35</v>
      </c>
      <c r="IA14" s="3">
        <v>29</v>
      </c>
      <c r="IB14" s="3">
        <v>41</v>
      </c>
      <c r="IC14" s="3">
        <v>31</v>
      </c>
      <c r="ID14" s="3">
        <v>0</v>
      </c>
      <c r="IE14" s="3">
        <v>37</v>
      </c>
      <c r="IF14" s="3">
        <v>44</v>
      </c>
      <c r="IG14" s="3">
        <v>0</v>
      </c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6"/>
    </row>
    <row r="15" spans="1:258" hidden="1">
      <c r="A15" s="97" t="s">
        <v>25</v>
      </c>
      <c r="B15" s="98" t="s">
        <v>26</v>
      </c>
      <c r="C15" s="98" t="s">
        <v>27</v>
      </c>
      <c r="D15" s="99" t="s">
        <v>1106</v>
      </c>
      <c r="E15" s="98" t="s">
        <v>64</v>
      </c>
      <c r="F15" s="98" t="s">
        <v>65</v>
      </c>
      <c r="G15" s="98" t="s">
        <v>66</v>
      </c>
      <c r="H15" s="98" t="s">
        <v>1415</v>
      </c>
      <c r="I15" s="98" t="s">
        <v>1415</v>
      </c>
      <c r="J15" s="98" t="s">
        <v>1104</v>
      </c>
      <c r="K15" s="98" t="s">
        <v>1092</v>
      </c>
      <c r="L15" s="98" t="s">
        <v>912</v>
      </c>
      <c r="M15" s="101" t="s">
        <v>1093</v>
      </c>
      <c r="N15" s="139">
        <v>46192</v>
      </c>
      <c r="O15" s="100">
        <v>1</v>
      </c>
      <c r="P15" s="69">
        <v>0</v>
      </c>
      <c r="Q15" s="69">
        <f t="shared" si="21"/>
        <v>1</v>
      </c>
      <c r="R15" s="69">
        <f t="shared" si="163"/>
        <v>1</v>
      </c>
      <c r="S15" s="69">
        <f t="shared" si="164"/>
        <v>0</v>
      </c>
      <c r="T15" s="69">
        <f t="shared" si="165"/>
        <v>1</v>
      </c>
      <c r="U15" s="69">
        <f t="shared" si="166"/>
        <v>1</v>
      </c>
      <c r="V15" s="70">
        <f t="shared" si="167"/>
        <v>1</v>
      </c>
      <c r="W15" s="71">
        <f t="shared" si="168"/>
        <v>1</v>
      </c>
      <c r="X15" s="71">
        <f t="shared" si="169"/>
        <v>1</v>
      </c>
      <c r="Y15" s="71">
        <f t="shared" si="170"/>
        <v>0</v>
      </c>
      <c r="Z15" s="71">
        <f t="shared" si="171"/>
        <v>1</v>
      </c>
      <c r="AA15" s="71">
        <f t="shared" si="172"/>
        <v>1</v>
      </c>
      <c r="AB15" s="71">
        <f t="shared" si="173"/>
        <v>1</v>
      </c>
      <c r="AC15" s="71">
        <f t="shared" si="174"/>
        <v>1</v>
      </c>
      <c r="AD15" s="71">
        <f t="shared" si="175"/>
        <v>1</v>
      </c>
      <c r="AE15" s="71">
        <f t="shared" si="176"/>
        <v>1</v>
      </c>
      <c r="AF15" s="71">
        <f t="shared" si="177"/>
        <v>0</v>
      </c>
      <c r="AG15" s="71">
        <f t="shared" si="178"/>
        <v>1</v>
      </c>
      <c r="AH15" s="71">
        <f t="shared" si="179"/>
        <v>1</v>
      </c>
      <c r="AI15" s="71">
        <f t="shared" si="180"/>
        <v>1</v>
      </c>
      <c r="AJ15" s="71">
        <f t="shared" si="181"/>
        <v>0</v>
      </c>
      <c r="AK15" s="71">
        <f t="shared" si="182"/>
        <v>0</v>
      </c>
      <c r="AL15" s="71">
        <f t="shared" si="183"/>
        <v>0</v>
      </c>
      <c r="AM15" s="71">
        <f t="shared" si="184"/>
        <v>0</v>
      </c>
      <c r="AN15" s="71">
        <f t="shared" si="185"/>
        <v>0</v>
      </c>
      <c r="AO15" s="71">
        <f t="shared" si="186"/>
        <v>0</v>
      </c>
      <c r="AP15" s="71">
        <f t="shared" si="187"/>
        <v>0</v>
      </c>
      <c r="AQ15" s="71">
        <f t="shared" si="188"/>
        <v>0</v>
      </c>
      <c r="AR15" s="71">
        <f t="shared" si="189"/>
        <v>0</v>
      </c>
      <c r="AS15" s="71">
        <f t="shared" si="190"/>
        <v>0</v>
      </c>
      <c r="AT15" s="71">
        <f t="shared" si="191"/>
        <v>0</v>
      </c>
      <c r="AU15" s="71">
        <f t="shared" si="192"/>
        <v>0</v>
      </c>
      <c r="AV15" s="71">
        <f t="shared" si="193"/>
        <v>0</v>
      </c>
      <c r="AW15" s="71">
        <f t="shared" si="194"/>
        <v>0</v>
      </c>
      <c r="AX15" s="71">
        <f t="shared" si="195"/>
        <v>0</v>
      </c>
      <c r="AY15" s="71">
        <f t="shared" si="196"/>
        <v>0</v>
      </c>
      <c r="AZ15" s="72">
        <f t="shared" si="197"/>
        <v>0</v>
      </c>
      <c r="BA15" s="70">
        <f t="shared" si="60"/>
        <v>12</v>
      </c>
      <c r="BB15" s="69">
        <f t="shared" ca="1" si="61"/>
        <v>0.92307692307692313</v>
      </c>
      <c r="BC15" s="70">
        <f t="shared" si="198"/>
        <v>41</v>
      </c>
      <c r="BD15" s="71">
        <f t="shared" si="199"/>
        <v>29</v>
      </c>
      <c r="BE15" s="71">
        <f t="shared" si="200"/>
        <v>36</v>
      </c>
      <c r="BF15" s="71">
        <f t="shared" si="201"/>
        <v>0</v>
      </c>
      <c r="BG15" s="71">
        <f t="shared" si="202"/>
        <v>40</v>
      </c>
      <c r="BH15" s="71">
        <f t="shared" si="203"/>
        <v>40</v>
      </c>
      <c r="BI15" s="71">
        <f t="shared" si="204"/>
        <v>34</v>
      </c>
      <c r="BJ15" s="71">
        <f t="shared" si="205"/>
        <v>35</v>
      </c>
      <c r="BK15" s="71">
        <f t="shared" si="206"/>
        <v>42</v>
      </c>
      <c r="BL15" s="71">
        <f t="shared" si="207"/>
        <v>39</v>
      </c>
      <c r="BM15" s="71">
        <f t="shared" si="208"/>
        <v>0</v>
      </c>
      <c r="BN15" s="71">
        <f t="shared" si="209"/>
        <v>34</v>
      </c>
      <c r="BO15" s="71">
        <f t="shared" si="210"/>
        <v>40</v>
      </c>
      <c r="BP15" s="71">
        <f t="shared" si="211"/>
        <v>0</v>
      </c>
      <c r="BQ15" s="71">
        <f t="shared" si="212"/>
        <v>0</v>
      </c>
      <c r="BR15" s="71">
        <f t="shared" si="213"/>
        <v>0</v>
      </c>
      <c r="BS15" s="71">
        <f t="shared" si="214"/>
        <v>0</v>
      </c>
      <c r="BT15" s="71">
        <f t="shared" si="215"/>
        <v>0</v>
      </c>
      <c r="BU15" s="71">
        <f t="shared" si="216"/>
        <v>0</v>
      </c>
      <c r="BV15" s="71">
        <f t="shared" si="217"/>
        <v>0</v>
      </c>
      <c r="BW15" s="71">
        <f t="shared" si="218"/>
        <v>0</v>
      </c>
      <c r="BX15" s="71">
        <f t="shared" si="219"/>
        <v>0</v>
      </c>
      <c r="BY15" s="71">
        <f t="shared" si="220"/>
        <v>0</v>
      </c>
      <c r="BZ15" s="71">
        <f t="shared" si="221"/>
        <v>0</v>
      </c>
      <c r="CA15" s="71">
        <f t="shared" si="222"/>
        <v>0</v>
      </c>
      <c r="CB15" s="71">
        <f t="shared" si="223"/>
        <v>0</v>
      </c>
      <c r="CC15" s="71">
        <f t="shared" si="224"/>
        <v>0</v>
      </c>
      <c r="CD15" s="71">
        <f t="shared" si="225"/>
        <v>0</v>
      </c>
      <c r="CE15" s="71">
        <f t="shared" si="226"/>
        <v>0</v>
      </c>
      <c r="CF15" s="71">
        <f t="shared" si="227"/>
        <v>0</v>
      </c>
      <c r="CG15" s="71">
        <f t="shared" si="228"/>
        <v>0</v>
      </c>
      <c r="CH15" s="70">
        <f t="shared" si="93"/>
        <v>410</v>
      </c>
      <c r="CI15" s="69">
        <f t="shared" ca="1" si="94"/>
        <v>31.53846153846154</v>
      </c>
      <c r="GM15" s="2" t="s">
        <v>16</v>
      </c>
      <c r="GN15" s="98" t="str">
        <f t="shared" si="95"/>
        <v>KHI02-FMCG01-SPO-04</v>
      </c>
      <c r="GO15" s="4">
        <v>1</v>
      </c>
      <c r="GP15" s="3">
        <v>1</v>
      </c>
      <c r="GQ15" s="3">
        <v>1</v>
      </c>
      <c r="GR15" s="3">
        <v>0</v>
      </c>
      <c r="GS15" s="3">
        <v>1</v>
      </c>
      <c r="GT15" s="3">
        <v>1</v>
      </c>
      <c r="GU15" s="3">
        <v>1</v>
      </c>
      <c r="GV15" s="3">
        <v>1</v>
      </c>
      <c r="GW15" s="3">
        <v>1</v>
      </c>
      <c r="GX15" s="3">
        <v>1</v>
      </c>
      <c r="GY15" s="3">
        <v>0</v>
      </c>
      <c r="GZ15" s="3">
        <v>1</v>
      </c>
      <c r="HA15" s="3">
        <v>1</v>
      </c>
      <c r="HB15" s="3">
        <v>1</v>
      </c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6"/>
      <c r="HT15" s="4">
        <v>41</v>
      </c>
      <c r="HU15" s="3">
        <v>29</v>
      </c>
      <c r="HV15" s="3">
        <v>36</v>
      </c>
      <c r="HW15" s="3">
        <v>0</v>
      </c>
      <c r="HX15" s="3">
        <v>40</v>
      </c>
      <c r="HY15" s="3">
        <v>40</v>
      </c>
      <c r="HZ15" s="3">
        <v>34</v>
      </c>
      <c r="IA15" s="3">
        <v>35</v>
      </c>
      <c r="IB15" s="3">
        <v>42</v>
      </c>
      <c r="IC15" s="3">
        <v>39</v>
      </c>
      <c r="ID15" s="3">
        <v>0</v>
      </c>
      <c r="IE15" s="3">
        <v>34</v>
      </c>
      <c r="IF15" s="3">
        <v>40</v>
      </c>
      <c r="IG15" s="3">
        <v>0</v>
      </c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6"/>
    </row>
    <row r="16" spans="1:258" hidden="1">
      <c r="A16" s="97" t="s">
        <v>25</v>
      </c>
      <c r="B16" s="98" t="s">
        <v>26</v>
      </c>
      <c r="C16" s="98" t="s">
        <v>27</v>
      </c>
      <c r="D16" s="99" t="s">
        <v>1106</v>
      </c>
      <c r="E16" s="98" t="s">
        <v>67</v>
      </c>
      <c r="F16" s="98" t="s">
        <v>68</v>
      </c>
      <c r="G16" s="98" t="s">
        <v>69</v>
      </c>
      <c r="H16" s="98" t="s">
        <v>1416</v>
      </c>
      <c r="I16" s="98" t="s">
        <v>1416</v>
      </c>
      <c r="J16" s="98" t="s">
        <v>1103</v>
      </c>
      <c r="K16" s="98" t="s">
        <v>1092</v>
      </c>
      <c r="L16" s="98" t="s">
        <v>70</v>
      </c>
      <c r="M16" s="101" t="s">
        <v>1093</v>
      </c>
      <c r="N16" s="139">
        <v>45519</v>
      </c>
      <c r="O16" s="100">
        <v>1</v>
      </c>
      <c r="P16" s="69">
        <v>0</v>
      </c>
      <c r="Q16" s="69">
        <f t="shared" si="21"/>
        <v>0</v>
      </c>
      <c r="R16" s="69">
        <f t="shared" si="163"/>
        <v>1</v>
      </c>
      <c r="S16" s="69">
        <f t="shared" si="164"/>
        <v>0</v>
      </c>
      <c r="T16" s="69">
        <f t="shared" si="165"/>
        <v>1</v>
      </c>
      <c r="U16" s="69">
        <f t="shared" si="166"/>
        <v>1</v>
      </c>
      <c r="V16" s="70">
        <f t="shared" si="167"/>
        <v>0</v>
      </c>
      <c r="W16" s="71">
        <f t="shared" si="168"/>
        <v>1</v>
      </c>
      <c r="X16" s="71">
        <f t="shared" si="169"/>
        <v>1</v>
      </c>
      <c r="Y16" s="71">
        <f t="shared" si="170"/>
        <v>0</v>
      </c>
      <c r="Z16" s="71">
        <f t="shared" si="171"/>
        <v>1</v>
      </c>
      <c r="AA16" s="71">
        <f t="shared" si="172"/>
        <v>1</v>
      </c>
      <c r="AB16" s="71">
        <f t="shared" si="173"/>
        <v>1</v>
      </c>
      <c r="AC16" s="71">
        <f t="shared" si="174"/>
        <v>1</v>
      </c>
      <c r="AD16" s="71">
        <f t="shared" si="175"/>
        <v>1</v>
      </c>
      <c r="AE16" s="71">
        <f t="shared" si="176"/>
        <v>1</v>
      </c>
      <c r="AF16" s="71">
        <f t="shared" si="177"/>
        <v>0</v>
      </c>
      <c r="AG16" s="71">
        <f t="shared" si="178"/>
        <v>1</v>
      </c>
      <c r="AH16" s="71">
        <f t="shared" si="179"/>
        <v>1</v>
      </c>
      <c r="AI16" s="71">
        <f t="shared" si="180"/>
        <v>0</v>
      </c>
      <c r="AJ16" s="71">
        <f t="shared" si="181"/>
        <v>0</v>
      </c>
      <c r="AK16" s="71">
        <f t="shared" si="182"/>
        <v>0</v>
      </c>
      <c r="AL16" s="71">
        <f t="shared" si="183"/>
        <v>0</v>
      </c>
      <c r="AM16" s="71">
        <f t="shared" si="184"/>
        <v>0</v>
      </c>
      <c r="AN16" s="71">
        <f t="shared" si="185"/>
        <v>0</v>
      </c>
      <c r="AO16" s="71">
        <f t="shared" si="186"/>
        <v>0</v>
      </c>
      <c r="AP16" s="71">
        <f t="shared" si="187"/>
        <v>0</v>
      </c>
      <c r="AQ16" s="71">
        <f t="shared" si="188"/>
        <v>0</v>
      </c>
      <c r="AR16" s="71">
        <f t="shared" si="189"/>
        <v>0</v>
      </c>
      <c r="AS16" s="71">
        <f t="shared" si="190"/>
        <v>0</v>
      </c>
      <c r="AT16" s="71">
        <f t="shared" si="191"/>
        <v>0</v>
      </c>
      <c r="AU16" s="71">
        <f t="shared" si="192"/>
        <v>0</v>
      </c>
      <c r="AV16" s="71">
        <f t="shared" si="193"/>
        <v>0</v>
      </c>
      <c r="AW16" s="71">
        <f t="shared" si="194"/>
        <v>0</v>
      </c>
      <c r="AX16" s="71">
        <f t="shared" si="195"/>
        <v>0</v>
      </c>
      <c r="AY16" s="71">
        <f t="shared" si="196"/>
        <v>0</v>
      </c>
      <c r="AZ16" s="72">
        <f t="shared" si="197"/>
        <v>0</v>
      </c>
      <c r="BA16" s="70">
        <f t="shared" si="60"/>
        <v>10</v>
      </c>
      <c r="BB16" s="69">
        <f t="shared" ca="1" si="61"/>
        <v>0.76923076923076927</v>
      </c>
      <c r="BC16" s="70">
        <f t="shared" si="198"/>
        <v>39</v>
      </c>
      <c r="BD16" s="71">
        <f t="shared" si="199"/>
        <v>40</v>
      </c>
      <c r="BE16" s="71">
        <f t="shared" si="200"/>
        <v>0</v>
      </c>
      <c r="BF16" s="71">
        <f t="shared" si="201"/>
        <v>0</v>
      </c>
      <c r="BG16" s="71">
        <f t="shared" si="202"/>
        <v>41</v>
      </c>
      <c r="BH16" s="71">
        <f t="shared" si="203"/>
        <v>43</v>
      </c>
      <c r="BI16" s="71">
        <f t="shared" si="204"/>
        <v>0</v>
      </c>
      <c r="BJ16" s="71">
        <f t="shared" si="205"/>
        <v>45</v>
      </c>
      <c r="BK16" s="71">
        <f t="shared" si="206"/>
        <v>44</v>
      </c>
      <c r="BL16" s="71">
        <f t="shared" si="207"/>
        <v>0</v>
      </c>
      <c r="BM16" s="71">
        <f t="shared" si="208"/>
        <v>0</v>
      </c>
      <c r="BN16" s="71">
        <f t="shared" si="209"/>
        <v>0</v>
      </c>
      <c r="BO16" s="71">
        <f t="shared" si="210"/>
        <v>49</v>
      </c>
      <c r="BP16" s="71">
        <f t="shared" si="211"/>
        <v>0</v>
      </c>
      <c r="BQ16" s="71">
        <f t="shared" si="212"/>
        <v>0</v>
      </c>
      <c r="BR16" s="71">
        <f t="shared" si="213"/>
        <v>0</v>
      </c>
      <c r="BS16" s="71">
        <f t="shared" si="214"/>
        <v>0</v>
      </c>
      <c r="BT16" s="71">
        <f t="shared" si="215"/>
        <v>0</v>
      </c>
      <c r="BU16" s="71">
        <f t="shared" si="216"/>
        <v>0</v>
      </c>
      <c r="BV16" s="71">
        <f t="shared" si="217"/>
        <v>0</v>
      </c>
      <c r="BW16" s="71">
        <f t="shared" si="218"/>
        <v>0</v>
      </c>
      <c r="BX16" s="71">
        <f t="shared" si="219"/>
        <v>0</v>
      </c>
      <c r="BY16" s="71">
        <f t="shared" si="220"/>
        <v>0</v>
      </c>
      <c r="BZ16" s="71">
        <f t="shared" si="221"/>
        <v>0</v>
      </c>
      <c r="CA16" s="71">
        <f t="shared" si="222"/>
        <v>0</v>
      </c>
      <c r="CB16" s="71">
        <f t="shared" si="223"/>
        <v>0</v>
      </c>
      <c r="CC16" s="71">
        <f t="shared" si="224"/>
        <v>0</v>
      </c>
      <c r="CD16" s="71">
        <f t="shared" si="225"/>
        <v>0</v>
      </c>
      <c r="CE16" s="71">
        <f t="shared" si="226"/>
        <v>0</v>
      </c>
      <c r="CF16" s="71">
        <f t="shared" si="227"/>
        <v>0</v>
      </c>
      <c r="CG16" s="71">
        <f t="shared" si="228"/>
        <v>0</v>
      </c>
      <c r="CH16" s="70">
        <f t="shared" si="93"/>
        <v>301</v>
      </c>
      <c r="CI16" s="69">
        <f t="shared" ca="1" si="94"/>
        <v>23.153846153846153</v>
      </c>
      <c r="GM16" s="2" t="s">
        <v>16</v>
      </c>
      <c r="GN16" s="98" t="str">
        <f t="shared" si="95"/>
        <v>KHI02-FMCG01-SPO-05</v>
      </c>
      <c r="GO16" s="4">
        <v>0</v>
      </c>
      <c r="GP16" s="3">
        <v>1</v>
      </c>
      <c r="GQ16" s="3">
        <v>1</v>
      </c>
      <c r="GR16" s="3">
        <v>0</v>
      </c>
      <c r="GS16" s="3">
        <v>1</v>
      </c>
      <c r="GT16" s="3">
        <v>1</v>
      </c>
      <c r="GU16" s="3">
        <v>1</v>
      </c>
      <c r="GV16" s="3">
        <v>1</v>
      </c>
      <c r="GW16" s="3">
        <v>1</v>
      </c>
      <c r="GX16" s="3">
        <v>1</v>
      </c>
      <c r="GY16" s="3">
        <v>0</v>
      </c>
      <c r="GZ16" s="3">
        <v>1</v>
      </c>
      <c r="HA16" s="3">
        <v>1</v>
      </c>
      <c r="HB16" s="3">
        <v>0</v>
      </c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6"/>
      <c r="HT16" s="4">
        <v>39</v>
      </c>
      <c r="HU16" s="3">
        <v>40</v>
      </c>
      <c r="HV16" s="3">
        <v>0</v>
      </c>
      <c r="HW16" s="3">
        <v>0</v>
      </c>
      <c r="HX16" s="3">
        <v>41</v>
      </c>
      <c r="HY16" s="3">
        <v>43</v>
      </c>
      <c r="HZ16" s="3">
        <v>0</v>
      </c>
      <c r="IA16" s="3">
        <v>45</v>
      </c>
      <c r="IB16" s="3">
        <v>44</v>
      </c>
      <c r="IC16" s="3">
        <v>0</v>
      </c>
      <c r="ID16" s="3">
        <v>0</v>
      </c>
      <c r="IE16" s="3">
        <v>0</v>
      </c>
      <c r="IF16" s="3">
        <v>49</v>
      </c>
      <c r="IG16" s="3">
        <v>0</v>
      </c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6"/>
    </row>
    <row r="17" spans="1:258" hidden="1">
      <c r="A17" s="97" t="s">
        <v>1287</v>
      </c>
      <c r="B17" s="98" t="s">
        <v>26</v>
      </c>
      <c r="C17" s="98" t="s">
        <v>27</v>
      </c>
      <c r="D17" s="99" t="s">
        <v>1106</v>
      </c>
      <c r="E17" s="98" t="s">
        <v>1098</v>
      </c>
      <c r="F17" s="98" t="s">
        <v>71</v>
      </c>
      <c r="G17" s="98" t="s">
        <v>72</v>
      </c>
      <c r="H17" s="98" t="s">
        <v>1417</v>
      </c>
      <c r="I17" s="98" t="s">
        <v>1417</v>
      </c>
      <c r="J17" s="98" t="s">
        <v>857</v>
      </c>
      <c r="K17" s="98" t="s">
        <v>1099</v>
      </c>
      <c r="L17" s="98" t="s">
        <v>1099</v>
      </c>
      <c r="M17" s="98" t="s">
        <v>1099</v>
      </c>
      <c r="N17" s="108">
        <v>45474</v>
      </c>
      <c r="O17" s="100">
        <v>0</v>
      </c>
      <c r="P17" s="69">
        <v>0</v>
      </c>
      <c r="Q17" s="69">
        <f t="shared" si="21"/>
        <v>0</v>
      </c>
      <c r="R17" s="69">
        <f t="shared" si="163"/>
        <v>0</v>
      </c>
      <c r="S17" s="69">
        <f t="shared" si="164"/>
        <v>0</v>
      </c>
      <c r="T17" s="69">
        <f t="shared" si="165"/>
        <v>0</v>
      </c>
      <c r="U17" s="69">
        <f t="shared" si="166"/>
        <v>0</v>
      </c>
      <c r="V17" s="70">
        <f t="shared" si="167"/>
        <v>0</v>
      </c>
      <c r="W17" s="71">
        <f t="shared" si="168"/>
        <v>0</v>
      </c>
      <c r="X17" s="71">
        <f t="shared" si="169"/>
        <v>0</v>
      </c>
      <c r="Y17" s="71">
        <f t="shared" si="170"/>
        <v>0</v>
      </c>
      <c r="Z17" s="71">
        <f t="shared" si="171"/>
        <v>0</v>
      </c>
      <c r="AA17" s="71">
        <f t="shared" si="172"/>
        <v>0</v>
      </c>
      <c r="AB17" s="71">
        <f t="shared" si="173"/>
        <v>0</v>
      </c>
      <c r="AC17" s="71">
        <f t="shared" si="174"/>
        <v>0</v>
      </c>
      <c r="AD17" s="71">
        <f t="shared" si="175"/>
        <v>0</v>
      </c>
      <c r="AE17" s="71">
        <f t="shared" si="176"/>
        <v>0</v>
      </c>
      <c r="AF17" s="71">
        <f t="shared" si="177"/>
        <v>0</v>
      </c>
      <c r="AG17" s="71">
        <f t="shared" si="178"/>
        <v>0</v>
      </c>
      <c r="AH17" s="71">
        <f t="shared" si="179"/>
        <v>0</v>
      </c>
      <c r="AI17" s="71">
        <f t="shared" si="180"/>
        <v>0</v>
      </c>
      <c r="AJ17" s="71">
        <f t="shared" si="181"/>
        <v>0</v>
      </c>
      <c r="AK17" s="71">
        <f t="shared" si="182"/>
        <v>0</v>
      </c>
      <c r="AL17" s="71">
        <f t="shared" si="183"/>
        <v>0</v>
      </c>
      <c r="AM17" s="71">
        <f t="shared" si="184"/>
        <v>0</v>
      </c>
      <c r="AN17" s="71">
        <f t="shared" si="185"/>
        <v>0</v>
      </c>
      <c r="AO17" s="71">
        <f t="shared" si="186"/>
        <v>0</v>
      </c>
      <c r="AP17" s="71">
        <f t="shared" si="187"/>
        <v>0</v>
      </c>
      <c r="AQ17" s="71">
        <f t="shared" si="188"/>
        <v>0</v>
      </c>
      <c r="AR17" s="71">
        <f t="shared" si="189"/>
        <v>0</v>
      </c>
      <c r="AS17" s="71">
        <f t="shared" si="190"/>
        <v>0</v>
      </c>
      <c r="AT17" s="71">
        <f t="shared" si="191"/>
        <v>0</v>
      </c>
      <c r="AU17" s="71">
        <f t="shared" si="192"/>
        <v>0</v>
      </c>
      <c r="AV17" s="71">
        <f t="shared" si="193"/>
        <v>0</v>
      </c>
      <c r="AW17" s="71">
        <f t="shared" si="194"/>
        <v>0</v>
      </c>
      <c r="AX17" s="71">
        <f t="shared" si="195"/>
        <v>0</v>
      </c>
      <c r="AY17" s="71">
        <f t="shared" si="196"/>
        <v>0</v>
      </c>
      <c r="AZ17" s="72">
        <f t="shared" si="197"/>
        <v>0</v>
      </c>
      <c r="BA17" s="70">
        <f t="shared" si="60"/>
        <v>0</v>
      </c>
      <c r="BB17" s="69">
        <f t="shared" ca="1" si="61"/>
        <v>0</v>
      </c>
      <c r="BC17" s="70">
        <f t="shared" si="198"/>
        <v>0</v>
      </c>
      <c r="BD17" s="71">
        <f t="shared" si="199"/>
        <v>0</v>
      </c>
      <c r="BE17" s="71">
        <f t="shared" si="200"/>
        <v>0</v>
      </c>
      <c r="BF17" s="71">
        <f t="shared" si="201"/>
        <v>0</v>
      </c>
      <c r="BG17" s="71">
        <f t="shared" si="202"/>
        <v>0</v>
      </c>
      <c r="BH17" s="71">
        <f t="shared" si="203"/>
        <v>0</v>
      </c>
      <c r="BI17" s="71">
        <f t="shared" si="204"/>
        <v>0</v>
      </c>
      <c r="BJ17" s="71">
        <f t="shared" si="205"/>
        <v>0</v>
      </c>
      <c r="BK17" s="71">
        <f t="shared" si="206"/>
        <v>0</v>
      </c>
      <c r="BL17" s="71">
        <f t="shared" si="207"/>
        <v>0</v>
      </c>
      <c r="BM17" s="71">
        <f t="shared" si="208"/>
        <v>0</v>
      </c>
      <c r="BN17" s="71">
        <f t="shared" si="209"/>
        <v>0</v>
      </c>
      <c r="BO17" s="71">
        <f t="shared" si="210"/>
        <v>0</v>
      </c>
      <c r="BP17" s="71">
        <f t="shared" si="211"/>
        <v>0</v>
      </c>
      <c r="BQ17" s="71">
        <f t="shared" si="212"/>
        <v>0</v>
      </c>
      <c r="BR17" s="71">
        <f t="shared" si="213"/>
        <v>0</v>
      </c>
      <c r="BS17" s="71">
        <f t="shared" si="214"/>
        <v>0</v>
      </c>
      <c r="BT17" s="71">
        <f t="shared" si="215"/>
        <v>0</v>
      </c>
      <c r="BU17" s="71">
        <f t="shared" si="216"/>
        <v>0</v>
      </c>
      <c r="BV17" s="71">
        <f t="shared" si="217"/>
        <v>0</v>
      </c>
      <c r="BW17" s="71">
        <f t="shared" si="218"/>
        <v>0</v>
      </c>
      <c r="BX17" s="71">
        <f t="shared" si="219"/>
        <v>0</v>
      </c>
      <c r="BY17" s="71">
        <f t="shared" si="220"/>
        <v>0</v>
      </c>
      <c r="BZ17" s="71">
        <f t="shared" si="221"/>
        <v>0</v>
      </c>
      <c r="CA17" s="71">
        <f t="shared" si="222"/>
        <v>0</v>
      </c>
      <c r="CB17" s="71">
        <f t="shared" si="223"/>
        <v>0</v>
      </c>
      <c r="CC17" s="71">
        <f t="shared" si="224"/>
        <v>0</v>
      </c>
      <c r="CD17" s="71">
        <f t="shared" si="225"/>
        <v>0</v>
      </c>
      <c r="CE17" s="71">
        <f t="shared" si="226"/>
        <v>0</v>
      </c>
      <c r="CF17" s="71">
        <f t="shared" si="227"/>
        <v>0</v>
      </c>
      <c r="CG17" s="71">
        <f t="shared" si="228"/>
        <v>0</v>
      </c>
      <c r="CH17" s="70">
        <f t="shared" si="93"/>
        <v>0</v>
      </c>
      <c r="CI17" s="69">
        <f t="shared" ca="1" si="94"/>
        <v>0</v>
      </c>
      <c r="GM17" s="2" t="s">
        <v>16</v>
      </c>
      <c r="GN17" s="98" t="str">
        <f t="shared" si="95"/>
        <v>KHI02-FMCG01-SPO-00</v>
      </c>
      <c r="GO17" s="4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6"/>
      <c r="HT17" s="4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6"/>
    </row>
    <row r="18" spans="1:258" hidden="1">
      <c r="A18" s="97" t="s">
        <v>1380</v>
      </c>
      <c r="B18" s="98" t="s">
        <v>26</v>
      </c>
      <c r="C18" s="98" t="s">
        <v>27</v>
      </c>
      <c r="D18" s="99" t="s">
        <v>1106</v>
      </c>
      <c r="E18" s="98" t="s">
        <v>73</v>
      </c>
      <c r="F18" s="98" t="s">
        <v>74</v>
      </c>
      <c r="G18" s="98" t="s">
        <v>75</v>
      </c>
      <c r="H18" s="98" t="s">
        <v>1105</v>
      </c>
      <c r="I18" s="98" t="s">
        <v>1105</v>
      </c>
      <c r="J18" s="98" t="s">
        <v>857</v>
      </c>
      <c r="K18" s="98" t="s">
        <v>1092</v>
      </c>
      <c r="L18" s="98" t="s">
        <v>77</v>
      </c>
      <c r="M18" s="101" t="s">
        <v>1093</v>
      </c>
      <c r="N18" s="108">
        <v>44215</v>
      </c>
      <c r="O18" s="100">
        <v>0</v>
      </c>
      <c r="P18" s="69">
        <v>0</v>
      </c>
      <c r="Q18" s="69">
        <f t="shared" si="21"/>
        <v>0</v>
      </c>
      <c r="R18" s="69">
        <f t="shared" si="163"/>
        <v>0</v>
      </c>
      <c r="S18" s="69">
        <f t="shared" si="164"/>
        <v>0</v>
      </c>
      <c r="T18" s="69">
        <f t="shared" si="165"/>
        <v>0</v>
      </c>
      <c r="U18" s="69">
        <f t="shared" si="166"/>
        <v>0</v>
      </c>
      <c r="V18" s="70">
        <f t="shared" si="167"/>
        <v>0</v>
      </c>
      <c r="W18" s="71">
        <f t="shared" si="168"/>
        <v>0</v>
      </c>
      <c r="X18" s="71">
        <f t="shared" si="169"/>
        <v>0</v>
      </c>
      <c r="Y18" s="71">
        <f t="shared" si="170"/>
        <v>0</v>
      </c>
      <c r="Z18" s="71">
        <f t="shared" si="171"/>
        <v>0</v>
      </c>
      <c r="AA18" s="71">
        <f t="shared" si="172"/>
        <v>0</v>
      </c>
      <c r="AB18" s="71">
        <f t="shared" si="173"/>
        <v>0</v>
      </c>
      <c r="AC18" s="71">
        <f t="shared" si="174"/>
        <v>0</v>
      </c>
      <c r="AD18" s="71">
        <f t="shared" si="175"/>
        <v>0</v>
      </c>
      <c r="AE18" s="71">
        <f t="shared" si="176"/>
        <v>0</v>
      </c>
      <c r="AF18" s="71">
        <f t="shared" si="177"/>
        <v>0</v>
      </c>
      <c r="AG18" s="71">
        <f t="shared" si="178"/>
        <v>0</v>
      </c>
      <c r="AH18" s="71">
        <f t="shared" si="179"/>
        <v>0</v>
      </c>
      <c r="AI18" s="71">
        <f t="shared" si="180"/>
        <v>0</v>
      </c>
      <c r="AJ18" s="71">
        <f t="shared" si="181"/>
        <v>0</v>
      </c>
      <c r="AK18" s="71">
        <f t="shared" si="182"/>
        <v>0</v>
      </c>
      <c r="AL18" s="71">
        <f t="shared" si="183"/>
        <v>0</v>
      </c>
      <c r="AM18" s="71">
        <f t="shared" si="184"/>
        <v>0</v>
      </c>
      <c r="AN18" s="71">
        <f t="shared" si="185"/>
        <v>0</v>
      </c>
      <c r="AO18" s="71">
        <f t="shared" si="186"/>
        <v>0</v>
      </c>
      <c r="AP18" s="71">
        <f t="shared" si="187"/>
        <v>0</v>
      </c>
      <c r="AQ18" s="71">
        <f t="shared" si="188"/>
        <v>0</v>
      </c>
      <c r="AR18" s="71">
        <f t="shared" si="189"/>
        <v>0</v>
      </c>
      <c r="AS18" s="71">
        <f t="shared" si="190"/>
        <v>0</v>
      </c>
      <c r="AT18" s="71">
        <f t="shared" si="191"/>
        <v>0</v>
      </c>
      <c r="AU18" s="71">
        <f t="shared" si="192"/>
        <v>0</v>
      </c>
      <c r="AV18" s="71">
        <f t="shared" si="193"/>
        <v>0</v>
      </c>
      <c r="AW18" s="71">
        <f t="shared" si="194"/>
        <v>0</v>
      </c>
      <c r="AX18" s="71">
        <f t="shared" si="195"/>
        <v>0</v>
      </c>
      <c r="AY18" s="71">
        <f t="shared" si="196"/>
        <v>0</v>
      </c>
      <c r="AZ18" s="72">
        <f t="shared" si="197"/>
        <v>0</v>
      </c>
      <c r="BA18" s="70">
        <f t="shared" si="60"/>
        <v>0</v>
      </c>
      <c r="BB18" s="69">
        <f t="shared" ca="1" si="61"/>
        <v>0</v>
      </c>
      <c r="BC18" s="70">
        <f t="shared" si="198"/>
        <v>0</v>
      </c>
      <c r="BD18" s="71">
        <f t="shared" si="199"/>
        <v>0</v>
      </c>
      <c r="BE18" s="71">
        <f t="shared" si="200"/>
        <v>0</v>
      </c>
      <c r="BF18" s="71">
        <f t="shared" si="201"/>
        <v>0</v>
      </c>
      <c r="BG18" s="71">
        <f t="shared" si="202"/>
        <v>0</v>
      </c>
      <c r="BH18" s="71">
        <f t="shared" si="203"/>
        <v>0</v>
      </c>
      <c r="BI18" s="71">
        <f t="shared" si="204"/>
        <v>0</v>
      </c>
      <c r="BJ18" s="71">
        <f t="shared" si="205"/>
        <v>0</v>
      </c>
      <c r="BK18" s="71">
        <f t="shared" si="206"/>
        <v>0</v>
      </c>
      <c r="BL18" s="71">
        <f t="shared" si="207"/>
        <v>0</v>
      </c>
      <c r="BM18" s="71">
        <f t="shared" si="208"/>
        <v>0</v>
      </c>
      <c r="BN18" s="71">
        <f t="shared" si="209"/>
        <v>0</v>
      </c>
      <c r="BO18" s="71">
        <f t="shared" si="210"/>
        <v>0</v>
      </c>
      <c r="BP18" s="71">
        <f t="shared" si="211"/>
        <v>0</v>
      </c>
      <c r="BQ18" s="71">
        <f t="shared" si="212"/>
        <v>0</v>
      </c>
      <c r="BR18" s="71">
        <f t="shared" si="213"/>
        <v>0</v>
      </c>
      <c r="BS18" s="71">
        <f t="shared" si="214"/>
        <v>0</v>
      </c>
      <c r="BT18" s="71">
        <f t="shared" si="215"/>
        <v>0</v>
      </c>
      <c r="BU18" s="71">
        <f t="shared" si="216"/>
        <v>0</v>
      </c>
      <c r="BV18" s="71">
        <f t="shared" si="217"/>
        <v>0</v>
      </c>
      <c r="BW18" s="71">
        <f t="shared" si="218"/>
        <v>0</v>
      </c>
      <c r="BX18" s="71">
        <f t="shared" si="219"/>
        <v>0</v>
      </c>
      <c r="BY18" s="71">
        <f t="shared" si="220"/>
        <v>0</v>
      </c>
      <c r="BZ18" s="71">
        <f t="shared" si="221"/>
        <v>0</v>
      </c>
      <c r="CA18" s="71">
        <f t="shared" si="222"/>
        <v>0</v>
      </c>
      <c r="CB18" s="71">
        <f t="shared" si="223"/>
        <v>0</v>
      </c>
      <c r="CC18" s="71">
        <f t="shared" si="224"/>
        <v>0</v>
      </c>
      <c r="CD18" s="71">
        <f t="shared" si="225"/>
        <v>0</v>
      </c>
      <c r="CE18" s="71">
        <f t="shared" si="226"/>
        <v>0</v>
      </c>
      <c r="CF18" s="71">
        <f t="shared" si="227"/>
        <v>0</v>
      </c>
      <c r="CG18" s="71">
        <f t="shared" si="228"/>
        <v>0</v>
      </c>
      <c r="CH18" s="70">
        <f t="shared" si="93"/>
        <v>0</v>
      </c>
      <c r="CI18" s="69">
        <f t="shared" ca="1" si="94"/>
        <v>0</v>
      </c>
      <c r="GM18" s="2" t="s">
        <v>16</v>
      </c>
      <c r="GN18" s="98" t="str">
        <f t="shared" si="95"/>
        <v>KHI02-FMCG01-ASM-01</v>
      </c>
      <c r="GO18" s="4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6"/>
      <c r="HT18" s="4">
        <v>0</v>
      </c>
      <c r="HU18" s="3">
        <v>0</v>
      </c>
      <c r="HV18" s="3">
        <v>0</v>
      </c>
      <c r="HW18" s="3">
        <v>0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0</v>
      </c>
      <c r="IE18" s="3">
        <v>0</v>
      </c>
      <c r="IF18" s="3">
        <v>0</v>
      </c>
      <c r="IG18" s="3">
        <v>0</v>
      </c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6"/>
    </row>
    <row r="19" spans="1:258" hidden="1">
      <c r="A19" s="102" t="s">
        <v>53</v>
      </c>
      <c r="B19" s="103" t="s">
        <v>26</v>
      </c>
      <c r="C19" s="103" t="s">
        <v>27</v>
      </c>
      <c r="D19" s="104" t="s">
        <v>54</v>
      </c>
      <c r="E19" s="103" t="s">
        <v>73</v>
      </c>
      <c r="F19" s="103" t="s">
        <v>74</v>
      </c>
      <c r="G19" s="103" t="s">
        <v>75</v>
      </c>
      <c r="H19" s="103" t="s">
        <v>1105</v>
      </c>
      <c r="I19" s="103" t="s">
        <v>1105</v>
      </c>
      <c r="J19" s="103" t="s">
        <v>76</v>
      </c>
      <c r="K19" s="103" t="s">
        <v>31</v>
      </c>
      <c r="L19" s="103" t="s">
        <v>77</v>
      </c>
      <c r="M19" s="103" t="s">
        <v>33</v>
      </c>
      <c r="N19" s="119">
        <v>44215</v>
      </c>
      <c r="O19" s="105">
        <f>SUM(O12:O18)</f>
        <v>5</v>
      </c>
      <c r="P19" s="73">
        <f>SUM(P12:P18)</f>
        <v>0</v>
      </c>
      <c r="Q19" s="73">
        <f t="shared" si="21"/>
        <v>1</v>
      </c>
      <c r="R19" s="73">
        <f>SUM(R12:R18)</f>
        <v>5</v>
      </c>
      <c r="S19" s="73">
        <f>SUM(S12:S18)</f>
        <v>0</v>
      </c>
      <c r="T19" s="73">
        <f>SUM(T12:T18)</f>
        <v>5</v>
      </c>
      <c r="U19" s="73">
        <f>SUM(U12:U18)</f>
        <v>5</v>
      </c>
      <c r="V19" s="74">
        <f t="shared" ref="V19:CA19" si="229">SUM(V12:V18)</f>
        <v>4</v>
      </c>
      <c r="W19" s="75">
        <f t="shared" si="229"/>
        <v>5</v>
      </c>
      <c r="X19" s="75">
        <f t="shared" si="229"/>
        <v>5</v>
      </c>
      <c r="Y19" s="75">
        <f t="shared" si="229"/>
        <v>0</v>
      </c>
      <c r="Z19" s="75">
        <f t="shared" si="229"/>
        <v>5</v>
      </c>
      <c r="AA19" s="75">
        <f t="shared" si="229"/>
        <v>5</v>
      </c>
      <c r="AB19" s="75">
        <f t="shared" si="229"/>
        <v>5</v>
      </c>
      <c r="AC19" s="75">
        <f t="shared" si="229"/>
        <v>5</v>
      </c>
      <c r="AD19" s="75">
        <f t="shared" si="229"/>
        <v>5</v>
      </c>
      <c r="AE19" s="75">
        <f t="shared" si="229"/>
        <v>5</v>
      </c>
      <c r="AF19" s="75">
        <f t="shared" si="229"/>
        <v>0</v>
      </c>
      <c r="AG19" s="75">
        <f t="shared" si="229"/>
        <v>5</v>
      </c>
      <c r="AH19" s="75">
        <f t="shared" si="229"/>
        <v>5</v>
      </c>
      <c r="AI19" s="75">
        <f t="shared" si="229"/>
        <v>4</v>
      </c>
      <c r="AJ19" s="75">
        <f t="shared" si="229"/>
        <v>0</v>
      </c>
      <c r="AK19" s="75">
        <f t="shared" si="229"/>
        <v>0</v>
      </c>
      <c r="AL19" s="75">
        <f t="shared" si="229"/>
        <v>0</v>
      </c>
      <c r="AM19" s="75">
        <f t="shared" si="229"/>
        <v>0</v>
      </c>
      <c r="AN19" s="75">
        <f t="shared" si="229"/>
        <v>0</v>
      </c>
      <c r="AO19" s="75">
        <f t="shared" si="229"/>
        <v>0</v>
      </c>
      <c r="AP19" s="75">
        <f t="shared" si="229"/>
        <v>0</v>
      </c>
      <c r="AQ19" s="75">
        <f t="shared" si="229"/>
        <v>0</v>
      </c>
      <c r="AR19" s="75">
        <f t="shared" si="229"/>
        <v>0</v>
      </c>
      <c r="AS19" s="75">
        <f t="shared" si="229"/>
        <v>0</v>
      </c>
      <c r="AT19" s="75">
        <f t="shared" si="229"/>
        <v>0</v>
      </c>
      <c r="AU19" s="75">
        <f t="shared" si="229"/>
        <v>0</v>
      </c>
      <c r="AV19" s="75">
        <f t="shared" si="229"/>
        <v>0</v>
      </c>
      <c r="AW19" s="75">
        <f t="shared" si="229"/>
        <v>0</v>
      </c>
      <c r="AX19" s="75">
        <f t="shared" si="229"/>
        <v>0</v>
      </c>
      <c r="AY19" s="75">
        <f t="shared" si="229"/>
        <v>0</v>
      </c>
      <c r="AZ19" s="76">
        <f t="shared" si="229"/>
        <v>0</v>
      </c>
      <c r="BA19" s="74">
        <f t="shared" si="60"/>
        <v>58</v>
      </c>
      <c r="BB19" s="73">
        <f t="shared" ca="1" si="61"/>
        <v>0.89230769230769236</v>
      </c>
      <c r="BC19" s="74">
        <f t="shared" si="229"/>
        <v>147</v>
      </c>
      <c r="BD19" s="75">
        <f t="shared" si="229"/>
        <v>145</v>
      </c>
      <c r="BE19" s="75">
        <f t="shared" si="229"/>
        <v>135</v>
      </c>
      <c r="BF19" s="75">
        <f t="shared" si="229"/>
        <v>0</v>
      </c>
      <c r="BG19" s="75">
        <f t="shared" si="229"/>
        <v>211</v>
      </c>
      <c r="BH19" s="75">
        <f t="shared" si="229"/>
        <v>158</v>
      </c>
      <c r="BI19" s="75">
        <f t="shared" si="229"/>
        <v>106</v>
      </c>
      <c r="BJ19" s="75">
        <f t="shared" si="229"/>
        <v>204</v>
      </c>
      <c r="BK19" s="75">
        <f t="shared" si="229"/>
        <v>198</v>
      </c>
      <c r="BL19" s="75">
        <f t="shared" si="229"/>
        <v>110</v>
      </c>
      <c r="BM19" s="75">
        <f t="shared" si="229"/>
        <v>0</v>
      </c>
      <c r="BN19" s="75">
        <f t="shared" si="229"/>
        <v>119</v>
      </c>
      <c r="BO19" s="75">
        <f t="shared" si="229"/>
        <v>168</v>
      </c>
      <c r="BP19" s="75">
        <f t="shared" si="229"/>
        <v>0</v>
      </c>
      <c r="BQ19" s="75">
        <f t="shared" si="229"/>
        <v>0</v>
      </c>
      <c r="BR19" s="75">
        <f t="shared" si="229"/>
        <v>0</v>
      </c>
      <c r="BS19" s="75">
        <f t="shared" si="229"/>
        <v>0</v>
      </c>
      <c r="BT19" s="75">
        <f t="shared" si="229"/>
        <v>0</v>
      </c>
      <c r="BU19" s="75">
        <f t="shared" si="229"/>
        <v>0</v>
      </c>
      <c r="BV19" s="75">
        <f t="shared" si="229"/>
        <v>0</v>
      </c>
      <c r="BW19" s="75">
        <f t="shared" si="229"/>
        <v>0</v>
      </c>
      <c r="BX19" s="75">
        <f t="shared" si="229"/>
        <v>0</v>
      </c>
      <c r="BY19" s="75">
        <f t="shared" si="229"/>
        <v>0</v>
      </c>
      <c r="BZ19" s="75">
        <f t="shared" si="229"/>
        <v>0</v>
      </c>
      <c r="CA19" s="75">
        <f t="shared" si="229"/>
        <v>0</v>
      </c>
      <c r="CB19" s="75">
        <f t="shared" ref="CB19:CG19" si="230">SUM(CB12:CB18)</f>
        <v>0</v>
      </c>
      <c r="CC19" s="75">
        <f t="shared" si="230"/>
        <v>0</v>
      </c>
      <c r="CD19" s="75">
        <f t="shared" si="230"/>
        <v>0</v>
      </c>
      <c r="CE19" s="75">
        <f t="shared" si="230"/>
        <v>0</v>
      </c>
      <c r="CF19" s="75">
        <f t="shared" si="230"/>
        <v>0</v>
      </c>
      <c r="CG19" s="75">
        <f t="shared" si="230"/>
        <v>0</v>
      </c>
      <c r="CH19" s="74">
        <f t="shared" si="93"/>
        <v>1701</v>
      </c>
      <c r="CI19" s="73">
        <f t="shared" ca="1" si="94"/>
        <v>26.169230769230769</v>
      </c>
      <c r="GM19" s="2" t="s">
        <v>17</v>
      </c>
      <c r="GN19" s="103" t="str">
        <f t="shared" si="95"/>
        <v>KHI02-FMCG01-ASM-01</v>
      </c>
      <c r="GO19" s="4">
        <v>0</v>
      </c>
      <c r="GP19" s="3">
        <v>0</v>
      </c>
      <c r="GQ19" s="3">
        <v>0</v>
      </c>
      <c r="GR19" s="3">
        <v>0</v>
      </c>
      <c r="GS19" s="3">
        <v>0</v>
      </c>
      <c r="GT19" s="3">
        <v>0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6"/>
      <c r="HT19" s="4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0</v>
      </c>
      <c r="IB19" s="3">
        <v>0</v>
      </c>
      <c r="IC19" s="3">
        <v>0</v>
      </c>
      <c r="ID19" s="3">
        <v>0</v>
      </c>
      <c r="IE19" s="3">
        <v>0</v>
      </c>
      <c r="IF19" s="3">
        <v>0</v>
      </c>
      <c r="IG19" s="3">
        <v>0</v>
      </c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6"/>
    </row>
    <row r="20" spans="1:258" hidden="1">
      <c r="A20" s="97" t="s">
        <v>25</v>
      </c>
      <c r="B20" s="98" t="s">
        <v>26</v>
      </c>
      <c r="C20" s="98" t="s">
        <v>27</v>
      </c>
      <c r="D20" s="99" t="s">
        <v>1107</v>
      </c>
      <c r="E20" s="98" t="s">
        <v>92</v>
      </c>
      <c r="F20" s="98" t="s">
        <v>1030</v>
      </c>
      <c r="G20" s="98" t="s">
        <v>94</v>
      </c>
      <c r="H20" s="98" t="s">
        <v>1418</v>
      </c>
      <c r="I20" s="98" t="s">
        <v>1418</v>
      </c>
      <c r="J20" s="98" t="s">
        <v>1094</v>
      </c>
      <c r="K20" s="98" t="s">
        <v>1092</v>
      </c>
      <c r="L20" s="98" t="s">
        <v>95</v>
      </c>
      <c r="M20" s="101" t="s">
        <v>1093</v>
      </c>
      <c r="N20" s="139">
        <v>42199</v>
      </c>
      <c r="O20" s="100">
        <v>1</v>
      </c>
      <c r="P20" s="69">
        <v>0</v>
      </c>
      <c r="Q20" s="69">
        <f t="shared" si="21"/>
        <v>1</v>
      </c>
      <c r="R20" s="69">
        <f t="shared" ref="R20:R27" si="231">IFERROR(IF(OR(BA20&gt;0),1,0),0)</f>
        <v>1</v>
      </c>
      <c r="S20" s="69">
        <f t="shared" ref="S20:S27" si="232">IFERROR(IF(OR(BP20&gt;0),1,0),0)</f>
        <v>0</v>
      </c>
      <c r="T20" s="69">
        <f t="shared" ref="T20:T27" si="233">IFERROR(IF(OR(CH20&gt;0),1,0),0)</f>
        <v>1</v>
      </c>
      <c r="U20" s="69">
        <f t="shared" ref="U20:U27" si="234">IFERROR(IF(OR(BA20&gt;0,CH20&gt;0),1,0),0)</f>
        <v>1</v>
      </c>
      <c r="V20" s="70">
        <f t="shared" ref="V20:V27" si="235">GO20</f>
        <v>1</v>
      </c>
      <c r="W20" s="71">
        <f t="shared" ref="W20:W27" si="236">GP20</f>
        <v>1</v>
      </c>
      <c r="X20" s="71">
        <f t="shared" ref="X20:X27" si="237">GQ20</f>
        <v>1</v>
      </c>
      <c r="Y20" s="71">
        <f t="shared" ref="Y20:Y27" si="238">GR20</f>
        <v>0</v>
      </c>
      <c r="Z20" s="71">
        <f t="shared" ref="Z20:Z27" si="239">GS20</f>
        <v>1</v>
      </c>
      <c r="AA20" s="71">
        <f t="shared" ref="AA20:AA27" si="240">GT20</f>
        <v>1</v>
      </c>
      <c r="AB20" s="71">
        <f t="shared" ref="AB20:AB27" si="241">GU20</f>
        <v>1</v>
      </c>
      <c r="AC20" s="71">
        <f t="shared" ref="AC20:AC27" si="242">GV20</f>
        <v>1</v>
      </c>
      <c r="AD20" s="71">
        <f t="shared" ref="AD20:AD27" si="243">GW20</f>
        <v>1</v>
      </c>
      <c r="AE20" s="71">
        <f t="shared" ref="AE20:AE27" si="244">GX20</f>
        <v>1</v>
      </c>
      <c r="AF20" s="71">
        <f t="shared" ref="AF20:AF27" si="245">GY20</f>
        <v>0</v>
      </c>
      <c r="AG20" s="71">
        <f t="shared" ref="AG20:AG27" si="246">GZ20</f>
        <v>1</v>
      </c>
      <c r="AH20" s="71">
        <f t="shared" ref="AH20:AH27" si="247">HA20</f>
        <v>1</v>
      </c>
      <c r="AI20" s="71">
        <f t="shared" ref="AI20:AI27" si="248">HB20</f>
        <v>1</v>
      </c>
      <c r="AJ20" s="71">
        <f t="shared" ref="AJ20:AJ27" si="249">HC20</f>
        <v>0</v>
      </c>
      <c r="AK20" s="71">
        <f t="shared" ref="AK20:AK27" si="250">HD20</f>
        <v>0</v>
      </c>
      <c r="AL20" s="71">
        <f t="shared" ref="AL20:AL27" si="251">HE20</f>
        <v>0</v>
      </c>
      <c r="AM20" s="71">
        <f t="shared" ref="AM20:AM27" si="252">HF20</f>
        <v>0</v>
      </c>
      <c r="AN20" s="71">
        <f t="shared" ref="AN20:AN27" si="253">HG20</f>
        <v>0</v>
      </c>
      <c r="AO20" s="71">
        <f t="shared" ref="AO20:AO27" si="254">HH20</f>
        <v>0</v>
      </c>
      <c r="AP20" s="71">
        <f t="shared" ref="AP20:AP27" si="255">HI20</f>
        <v>0</v>
      </c>
      <c r="AQ20" s="71">
        <f t="shared" ref="AQ20:AQ27" si="256">HJ20</f>
        <v>0</v>
      </c>
      <c r="AR20" s="71">
        <f t="shared" ref="AR20:AR27" si="257">HK20</f>
        <v>0</v>
      </c>
      <c r="AS20" s="71">
        <f t="shared" ref="AS20:AS27" si="258">HL20</f>
        <v>0</v>
      </c>
      <c r="AT20" s="71">
        <f t="shared" ref="AT20:AT27" si="259">HM20</f>
        <v>0</v>
      </c>
      <c r="AU20" s="71">
        <f t="shared" ref="AU20:AU27" si="260">HN20</f>
        <v>0</v>
      </c>
      <c r="AV20" s="71">
        <f t="shared" ref="AV20:AV27" si="261">HO20</f>
        <v>0</v>
      </c>
      <c r="AW20" s="71">
        <f t="shared" ref="AW20:AW27" si="262">HP20</f>
        <v>0</v>
      </c>
      <c r="AX20" s="71">
        <f t="shared" ref="AX20:AX27" si="263">HQ20</f>
        <v>0</v>
      </c>
      <c r="AY20" s="71">
        <f t="shared" ref="AY20:AY27" si="264">HR20</f>
        <v>0</v>
      </c>
      <c r="AZ20" s="72">
        <f t="shared" ref="AZ20:AZ27" si="265">HS20</f>
        <v>0</v>
      </c>
      <c r="BA20" s="70">
        <f t="shared" si="60"/>
        <v>12</v>
      </c>
      <c r="BB20" s="69">
        <f t="shared" ca="1" si="61"/>
        <v>0.92307692307692313</v>
      </c>
      <c r="BC20" s="70">
        <f t="shared" ref="BC20:BC27" si="266">HT20</f>
        <v>24</v>
      </c>
      <c r="BD20" s="71">
        <f t="shared" ref="BD20:BD27" si="267">HU20</f>
        <v>27</v>
      </c>
      <c r="BE20" s="71">
        <f t="shared" ref="BE20:BE27" si="268">HV20</f>
        <v>27</v>
      </c>
      <c r="BF20" s="71">
        <f t="shared" ref="BF20:BF27" si="269">HW20</f>
        <v>0</v>
      </c>
      <c r="BG20" s="71">
        <f t="shared" ref="BG20:BG27" si="270">HX20</f>
        <v>41</v>
      </c>
      <c r="BH20" s="71">
        <f t="shared" ref="BH20:BH27" si="271">HY20</f>
        <v>34</v>
      </c>
      <c r="BI20" s="71">
        <f t="shared" ref="BI20:BI27" si="272">HZ20</f>
        <v>26</v>
      </c>
      <c r="BJ20" s="71">
        <f t="shared" ref="BJ20:BJ27" si="273">IA20</f>
        <v>0</v>
      </c>
      <c r="BK20" s="71">
        <f t="shared" ref="BK20:BK27" si="274">IB20</f>
        <v>28</v>
      </c>
      <c r="BL20" s="71">
        <f t="shared" ref="BL20:BL27" si="275">IC20</f>
        <v>22</v>
      </c>
      <c r="BM20" s="71">
        <f t="shared" ref="BM20:BM27" si="276">ID20</f>
        <v>0</v>
      </c>
      <c r="BN20" s="71">
        <f t="shared" ref="BN20:BN27" si="277">IE20</f>
        <v>22</v>
      </c>
      <c r="BO20" s="71">
        <f t="shared" ref="BO20:BO27" si="278">IF20</f>
        <v>34</v>
      </c>
      <c r="BP20" s="71">
        <f t="shared" ref="BP20:BP27" si="279">IG20</f>
        <v>0</v>
      </c>
      <c r="BQ20" s="71">
        <f t="shared" ref="BQ20:BQ27" si="280">IH20</f>
        <v>0</v>
      </c>
      <c r="BR20" s="71">
        <f t="shared" ref="BR20:BR27" si="281">II20</f>
        <v>0</v>
      </c>
      <c r="BS20" s="71">
        <f t="shared" ref="BS20:BS27" si="282">IJ20</f>
        <v>0</v>
      </c>
      <c r="BT20" s="71">
        <f t="shared" ref="BT20:BT27" si="283">IK20</f>
        <v>0</v>
      </c>
      <c r="BU20" s="71">
        <f t="shared" ref="BU20:BU27" si="284">IL20</f>
        <v>0</v>
      </c>
      <c r="BV20" s="71">
        <f t="shared" ref="BV20:BV27" si="285">IM20</f>
        <v>0</v>
      </c>
      <c r="BW20" s="71">
        <f t="shared" ref="BW20:BW27" si="286">IN20</f>
        <v>0</v>
      </c>
      <c r="BX20" s="71">
        <f t="shared" ref="BX20:BX27" si="287">IO20</f>
        <v>0</v>
      </c>
      <c r="BY20" s="71">
        <f t="shared" ref="BY20:BY27" si="288">IP20</f>
        <v>0</v>
      </c>
      <c r="BZ20" s="71">
        <f t="shared" ref="BZ20:BZ27" si="289">IQ20</f>
        <v>0</v>
      </c>
      <c r="CA20" s="71">
        <f t="shared" ref="CA20:CA27" si="290">IR20</f>
        <v>0</v>
      </c>
      <c r="CB20" s="71">
        <f t="shared" ref="CB20:CB27" si="291">IS20</f>
        <v>0</v>
      </c>
      <c r="CC20" s="71">
        <f t="shared" ref="CC20:CC27" si="292">IT20</f>
        <v>0</v>
      </c>
      <c r="CD20" s="71">
        <f t="shared" ref="CD20:CD27" si="293">IU20</f>
        <v>0</v>
      </c>
      <c r="CE20" s="71">
        <f t="shared" ref="CE20:CE27" si="294">IV20</f>
        <v>0</v>
      </c>
      <c r="CF20" s="71">
        <f t="shared" ref="CF20:CF27" si="295">IW20</f>
        <v>0</v>
      </c>
      <c r="CG20" s="71">
        <f t="shared" ref="CG20:CG27" si="296">IX20</f>
        <v>0</v>
      </c>
      <c r="CH20" s="70">
        <f t="shared" si="93"/>
        <v>285</v>
      </c>
      <c r="CI20" s="69">
        <f t="shared" ca="1" si="94"/>
        <v>21.923076923076923</v>
      </c>
      <c r="GM20" s="2" t="s">
        <v>16</v>
      </c>
      <c r="GN20" s="98" t="str">
        <f t="shared" si="95"/>
        <v>KHI03-FMCG02-SPO-01</v>
      </c>
      <c r="GO20" s="4">
        <v>1</v>
      </c>
      <c r="GP20" s="3">
        <v>1</v>
      </c>
      <c r="GQ20" s="3">
        <v>1</v>
      </c>
      <c r="GR20" s="3">
        <v>0</v>
      </c>
      <c r="GS20" s="3">
        <v>1</v>
      </c>
      <c r="GT20" s="3">
        <v>1</v>
      </c>
      <c r="GU20" s="3">
        <v>1</v>
      </c>
      <c r="GV20" s="3">
        <v>1</v>
      </c>
      <c r="GW20" s="3">
        <v>1</v>
      </c>
      <c r="GX20" s="3">
        <v>1</v>
      </c>
      <c r="GY20" s="3">
        <v>0</v>
      </c>
      <c r="GZ20" s="3">
        <v>1</v>
      </c>
      <c r="HA20" s="3">
        <v>1</v>
      </c>
      <c r="HB20" s="3">
        <v>1</v>
      </c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6"/>
      <c r="HT20" s="4">
        <v>24</v>
      </c>
      <c r="HU20" s="3">
        <v>27</v>
      </c>
      <c r="HV20" s="3">
        <v>27</v>
      </c>
      <c r="HW20" s="3">
        <v>0</v>
      </c>
      <c r="HX20" s="3">
        <v>41</v>
      </c>
      <c r="HY20" s="3">
        <v>34</v>
      </c>
      <c r="HZ20" s="3">
        <v>26</v>
      </c>
      <c r="IA20" s="3">
        <v>0</v>
      </c>
      <c r="IB20" s="3">
        <v>28</v>
      </c>
      <c r="IC20" s="3">
        <v>22</v>
      </c>
      <c r="ID20" s="3">
        <v>0</v>
      </c>
      <c r="IE20" s="3">
        <v>22</v>
      </c>
      <c r="IF20" s="3">
        <v>34</v>
      </c>
      <c r="IG20" s="3">
        <v>0</v>
      </c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6"/>
    </row>
    <row r="21" spans="1:258" hidden="1">
      <c r="A21" s="106" t="s">
        <v>25</v>
      </c>
      <c r="B21" s="101" t="s">
        <v>26</v>
      </c>
      <c r="C21" s="98" t="s">
        <v>27</v>
      </c>
      <c r="D21" s="107" t="s">
        <v>1107</v>
      </c>
      <c r="E21" s="101" t="s">
        <v>96</v>
      </c>
      <c r="F21" s="101" t="s">
        <v>1031</v>
      </c>
      <c r="G21" s="98" t="s">
        <v>98</v>
      </c>
      <c r="H21" s="101" t="s">
        <v>1419</v>
      </c>
      <c r="I21" s="101" t="s">
        <v>1419</v>
      </c>
      <c r="J21" s="101" t="s">
        <v>1108</v>
      </c>
      <c r="K21" s="101" t="s">
        <v>1092</v>
      </c>
      <c r="L21" s="101" t="s">
        <v>99</v>
      </c>
      <c r="M21" s="101" t="s">
        <v>1093</v>
      </c>
      <c r="N21" s="139">
        <v>45794</v>
      </c>
      <c r="O21" s="100">
        <v>1</v>
      </c>
      <c r="P21" s="69">
        <v>0</v>
      </c>
      <c r="Q21" s="69">
        <f t="shared" si="21"/>
        <v>1</v>
      </c>
      <c r="R21" s="69">
        <f t="shared" si="231"/>
        <v>1</v>
      </c>
      <c r="S21" s="69">
        <f t="shared" si="232"/>
        <v>0</v>
      </c>
      <c r="T21" s="69">
        <f t="shared" si="233"/>
        <v>1</v>
      </c>
      <c r="U21" s="69">
        <f t="shared" si="234"/>
        <v>1</v>
      </c>
      <c r="V21" s="70">
        <f t="shared" si="235"/>
        <v>1</v>
      </c>
      <c r="W21" s="71">
        <f t="shared" si="236"/>
        <v>1</v>
      </c>
      <c r="X21" s="71">
        <f t="shared" si="237"/>
        <v>1</v>
      </c>
      <c r="Y21" s="71">
        <f t="shared" si="238"/>
        <v>0</v>
      </c>
      <c r="Z21" s="71">
        <f t="shared" si="239"/>
        <v>1</v>
      </c>
      <c r="AA21" s="71">
        <f t="shared" si="240"/>
        <v>1</v>
      </c>
      <c r="AB21" s="71">
        <f t="shared" si="241"/>
        <v>1</v>
      </c>
      <c r="AC21" s="71">
        <f t="shared" si="242"/>
        <v>1</v>
      </c>
      <c r="AD21" s="71">
        <f t="shared" si="243"/>
        <v>1</v>
      </c>
      <c r="AE21" s="71">
        <f t="shared" si="244"/>
        <v>1</v>
      </c>
      <c r="AF21" s="71">
        <f t="shared" si="245"/>
        <v>0</v>
      </c>
      <c r="AG21" s="71">
        <f t="shared" si="246"/>
        <v>1</v>
      </c>
      <c r="AH21" s="71">
        <f t="shared" si="247"/>
        <v>1</v>
      </c>
      <c r="AI21" s="71">
        <f t="shared" si="248"/>
        <v>1</v>
      </c>
      <c r="AJ21" s="71">
        <f t="shared" si="249"/>
        <v>0</v>
      </c>
      <c r="AK21" s="71">
        <f t="shared" si="250"/>
        <v>0</v>
      </c>
      <c r="AL21" s="71">
        <f t="shared" si="251"/>
        <v>0</v>
      </c>
      <c r="AM21" s="71">
        <f t="shared" si="252"/>
        <v>0</v>
      </c>
      <c r="AN21" s="71">
        <f t="shared" si="253"/>
        <v>0</v>
      </c>
      <c r="AO21" s="71">
        <f t="shared" si="254"/>
        <v>0</v>
      </c>
      <c r="AP21" s="71">
        <f t="shared" si="255"/>
        <v>0</v>
      </c>
      <c r="AQ21" s="71">
        <f t="shared" si="256"/>
        <v>0</v>
      </c>
      <c r="AR21" s="71">
        <f t="shared" si="257"/>
        <v>0</v>
      </c>
      <c r="AS21" s="71">
        <f t="shared" si="258"/>
        <v>0</v>
      </c>
      <c r="AT21" s="71">
        <f t="shared" si="259"/>
        <v>0</v>
      </c>
      <c r="AU21" s="71">
        <f t="shared" si="260"/>
        <v>0</v>
      </c>
      <c r="AV21" s="71">
        <f t="shared" si="261"/>
        <v>0</v>
      </c>
      <c r="AW21" s="71">
        <f t="shared" si="262"/>
        <v>0</v>
      </c>
      <c r="AX21" s="71">
        <f t="shared" si="263"/>
        <v>0</v>
      </c>
      <c r="AY21" s="71">
        <f t="shared" si="264"/>
        <v>0</v>
      </c>
      <c r="AZ21" s="72">
        <f t="shared" si="265"/>
        <v>0</v>
      </c>
      <c r="BA21" s="70">
        <f t="shared" si="60"/>
        <v>12</v>
      </c>
      <c r="BB21" s="69">
        <f t="shared" ca="1" si="61"/>
        <v>0.92307692307692313</v>
      </c>
      <c r="BC21" s="70">
        <f t="shared" si="266"/>
        <v>39</v>
      </c>
      <c r="BD21" s="71">
        <f t="shared" si="267"/>
        <v>32</v>
      </c>
      <c r="BE21" s="71">
        <f t="shared" si="268"/>
        <v>36</v>
      </c>
      <c r="BF21" s="71">
        <f t="shared" si="269"/>
        <v>0</v>
      </c>
      <c r="BG21" s="71">
        <f t="shared" si="270"/>
        <v>38</v>
      </c>
      <c r="BH21" s="71">
        <f t="shared" si="271"/>
        <v>38</v>
      </c>
      <c r="BI21" s="71">
        <f t="shared" si="272"/>
        <v>50</v>
      </c>
      <c r="BJ21" s="71">
        <f t="shared" si="273"/>
        <v>40</v>
      </c>
      <c r="BK21" s="71">
        <f t="shared" si="274"/>
        <v>39</v>
      </c>
      <c r="BL21" s="71">
        <f t="shared" si="275"/>
        <v>29</v>
      </c>
      <c r="BM21" s="71">
        <f t="shared" si="276"/>
        <v>0</v>
      </c>
      <c r="BN21" s="71">
        <f t="shared" si="277"/>
        <v>42</v>
      </c>
      <c r="BO21" s="71">
        <f t="shared" si="278"/>
        <v>51</v>
      </c>
      <c r="BP21" s="71">
        <f t="shared" si="279"/>
        <v>0</v>
      </c>
      <c r="BQ21" s="71">
        <f t="shared" si="280"/>
        <v>0</v>
      </c>
      <c r="BR21" s="71">
        <f t="shared" si="281"/>
        <v>0</v>
      </c>
      <c r="BS21" s="71">
        <f t="shared" si="282"/>
        <v>0</v>
      </c>
      <c r="BT21" s="71">
        <f t="shared" si="283"/>
        <v>0</v>
      </c>
      <c r="BU21" s="71">
        <f t="shared" si="284"/>
        <v>0</v>
      </c>
      <c r="BV21" s="71">
        <f t="shared" si="285"/>
        <v>0</v>
      </c>
      <c r="BW21" s="71">
        <f t="shared" si="286"/>
        <v>0</v>
      </c>
      <c r="BX21" s="71">
        <f t="shared" si="287"/>
        <v>0</v>
      </c>
      <c r="BY21" s="71">
        <f t="shared" si="288"/>
        <v>0</v>
      </c>
      <c r="BZ21" s="71">
        <f t="shared" si="289"/>
        <v>0</v>
      </c>
      <c r="CA21" s="71">
        <f t="shared" si="290"/>
        <v>0</v>
      </c>
      <c r="CB21" s="71">
        <f t="shared" si="291"/>
        <v>0</v>
      </c>
      <c r="CC21" s="71">
        <f t="shared" si="292"/>
        <v>0</v>
      </c>
      <c r="CD21" s="71">
        <f t="shared" si="293"/>
        <v>0</v>
      </c>
      <c r="CE21" s="71">
        <f t="shared" si="294"/>
        <v>0</v>
      </c>
      <c r="CF21" s="71">
        <f t="shared" si="295"/>
        <v>0</v>
      </c>
      <c r="CG21" s="71">
        <f t="shared" si="296"/>
        <v>0</v>
      </c>
      <c r="CH21" s="70">
        <f t="shared" si="93"/>
        <v>434</v>
      </c>
      <c r="CI21" s="69">
        <f t="shared" ca="1" si="94"/>
        <v>33.384615384615387</v>
      </c>
      <c r="GM21" s="2" t="s">
        <v>16</v>
      </c>
      <c r="GN21" s="101" t="str">
        <f t="shared" si="95"/>
        <v>KHI03-FMCG02-SPO-02</v>
      </c>
      <c r="GO21" s="4">
        <v>1</v>
      </c>
      <c r="GP21" s="3">
        <v>1</v>
      </c>
      <c r="GQ21" s="3">
        <v>1</v>
      </c>
      <c r="GR21" s="3">
        <v>0</v>
      </c>
      <c r="GS21" s="3">
        <v>1</v>
      </c>
      <c r="GT21" s="3">
        <v>1</v>
      </c>
      <c r="GU21" s="3">
        <v>1</v>
      </c>
      <c r="GV21" s="3">
        <v>1</v>
      </c>
      <c r="GW21" s="3">
        <v>1</v>
      </c>
      <c r="GX21" s="3">
        <v>1</v>
      </c>
      <c r="GY21" s="3">
        <v>0</v>
      </c>
      <c r="GZ21" s="3">
        <v>1</v>
      </c>
      <c r="HA21" s="3">
        <v>1</v>
      </c>
      <c r="HB21" s="3">
        <v>1</v>
      </c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6"/>
      <c r="HT21" s="4">
        <v>39</v>
      </c>
      <c r="HU21" s="3">
        <v>32</v>
      </c>
      <c r="HV21" s="3">
        <v>36</v>
      </c>
      <c r="HW21" s="3">
        <v>0</v>
      </c>
      <c r="HX21" s="3">
        <v>38</v>
      </c>
      <c r="HY21" s="3">
        <v>38</v>
      </c>
      <c r="HZ21" s="3">
        <v>50</v>
      </c>
      <c r="IA21" s="3">
        <v>40</v>
      </c>
      <c r="IB21" s="3">
        <v>39</v>
      </c>
      <c r="IC21" s="3">
        <v>29</v>
      </c>
      <c r="ID21" s="3">
        <v>0</v>
      </c>
      <c r="IE21" s="3">
        <v>42</v>
      </c>
      <c r="IF21" s="3">
        <v>51</v>
      </c>
      <c r="IG21" s="3">
        <v>0</v>
      </c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6"/>
    </row>
    <row r="22" spans="1:258" hidden="1">
      <c r="A22" s="97" t="s">
        <v>25</v>
      </c>
      <c r="B22" s="98" t="s">
        <v>26</v>
      </c>
      <c r="C22" s="98" t="s">
        <v>27</v>
      </c>
      <c r="D22" s="99" t="s">
        <v>1107</v>
      </c>
      <c r="E22" s="98" t="s">
        <v>100</v>
      </c>
      <c r="F22" s="98" t="s">
        <v>1032</v>
      </c>
      <c r="G22" s="98" t="s">
        <v>102</v>
      </c>
      <c r="H22" s="98" t="s">
        <v>1420</v>
      </c>
      <c r="I22" s="98" t="s">
        <v>1420</v>
      </c>
      <c r="J22" s="98" t="s">
        <v>1095</v>
      </c>
      <c r="K22" s="98" t="s">
        <v>1092</v>
      </c>
      <c r="L22" s="98" t="s">
        <v>103</v>
      </c>
      <c r="M22" s="101" t="s">
        <v>1093</v>
      </c>
      <c r="N22" s="139">
        <v>45111</v>
      </c>
      <c r="O22" s="100">
        <v>1</v>
      </c>
      <c r="P22" s="69">
        <v>0</v>
      </c>
      <c r="Q22" s="69">
        <f t="shared" si="21"/>
        <v>1</v>
      </c>
      <c r="R22" s="69">
        <f t="shared" si="231"/>
        <v>1</v>
      </c>
      <c r="S22" s="69">
        <f t="shared" si="232"/>
        <v>0</v>
      </c>
      <c r="T22" s="69">
        <f t="shared" si="233"/>
        <v>1</v>
      </c>
      <c r="U22" s="69">
        <f t="shared" si="234"/>
        <v>1</v>
      </c>
      <c r="V22" s="70">
        <f t="shared" si="235"/>
        <v>1</v>
      </c>
      <c r="W22" s="71">
        <f t="shared" si="236"/>
        <v>1</v>
      </c>
      <c r="X22" s="71">
        <f t="shared" si="237"/>
        <v>1</v>
      </c>
      <c r="Y22" s="71">
        <f t="shared" si="238"/>
        <v>0</v>
      </c>
      <c r="Z22" s="71">
        <f t="shared" si="239"/>
        <v>1</v>
      </c>
      <c r="AA22" s="71">
        <f t="shared" si="240"/>
        <v>1</v>
      </c>
      <c r="AB22" s="71">
        <f t="shared" si="241"/>
        <v>1</v>
      </c>
      <c r="AC22" s="71">
        <f t="shared" si="242"/>
        <v>1</v>
      </c>
      <c r="AD22" s="71">
        <f t="shared" si="243"/>
        <v>1</v>
      </c>
      <c r="AE22" s="71">
        <f t="shared" si="244"/>
        <v>1</v>
      </c>
      <c r="AF22" s="71">
        <f t="shared" si="245"/>
        <v>0</v>
      </c>
      <c r="AG22" s="71">
        <f t="shared" si="246"/>
        <v>1</v>
      </c>
      <c r="AH22" s="71">
        <f t="shared" si="247"/>
        <v>1</v>
      </c>
      <c r="AI22" s="71">
        <f t="shared" si="248"/>
        <v>1</v>
      </c>
      <c r="AJ22" s="71">
        <f t="shared" si="249"/>
        <v>0</v>
      </c>
      <c r="AK22" s="71">
        <f t="shared" si="250"/>
        <v>0</v>
      </c>
      <c r="AL22" s="71">
        <f t="shared" si="251"/>
        <v>0</v>
      </c>
      <c r="AM22" s="71">
        <f t="shared" si="252"/>
        <v>0</v>
      </c>
      <c r="AN22" s="71">
        <f t="shared" si="253"/>
        <v>0</v>
      </c>
      <c r="AO22" s="71">
        <f t="shared" si="254"/>
        <v>0</v>
      </c>
      <c r="AP22" s="71">
        <f t="shared" si="255"/>
        <v>0</v>
      </c>
      <c r="AQ22" s="71">
        <f t="shared" si="256"/>
        <v>0</v>
      </c>
      <c r="AR22" s="71">
        <f t="shared" si="257"/>
        <v>0</v>
      </c>
      <c r="AS22" s="71">
        <f t="shared" si="258"/>
        <v>0</v>
      </c>
      <c r="AT22" s="71">
        <f t="shared" si="259"/>
        <v>0</v>
      </c>
      <c r="AU22" s="71">
        <f t="shared" si="260"/>
        <v>0</v>
      </c>
      <c r="AV22" s="71">
        <f t="shared" si="261"/>
        <v>0</v>
      </c>
      <c r="AW22" s="71">
        <f t="shared" si="262"/>
        <v>0</v>
      </c>
      <c r="AX22" s="71">
        <f t="shared" si="263"/>
        <v>0</v>
      </c>
      <c r="AY22" s="71">
        <f t="shared" si="264"/>
        <v>0</v>
      </c>
      <c r="AZ22" s="72">
        <f t="shared" si="265"/>
        <v>0</v>
      </c>
      <c r="BA22" s="70">
        <f t="shared" si="60"/>
        <v>12</v>
      </c>
      <c r="BB22" s="69">
        <f t="shared" ca="1" si="61"/>
        <v>0.92307692307692313</v>
      </c>
      <c r="BC22" s="70">
        <f t="shared" si="266"/>
        <v>18</v>
      </c>
      <c r="BD22" s="71">
        <f t="shared" si="267"/>
        <v>15</v>
      </c>
      <c r="BE22" s="71">
        <f t="shared" si="268"/>
        <v>12</v>
      </c>
      <c r="BF22" s="71">
        <f t="shared" si="269"/>
        <v>0</v>
      </c>
      <c r="BG22" s="71">
        <f t="shared" si="270"/>
        <v>27</v>
      </c>
      <c r="BH22" s="71">
        <f t="shared" si="271"/>
        <v>26</v>
      </c>
      <c r="BI22" s="71">
        <f t="shared" si="272"/>
        <v>0</v>
      </c>
      <c r="BJ22" s="71">
        <f t="shared" si="273"/>
        <v>31</v>
      </c>
      <c r="BK22" s="71">
        <f t="shared" si="274"/>
        <v>22</v>
      </c>
      <c r="BL22" s="71">
        <f t="shared" si="275"/>
        <v>31</v>
      </c>
      <c r="BM22" s="71">
        <f t="shared" si="276"/>
        <v>0</v>
      </c>
      <c r="BN22" s="71">
        <f t="shared" si="277"/>
        <v>49</v>
      </c>
      <c r="BO22" s="71">
        <f t="shared" si="278"/>
        <v>39</v>
      </c>
      <c r="BP22" s="71">
        <f t="shared" si="279"/>
        <v>0</v>
      </c>
      <c r="BQ22" s="71">
        <f t="shared" si="280"/>
        <v>0</v>
      </c>
      <c r="BR22" s="71">
        <f t="shared" si="281"/>
        <v>0</v>
      </c>
      <c r="BS22" s="71">
        <f t="shared" si="282"/>
        <v>0</v>
      </c>
      <c r="BT22" s="71">
        <f t="shared" si="283"/>
        <v>0</v>
      </c>
      <c r="BU22" s="71">
        <f t="shared" si="284"/>
        <v>0</v>
      </c>
      <c r="BV22" s="71">
        <f t="shared" si="285"/>
        <v>0</v>
      </c>
      <c r="BW22" s="71">
        <f t="shared" si="286"/>
        <v>0</v>
      </c>
      <c r="BX22" s="71">
        <f t="shared" si="287"/>
        <v>0</v>
      </c>
      <c r="BY22" s="71">
        <f t="shared" si="288"/>
        <v>0</v>
      </c>
      <c r="BZ22" s="71">
        <f t="shared" si="289"/>
        <v>0</v>
      </c>
      <c r="CA22" s="71">
        <f t="shared" si="290"/>
        <v>0</v>
      </c>
      <c r="CB22" s="71">
        <f t="shared" si="291"/>
        <v>0</v>
      </c>
      <c r="CC22" s="71">
        <f t="shared" si="292"/>
        <v>0</v>
      </c>
      <c r="CD22" s="71">
        <f t="shared" si="293"/>
        <v>0</v>
      </c>
      <c r="CE22" s="71">
        <f t="shared" si="294"/>
        <v>0</v>
      </c>
      <c r="CF22" s="71">
        <f t="shared" si="295"/>
        <v>0</v>
      </c>
      <c r="CG22" s="71">
        <f t="shared" si="296"/>
        <v>0</v>
      </c>
      <c r="CH22" s="70">
        <f t="shared" si="93"/>
        <v>270</v>
      </c>
      <c r="CI22" s="69">
        <f t="shared" ca="1" si="94"/>
        <v>20.76923076923077</v>
      </c>
      <c r="GM22" s="2" t="s">
        <v>16</v>
      </c>
      <c r="GN22" s="98" t="str">
        <f t="shared" si="95"/>
        <v>KHI03-FMCG02-SPO-03</v>
      </c>
      <c r="GO22" s="4">
        <v>1</v>
      </c>
      <c r="GP22" s="3">
        <v>1</v>
      </c>
      <c r="GQ22" s="3">
        <v>1</v>
      </c>
      <c r="GR22" s="3">
        <v>0</v>
      </c>
      <c r="GS22" s="3">
        <v>1</v>
      </c>
      <c r="GT22" s="3">
        <v>1</v>
      </c>
      <c r="GU22" s="3">
        <v>1</v>
      </c>
      <c r="GV22" s="3">
        <v>1</v>
      </c>
      <c r="GW22" s="3">
        <v>1</v>
      </c>
      <c r="GX22" s="3">
        <v>1</v>
      </c>
      <c r="GY22" s="3">
        <v>0</v>
      </c>
      <c r="GZ22" s="3">
        <v>1</v>
      </c>
      <c r="HA22" s="3">
        <v>1</v>
      </c>
      <c r="HB22" s="3">
        <v>1</v>
      </c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6"/>
      <c r="HT22" s="4">
        <v>18</v>
      </c>
      <c r="HU22" s="3">
        <v>15</v>
      </c>
      <c r="HV22" s="3">
        <v>12</v>
      </c>
      <c r="HW22" s="3">
        <v>0</v>
      </c>
      <c r="HX22" s="3">
        <v>27</v>
      </c>
      <c r="HY22" s="3">
        <v>26</v>
      </c>
      <c r="HZ22" s="3">
        <v>0</v>
      </c>
      <c r="IA22" s="3">
        <v>31</v>
      </c>
      <c r="IB22" s="3">
        <v>22</v>
      </c>
      <c r="IC22" s="3">
        <v>31</v>
      </c>
      <c r="ID22" s="3">
        <v>0</v>
      </c>
      <c r="IE22" s="3">
        <v>49</v>
      </c>
      <c r="IF22" s="3">
        <v>39</v>
      </c>
      <c r="IG22" s="3">
        <v>0</v>
      </c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6"/>
    </row>
    <row r="23" spans="1:258" hidden="1">
      <c r="A23" s="97" t="s">
        <v>25</v>
      </c>
      <c r="B23" s="98" t="s">
        <v>26</v>
      </c>
      <c r="C23" s="98" t="s">
        <v>27</v>
      </c>
      <c r="D23" s="99" t="s">
        <v>1107</v>
      </c>
      <c r="E23" s="98" t="s">
        <v>104</v>
      </c>
      <c r="F23" s="98" t="s">
        <v>1033</v>
      </c>
      <c r="G23" s="98" t="s">
        <v>106</v>
      </c>
      <c r="H23" s="98" t="s">
        <v>1710</v>
      </c>
      <c r="I23" s="98" t="s">
        <v>1421</v>
      </c>
      <c r="J23" s="98" t="s">
        <v>1096</v>
      </c>
      <c r="K23" s="98" t="s">
        <v>1092</v>
      </c>
      <c r="L23" s="98" t="s">
        <v>950</v>
      </c>
      <c r="M23" s="101" t="s">
        <v>1093</v>
      </c>
      <c r="N23" s="139" t="s">
        <v>1708</v>
      </c>
      <c r="O23" s="100">
        <v>1</v>
      </c>
      <c r="P23" s="69">
        <v>1</v>
      </c>
      <c r="Q23" s="69">
        <f t="shared" si="21"/>
        <v>0</v>
      </c>
      <c r="R23" s="69">
        <f t="shared" si="231"/>
        <v>0</v>
      </c>
      <c r="S23" s="69">
        <f t="shared" si="232"/>
        <v>0</v>
      </c>
      <c r="T23" s="69">
        <f t="shared" si="233"/>
        <v>0</v>
      </c>
      <c r="U23" s="69">
        <f t="shared" si="234"/>
        <v>0</v>
      </c>
      <c r="V23" s="70">
        <f t="shared" si="235"/>
        <v>0</v>
      </c>
      <c r="W23" s="71">
        <f t="shared" si="236"/>
        <v>0</v>
      </c>
      <c r="X23" s="71">
        <f t="shared" si="237"/>
        <v>0</v>
      </c>
      <c r="Y23" s="71">
        <f t="shared" si="238"/>
        <v>0</v>
      </c>
      <c r="Z23" s="71">
        <f t="shared" si="239"/>
        <v>0</v>
      </c>
      <c r="AA23" s="71">
        <f t="shared" si="240"/>
        <v>0</v>
      </c>
      <c r="AB23" s="71">
        <f t="shared" si="241"/>
        <v>0</v>
      </c>
      <c r="AC23" s="71">
        <f t="shared" si="242"/>
        <v>0</v>
      </c>
      <c r="AD23" s="71">
        <f t="shared" si="243"/>
        <v>0</v>
      </c>
      <c r="AE23" s="71">
        <f t="shared" si="244"/>
        <v>0</v>
      </c>
      <c r="AF23" s="71">
        <f t="shared" si="245"/>
        <v>0</v>
      </c>
      <c r="AG23" s="71">
        <f t="shared" si="246"/>
        <v>0</v>
      </c>
      <c r="AH23" s="71">
        <f t="shared" si="247"/>
        <v>0</v>
      </c>
      <c r="AI23" s="71">
        <f t="shared" si="248"/>
        <v>0</v>
      </c>
      <c r="AJ23" s="71">
        <f t="shared" si="249"/>
        <v>0</v>
      </c>
      <c r="AK23" s="71">
        <f t="shared" si="250"/>
        <v>0</v>
      </c>
      <c r="AL23" s="71">
        <f t="shared" si="251"/>
        <v>0</v>
      </c>
      <c r="AM23" s="71">
        <f t="shared" si="252"/>
        <v>0</v>
      </c>
      <c r="AN23" s="71">
        <f t="shared" si="253"/>
        <v>0</v>
      </c>
      <c r="AO23" s="71">
        <f t="shared" si="254"/>
        <v>0</v>
      </c>
      <c r="AP23" s="71">
        <f t="shared" si="255"/>
        <v>0</v>
      </c>
      <c r="AQ23" s="71">
        <f t="shared" si="256"/>
        <v>0</v>
      </c>
      <c r="AR23" s="71">
        <f t="shared" si="257"/>
        <v>0</v>
      </c>
      <c r="AS23" s="71">
        <f t="shared" si="258"/>
        <v>0</v>
      </c>
      <c r="AT23" s="71">
        <f t="shared" si="259"/>
        <v>0</v>
      </c>
      <c r="AU23" s="71">
        <f t="shared" si="260"/>
        <v>0</v>
      </c>
      <c r="AV23" s="71">
        <f t="shared" si="261"/>
        <v>0</v>
      </c>
      <c r="AW23" s="71">
        <f t="shared" si="262"/>
        <v>0</v>
      </c>
      <c r="AX23" s="71">
        <f t="shared" si="263"/>
        <v>0</v>
      </c>
      <c r="AY23" s="71">
        <f t="shared" si="264"/>
        <v>0</v>
      </c>
      <c r="AZ23" s="72">
        <f t="shared" si="265"/>
        <v>0</v>
      </c>
      <c r="BA23" s="70">
        <f t="shared" si="60"/>
        <v>0</v>
      </c>
      <c r="BB23" s="69">
        <f t="shared" ca="1" si="61"/>
        <v>0</v>
      </c>
      <c r="BC23" s="70">
        <f t="shared" si="266"/>
        <v>0</v>
      </c>
      <c r="BD23" s="71">
        <f t="shared" si="267"/>
        <v>0</v>
      </c>
      <c r="BE23" s="71">
        <f t="shared" si="268"/>
        <v>0</v>
      </c>
      <c r="BF23" s="71">
        <f t="shared" si="269"/>
        <v>0</v>
      </c>
      <c r="BG23" s="71">
        <f t="shared" si="270"/>
        <v>0</v>
      </c>
      <c r="BH23" s="71">
        <f t="shared" si="271"/>
        <v>0</v>
      </c>
      <c r="BI23" s="71">
        <f t="shared" si="272"/>
        <v>0</v>
      </c>
      <c r="BJ23" s="71">
        <f t="shared" si="273"/>
        <v>0</v>
      </c>
      <c r="BK23" s="71">
        <f t="shared" si="274"/>
        <v>0</v>
      </c>
      <c r="BL23" s="71">
        <f t="shared" si="275"/>
        <v>0</v>
      </c>
      <c r="BM23" s="71">
        <f t="shared" si="276"/>
        <v>0</v>
      </c>
      <c r="BN23" s="71">
        <f t="shared" si="277"/>
        <v>0</v>
      </c>
      <c r="BO23" s="71">
        <f t="shared" si="278"/>
        <v>0</v>
      </c>
      <c r="BP23" s="71">
        <f t="shared" si="279"/>
        <v>0</v>
      </c>
      <c r="BQ23" s="71">
        <f t="shared" si="280"/>
        <v>0</v>
      </c>
      <c r="BR23" s="71">
        <f t="shared" si="281"/>
        <v>0</v>
      </c>
      <c r="BS23" s="71">
        <f t="shared" si="282"/>
        <v>0</v>
      </c>
      <c r="BT23" s="71">
        <f t="shared" si="283"/>
        <v>0</v>
      </c>
      <c r="BU23" s="71">
        <f t="shared" si="284"/>
        <v>0</v>
      </c>
      <c r="BV23" s="71">
        <f t="shared" si="285"/>
        <v>0</v>
      </c>
      <c r="BW23" s="71">
        <f t="shared" si="286"/>
        <v>0</v>
      </c>
      <c r="BX23" s="71">
        <f t="shared" si="287"/>
        <v>0</v>
      </c>
      <c r="BY23" s="71">
        <f t="shared" si="288"/>
        <v>0</v>
      </c>
      <c r="BZ23" s="71">
        <f t="shared" si="289"/>
        <v>0</v>
      </c>
      <c r="CA23" s="71">
        <f t="shared" si="290"/>
        <v>0</v>
      </c>
      <c r="CB23" s="71">
        <f t="shared" si="291"/>
        <v>0</v>
      </c>
      <c r="CC23" s="71">
        <f t="shared" si="292"/>
        <v>0</v>
      </c>
      <c r="CD23" s="71">
        <f t="shared" si="293"/>
        <v>0</v>
      </c>
      <c r="CE23" s="71">
        <f t="shared" si="294"/>
        <v>0</v>
      </c>
      <c r="CF23" s="71">
        <f t="shared" si="295"/>
        <v>0</v>
      </c>
      <c r="CG23" s="71">
        <f t="shared" si="296"/>
        <v>0</v>
      </c>
      <c r="CH23" s="70">
        <f t="shared" si="93"/>
        <v>0</v>
      </c>
      <c r="CI23" s="69">
        <f t="shared" ca="1" si="94"/>
        <v>0</v>
      </c>
      <c r="GM23" s="2" t="s">
        <v>16</v>
      </c>
      <c r="GN23" s="98" t="str">
        <f t="shared" si="95"/>
        <v>KHI03-FMCG02-SPO-04</v>
      </c>
      <c r="GO23" s="4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6"/>
      <c r="HT23" s="4">
        <v>0</v>
      </c>
      <c r="HU23" s="3">
        <v>0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0</v>
      </c>
      <c r="ID23" s="3">
        <v>0</v>
      </c>
      <c r="IE23" s="3">
        <v>0</v>
      </c>
      <c r="IF23" s="3">
        <v>0</v>
      </c>
      <c r="IG23" s="3">
        <v>0</v>
      </c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6"/>
    </row>
    <row r="24" spans="1:258" hidden="1">
      <c r="A24" s="106" t="s">
        <v>25</v>
      </c>
      <c r="B24" s="101" t="s">
        <v>26</v>
      </c>
      <c r="C24" s="101" t="s">
        <v>27</v>
      </c>
      <c r="D24" s="107" t="s">
        <v>1107</v>
      </c>
      <c r="E24" s="101" t="s">
        <v>115</v>
      </c>
      <c r="F24" s="101" t="s">
        <v>1034</v>
      </c>
      <c r="G24" s="98" t="s">
        <v>116</v>
      </c>
      <c r="H24" s="101" t="s">
        <v>1722</v>
      </c>
      <c r="I24" s="101" t="s">
        <v>1684</v>
      </c>
      <c r="J24" s="101" t="s">
        <v>1109</v>
      </c>
      <c r="K24" s="98" t="s">
        <v>1092</v>
      </c>
      <c r="L24" s="101" t="s">
        <v>950</v>
      </c>
      <c r="M24" s="101" t="s">
        <v>1093</v>
      </c>
      <c r="N24" s="139" t="s">
        <v>1708</v>
      </c>
      <c r="O24" s="100">
        <v>1</v>
      </c>
      <c r="P24" s="69">
        <v>1</v>
      </c>
      <c r="Q24" s="69">
        <f t="shared" si="21"/>
        <v>0</v>
      </c>
      <c r="R24" s="69">
        <f t="shared" si="231"/>
        <v>0</v>
      </c>
      <c r="S24" s="69">
        <f t="shared" si="232"/>
        <v>0</v>
      </c>
      <c r="T24" s="69">
        <f t="shared" si="233"/>
        <v>0</v>
      </c>
      <c r="U24" s="69">
        <f t="shared" si="234"/>
        <v>0</v>
      </c>
      <c r="V24" s="70">
        <f t="shared" si="235"/>
        <v>0</v>
      </c>
      <c r="W24" s="71">
        <f t="shared" si="236"/>
        <v>0</v>
      </c>
      <c r="X24" s="71">
        <f t="shared" si="237"/>
        <v>0</v>
      </c>
      <c r="Y24" s="71">
        <f t="shared" si="238"/>
        <v>0</v>
      </c>
      <c r="Z24" s="71">
        <f t="shared" si="239"/>
        <v>0</v>
      </c>
      <c r="AA24" s="71">
        <f t="shared" si="240"/>
        <v>0</v>
      </c>
      <c r="AB24" s="71">
        <f t="shared" si="241"/>
        <v>0</v>
      </c>
      <c r="AC24" s="71">
        <f t="shared" si="242"/>
        <v>0</v>
      </c>
      <c r="AD24" s="71">
        <f t="shared" si="243"/>
        <v>0</v>
      </c>
      <c r="AE24" s="71">
        <f t="shared" si="244"/>
        <v>0</v>
      </c>
      <c r="AF24" s="71">
        <f t="shared" si="245"/>
        <v>0</v>
      </c>
      <c r="AG24" s="71">
        <f t="shared" si="246"/>
        <v>0</v>
      </c>
      <c r="AH24" s="71">
        <f t="shared" si="247"/>
        <v>0</v>
      </c>
      <c r="AI24" s="71">
        <f t="shared" si="248"/>
        <v>0</v>
      </c>
      <c r="AJ24" s="71">
        <f t="shared" si="249"/>
        <v>0</v>
      </c>
      <c r="AK24" s="71">
        <f t="shared" si="250"/>
        <v>0</v>
      </c>
      <c r="AL24" s="71">
        <f t="shared" si="251"/>
        <v>0</v>
      </c>
      <c r="AM24" s="71">
        <f t="shared" si="252"/>
        <v>0</v>
      </c>
      <c r="AN24" s="71">
        <f t="shared" si="253"/>
        <v>0</v>
      </c>
      <c r="AO24" s="71">
        <f t="shared" si="254"/>
        <v>0</v>
      </c>
      <c r="AP24" s="71">
        <f t="shared" si="255"/>
        <v>0</v>
      </c>
      <c r="AQ24" s="71">
        <f t="shared" si="256"/>
        <v>0</v>
      </c>
      <c r="AR24" s="71">
        <f t="shared" si="257"/>
        <v>0</v>
      </c>
      <c r="AS24" s="71">
        <f t="shared" si="258"/>
        <v>0</v>
      </c>
      <c r="AT24" s="71">
        <f t="shared" si="259"/>
        <v>0</v>
      </c>
      <c r="AU24" s="71">
        <f t="shared" si="260"/>
        <v>0</v>
      </c>
      <c r="AV24" s="71">
        <f t="shared" si="261"/>
        <v>0</v>
      </c>
      <c r="AW24" s="71">
        <f t="shared" si="262"/>
        <v>0</v>
      </c>
      <c r="AX24" s="71">
        <f t="shared" si="263"/>
        <v>0</v>
      </c>
      <c r="AY24" s="71">
        <f t="shared" si="264"/>
        <v>0</v>
      </c>
      <c r="AZ24" s="72">
        <f t="shared" si="265"/>
        <v>0</v>
      </c>
      <c r="BA24" s="70">
        <f t="shared" si="60"/>
        <v>0</v>
      </c>
      <c r="BB24" s="69">
        <f t="shared" ca="1" si="61"/>
        <v>0</v>
      </c>
      <c r="BC24" s="70">
        <f t="shared" si="266"/>
        <v>0</v>
      </c>
      <c r="BD24" s="71">
        <f t="shared" si="267"/>
        <v>0</v>
      </c>
      <c r="BE24" s="71">
        <f t="shared" si="268"/>
        <v>0</v>
      </c>
      <c r="BF24" s="71">
        <f t="shared" si="269"/>
        <v>0</v>
      </c>
      <c r="BG24" s="71">
        <f t="shared" si="270"/>
        <v>0</v>
      </c>
      <c r="BH24" s="71">
        <f t="shared" si="271"/>
        <v>0</v>
      </c>
      <c r="BI24" s="71">
        <f t="shared" si="272"/>
        <v>0</v>
      </c>
      <c r="BJ24" s="71">
        <f t="shared" si="273"/>
        <v>0</v>
      </c>
      <c r="BK24" s="71">
        <f t="shared" si="274"/>
        <v>0</v>
      </c>
      <c r="BL24" s="71">
        <f t="shared" si="275"/>
        <v>0</v>
      </c>
      <c r="BM24" s="71">
        <f t="shared" si="276"/>
        <v>0</v>
      </c>
      <c r="BN24" s="71">
        <f t="shared" si="277"/>
        <v>0</v>
      </c>
      <c r="BO24" s="71">
        <f t="shared" si="278"/>
        <v>0</v>
      </c>
      <c r="BP24" s="71">
        <f t="shared" si="279"/>
        <v>0</v>
      </c>
      <c r="BQ24" s="71">
        <f t="shared" si="280"/>
        <v>0</v>
      </c>
      <c r="BR24" s="71">
        <f t="shared" si="281"/>
        <v>0</v>
      </c>
      <c r="BS24" s="71">
        <f t="shared" si="282"/>
        <v>0</v>
      </c>
      <c r="BT24" s="71">
        <f t="shared" si="283"/>
        <v>0</v>
      </c>
      <c r="BU24" s="71">
        <f t="shared" si="284"/>
        <v>0</v>
      </c>
      <c r="BV24" s="71">
        <f t="shared" si="285"/>
        <v>0</v>
      </c>
      <c r="BW24" s="71">
        <f t="shared" si="286"/>
        <v>0</v>
      </c>
      <c r="BX24" s="71">
        <f t="shared" si="287"/>
        <v>0</v>
      </c>
      <c r="BY24" s="71">
        <f t="shared" si="288"/>
        <v>0</v>
      </c>
      <c r="BZ24" s="71">
        <f t="shared" si="289"/>
        <v>0</v>
      </c>
      <c r="CA24" s="71">
        <f t="shared" si="290"/>
        <v>0</v>
      </c>
      <c r="CB24" s="71">
        <f t="shared" si="291"/>
        <v>0</v>
      </c>
      <c r="CC24" s="71">
        <f t="shared" si="292"/>
        <v>0</v>
      </c>
      <c r="CD24" s="71">
        <f t="shared" si="293"/>
        <v>0</v>
      </c>
      <c r="CE24" s="71">
        <f t="shared" si="294"/>
        <v>0</v>
      </c>
      <c r="CF24" s="71">
        <f t="shared" si="295"/>
        <v>0</v>
      </c>
      <c r="CG24" s="71">
        <f t="shared" si="296"/>
        <v>0</v>
      </c>
      <c r="CH24" s="70">
        <f t="shared" si="93"/>
        <v>0</v>
      </c>
      <c r="CI24" s="69">
        <f t="shared" ca="1" si="94"/>
        <v>0</v>
      </c>
      <c r="GM24" s="2" t="s">
        <v>16</v>
      </c>
      <c r="GN24" s="101" t="str">
        <f t="shared" si="95"/>
        <v>KHI03-FMCG02-SPO-05</v>
      </c>
      <c r="GO24" s="4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6"/>
      <c r="HT24" s="4">
        <v>0</v>
      </c>
      <c r="HU24" s="3">
        <v>0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0</v>
      </c>
      <c r="IC24" s="3">
        <v>0</v>
      </c>
      <c r="ID24" s="3">
        <v>0</v>
      </c>
      <c r="IE24" s="3">
        <v>0</v>
      </c>
      <c r="IF24" s="3">
        <v>0</v>
      </c>
      <c r="IG24" s="3">
        <v>0</v>
      </c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6"/>
    </row>
    <row r="25" spans="1:258" hidden="1">
      <c r="A25" s="97" t="s">
        <v>25</v>
      </c>
      <c r="B25" s="98" t="s">
        <v>26</v>
      </c>
      <c r="C25" s="98" t="s">
        <v>27</v>
      </c>
      <c r="D25" s="99" t="s">
        <v>1107</v>
      </c>
      <c r="E25" s="98" t="s">
        <v>134</v>
      </c>
      <c r="F25" s="98" t="s">
        <v>1035</v>
      </c>
      <c r="G25" s="98" t="s">
        <v>135</v>
      </c>
      <c r="H25" s="98" t="s">
        <v>1660</v>
      </c>
      <c r="I25" s="101" t="s">
        <v>1664</v>
      </c>
      <c r="J25" s="98" t="s">
        <v>1661</v>
      </c>
      <c r="K25" s="98" t="s">
        <v>1092</v>
      </c>
      <c r="L25" s="101" t="s">
        <v>107</v>
      </c>
      <c r="M25" s="101" t="s">
        <v>1093</v>
      </c>
      <c r="N25" s="139">
        <v>45742</v>
      </c>
      <c r="O25" s="100">
        <v>1</v>
      </c>
      <c r="P25" s="69">
        <v>0</v>
      </c>
      <c r="Q25" s="69">
        <f t="shared" si="21"/>
        <v>1</v>
      </c>
      <c r="R25" s="69">
        <f t="shared" si="231"/>
        <v>1</v>
      </c>
      <c r="S25" s="69">
        <f t="shared" si="232"/>
        <v>0</v>
      </c>
      <c r="T25" s="69">
        <f t="shared" si="233"/>
        <v>1</v>
      </c>
      <c r="U25" s="69">
        <f t="shared" si="234"/>
        <v>1</v>
      </c>
      <c r="V25" s="70">
        <f t="shared" si="235"/>
        <v>1</v>
      </c>
      <c r="W25" s="71">
        <f t="shared" si="236"/>
        <v>1</v>
      </c>
      <c r="X25" s="71">
        <f t="shared" si="237"/>
        <v>1</v>
      </c>
      <c r="Y25" s="71">
        <f t="shared" si="238"/>
        <v>0</v>
      </c>
      <c r="Z25" s="71">
        <f t="shared" si="239"/>
        <v>1</v>
      </c>
      <c r="AA25" s="71">
        <f t="shared" si="240"/>
        <v>1</v>
      </c>
      <c r="AB25" s="71">
        <f t="shared" si="241"/>
        <v>1</v>
      </c>
      <c r="AC25" s="71">
        <f t="shared" si="242"/>
        <v>1</v>
      </c>
      <c r="AD25" s="71">
        <f t="shared" si="243"/>
        <v>1</v>
      </c>
      <c r="AE25" s="71">
        <f t="shared" si="244"/>
        <v>1</v>
      </c>
      <c r="AF25" s="71">
        <f t="shared" si="245"/>
        <v>0</v>
      </c>
      <c r="AG25" s="71">
        <f t="shared" si="246"/>
        <v>1</v>
      </c>
      <c r="AH25" s="71">
        <f t="shared" si="247"/>
        <v>1</v>
      </c>
      <c r="AI25" s="71">
        <f t="shared" si="248"/>
        <v>1</v>
      </c>
      <c r="AJ25" s="71">
        <f t="shared" si="249"/>
        <v>0</v>
      </c>
      <c r="AK25" s="71">
        <f t="shared" si="250"/>
        <v>0</v>
      </c>
      <c r="AL25" s="71">
        <f t="shared" si="251"/>
        <v>0</v>
      </c>
      <c r="AM25" s="71">
        <f t="shared" si="252"/>
        <v>0</v>
      </c>
      <c r="AN25" s="71">
        <f t="shared" si="253"/>
        <v>0</v>
      </c>
      <c r="AO25" s="71">
        <f t="shared" si="254"/>
        <v>0</v>
      </c>
      <c r="AP25" s="71">
        <f t="shared" si="255"/>
        <v>0</v>
      </c>
      <c r="AQ25" s="71">
        <f t="shared" si="256"/>
        <v>0</v>
      </c>
      <c r="AR25" s="71">
        <f t="shared" si="257"/>
        <v>0</v>
      </c>
      <c r="AS25" s="71">
        <f t="shared" si="258"/>
        <v>0</v>
      </c>
      <c r="AT25" s="71">
        <f t="shared" si="259"/>
        <v>0</v>
      </c>
      <c r="AU25" s="71">
        <f t="shared" si="260"/>
        <v>0</v>
      </c>
      <c r="AV25" s="71">
        <f t="shared" si="261"/>
        <v>0</v>
      </c>
      <c r="AW25" s="71">
        <f t="shared" si="262"/>
        <v>0</v>
      </c>
      <c r="AX25" s="71">
        <f t="shared" si="263"/>
        <v>0</v>
      </c>
      <c r="AY25" s="71">
        <f t="shared" si="264"/>
        <v>0</v>
      </c>
      <c r="AZ25" s="72">
        <f t="shared" si="265"/>
        <v>0</v>
      </c>
      <c r="BA25" s="70">
        <f t="shared" si="60"/>
        <v>12</v>
      </c>
      <c r="BB25" s="69">
        <f t="shared" ca="1" si="61"/>
        <v>0.92307692307692313</v>
      </c>
      <c r="BC25" s="70">
        <f t="shared" si="266"/>
        <v>35</v>
      </c>
      <c r="BD25" s="71">
        <f t="shared" si="267"/>
        <v>42</v>
      </c>
      <c r="BE25" s="71">
        <f t="shared" si="268"/>
        <v>36</v>
      </c>
      <c r="BF25" s="71">
        <f t="shared" si="269"/>
        <v>0</v>
      </c>
      <c r="BG25" s="71">
        <f t="shared" si="270"/>
        <v>34</v>
      </c>
      <c r="BH25" s="71">
        <f t="shared" si="271"/>
        <v>28</v>
      </c>
      <c r="BI25" s="71">
        <f t="shared" si="272"/>
        <v>33</v>
      </c>
      <c r="BJ25" s="71">
        <f t="shared" si="273"/>
        <v>35</v>
      </c>
      <c r="BK25" s="71">
        <f t="shared" si="274"/>
        <v>32</v>
      </c>
      <c r="BL25" s="71">
        <f t="shared" si="275"/>
        <v>29</v>
      </c>
      <c r="BM25" s="71">
        <f t="shared" si="276"/>
        <v>0</v>
      </c>
      <c r="BN25" s="71">
        <f t="shared" si="277"/>
        <v>24</v>
      </c>
      <c r="BO25" s="71">
        <f t="shared" si="278"/>
        <v>34</v>
      </c>
      <c r="BP25" s="71">
        <f t="shared" si="279"/>
        <v>0</v>
      </c>
      <c r="BQ25" s="71">
        <f t="shared" si="280"/>
        <v>0</v>
      </c>
      <c r="BR25" s="71">
        <f t="shared" si="281"/>
        <v>0</v>
      </c>
      <c r="BS25" s="71">
        <f t="shared" si="282"/>
        <v>0</v>
      </c>
      <c r="BT25" s="71">
        <f t="shared" si="283"/>
        <v>0</v>
      </c>
      <c r="BU25" s="71">
        <f t="shared" si="284"/>
        <v>0</v>
      </c>
      <c r="BV25" s="71">
        <f t="shared" si="285"/>
        <v>0</v>
      </c>
      <c r="BW25" s="71">
        <f t="shared" si="286"/>
        <v>0</v>
      </c>
      <c r="BX25" s="71">
        <f t="shared" si="287"/>
        <v>0</v>
      </c>
      <c r="BY25" s="71">
        <f t="shared" si="288"/>
        <v>0</v>
      </c>
      <c r="BZ25" s="71">
        <f t="shared" si="289"/>
        <v>0</v>
      </c>
      <c r="CA25" s="71">
        <f t="shared" si="290"/>
        <v>0</v>
      </c>
      <c r="CB25" s="71">
        <f t="shared" si="291"/>
        <v>0</v>
      </c>
      <c r="CC25" s="71">
        <f t="shared" si="292"/>
        <v>0</v>
      </c>
      <c r="CD25" s="71">
        <f t="shared" si="293"/>
        <v>0</v>
      </c>
      <c r="CE25" s="71">
        <f t="shared" si="294"/>
        <v>0</v>
      </c>
      <c r="CF25" s="71">
        <f t="shared" si="295"/>
        <v>0</v>
      </c>
      <c r="CG25" s="71">
        <f t="shared" si="296"/>
        <v>0</v>
      </c>
      <c r="CH25" s="70">
        <f t="shared" si="93"/>
        <v>362</v>
      </c>
      <c r="CI25" s="69">
        <f t="shared" ca="1" si="94"/>
        <v>27.846153846153847</v>
      </c>
      <c r="GM25" s="2" t="s">
        <v>16</v>
      </c>
      <c r="GN25" s="98" t="str">
        <f t="shared" si="95"/>
        <v>KHI03-FMCG02-SPO-06</v>
      </c>
      <c r="GO25" s="4">
        <v>1</v>
      </c>
      <c r="GP25" s="3">
        <v>1</v>
      </c>
      <c r="GQ25" s="3">
        <v>1</v>
      </c>
      <c r="GR25" s="3">
        <v>0</v>
      </c>
      <c r="GS25" s="3">
        <v>1</v>
      </c>
      <c r="GT25" s="3">
        <v>1</v>
      </c>
      <c r="GU25" s="3">
        <v>1</v>
      </c>
      <c r="GV25" s="3">
        <v>1</v>
      </c>
      <c r="GW25" s="3">
        <v>1</v>
      </c>
      <c r="GX25" s="3">
        <v>1</v>
      </c>
      <c r="GY25" s="3">
        <v>0</v>
      </c>
      <c r="GZ25" s="3">
        <v>1</v>
      </c>
      <c r="HA25" s="3">
        <v>1</v>
      </c>
      <c r="HB25" s="3">
        <v>1</v>
      </c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6"/>
      <c r="HT25" s="4">
        <v>35</v>
      </c>
      <c r="HU25" s="3">
        <v>42</v>
      </c>
      <c r="HV25" s="3">
        <v>36</v>
      </c>
      <c r="HW25" s="3">
        <v>0</v>
      </c>
      <c r="HX25" s="3">
        <v>34</v>
      </c>
      <c r="HY25" s="3">
        <v>28</v>
      </c>
      <c r="HZ25" s="3">
        <v>33</v>
      </c>
      <c r="IA25" s="3">
        <v>35</v>
      </c>
      <c r="IB25" s="3">
        <v>32</v>
      </c>
      <c r="IC25" s="3">
        <v>29</v>
      </c>
      <c r="ID25" s="3">
        <v>0</v>
      </c>
      <c r="IE25" s="3">
        <v>24</v>
      </c>
      <c r="IF25" s="3">
        <v>34</v>
      </c>
      <c r="IG25" s="3">
        <v>0</v>
      </c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6"/>
    </row>
    <row r="26" spans="1:258" hidden="1">
      <c r="A26" s="97" t="s">
        <v>1287</v>
      </c>
      <c r="B26" s="98" t="s">
        <v>26</v>
      </c>
      <c r="C26" s="98" t="s">
        <v>27</v>
      </c>
      <c r="D26" s="99" t="s">
        <v>1107</v>
      </c>
      <c r="E26" s="98" t="s">
        <v>1098</v>
      </c>
      <c r="F26" s="98" t="s">
        <v>1110</v>
      </c>
      <c r="G26" s="98" t="s">
        <v>140</v>
      </c>
      <c r="H26" s="98" t="s">
        <v>1422</v>
      </c>
      <c r="I26" s="98" t="s">
        <v>1422</v>
      </c>
      <c r="J26" s="98" t="s">
        <v>857</v>
      </c>
      <c r="K26" s="98" t="s">
        <v>1099</v>
      </c>
      <c r="L26" s="98" t="s">
        <v>1099</v>
      </c>
      <c r="M26" s="101" t="s">
        <v>1099</v>
      </c>
      <c r="N26" s="108">
        <v>45474</v>
      </c>
      <c r="O26" s="100">
        <v>0</v>
      </c>
      <c r="P26" s="69">
        <v>0</v>
      </c>
      <c r="Q26" s="69">
        <f t="shared" si="21"/>
        <v>0</v>
      </c>
      <c r="R26" s="69">
        <f t="shared" si="231"/>
        <v>0</v>
      </c>
      <c r="S26" s="69">
        <f t="shared" si="232"/>
        <v>0</v>
      </c>
      <c r="T26" s="69">
        <f t="shared" si="233"/>
        <v>0</v>
      </c>
      <c r="U26" s="69">
        <f t="shared" si="234"/>
        <v>0</v>
      </c>
      <c r="V26" s="70">
        <f t="shared" si="235"/>
        <v>0</v>
      </c>
      <c r="W26" s="71">
        <f t="shared" si="236"/>
        <v>0</v>
      </c>
      <c r="X26" s="71">
        <f t="shared" si="237"/>
        <v>0</v>
      </c>
      <c r="Y26" s="71">
        <f t="shared" si="238"/>
        <v>0</v>
      </c>
      <c r="Z26" s="71">
        <f t="shared" si="239"/>
        <v>0</v>
      </c>
      <c r="AA26" s="71">
        <f t="shared" si="240"/>
        <v>0</v>
      </c>
      <c r="AB26" s="71">
        <f t="shared" si="241"/>
        <v>0</v>
      </c>
      <c r="AC26" s="71">
        <f t="shared" si="242"/>
        <v>0</v>
      </c>
      <c r="AD26" s="71">
        <f t="shared" si="243"/>
        <v>0</v>
      </c>
      <c r="AE26" s="71">
        <f t="shared" si="244"/>
        <v>0</v>
      </c>
      <c r="AF26" s="71">
        <f t="shared" si="245"/>
        <v>0</v>
      </c>
      <c r="AG26" s="71">
        <f t="shared" si="246"/>
        <v>0</v>
      </c>
      <c r="AH26" s="71">
        <f t="shared" si="247"/>
        <v>0</v>
      </c>
      <c r="AI26" s="71">
        <f t="shared" si="248"/>
        <v>0</v>
      </c>
      <c r="AJ26" s="71">
        <f t="shared" si="249"/>
        <v>0</v>
      </c>
      <c r="AK26" s="71">
        <f t="shared" si="250"/>
        <v>0</v>
      </c>
      <c r="AL26" s="71">
        <f t="shared" si="251"/>
        <v>0</v>
      </c>
      <c r="AM26" s="71">
        <f t="shared" si="252"/>
        <v>0</v>
      </c>
      <c r="AN26" s="71">
        <f t="shared" si="253"/>
        <v>0</v>
      </c>
      <c r="AO26" s="71">
        <f t="shared" si="254"/>
        <v>0</v>
      </c>
      <c r="AP26" s="71">
        <f t="shared" si="255"/>
        <v>0</v>
      </c>
      <c r="AQ26" s="71">
        <f t="shared" si="256"/>
        <v>0</v>
      </c>
      <c r="AR26" s="71">
        <f t="shared" si="257"/>
        <v>0</v>
      </c>
      <c r="AS26" s="71">
        <f t="shared" si="258"/>
        <v>0</v>
      </c>
      <c r="AT26" s="71">
        <f t="shared" si="259"/>
        <v>0</v>
      </c>
      <c r="AU26" s="71">
        <f t="shared" si="260"/>
        <v>0</v>
      </c>
      <c r="AV26" s="71">
        <f t="shared" si="261"/>
        <v>0</v>
      </c>
      <c r="AW26" s="71">
        <f t="shared" si="262"/>
        <v>0</v>
      </c>
      <c r="AX26" s="71">
        <f t="shared" si="263"/>
        <v>0</v>
      </c>
      <c r="AY26" s="71">
        <f t="shared" si="264"/>
        <v>0</v>
      </c>
      <c r="AZ26" s="72">
        <f t="shared" si="265"/>
        <v>0</v>
      </c>
      <c r="BA26" s="70">
        <f t="shared" si="60"/>
        <v>0</v>
      </c>
      <c r="BB26" s="69">
        <f t="shared" ca="1" si="61"/>
        <v>0</v>
      </c>
      <c r="BC26" s="70">
        <f t="shared" si="266"/>
        <v>0</v>
      </c>
      <c r="BD26" s="71">
        <f t="shared" si="267"/>
        <v>0</v>
      </c>
      <c r="BE26" s="71">
        <f t="shared" si="268"/>
        <v>0</v>
      </c>
      <c r="BF26" s="71">
        <f t="shared" si="269"/>
        <v>0</v>
      </c>
      <c r="BG26" s="71">
        <f t="shared" si="270"/>
        <v>0</v>
      </c>
      <c r="BH26" s="71">
        <f t="shared" si="271"/>
        <v>0</v>
      </c>
      <c r="BI26" s="71">
        <f t="shared" si="272"/>
        <v>0</v>
      </c>
      <c r="BJ26" s="71">
        <f t="shared" si="273"/>
        <v>0</v>
      </c>
      <c r="BK26" s="71">
        <f t="shared" si="274"/>
        <v>0</v>
      </c>
      <c r="BL26" s="71">
        <f t="shared" si="275"/>
        <v>0</v>
      </c>
      <c r="BM26" s="71">
        <f t="shared" si="276"/>
        <v>0</v>
      </c>
      <c r="BN26" s="71">
        <f t="shared" si="277"/>
        <v>0</v>
      </c>
      <c r="BO26" s="71">
        <f t="shared" si="278"/>
        <v>0</v>
      </c>
      <c r="BP26" s="71">
        <f t="shared" si="279"/>
        <v>0</v>
      </c>
      <c r="BQ26" s="71">
        <f t="shared" si="280"/>
        <v>0</v>
      </c>
      <c r="BR26" s="71">
        <f t="shared" si="281"/>
        <v>0</v>
      </c>
      <c r="BS26" s="71">
        <f t="shared" si="282"/>
        <v>0</v>
      </c>
      <c r="BT26" s="71">
        <f t="shared" si="283"/>
        <v>0</v>
      </c>
      <c r="BU26" s="71">
        <f t="shared" si="284"/>
        <v>0</v>
      </c>
      <c r="BV26" s="71">
        <f t="shared" si="285"/>
        <v>0</v>
      </c>
      <c r="BW26" s="71">
        <f t="shared" si="286"/>
        <v>0</v>
      </c>
      <c r="BX26" s="71">
        <f t="shared" si="287"/>
        <v>0</v>
      </c>
      <c r="BY26" s="71">
        <f t="shared" si="288"/>
        <v>0</v>
      </c>
      <c r="BZ26" s="71">
        <f t="shared" si="289"/>
        <v>0</v>
      </c>
      <c r="CA26" s="71">
        <f t="shared" si="290"/>
        <v>0</v>
      </c>
      <c r="CB26" s="71">
        <f t="shared" si="291"/>
        <v>0</v>
      </c>
      <c r="CC26" s="71">
        <f t="shared" si="292"/>
        <v>0</v>
      </c>
      <c r="CD26" s="71">
        <f t="shared" si="293"/>
        <v>0</v>
      </c>
      <c r="CE26" s="71">
        <f t="shared" si="294"/>
        <v>0</v>
      </c>
      <c r="CF26" s="71">
        <f t="shared" si="295"/>
        <v>0</v>
      </c>
      <c r="CG26" s="71">
        <f t="shared" si="296"/>
        <v>0</v>
      </c>
      <c r="CH26" s="70">
        <f t="shared" si="93"/>
        <v>0</v>
      </c>
      <c r="CI26" s="69">
        <f t="shared" ca="1" si="94"/>
        <v>0</v>
      </c>
      <c r="GM26" s="2" t="s">
        <v>16</v>
      </c>
      <c r="GN26" s="98" t="str">
        <f t="shared" si="95"/>
        <v>KHI03-FMCG02-SPO-00</v>
      </c>
      <c r="GO26" s="4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6"/>
      <c r="HT26" s="4">
        <v>0</v>
      </c>
      <c r="HU26" s="3">
        <v>0</v>
      </c>
      <c r="HV26" s="3">
        <v>0</v>
      </c>
      <c r="HW26" s="3">
        <v>0</v>
      </c>
      <c r="HX26" s="3">
        <v>0</v>
      </c>
      <c r="HY26" s="3">
        <v>0</v>
      </c>
      <c r="HZ26" s="3">
        <v>0</v>
      </c>
      <c r="IA26" s="3">
        <v>0</v>
      </c>
      <c r="IB26" s="3">
        <v>0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6"/>
    </row>
    <row r="27" spans="1:258" hidden="1">
      <c r="A27" s="97" t="s">
        <v>1380</v>
      </c>
      <c r="B27" s="98" t="s">
        <v>26</v>
      </c>
      <c r="C27" s="98" t="s">
        <v>27</v>
      </c>
      <c r="D27" s="99" t="s">
        <v>1107</v>
      </c>
      <c r="E27" s="98" t="s">
        <v>951</v>
      </c>
      <c r="F27" s="98" t="s">
        <v>1036</v>
      </c>
      <c r="G27" s="98" t="s">
        <v>141</v>
      </c>
      <c r="H27" s="98" t="s">
        <v>1111</v>
      </c>
      <c r="I27" s="98" t="s">
        <v>1111</v>
      </c>
      <c r="J27" s="98" t="s">
        <v>857</v>
      </c>
      <c r="K27" s="98" t="s">
        <v>1092</v>
      </c>
      <c r="L27" s="98" t="s">
        <v>142</v>
      </c>
      <c r="M27" s="101" t="s">
        <v>52</v>
      </c>
      <c r="N27" s="108">
        <v>45941</v>
      </c>
      <c r="O27" s="100">
        <v>0</v>
      </c>
      <c r="P27" s="69">
        <v>0</v>
      </c>
      <c r="Q27" s="69">
        <f t="shared" si="21"/>
        <v>0</v>
      </c>
      <c r="R27" s="69">
        <f t="shared" si="231"/>
        <v>0</v>
      </c>
      <c r="S27" s="69">
        <f t="shared" si="232"/>
        <v>0</v>
      </c>
      <c r="T27" s="69">
        <f t="shared" si="233"/>
        <v>0</v>
      </c>
      <c r="U27" s="69">
        <f t="shared" si="234"/>
        <v>0</v>
      </c>
      <c r="V27" s="70">
        <f t="shared" si="235"/>
        <v>0</v>
      </c>
      <c r="W27" s="71">
        <f t="shared" si="236"/>
        <v>0</v>
      </c>
      <c r="X27" s="71">
        <f t="shared" si="237"/>
        <v>0</v>
      </c>
      <c r="Y27" s="71">
        <f t="shared" si="238"/>
        <v>0</v>
      </c>
      <c r="Z27" s="71">
        <f t="shared" si="239"/>
        <v>0</v>
      </c>
      <c r="AA27" s="71">
        <f t="shared" si="240"/>
        <v>0</v>
      </c>
      <c r="AB27" s="71">
        <f t="shared" si="241"/>
        <v>0</v>
      </c>
      <c r="AC27" s="71">
        <f t="shared" si="242"/>
        <v>0</v>
      </c>
      <c r="AD27" s="71">
        <f t="shared" si="243"/>
        <v>0</v>
      </c>
      <c r="AE27" s="71">
        <f t="shared" si="244"/>
        <v>0</v>
      </c>
      <c r="AF27" s="71">
        <f t="shared" si="245"/>
        <v>0</v>
      </c>
      <c r="AG27" s="71">
        <f t="shared" si="246"/>
        <v>0</v>
      </c>
      <c r="AH27" s="71">
        <f t="shared" si="247"/>
        <v>0</v>
      </c>
      <c r="AI27" s="71">
        <f t="shared" si="248"/>
        <v>0</v>
      </c>
      <c r="AJ27" s="71">
        <f t="shared" si="249"/>
        <v>0</v>
      </c>
      <c r="AK27" s="71">
        <f t="shared" si="250"/>
        <v>0</v>
      </c>
      <c r="AL27" s="71">
        <f t="shared" si="251"/>
        <v>0</v>
      </c>
      <c r="AM27" s="71">
        <f t="shared" si="252"/>
        <v>0</v>
      </c>
      <c r="AN27" s="71">
        <f t="shared" si="253"/>
        <v>0</v>
      </c>
      <c r="AO27" s="71">
        <f t="shared" si="254"/>
        <v>0</v>
      </c>
      <c r="AP27" s="71">
        <f t="shared" si="255"/>
        <v>0</v>
      </c>
      <c r="AQ27" s="71">
        <f t="shared" si="256"/>
        <v>0</v>
      </c>
      <c r="AR27" s="71">
        <f t="shared" si="257"/>
        <v>0</v>
      </c>
      <c r="AS27" s="71">
        <f t="shared" si="258"/>
        <v>0</v>
      </c>
      <c r="AT27" s="71">
        <f t="shared" si="259"/>
        <v>0</v>
      </c>
      <c r="AU27" s="71">
        <f t="shared" si="260"/>
        <v>0</v>
      </c>
      <c r="AV27" s="71">
        <f t="shared" si="261"/>
        <v>0</v>
      </c>
      <c r="AW27" s="71">
        <f t="shared" si="262"/>
        <v>0</v>
      </c>
      <c r="AX27" s="71">
        <f t="shared" si="263"/>
        <v>0</v>
      </c>
      <c r="AY27" s="71">
        <f t="shared" si="264"/>
        <v>0</v>
      </c>
      <c r="AZ27" s="72">
        <f t="shared" si="265"/>
        <v>0</v>
      </c>
      <c r="BA27" s="70">
        <f t="shared" si="60"/>
        <v>0</v>
      </c>
      <c r="BB27" s="69">
        <f t="shared" ca="1" si="61"/>
        <v>0</v>
      </c>
      <c r="BC27" s="70">
        <f t="shared" si="266"/>
        <v>0</v>
      </c>
      <c r="BD27" s="71">
        <f t="shared" si="267"/>
        <v>0</v>
      </c>
      <c r="BE27" s="71">
        <f t="shared" si="268"/>
        <v>0</v>
      </c>
      <c r="BF27" s="71">
        <f t="shared" si="269"/>
        <v>0</v>
      </c>
      <c r="BG27" s="71">
        <f t="shared" si="270"/>
        <v>0</v>
      </c>
      <c r="BH27" s="71">
        <f t="shared" si="271"/>
        <v>0</v>
      </c>
      <c r="BI27" s="71">
        <f t="shared" si="272"/>
        <v>0</v>
      </c>
      <c r="BJ27" s="71">
        <f t="shared" si="273"/>
        <v>0</v>
      </c>
      <c r="BK27" s="71">
        <f t="shared" si="274"/>
        <v>0</v>
      </c>
      <c r="BL27" s="71">
        <f t="shared" si="275"/>
        <v>0</v>
      </c>
      <c r="BM27" s="71">
        <f t="shared" si="276"/>
        <v>0</v>
      </c>
      <c r="BN27" s="71">
        <f t="shared" si="277"/>
        <v>0</v>
      </c>
      <c r="BO27" s="71">
        <f t="shared" si="278"/>
        <v>0</v>
      </c>
      <c r="BP27" s="71">
        <f t="shared" si="279"/>
        <v>0</v>
      </c>
      <c r="BQ27" s="71">
        <f t="shared" si="280"/>
        <v>0</v>
      </c>
      <c r="BR27" s="71">
        <f t="shared" si="281"/>
        <v>0</v>
      </c>
      <c r="BS27" s="71">
        <f t="shared" si="282"/>
        <v>0</v>
      </c>
      <c r="BT27" s="71">
        <f t="shared" si="283"/>
        <v>0</v>
      </c>
      <c r="BU27" s="71">
        <f t="shared" si="284"/>
        <v>0</v>
      </c>
      <c r="BV27" s="71">
        <f t="shared" si="285"/>
        <v>0</v>
      </c>
      <c r="BW27" s="71">
        <f t="shared" si="286"/>
        <v>0</v>
      </c>
      <c r="BX27" s="71">
        <f t="shared" si="287"/>
        <v>0</v>
      </c>
      <c r="BY27" s="71">
        <f t="shared" si="288"/>
        <v>0</v>
      </c>
      <c r="BZ27" s="71">
        <f t="shared" si="289"/>
        <v>0</v>
      </c>
      <c r="CA27" s="71">
        <f t="shared" si="290"/>
        <v>0</v>
      </c>
      <c r="CB27" s="71">
        <f t="shared" si="291"/>
        <v>0</v>
      </c>
      <c r="CC27" s="71">
        <f t="shared" si="292"/>
        <v>0</v>
      </c>
      <c r="CD27" s="71">
        <f t="shared" si="293"/>
        <v>0</v>
      </c>
      <c r="CE27" s="71">
        <f t="shared" si="294"/>
        <v>0</v>
      </c>
      <c r="CF27" s="71">
        <f t="shared" si="295"/>
        <v>0</v>
      </c>
      <c r="CG27" s="71">
        <f t="shared" si="296"/>
        <v>0</v>
      </c>
      <c r="CH27" s="70">
        <f t="shared" si="93"/>
        <v>0</v>
      </c>
      <c r="CI27" s="69">
        <f t="shared" ca="1" si="94"/>
        <v>0</v>
      </c>
      <c r="GM27" s="2" t="s">
        <v>16</v>
      </c>
      <c r="GN27" s="98" t="str">
        <f t="shared" si="95"/>
        <v>KHI03-FMCG02-ASM-01</v>
      </c>
      <c r="GO27" s="4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6"/>
      <c r="HT27" s="4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6"/>
    </row>
    <row r="28" spans="1:258" hidden="1">
      <c r="A28" s="102" t="s">
        <v>53</v>
      </c>
      <c r="B28" s="103" t="s">
        <v>26</v>
      </c>
      <c r="C28" s="103" t="s">
        <v>27</v>
      </c>
      <c r="D28" s="104" t="s">
        <v>78</v>
      </c>
      <c r="E28" s="103" t="s">
        <v>951</v>
      </c>
      <c r="F28" s="103" t="s">
        <v>1036</v>
      </c>
      <c r="G28" s="103" t="s">
        <v>141</v>
      </c>
      <c r="H28" s="103" t="s">
        <v>1111</v>
      </c>
      <c r="I28" s="103" t="s">
        <v>1111</v>
      </c>
      <c r="J28" s="103" t="s">
        <v>87</v>
      </c>
      <c r="K28" s="103" t="s">
        <v>88</v>
      </c>
      <c r="L28" s="103">
        <v>45941</v>
      </c>
      <c r="M28" s="103" t="s">
        <v>52</v>
      </c>
      <c r="N28" s="119">
        <v>45941</v>
      </c>
      <c r="O28" s="105">
        <f>SUM(O20:O27)</f>
        <v>6</v>
      </c>
      <c r="P28" s="73">
        <f>SUM(P20:P27)</f>
        <v>2</v>
      </c>
      <c r="Q28" s="73">
        <f t="shared" si="21"/>
        <v>1</v>
      </c>
      <c r="R28" s="73">
        <f t="shared" ref="R28:V28" si="297">R27+R25+R24+R23+R22+R21+R20</f>
        <v>4</v>
      </c>
      <c r="S28" s="73">
        <f t="shared" si="297"/>
        <v>0</v>
      </c>
      <c r="T28" s="73">
        <f t="shared" si="297"/>
        <v>4</v>
      </c>
      <c r="U28" s="73">
        <f t="shared" si="297"/>
        <v>4</v>
      </c>
      <c r="V28" s="74">
        <f t="shared" si="297"/>
        <v>4</v>
      </c>
      <c r="W28" s="75">
        <f t="shared" ref="W28:AZ28" si="298">W27+W25+W24+W23+W22+W21+W20</f>
        <v>4</v>
      </c>
      <c r="X28" s="75">
        <f t="shared" si="298"/>
        <v>4</v>
      </c>
      <c r="Y28" s="75">
        <f t="shared" si="298"/>
        <v>0</v>
      </c>
      <c r="Z28" s="75">
        <f t="shared" si="298"/>
        <v>4</v>
      </c>
      <c r="AA28" s="75">
        <f t="shared" si="298"/>
        <v>4</v>
      </c>
      <c r="AB28" s="75">
        <f t="shared" si="298"/>
        <v>4</v>
      </c>
      <c r="AC28" s="75">
        <f t="shared" si="298"/>
        <v>4</v>
      </c>
      <c r="AD28" s="75">
        <f t="shared" si="298"/>
        <v>4</v>
      </c>
      <c r="AE28" s="75">
        <f t="shared" si="298"/>
        <v>4</v>
      </c>
      <c r="AF28" s="75">
        <f t="shared" si="298"/>
        <v>0</v>
      </c>
      <c r="AG28" s="75">
        <f t="shared" si="298"/>
        <v>4</v>
      </c>
      <c r="AH28" s="75">
        <f t="shared" si="298"/>
        <v>4</v>
      </c>
      <c r="AI28" s="75">
        <f t="shared" si="298"/>
        <v>4</v>
      </c>
      <c r="AJ28" s="75">
        <f t="shared" si="298"/>
        <v>0</v>
      </c>
      <c r="AK28" s="75">
        <f t="shared" si="298"/>
        <v>0</v>
      </c>
      <c r="AL28" s="75">
        <f t="shared" si="298"/>
        <v>0</v>
      </c>
      <c r="AM28" s="75">
        <f t="shared" si="298"/>
        <v>0</v>
      </c>
      <c r="AN28" s="75">
        <f t="shared" si="298"/>
        <v>0</v>
      </c>
      <c r="AO28" s="75">
        <f t="shared" si="298"/>
        <v>0</v>
      </c>
      <c r="AP28" s="75">
        <f t="shared" si="298"/>
        <v>0</v>
      </c>
      <c r="AQ28" s="75">
        <f t="shared" si="298"/>
        <v>0</v>
      </c>
      <c r="AR28" s="75">
        <f t="shared" si="298"/>
        <v>0</v>
      </c>
      <c r="AS28" s="75">
        <f t="shared" si="298"/>
        <v>0</v>
      </c>
      <c r="AT28" s="75">
        <f t="shared" si="298"/>
        <v>0</v>
      </c>
      <c r="AU28" s="75">
        <f t="shared" si="298"/>
        <v>0</v>
      </c>
      <c r="AV28" s="75">
        <f t="shared" si="298"/>
        <v>0</v>
      </c>
      <c r="AW28" s="75">
        <f t="shared" si="298"/>
        <v>0</v>
      </c>
      <c r="AX28" s="75">
        <f t="shared" si="298"/>
        <v>0</v>
      </c>
      <c r="AY28" s="75">
        <f t="shared" si="298"/>
        <v>0</v>
      </c>
      <c r="AZ28" s="76">
        <f t="shared" si="298"/>
        <v>0</v>
      </c>
      <c r="BA28" s="74">
        <f t="shared" si="60"/>
        <v>48</v>
      </c>
      <c r="BB28" s="73">
        <f t="shared" ca="1" si="61"/>
        <v>0.92307692307692313</v>
      </c>
      <c r="BC28" s="74">
        <f t="shared" ref="BC28" si="299">BC27+BC25+BC24+BC23+BC22+BC21+BC20</f>
        <v>116</v>
      </c>
      <c r="BD28" s="75">
        <f t="shared" ref="BD28" si="300">BD27+BD25+BD24+BD23+BD22+BD21+BD20</f>
        <v>116</v>
      </c>
      <c r="BE28" s="75">
        <f t="shared" ref="BE28" si="301">BE27+BE25+BE24+BE23+BE22+BE21+BE20</f>
        <v>111</v>
      </c>
      <c r="BF28" s="75">
        <f t="shared" ref="BF28" si="302">BF27+BF25+BF24+BF23+BF22+BF21+BF20</f>
        <v>0</v>
      </c>
      <c r="BG28" s="75">
        <f t="shared" ref="BG28" si="303">BG27+BG25+BG24+BG23+BG22+BG21+BG20</f>
        <v>140</v>
      </c>
      <c r="BH28" s="75">
        <f t="shared" ref="BH28" si="304">BH27+BH25+BH24+BH23+BH22+BH21+BH20</f>
        <v>126</v>
      </c>
      <c r="BI28" s="75">
        <f t="shared" ref="BI28" si="305">BI27+BI25+BI24+BI23+BI22+BI21+BI20</f>
        <v>109</v>
      </c>
      <c r="BJ28" s="75">
        <f t="shared" ref="BJ28" si="306">BJ27+BJ25+BJ24+BJ23+BJ22+BJ21+BJ20</f>
        <v>106</v>
      </c>
      <c r="BK28" s="75">
        <f t="shared" ref="BK28" si="307">BK27+BK25+BK24+BK23+BK22+BK21+BK20</f>
        <v>121</v>
      </c>
      <c r="BL28" s="75">
        <f t="shared" ref="BL28" si="308">BL27+BL25+BL24+BL23+BL22+BL21+BL20</f>
        <v>111</v>
      </c>
      <c r="BM28" s="75">
        <f t="shared" ref="BM28" si="309">BM27+BM25+BM24+BM23+BM22+BM21+BM20</f>
        <v>0</v>
      </c>
      <c r="BN28" s="75">
        <f t="shared" ref="BN28" si="310">BN27+BN25+BN24+BN23+BN22+BN21+BN20</f>
        <v>137</v>
      </c>
      <c r="BO28" s="75">
        <f t="shared" ref="BO28" si="311">BO27+BO25+BO24+BO23+BO22+BO21+BO20</f>
        <v>158</v>
      </c>
      <c r="BP28" s="75">
        <f t="shared" ref="BP28" si="312">BP27+BP25+BP24+BP23+BP22+BP21+BP20</f>
        <v>0</v>
      </c>
      <c r="BQ28" s="75">
        <f t="shared" ref="BQ28" si="313">BQ27+BQ25+BQ24+BQ23+BQ22+BQ21+BQ20</f>
        <v>0</v>
      </c>
      <c r="BR28" s="75">
        <f t="shared" ref="BR28" si="314">BR27+BR25+BR24+BR23+BR22+BR21+BR20</f>
        <v>0</v>
      </c>
      <c r="BS28" s="75">
        <f t="shared" ref="BS28" si="315">BS27+BS25+BS24+BS23+BS22+BS21+BS20</f>
        <v>0</v>
      </c>
      <c r="BT28" s="75">
        <f t="shared" ref="BT28" si="316">BT27+BT25+BT24+BT23+BT22+BT21+BT20</f>
        <v>0</v>
      </c>
      <c r="BU28" s="75">
        <f t="shared" ref="BU28" si="317">BU27+BU25+BU24+BU23+BU22+BU21+BU20</f>
        <v>0</v>
      </c>
      <c r="BV28" s="75">
        <f t="shared" ref="BV28" si="318">BV27+BV25+BV24+BV23+BV22+BV21+BV20</f>
        <v>0</v>
      </c>
      <c r="BW28" s="75">
        <f t="shared" ref="BW28" si="319">BW27+BW25+BW24+BW23+BW22+BW21+BW20</f>
        <v>0</v>
      </c>
      <c r="BX28" s="75">
        <f t="shared" ref="BX28" si="320">BX27+BX25+BX24+BX23+BX22+BX21+BX20</f>
        <v>0</v>
      </c>
      <c r="BY28" s="75">
        <f t="shared" ref="BY28" si="321">BY27+BY25+BY24+BY23+BY22+BY21+BY20</f>
        <v>0</v>
      </c>
      <c r="BZ28" s="75">
        <f t="shared" ref="BZ28" si="322">BZ27+BZ25+BZ24+BZ23+BZ22+BZ21+BZ20</f>
        <v>0</v>
      </c>
      <c r="CA28" s="75">
        <f t="shared" ref="CA28" si="323">CA27+CA25+CA24+CA23+CA22+CA21+CA20</f>
        <v>0</v>
      </c>
      <c r="CB28" s="75">
        <f t="shared" ref="CB28" si="324">CB27+CB25+CB24+CB23+CB22+CB21+CB20</f>
        <v>0</v>
      </c>
      <c r="CC28" s="75">
        <f t="shared" ref="CC28" si="325">CC27+CC25+CC24+CC23+CC22+CC21+CC20</f>
        <v>0</v>
      </c>
      <c r="CD28" s="75">
        <f t="shared" ref="CD28" si="326">CD27+CD25+CD24+CD23+CD22+CD21+CD20</f>
        <v>0</v>
      </c>
      <c r="CE28" s="75">
        <f t="shared" ref="CE28" si="327">CE27+CE25+CE24+CE23+CE22+CE21+CE20</f>
        <v>0</v>
      </c>
      <c r="CF28" s="75">
        <f t="shared" ref="CF28" si="328">CF27+CF25+CF24+CF23+CF22+CF21+CF20</f>
        <v>0</v>
      </c>
      <c r="CG28" s="75">
        <f t="shared" ref="CG28" si="329">CG27+CG25+CG24+CG23+CG22+CG21+CG20</f>
        <v>0</v>
      </c>
      <c r="CH28" s="74">
        <f t="shared" si="93"/>
        <v>1351</v>
      </c>
      <c r="CI28" s="73">
        <f t="shared" ca="1" si="94"/>
        <v>25.98076923076923</v>
      </c>
      <c r="CJ28" s="185"/>
      <c r="GM28" s="2" t="s">
        <v>17</v>
      </c>
      <c r="GN28" s="103" t="str">
        <f t="shared" si="95"/>
        <v>KHI03-FMCG02-ASM-01</v>
      </c>
      <c r="GO28" s="4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6"/>
      <c r="HT28" s="4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6"/>
    </row>
    <row r="29" spans="1:258" hidden="1">
      <c r="A29" s="97" t="s">
        <v>25</v>
      </c>
      <c r="B29" s="98" t="s">
        <v>90</v>
      </c>
      <c r="C29" s="98" t="s">
        <v>27</v>
      </c>
      <c r="D29" s="99" t="s">
        <v>1112</v>
      </c>
      <c r="E29" s="98" t="s">
        <v>118</v>
      </c>
      <c r="F29" s="98" t="s">
        <v>93</v>
      </c>
      <c r="G29" s="98" t="s">
        <v>119</v>
      </c>
      <c r="H29" s="98" t="s">
        <v>1423</v>
      </c>
      <c r="I29" s="98" t="s">
        <v>1423</v>
      </c>
      <c r="J29" s="98" t="s">
        <v>1113</v>
      </c>
      <c r="K29" s="98" t="s">
        <v>1092</v>
      </c>
      <c r="L29" s="98" t="s">
        <v>136</v>
      </c>
      <c r="M29" s="101" t="s">
        <v>1093</v>
      </c>
      <c r="N29" s="139">
        <v>44877</v>
      </c>
      <c r="O29" s="100">
        <v>1</v>
      </c>
      <c r="P29" s="69">
        <v>0</v>
      </c>
      <c r="Q29" s="69">
        <f t="shared" si="21"/>
        <v>1</v>
      </c>
      <c r="R29" s="69">
        <f t="shared" ref="R29:R36" si="330">IFERROR(IF(OR(BA29&gt;0),1,0),0)</f>
        <v>1</v>
      </c>
      <c r="S29" s="69">
        <f t="shared" ref="S29:S36" si="331">IFERROR(IF(OR(BP29&gt;0),1,0),0)</f>
        <v>0</v>
      </c>
      <c r="T29" s="69">
        <f t="shared" ref="T29:T36" si="332">IFERROR(IF(OR(CH29&gt;0),1,0),0)</f>
        <v>1</v>
      </c>
      <c r="U29" s="69">
        <f t="shared" ref="U29:U36" si="333">IFERROR(IF(OR(BA29&gt;0,CH29&gt;0),1,0),0)</f>
        <v>1</v>
      </c>
      <c r="V29" s="70">
        <f t="shared" ref="V29:V36" si="334">GO29</f>
        <v>1</v>
      </c>
      <c r="W29" s="71">
        <f t="shared" ref="W29:W36" si="335">GP29</f>
        <v>1</v>
      </c>
      <c r="X29" s="71">
        <f t="shared" ref="X29:X36" si="336">GQ29</f>
        <v>1</v>
      </c>
      <c r="Y29" s="71">
        <f t="shared" ref="Y29:Y36" si="337">GR29</f>
        <v>0</v>
      </c>
      <c r="Z29" s="71">
        <f t="shared" ref="Z29:Z36" si="338">GS29</f>
        <v>1</v>
      </c>
      <c r="AA29" s="71">
        <f t="shared" ref="AA29:AA36" si="339">GT29</f>
        <v>1</v>
      </c>
      <c r="AB29" s="71">
        <f t="shared" ref="AB29:AB36" si="340">GU29</f>
        <v>1</v>
      </c>
      <c r="AC29" s="71">
        <f t="shared" ref="AC29:AC36" si="341">GV29</f>
        <v>1</v>
      </c>
      <c r="AD29" s="71">
        <f t="shared" ref="AD29:AD36" si="342">GW29</f>
        <v>1</v>
      </c>
      <c r="AE29" s="71">
        <f t="shared" ref="AE29:AE36" si="343">GX29</f>
        <v>1</v>
      </c>
      <c r="AF29" s="71">
        <f t="shared" ref="AF29:AF36" si="344">GY29</f>
        <v>0</v>
      </c>
      <c r="AG29" s="71">
        <f t="shared" ref="AG29:AG36" si="345">GZ29</f>
        <v>1</v>
      </c>
      <c r="AH29" s="71">
        <f t="shared" ref="AH29:AH36" si="346">HA29</f>
        <v>1</v>
      </c>
      <c r="AI29" s="71">
        <f t="shared" ref="AI29:AI36" si="347">HB29</f>
        <v>1</v>
      </c>
      <c r="AJ29" s="71">
        <f t="shared" ref="AJ29:AJ36" si="348">HC29</f>
        <v>0</v>
      </c>
      <c r="AK29" s="71">
        <f t="shared" ref="AK29:AK36" si="349">HD29</f>
        <v>0</v>
      </c>
      <c r="AL29" s="71">
        <f t="shared" ref="AL29:AL36" si="350">HE29</f>
        <v>0</v>
      </c>
      <c r="AM29" s="71">
        <f t="shared" ref="AM29:AM36" si="351">HF29</f>
        <v>0</v>
      </c>
      <c r="AN29" s="71">
        <f t="shared" ref="AN29:AN36" si="352">HG29</f>
        <v>0</v>
      </c>
      <c r="AO29" s="71">
        <f t="shared" ref="AO29:AO36" si="353">HH29</f>
        <v>0</v>
      </c>
      <c r="AP29" s="71">
        <f t="shared" ref="AP29:AP36" si="354">HI29</f>
        <v>0</v>
      </c>
      <c r="AQ29" s="71">
        <f t="shared" ref="AQ29:AQ36" si="355">HJ29</f>
        <v>0</v>
      </c>
      <c r="AR29" s="71">
        <f t="shared" ref="AR29:AR36" si="356">HK29</f>
        <v>0</v>
      </c>
      <c r="AS29" s="71">
        <f t="shared" ref="AS29:AS36" si="357">HL29</f>
        <v>0</v>
      </c>
      <c r="AT29" s="71">
        <f t="shared" ref="AT29:AT36" si="358">HM29</f>
        <v>0</v>
      </c>
      <c r="AU29" s="71">
        <f t="shared" ref="AU29:AU36" si="359">HN29</f>
        <v>0</v>
      </c>
      <c r="AV29" s="71">
        <f t="shared" ref="AV29:AV36" si="360">HO29</f>
        <v>0</v>
      </c>
      <c r="AW29" s="71">
        <f t="shared" ref="AW29:AW36" si="361">HP29</f>
        <v>0</v>
      </c>
      <c r="AX29" s="71">
        <f t="shared" ref="AX29:AX36" si="362">HQ29</f>
        <v>0</v>
      </c>
      <c r="AY29" s="71">
        <f t="shared" ref="AY29:AY36" si="363">HR29</f>
        <v>0</v>
      </c>
      <c r="AZ29" s="72">
        <f t="shared" ref="AZ29:AZ36" si="364">HS29</f>
        <v>0</v>
      </c>
      <c r="BA29" s="70">
        <f t="shared" si="60"/>
        <v>12</v>
      </c>
      <c r="BB29" s="69">
        <f t="shared" ca="1" si="61"/>
        <v>0.92307692307692313</v>
      </c>
      <c r="BC29" s="70">
        <f t="shared" ref="BC29:BC36" si="365">HT29</f>
        <v>0</v>
      </c>
      <c r="BD29" s="71">
        <f t="shared" ref="BD29:BD36" si="366">HU29</f>
        <v>0</v>
      </c>
      <c r="BE29" s="71">
        <f t="shared" ref="BE29:BE36" si="367">HV29</f>
        <v>0</v>
      </c>
      <c r="BF29" s="71">
        <f t="shared" ref="BF29:BF36" si="368">HW29</f>
        <v>0</v>
      </c>
      <c r="BG29" s="71">
        <f t="shared" ref="BG29:BG36" si="369">HX29</f>
        <v>0</v>
      </c>
      <c r="BH29" s="71">
        <f t="shared" ref="BH29:BH36" si="370">HY29</f>
        <v>0</v>
      </c>
      <c r="BI29" s="71">
        <f t="shared" ref="BI29:BI36" si="371">HZ29</f>
        <v>0</v>
      </c>
      <c r="BJ29" s="71">
        <f t="shared" ref="BJ29:BJ36" si="372">IA29</f>
        <v>0</v>
      </c>
      <c r="BK29" s="71">
        <f t="shared" ref="BK29:BK36" si="373">IB29</f>
        <v>0</v>
      </c>
      <c r="BL29" s="71">
        <f t="shared" ref="BL29:BL36" si="374">IC29</f>
        <v>49</v>
      </c>
      <c r="BM29" s="71">
        <f t="shared" ref="BM29:BM36" si="375">ID29</f>
        <v>0</v>
      </c>
      <c r="BN29" s="71">
        <f t="shared" ref="BN29:BN36" si="376">IE29</f>
        <v>36</v>
      </c>
      <c r="BO29" s="71">
        <f t="shared" ref="BO29:BO36" si="377">IF29</f>
        <v>0</v>
      </c>
      <c r="BP29" s="71">
        <f t="shared" ref="BP29:BP36" si="378">IG29</f>
        <v>0</v>
      </c>
      <c r="BQ29" s="71">
        <f t="shared" ref="BQ29:BQ36" si="379">IH29</f>
        <v>0</v>
      </c>
      <c r="BR29" s="71">
        <f t="shared" ref="BR29:BR36" si="380">II29</f>
        <v>0</v>
      </c>
      <c r="BS29" s="71">
        <f t="shared" ref="BS29:BS36" si="381">IJ29</f>
        <v>0</v>
      </c>
      <c r="BT29" s="71">
        <f t="shared" ref="BT29:BT36" si="382">IK29</f>
        <v>0</v>
      </c>
      <c r="BU29" s="71">
        <f t="shared" ref="BU29:BU36" si="383">IL29</f>
        <v>0</v>
      </c>
      <c r="BV29" s="71">
        <f t="shared" ref="BV29:BV36" si="384">IM29</f>
        <v>0</v>
      </c>
      <c r="BW29" s="71">
        <f t="shared" ref="BW29:BW36" si="385">IN29</f>
        <v>0</v>
      </c>
      <c r="BX29" s="71">
        <f t="shared" ref="BX29:BX36" si="386">IO29</f>
        <v>0</v>
      </c>
      <c r="BY29" s="71">
        <f t="shared" ref="BY29:BY36" si="387">IP29</f>
        <v>0</v>
      </c>
      <c r="BZ29" s="71">
        <f t="shared" ref="BZ29:BZ36" si="388">IQ29</f>
        <v>0</v>
      </c>
      <c r="CA29" s="71">
        <f t="shared" ref="CA29:CA36" si="389">IR29</f>
        <v>0</v>
      </c>
      <c r="CB29" s="71">
        <f t="shared" ref="CB29:CB36" si="390">IS29</f>
        <v>0</v>
      </c>
      <c r="CC29" s="71">
        <f t="shared" ref="CC29:CC36" si="391">IT29</f>
        <v>0</v>
      </c>
      <c r="CD29" s="71">
        <f t="shared" ref="CD29:CD36" si="392">IU29</f>
        <v>0</v>
      </c>
      <c r="CE29" s="71">
        <f t="shared" ref="CE29:CE36" si="393">IV29</f>
        <v>0</v>
      </c>
      <c r="CF29" s="71">
        <f t="shared" ref="CF29:CF36" si="394">IW29</f>
        <v>0</v>
      </c>
      <c r="CG29" s="71">
        <f t="shared" ref="CG29:CG36" si="395">IX29</f>
        <v>0</v>
      </c>
      <c r="CH29" s="70">
        <f t="shared" si="93"/>
        <v>85</v>
      </c>
      <c r="CI29" s="69">
        <f t="shared" ca="1" si="94"/>
        <v>6.5384615384615383</v>
      </c>
      <c r="GM29" s="2" t="s">
        <v>16</v>
      </c>
      <c r="GN29" s="98" t="str">
        <f t="shared" si="95"/>
        <v>KHI04-FMCG02-SPO-01</v>
      </c>
      <c r="GO29" s="4">
        <v>1</v>
      </c>
      <c r="GP29" s="3">
        <v>1</v>
      </c>
      <c r="GQ29" s="3">
        <v>1</v>
      </c>
      <c r="GR29" s="3">
        <v>0</v>
      </c>
      <c r="GS29" s="3">
        <v>1</v>
      </c>
      <c r="GT29" s="3">
        <v>1</v>
      </c>
      <c r="GU29" s="3">
        <v>1</v>
      </c>
      <c r="GV29" s="3">
        <v>1</v>
      </c>
      <c r="GW29" s="3">
        <v>1</v>
      </c>
      <c r="GX29" s="3">
        <v>1</v>
      </c>
      <c r="GY29" s="3">
        <v>0</v>
      </c>
      <c r="GZ29" s="3">
        <v>1</v>
      </c>
      <c r="HA29" s="3">
        <v>1</v>
      </c>
      <c r="HB29" s="3">
        <v>1</v>
      </c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6"/>
      <c r="HT29" s="4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49</v>
      </c>
      <c r="ID29" s="3">
        <v>0</v>
      </c>
      <c r="IE29" s="3">
        <v>36</v>
      </c>
      <c r="IF29" s="3">
        <v>0</v>
      </c>
      <c r="IG29" s="3">
        <v>0</v>
      </c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6"/>
    </row>
    <row r="30" spans="1:258" hidden="1">
      <c r="A30" s="106" t="s">
        <v>25</v>
      </c>
      <c r="B30" s="101" t="s">
        <v>90</v>
      </c>
      <c r="C30" s="98" t="s">
        <v>27</v>
      </c>
      <c r="D30" s="107" t="s">
        <v>1112</v>
      </c>
      <c r="E30" s="101" t="s">
        <v>121</v>
      </c>
      <c r="F30" s="101" t="s">
        <v>97</v>
      </c>
      <c r="G30" s="98" t="s">
        <v>122</v>
      </c>
      <c r="H30" s="101" t="s">
        <v>1424</v>
      </c>
      <c r="I30" s="101" t="s">
        <v>1424</v>
      </c>
      <c r="J30" s="101" t="s">
        <v>1114</v>
      </c>
      <c r="K30" s="101" t="s">
        <v>1092</v>
      </c>
      <c r="L30" s="101" t="s">
        <v>120</v>
      </c>
      <c r="M30" s="101" t="s">
        <v>1093</v>
      </c>
      <c r="N30" s="139">
        <v>44014</v>
      </c>
      <c r="O30" s="100">
        <v>1</v>
      </c>
      <c r="P30" s="69">
        <v>0</v>
      </c>
      <c r="Q30" s="69">
        <f t="shared" si="21"/>
        <v>1</v>
      </c>
      <c r="R30" s="69">
        <f t="shared" si="330"/>
        <v>1</v>
      </c>
      <c r="S30" s="69">
        <f t="shared" si="331"/>
        <v>0</v>
      </c>
      <c r="T30" s="69">
        <f t="shared" si="332"/>
        <v>1</v>
      </c>
      <c r="U30" s="69">
        <f t="shared" si="333"/>
        <v>1</v>
      </c>
      <c r="V30" s="70">
        <f t="shared" si="334"/>
        <v>1</v>
      </c>
      <c r="W30" s="71">
        <f t="shared" si="335"/>
        <v>1</v>
      </c>
      <c r="X30" s="71">
        <f t="shared" si="336"/>
        <v>1</v>
      </c>
      <c r="Y30" s="71">
        <f t="shared" si="337"/>
        <v>0</v>
      </c>
      <c r="Z30" s="71">
        <f t="shared" si="338"/>
        <v>1</v>
      </c>
      <c r="AA30" s="71">
        <f t="shared" si="339"/>
        <v>1</v>
      </c>
      <c r="AB30" s="71">
        <f t="shared" si="340"/>
        <v>1</v>
      </c>
      <c r="AC30" s="71">
        <f t="shared" si="341"/>
        <v>1</v>
      </c>
      <c r="AD30" s="71">
        <f t="shared" si="342"/>
        <v>1</v>
      </c>
      <c r="AE30" s="71">
        <f t="shared" si="343"/>
        <v>1</v>
      </c>
      <c r="AF30" s="71">
        <f t="shared" si="344"/>
        <v>0</v>
      </c>
      <c r="AG30" s="71">
        <f t="shared" si="345"/>
        <v>1</v>
      </c>
      <c r="AH30" s="71">
        <f t="shared" si="346"/>
        <v>1</v>
      </c>
      <c r="AI30" s="71">
        <f t="shared" si="347"/>
        <v>1</v>
      </c>
      <c r="AJ30" s="71">
        <f t="shared" si="348"/>
        <v>0</v>
      </c>
      <c r="AK30" s="71">
        <f t="shared" si="349"/>
        <v>0</v>
      </c>
      <c r="AL30" s="71">
        <f t="shared" si="350"/>
        <v>0</v>
      </c>
      <c r="AM30" s="71">
        <f t="shared" si="351"/>
        <v>0</v>
      </c>
      <c r="AN30" s="71">
        <f t="shared" si="352"/>
        <v>0</v>
      </c>
      <c r="AO30" s="71">
        <f t="shared" si="353"/>
        <v>0</v>
      </c>
      <c r="AP30" s="71">
        <f t="shared" si="354"/>
        <v>0</v>
      </c>
      <c r="AQ30" s="71">
        <f t="shared" si="355"/>
        <v>0</v>
      </c>
      <c r="AR30" s="71">
        <f t="shared" si="356"/>
        <v>0</v>
      </c>
      <c r="AS30" s="71">
        <f t="shared" si="357"/>
        <v>0</v>
      </c>
      <c r="AT30" s="71">
        <f t="shared" si="358"/>
        <v>0</v>
      </c>
      <c r="AU30" s="71">
        <f t="shared" si="359"/>
        <v>0</v>
      </c>
      <c r="AV30" s="71">
        <f t="shared" si="360"/>
        <v>0</v>
      </c>
      <c r="AW30" s="71">
        <f t="shared" si="361"/>
        <v>0</v>
      </c>
      <c r="AX30" s="71">
        <f t="shared" si="362"/>
        <v>0</v>
      </c>
      <c r="AY30" s="71">
        <f t="shared" si="363"/>
        <v>0</v>
      </c>
      <c r="AZ30" s="72">
        <f t="shared" si="364"/>
        <v>0</v>
      </c>
      <c r="BA30" s="70">
        <f t="shared" si="60"/>
        <v>12</v>
      </c>
      <c r="BB30" s="69">
        <f t="shared" ca="1" si="61"/>
        <v>0.92307692307692313</v>
      </c>
      <c r="BC30" s="70">
        <f t="shared" si="365"/>
        <v>0</v>
      </c>
      <c r="BD30" s="71">
        <f t="shared" si="366"/>
        <v>0</v>
      </c>
      <c r="BE30" s="71">
        <f t="shared" si="367"/>
        <v>19</v>
      </c>
      <c r="BF30" s="71">
        <f t="shared" si="368"/>
        <v>0</v>
      </c>
      <c r="BG30" s="71">
        <f t="shared" si="369"/>
        <v>0</v>
      </c>
      <c r="BH30" s="71">
        <f t="shared" si="370"/>
        <v>37</v>
      </c>
      <c r="BI30" s="71">
        <f t="shared" si="371"/>
        <v>19</v>
      </c>
      <c r="BJ30" s="71">
        <f t="shared" si="372"/>
        <v>0</v>
      </c>
      <c r="BK30" s="71">
        <f t="shared" si="373"/>
        <v>0</v>
      </c>
      <c r="BL30" s="71">
        <f t="shared" si="374"/>
        <v>28</v>
      </c>
      <c r="BM30" s="71">
        <f t="shared" si="375"/>
        <v>0</v>
      </c>
      <c r="BN30" s="71">
        <f t="shared" si="376"/>
        <v>29</v>
      </c>
      <c r="BO30" s="71">
        <f t="shared" si="377"/>
        <v>25</v>
      </c>
      <c r="BP30" s="71">
        <f t="shared" si="378"/>
        <v>0</v>
      </c>
      <c r="BQ30" s="71">
        <f t="shared" si="379"/>
        <v>0</v>
      </c>
      <c r="BR30" s="71">
        <f t="shared" si="380"/>
        <v>0</v>
      </c>
      <c r="BS30" s="71">
        <f t="shared" si="381"/>
        <v>0</v>
      </c>
      <c r="BT30" s="71">
        <f t="shared" si="382"/>
        <v>0</v>
      </c>
      <c r="BU30" s="71">
        <f t="shared" si="383"/>
        <v>0</v>
      </c>
      <c r="BV30" s="71">
        <f t="shared" si="384"/>
        <v>0</v>
      </c>
      <c r="BW30" s="71">
        <f t="shared" si="385"/>
        <v>0</v>
      </c>
      <c r="BX30" s="71">
        <f t="shared" si="386"/>
        <v>0</v>
      </c>
      <c r="BY30" s="71">
        <f t="shared" si="387"/>
        <v>0</v>
      </c>
      <c r="BZ30" s="71">
        <f t="shared" si="388"/>
        <v>0</v>
      </c>
      <c r="CA30" s="71">
        <f t="shared" si="389"/>
        <v>0</v>
      </c>
      <c r="CB30" s="71">
        <f t="shared" si="390"/>
        <v>0</v>
      </c>
      <c r="CC30" s="71">
        <f t="shared" si="391"/>
        <v>0</v>
      </c>
      <c r="CD30" s="71">
        <f t="shared" si="392"/>
        <v>0</v>
      </c>
      <c r="CE30" s="71">
        <f t="shared" si="393"/>
        <v>0</v>
      </c>
      <c r="CF30" s="71">
        <f t="shared" si="394"/>
        <v>0</v>
      </c>
      <c r="CG30" s="71">
        <f t="shared" si="395"/>
        <v>0</v>
      </c>
      <c r="CH30" s="70">
        <f t="shared" si="93"/>
        <v>157</v>
      </c>
      <c r="CI30" s="69">
        <f t="shared" ca="1" si="94"/>
        <v>12.076923076923077</v>
      </c>
      <c r="GM30" s="2" t="s">
        <v>16</v>
      </c>
      <c r="GN30" s="101" t="str">
        <f t="shared" si="95"/>
        <v>KHI04-FMCG02-SPO-02</v>
      </c>
      <c r="GO30" s="4">
        <v>1</v>
      </c>
      <c r="GP30" s="3">
        <v>1</v>
      </c>
      <c r="GQ30" s="3">
        <v>1</v>
      </c>
      <c r="GR30" s="3">
        <v>0</v>
      </c>
      <c r="GS30" s="3">
        <v>1</v>
      </c>
      <c r="GT30" s="3">
        <v>1</v>
      </c>
      <c r="GU30" s="3">
        <v>1</v>
      </c>
      <c r="GV30" s="3">
        <v>1</v>
      </c>
      <c r="GW30" s="3">
        <v>1</v>
      </c>
      <c r="GX30" s="3">
        <v>1</v>
      </c>
      <c r="GY30" s="3">
        <v>0</v>
      </c>
      <c r="GZ30" s="3">
        <v>1</v>
      </c>
      <c r="HA30" s="3">
        <v>1</v>
      </c>
      <c r="HB30" s="3">
        <v>1</v>
      </c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6"/>
      <c r="HT30" s="4">
        <v>0</v>
      </c>
      <c r="HU30" s="3">
        <v>0</v>
      </c>
      <c r="HV30" s="3">
        <v>19</v>
      </c>
      <c r="HW30" s="3">
        <v>0</v>
      </c>
      <c r="HX30" s="3">
        <v>0</v>
      </c>
      <c r="HY30" s="3">
        <v>37</v>
      </c>
      <c r="HZ30" s="3">
        <v>19</v>
      </c>
      <c r="IA30" s="3">
        <v>0</v>
      </c>
      <c r="IB30" s="3">
        <v>0</v>
      </c>
      <c r="IC30" s="3">
        <v>28</v>
      </c>
      <c r="ID30" s="3">
        <v>0</v>
      </c>
      <c r="IE30" s="3">
        <v>29</v>
      </c>
      <c r="IF30" s="3">
        <v>25</v>
      </c>
      <c r="IG30" s="3">
        <v>0</v>
      </c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6"/>
    </row>
    <row r="31" spans="1:258" hidden="1">
      <c r="A31" s="97" t="s">
        <v>25</v>
      </c>
      <c r="B31" s="98" t="s">
        <v>90</v>
      </c>
      <c r="C31" s="98" t="s">
        <v>27</v>
      </c>
      <c r="D31" s="99" t="s">
        <v>1112</v>
      </c>
      <c r="E31" s="98" t="s">
        <v>124</v>
      </c>
      <c r="F31" s="98" t="s">
        <v>101</v>
      </c>
      <c r="G31" s="98" t="s">
        <v>125</v>
      </c>
      <c r="H31" s="98" t="s">
        <v>1425</v>
      </c>
      <c r="I31" s="98" t="s">
        <v>1425</v>
      </c>
      <c r="J31" s="98" t="s">
        <v>1104</v>
      </c>
      <c r="K31" s="98" t="s">
        <v>1092</v>
      </c>
      <c r="L31" s="98" t="s">
        <v>123</v>
      </c>
      <c r="M31" s="101" t="s">
        <v>1093</v>
      </c>
      <c r="N31" s="139">
        <v>44795</v>
      </c>
      <c r="O31" s="100">
        <v>1</v>
      </c>
      <c r="P31" s="69">
        <v>0</v>
      </c>
      <c r="Q31" s="69">
        <f t="shared" si="21"/>
        <v>1</v>
      </c>
      <c r="R31" s="69">
        <f t="shared" si="330"/>
        <v>1</v>
      </c>
      <c r="S31" s="69">
        <f t="shared" si="331"/>
        <v>0</v>
      </c>
      <c r="T31" s="69">
        <f t="shared" si="332"/>
        <v>1</v>
      </c>
      <c r="U31" s="69">
        <f t="shared" si="333"/>
        <v>1</v>
      </c>
      <c r="V31" s="70">
        <f t="shared" si="334"/>
        <v>1</v>
      </c>
      <c r="W31" s="71">
        <f t="shared" si="335"/>
        <v>1</v>
      </c>
      <c r="X31" s="71">
        <f t="shared" si="336"/>
        <v>1</v>
      </c>
      <c r="Y31" s="71">
        <f t="shared" si="337"/>
        <v>0</v>
      </c>
      <c r="Z31" s="71">
        <f t="shared" si="338"/>
        <v>1</v>
      </c>
      <c r="AA31" s="71">
        <f t="shared" si="339"/>
        <v>1</v>
      </c>
      <c r="AB31" s="71">
        <f t="shared" si="340"/>
        <v>1</v>
      </c>
      <c r="AC31" s="71">
        <f t="shared" si="341"/>
        <v>1</v>
      </c>
      <c r="AD31" s="71">
        <f t="shared" si="342"/>
        <v>1</v>
      </c>
      <c r="AE31" s="71">
        <f t="shared" si="343"/>
        <v>1</v>
      </c>
      <c r="AF31" s="71">
        <f t="shared" si="344"/>
        <v>0</v>
      </c>
      <c r="AG31" s="71">
        <f t="shared" si="345"/>
        <v>1</v>
      </c>
      <c r="AH31" s="71">
        <f t="shared" si="346"/>
        <v>1</v>
      </c>
      <c r="AI31" s="71">
        <f t="shared" si="347"/>
        <v>1</v>
      </c>
      <c r="AJ31" s="71">
        <f t="shared" si="348"/>
        <v>0</v>
      </c>
      <c r="AK31" s="71">
        <f t="shared" si="349"/>
        <v>0</v>
      </c>
      <c r="AL31" s="71">
        <f t="shared" si="350"/>
        <v>0</v>
      </c>
      <c r="AM31" s="71">
        <f t="shared" si="351"/>
        <v>0</v>
      </c>
      <c r="AN31" s="71">
        <f t="shared" si="352"/>
        <v>0</v>
      </c>
      <c r="AO31" s="71">
        <f t="shared" si="353"/>
        <v>0</v>
      </c>
      <c r="AP31" s="71">
        <f t="shared" si="354"/>
        <v>0</v>
      </c>
      <c r="AQ31" s="71">
        <f t="shared" si="355"/>
        <v>0</v>
      </c>
      <c r="AR31" s="71">
        <f t="shared" si="356"/>
        <v>0</v>
      </c>
      <c r="AS31" s="71">
        <f t="shared" si="357"/>
        <v>0</v>
      </c>
      <c r="AT31" s="71">
        <f t="shared" si="358"/>
        <v>0</v>
      </c>
      <c r="AU31" s="71">
        <f t="shared" si="359"/>
        <v>0</v>
      </c>
      <c r="AV31" s="71">
        <f t="shared" si="360"/>
        <v>0</v>
      </c>
      <c r="AW31" s="71">
        <f t="shared" si="361"/>
        <v>0</v>
      </c>
      <c r="AX31" s="71">
        <f t="shared" si="362"/>
        <v>0</v>
      </c>
      <c r="AY31" s="71">
        <f t="shared" si="363"/>
        <v>0</v>
      </c>
      <c r="AZ31" s="72">
        <f t="shared" si="364"/>
        <v>0</v>
      </c>
      <c r="BA31" s="70">
        <f t="shared" si="60"/>
        <v>12</v>
      </c>
      <c r="BB31" s="69">
        <f t="shared" ca="1" si="61"/>
        <v>0.92307692307692313</v>
      </c>
      <c r="BC31" s="70">
        <f t="shared" si="365"/>
        <v>29</v>
      </c>
      <c r="BD31" s="71">
        <f t="shared" si="366"/>
        <v>41</v>
      </c>
      <c r="BE31" s="71">
        <f t="shared" si="367"/>
        <v>43</v>
      </c>
      <c r="BF31" s="71">
        <f t="shared" si="368"/>
        <v>0</v>
      </c>
      <c r="BG31" s="71">
        <f t="shared" si="369"/>
        <v>39</v>
      </c>
      <c r="BH31" s="71">
        <f t="shared" si="370"/>
        <v>30</v>
      </c>
      <c r="BI31" s="71">
        <f t="shared" si="371"/>
        <v>35</v>
      </c>
      <c r="BJ31" s="71">
        <f t="shared" si="372"/>
        <v>37</v>
      </c>
      <c r="BK31" s="71">
        <f t="shared" si="373"/>
        <v>33</v>
      </c>
      <c r="BL31" s="71">
        <f t="shared" si="374"/>
        <v>39</v>
      </c>
      <c r="BM31" s="71">
        <f t="shared" si="375"/>
        <v>0</v>
      </c>
      <c r="BN31" s="71">
        <f t="shared" si="376"/>
        <v>51</v>
      </c>
      <c r="BO31" s="71">
        <f t="shared" si="377"/>
        <v>55</v>
      </c>
      <c r="BP31" s="71">
        <f t="shared" si="378"/>
        <v>0</v>
      </c>
      <c r="BQ31" s="71">
        <f t="shared" si="379"/>
        <v>0</v>
      </c>
      <c r="BR31" s="71">
        <f t="shared" si="380"/>
        <v>0</v>
      </c>
      <c r="BS31" s="71">
        <f t="shared" si="381"/>
        <v>0</v>
      </c>
      <c r="BT31" s="71">
        <f t="shared" si="382"/>
        <v>0</v>
      </c>
      <c r="BU31" s="71">
        <f t="shared" si="383"/>
        <v>0</v>
      </c>
      <c r="BV31" s="71">
        <f t="shared" si="384"/>
        <v>0</v>
      </c>
      <c r="BW31" s="71">
        <f t="shared" si="385"/>
        <v>0</v>
      </c>
      <c r="BX31" s="71">
        <f t="shared" si="386"/>
        <v>0</v>
      </c>
      <c r="BY31" s="71">
        <f t="shared" si="387"/>
        <v>0</v>
      </c>
      <c r="BZ31" s="71">
        <f t="shared" si="388"/>
        <v>0</v>
      </c>
      <c r="CA31" s="71">
        <f t="shared" si="389"/>
        <v>0</v>
      </c>
      <c r="CB31" s="71">
        <f t="shared" si="390"/>
        <v>0</v>
      </c>
      <c r="CC31" s="71">
        <f t="shared" si="391"/>
        <v>0</v>
      </c>
      <c r="CD31" s="71">
        <f t="shared" si="392"/>
        <v>0</v>
      </c>
      <c r="CE31" s="71">
        <f t="shared" si="393"/>
        <v>0</v>
      </c>
      <c r="CF31" s="71">
        <f t="shared" si="394"/>
        <v>0</v>
      </c>
      <c r="CG31" s="71">
        <f t="shared" si="395"/>
        <v>0</v>
      </c>
      <c r="CH31" s="70">
        <f t="shared" si="93"/>
        <v>432</v>
      </c>
      <c r="CI31" s="69">
        <f t="shared" ca="1" si="94"/>
        <v>33.230769230769234</v>
      </c>
      <c r="GM31" s="2" t="s">
        <v>16</v>
      </c>
      <c r="GN31" s="98" t="str">
        <f t="shared" si="95"/>
        <v>KHI04-FMCG02-SPO-03</v>
      </c>
      <c r="GO31" s="4">
        <v>1</v>
      </c>
      <c r="GP31" s="3">
        <v>1</v>
      </c>
      <c r="GQ31" s="3">
        <v>1</v>
      </c>
      <c r="GR31" s="3">
        <v>0</v>
      </c>
      <c r="GS31" s="3">
        <v>1</v>
      </c>
      <c r="GT31" s="3">
        <v>1</v>
      </c>
      <c r="GU31" s="3">
        <v>1</v>
      </c>
      <c r="GV31" s="3">
        <v>1</v>
      </c>
      <c r="GW31" s="3">
        <v>1</v>
      </c>
      <c r="GX31" s="3">
        <v>1</v>
      </c>
      <c r="GY31" s="3">
        <v>0</v>
      </c>
      <c r="GZ31" s="3">
        <v>1</v>
      </c>
      <c r="HA31" s="3">
        <v>1</v>
      </c>
      <c r="HB31" s="3">
        <v>1</v>
      </c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6"/>
      <c r="HT31" s="4">
        <v>29</v>
      </c>
      <c r="HU31" s="3">
        <v>41</v>
      </c>
      <c r="HV31" s="3">
        <v>43</v>
      </c>
      <c r="HW31" s="3">
        <v>0</v>
      </c>
      <c r="HX31" s="3">
        <v>39</v>
      </c>
      <c r="HY31" s="3">
        <v>30</v>
      </c>
      <c r="HZ31" s="3">
        <v>35</v>
      </c>
      <c r="IA31" s="3">
        <v>37</v>
      </c>
      <c r="IB31" s="3">
        <v>33</v>
      </c>
      <c r="IC31" s="3">
        <v>39</v>
      </c>
      <c r="ID31" s="3">
        <v>0</v>
      </c>
      <c r="IE31" s="3">
        <v>51</v>
      </c>
      <c r="IF31" s="3">
        <v>55</v>
      </c>
      <c r="IG31" s="3">
        <v>0</v>
      </c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6"/>
    </row>
    <row r="32" spans="1:258" hidden="1">
      <c r="A32" s="97" t="s">
        <v>25</v>
      </c>
      <c r="B32" s="98" t="s">
        <v>90</v>
      </c>
      <c r="C32" s="98" t="s">
        <v>27</v>
      </c>
      <c r="D32" s="99" t="s">
        <v>1112</v>
      </c>
      <c r="E32" s="98" t="s">
        <v>129</v>
      </c>
      <c r="F32" s="98" t="s">
        <v>105</v>
      </c>
      <c r="G32" s="98" t="s">
        <v>130</v>
      </c>
      <c r="H32" s="98" t="s">
        <v>1426</v>
      </c>
      <c r="I32" s="98" t="s">
        <v>1426</v>
      </c>
      <c r="J32" s="98" t="s">
        <v>1115</v>
      </c>
      <c r="K32" s="98" t="s">
        <v>1092</v>
      </c>
      <c r="L32" s="98" t="s">
        <v>126</v>
      </c>
      <c r="M32" s="101" t="s">
        <v>1093</v>
      </c>
      <c r="N32" s="139">
        <v>44988</v>
      </c>
      <c r="O32" s="100">
        <v>1</v>
      </c>
      <c r="P32" s="69">
        <v>0</v>
      </c>
      <c r="Q32" s="69">
        <f t="shared" si="21"/>
        <v>1</v>
      </c>
      <c r="R32" s="69">
        <f t="shared" si="330"/>
        <v>1</v>
      </c>
      <c r="S32" s="69">
        <f t="shared" si="331"/>
        <v>0</v>
      </c>
      <c r="T32" s="69">
        <f t="shared" si="332"/>
        <v>1</v>
      </c>
      <c r="U32" s="69">
        <f t="shared" si="333"/>
        <v>1</v>
      </c>
      <c r="V32" s="70">
        <f t="shared" si="334"/>
        <v>1</v>
      </c>
      <c r="W32" s="71">
        <f t="shared" si="335"/>
        <v>1</v>
      </c>
      <c r="X32" s="71">
        <f t="shared" si="336"/>
        <v>1</v>
      </c>
      <c r="Y32" s="71">
        <f t="shared" si="337"/>
        <v>0</v>
      </c>
      <c r="Z32" s="71">
        <f t="shared" si="338"/>
        <v>1</v>
      </c>
      <c r="AA32" s="71">
        <f t="shared" si="339"/>
        <v>1</v>
      </c>
      <c r="AB32" s="71">
        <f t="shared" si="340"/>
        <v>1</v>
      </c>
      <c r="AC32" s="71">
        <f t="shared" si="341"/>
        <v>1</v>
      </c>
      <c r="AD32" s="71">
        <f t="shared" si="342"/>
        <v>1</v>
      </c>
      <c r="AE32" s="71">
        <f t="shared" si="343"/>
        <v>1</v>
      </c>
      <c r="AF32" s="71">
        <f t="shared" si="344"/>
        <v>0</v>
      </c>
      <c r="AG32" s="71">
        <f t="shared" si="345"/>
        <v>1</v>
      </c>
      <c r="AH32" s="71">
        <f t="shared" si="346"/>
        <v>1</v>
      </c>
      <c r="AI32" s="71">
        <f t="shared" si="347"/>
        <v>1</v>
      </c>
      <c r="AJ32" s="71">
        <f t="shared" si="348"/>
        <v>0</v>
      </c>
      <c r="AK32" s="71">
        <f t="shared" si="349"/>
        <v>0</v>
      </c>
      <c r="AL32" s="71">
        <f t="shared" si="350"/>
        <v>0</v>
      </c>
      <c r="AM32" s="71">
        <f t="shared" si="351"/>
        <v>0</v>
      </c>
      <c r="AN32" s="71">
        <f t="shared" si="352"/>
        <v>0</v>
      </c>
      <c r="AO32" s="71">
        <f t="shared" si="353"/>
        <v>0</v>
      </c>
      <c r="AP32" s="71">
        <f t="shared" si="354"/>
        <v>0</v>
      </c>
      <c r="AQ32" s="71">
        <f t="shared" si="355"/>
        <v>0</v>
      </c>
      <c r="AR32" s="71">
        <f t="shared" si="356"/>
        <v>0</v>
      </c>
      <c r="AS32" s="71">
        <f t="shared" si="357"/>
        <v>0</v>
      </c>
      <c r="AT32" s="71">
        <f t="shared" si="358"/>
        <v>0</v>
      </c>
      <c r="AU32" s="71">
        <f t="shared" si="359"/>
        <v>0</v>
      </c>
      <c r="AV32" s="71">
        <f t="shared" si="360"/>
        <v>0</v>
      </c>
      <c r="AW32" s="71">
        <f t="shared" si="361"/>
        <v>0</v>
      </c>
      <c r="AX32" s="71">
        <f t="shared" si="362"/>
        <v>0</v>
      </c>
      <c r="AY32" s="71">
        <f t="shared" si="363"/>
        <v>0</v>
      </c>
      <c r="AZ32" s="72">
        <f t="shared" si="364"/>
        <v>0</v>
      </c>
      <c r="BA32" s="70">
        <f t="shared" si="60"/>
        <v>12</v>
      </c>
      <c r="BB32" s="69">
        <f t="shared" ca="1" si="61"/>
        <v>0.92307692307692313</v>
      </c>
      <c r="BC32" s="70">
        <f t="shared" si="365"/>
        <v>41</v>
      </c>
      <c r="BD32" s="71">
        <f t="shared" si="366"/>
        <v>34</v>
      </c>
      <c r="BE32" s="71">
        <f t="shared" si="367"/>
        <v>44</v>
      </c>
      <c r="BF32" s="71">
        <f t="shared" si="368"/>
        <v>0</v>
      </c>
      <c r="BG32" s="71">
        <f t="shared" si="369"/>
        <v>44</v>
      </c>
      <c r="BH32" s="71">
        <f t="shared" si="370"/>
        <v>29</v>
      </c>
      <c r="BI32" s="71">
        <f t="shared" si="371"/>
        <v>41</v>
      </c>
      <c r="BJ32" s="71">
        <f t="shared" si="372"/>
        <v>0</v>
      </c>
      <c r="BK32" s="71">
        <f t="shared" si="373"/>
        <v>30</v>
      </c>
      <c r="BL32" s="71">
        <f t="shared" si="374"/>
        <v>44</v>
      </c>
      <c r="BM32" s="71">
        <f t="shared" si="375"/>
        <v>0</v>
      </c>
      <c r="BN32" s="71">
        <f t="shared" si="376"/>
        <v>37</v>
      </c>
      <c r="BO32" s="71">
        <f t="shared" si="377"/>
        <v>44</v>
      </c>
      <c r="BP32" s="71">
        <f t="shared" si="378"/>
        <v>0</v>
      </c>
      <c r="BQ32" s="71">
        <f t="shared" si="379"/>
        <v>0</v>
      </c>
      <c r="BR32" s="71">
        <f t="shared" si="380"/>
        <v>0</v>
      </c>
      <c r="BS32" s="71">
        <f t="shared" si="381"/>
        <v>0</v>
      </c>
      <c r="BT32" s="71">
        <f t="shared" si="382"/>
        <v>0</v>
      </c>
      <c r="BU32" s="71">
        <f t="shared" si="383"/>
        <v>0</v>
      </c>
      <c r="BV32" s="71">
        <f t="shared" si="384"/>
        <v>0</v>
      </c>
      <c r="BW32" s="71">
        <f t="shared" si="385"/>
        <v>0</v>
      </c>
      <c r="BX32" s="71">
        <f t="shared" si="386"/>
        <v>0</v>
      </c>
      <c r="BY32" s="71">
        <f t="shared" si="387"/>
        <v>0</v>
      </c>
      <c r="BZ32" s="71">
        <f t="shared" si="388"/>
        <v>0</v>
      </c>
      <c r="CA32" s="71">
        <f t="shared" si="389"/>
        <v>0</v>
      </c>
      <c r="CB32" s="71">
        <f t="shared" si="390"/>
        <v>0</v>
      </c>
      <c r="CC32" s="71">
        <f t="shared" si="391"/>
        <v>0</v>
      </c>
      <c r="CD32" s="71">
        <f t="shared" si="392"/>
        <v>0</v>
      </c>
      <c r="CE32" s="71">
        <f t="shared" si="393"/>
        <v>0</v>
      </c>
      <c r="CF32" s="71">
        <f t="shared" si="394"/>
        <v>0</v>
      </c>
      <c r="CG32" s="71">
        <f t="shared" si="395"/>
        <v>0</v>
      </c>
      <c r="CH32" s="70">
        <f t="shared" si="93"/>
        <v>388</v>
      </c>
      <c r="CI32" s="69">
        <f t="shared" ca="1" si="94"/>
        <v>29.846153846153847</v>
      </c>
      <c r="GM32" s="2" t="s">
        <v>16</v>
      </c>
      <c r="GN32" s="98" t="str">
        <f t="shared" si="95"/>
        <v>KHI04-FMCG02-SPO-04</v>
      </c>
      <c r="GO32" s="4">
        <v>1</v>
      </c>
      <c r="GP32" s="3">
        <v>1</v>
      </c>
      <c r="GQ32" s="3">
        <v>1</v>
      </c>
      <c r="GR32" s="3">
        <v>0</v>
      </c>
      <c r="GS32" s="3">
        <v>1</v>
      </c>
      <c r="GT32" s="3">
        <v>1</v>
      </c>
      <c r="GU32" s="3">
        <v>1</v>
      </c>
      <c r="GV32" s="3">
        <v>1</v>
      </c>
      <c r="GW32" s="3">
        <v>1</v>
      </c>
      <c r="GX32" s="3">
        <v>1</v>
      </c>
      <c r="GY32" s="3">
        <v>0</v>
      </c>
      <c r="GZ32" s="3">
        <v>1</v>
      </c>
      <c r="HA32" s="3">
        <v>1</v>
      </c>
      <c r="HB32" s="3">
        <v>1</v>
      </c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6"/>
      <c r="HT32" s="4">
        <v>41</v>
      </c>
      <c r="HU32" s="3">
        <v>34</v>
      </c>
      <c r="HV32" s="3">
        <v>44</v>
      </c>
      <c r="HW32" s="3">
        <v>0</v>
      </c>
      <c r="HX32" s="3">
        <v>44</v>
      </c>
      <c r="HY32" s="3">
        <v>29</v>
      </c>
      <c r="HZ32" s="3">
        <v>41</v>
      </c>
      <c r="IA32" s="3">
        <v>0</v>
      </c>
      <c r="IB32" s="3">
        <v>30</v>
      </c>
      <c r="IC32" s="3">
        <v>44</v>
      </c>
      <c r="ID32" s="3">
        <v>0</v>
      </c>
      <c r="IE32" s="3">
        <v>37</v>
      </c>
      <c r="IF32" s="3">
        <v>44</v>
      </c>
      <c r="IG32" s="3">
        <v>0</v>
      </c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6"/>
    </row>
    <row r="33" spans="1:258" hidden="1">
      <c r="A33" s="97" t="s">
        <v>25</v>
      </c>
      <c r="B33" s="98" t="s">
        <v>90</v>
      </c>
      <c r="C33" s="98" t="s">
        <v>27</v>
      </c>
      <c r="D33" s="99" t="s">
        <v>1112</v>
      </c>
      <c r="E33" s="98" t="s">
        <v>131</v>
      </c>
      <c r="F33" s="98" t="s">
        <v>1037</v>
      </c>
      <c r="G33" s="98" t="s">
        <v>132</v>
      </c>
      <c r="H33" s="98" t="s">
        <v>1427</v>
      </c>
      <c r="I33" s="98" t="s">
        <v>1427</v>
      </c>
      <c r="J33" s="98" t="s">
        <v>1116</v>
      </c>
      <c r="K33" s="98" t="s">
        <v>1092</v>
      </c>
      <c r="L33" s="98" t="s">
        <v>117</v>
      </c>
      <c r="M33" s="101" t="s">
        <v>1093</v>
      </c>
      <c r="N33" s="139">
        <v>44498</v>
      </c>
      <c r="O33" s="100">
        <v>1</v>
      </c>
      <c r="P33" s="69">
        <v>0</v>
      </c>
      <c r="Q33" s="69">
        <f t="shared" si="21"/>
        <v>1</v>
      </c>
      <c r="R33" s="69">
        <f t="shared" si="330"/>
        <v>1</v>
      </c>
      <c r="S33" s="69">
        <f t="shared" si="331"/>
        <v>0</v>
      </c>
      <c r="T33" s="69">
        <f t="shared" si="332"/>
        <v>1</v>
      </c>
      <c r="U33" s="69">
        <f t="shared" si="333"/>
        <v>1</v>
      </c>
      <c r="V33" s="70">
        <f t="shared" si="334"/>
        <v>1</v>
      </c>
      <c r="W33" s="71">
        <f t="shared" si="335"/>
        <v>1</v>
      </c>
      <c r="X33" s="71">
        <f t="shared" si="336"/>
        <v>1</v>
      </c>
      <c r="Y33" s="71">
        <f t="shared" si="337"/>
        <v>0</v>
      </c>
      <c r="Z33" s="71">
        <f t="shared" si="338"/>
        <v>1</v>
      </c>
      <c r="AA33" s="71">
        <f t="shared" si="339"/>
        <v>1</v>
      </c>
      <c r="AB33" s="71">
        <f t="shared" si="340"/>
        <v>1</v>
      </c>
      <c r="AC33" s="71">
        <f t="shared" si="341"/>
        <v>1</v>
      </c>
      <c r="AD33" s="71">
        <f t="shared" si="342"/>
        <v>1</v>
      </c>
      <c r="AE33" s="71">
        <f t="shared" si="343"/>
        <v>1</v>
      </c>
      <c r="AF33" s="71">
        <f t="shared" si="344"/>
        <v>0</v>
      </c>
      <c r="AG33" s="71">
        <f t="shared" si="345"/>
        <v>1</v>
      </c>
      <c r="AH33" s="71">
        <f t="shared" si="346"/>
        <v>1</v>
      </c>
      <c r="AI33" s="71">
        <f t="shared" si="347"/>
        <v>1</v>
      </c>
      <c r="AJ33" s="71">
        <f t="shared" si="348"/>
        <v>0</v>
      </c>
      <c r="AK33" s="71">
        <f t="shared" si="349"/>
        <v>0</v>
      </c>
      <c r="AL33" s="71">
        <f t="shared" si="350"/>
        <v>0</v>
      </c>
      <c r="AM33" s="71">
        <f t="shared" si="351"/>
        <v>0</v>
      </c>
      <c r="AN33" s="71">
        <f t="shared" si="352"/>
        <v>0</v>
      </c>
      <c r="AO33" s="71">
        <f t="shared" si="353"/>
        <v>0</v>
      </c>
      <c r="AP33" s="71">
        <f t="shared" si="354"/>
        <v>0</v>
      </c>
      <c r="AQ33" s="71">
        <f t="shared" si="355"/>
        <v>0</v>
      </c>
      <c r="AR33" s="71">
        <f t="shared" si="356"/>
        <v>0</v>
      </c>
      <c r="AS33" s="71">
        <f t="shared" si="357"/>
        <v>0</v>
      </c>
      <c r="AT33" s="71">
        <f t="shared" si="358"/>
        <v>0</v>
      </c>
      <c r="AU33" s="71">
        <f t="shared" si="359"/>
        <v>0</v>
      </c>
      <c r="AV33" s="71">
        <f t="shared" si="360"/>
        <v>0</v>
      </c>
      <c r="AW33" s="71">
        <f t="shared" si="361"/>
        <v>0</v>
      </c>
      <c r="AX33" s="71">
        <f t="shared" si="362"/>
        <v>0</v>
      </c>
      <c r="AY33" s="71">
        <f t="shared" si="363"/>
        <v>0</v>
      </c>
      <c r="AZ33" s="72">
        <f t="shared" si="364"/>
        <v>0</v>
      </c>
      <c r="BA33" s="70">
        <f t="shared" si="60"/>
        <v>12</v>
      </c>
      <c r="BB33" s="69">
        <f t="shared" ca="1" si="61"/>
        <v>0.92307692307692313</v>
      </c>
      <c r="BC33" s="70">
        <f t="shared" si="365"/>
        <v>22</v>
      </c>
      <c r="BD33" s="71">
        <f t="shared" si="366"/>
        <v>23</v>
      </c>
      <c r="BE33" s="71">
        <f t="shared" si="367"/>
        <v>44</v>
      </c>
      <c r="BF33" s="71">
        <f t="shared" si="368"/>
        <v>0</v>
      </c>
      <c r="BG33" s="71">
        <f t="shared" si="369"/>
        <v>0</v>
      </c>
      <c r="BH33" s="71">
        <f t="shared" si="370"/>
        <v>26</v>
      </c>
      <c r="BI33" s="71">
        <f t="shared" si="371"/>
        <v>35</v>
      </c>
      <c r="BJ33" s="71">
        <f t="shared" si="372"/>
        <v>30</v>
      </c>
      <c r="BK33" s="71">
        <f t="shared" si="373"/>
        <v>32</v>
      </c>
      <c r="BL33" s="71">
        <f t="shared" si="374"/>
        <v>16</v>
      </c>
      <c r="BM33" s="71">
        <f t="shared" si="375"/>
        <v>0</v>
      </c>
      <c r="BN33" s="71">
        <f t="shared" si="376"/>
        <v>25</v>
      </c>
      <c r="BO33" s="71">
        <f t="shared" si="377"/>
        <v>23</v>
      </c>
      <c r="BP33" s="71">
        <f t="shared" si="378"/>
        <v>0</v>
      </c>
      <c r="BQ33" s="71">
        <f t="shared" si="379"/>
        <v>0</v>
      </c>
      <c r="BR33" s="71">
        <f t="shared" si="380"/>
        <v>0</v>
      </c>
      <c r="BS33" s="71">
        <f t="shared" si="381"/>
        <v>0</v>
      </c>
      <c r="BT33" s="71">
        <f t="shared" si="382"/>
        <v>0</v>
      </c>
      <c r="BU33" s="71">
        <f t="shared" si="383"/>
        <v>0</v>
      </c>
      <c r="BV33" s="71">
        <f t="shared" si="384"/>
        <v>0</v>
      </c>
      <c r="BW33" s="71">
        <f t="shared" si="385"/>
        <v>0</v>
      </c>
      <c r="BX33" s="71">
        <f t="shared" si="386"/>
        <v>0</v>
      </c>
      <c r="BY33" s="71">
        <f t="shared" si="387"/>
        <v>0</v>
      </c>
      <c r="BZ33" s="71">
        <f t="shared" si="388"/>
        <v>0</v>
      </c>
      <c r="CA33" s="71">
        <f t="shared" si="389"/>
        <v>0</v>
      </c>
      <c r="CB33" s="71">
        <f t="shared" si="390"/>
        <v>0</v>
      </c>
      <c r="CC33" s="71">
        <f t="shared" si="391"/>
        <v>0</v>
      </c>
      <c r="CD33" s="71">
        <f t="shared" si="392"/>
        <v>0</v>
      </c>
      <c r="CE33" s="71">
        <f t="shared" si="393"/>
        <v>0</v>
      </c>
      <c r="CF33" s="71">
        <f t="shared" si="394"/>
        <v>0</v>
      </c>
      <c r="CG33" s="71">
        <f t="shared" si="395"/>
        <v>0</v>
      </c>
      <c r="CH33" s="70">
        <f t="shared" si="93"/>
        <v>276</v>
      </c>
      <c r="CI33" s="69">
        <f t="shared" ca="1" si="94"/>
        <v>21.23076923076923</v>
      </c>
      <c r="GM33" s="2" t="s">
        <v>16</v>
      </c>
      <c r="GN33" s="98" t="str">
        <f t="shared" si="95"/>
        <v>KHI04-FMCG02-SPO-05</v>
      </c>
      <c r="GO33" s="4">
        <v>1</v>
      </c>
      <c r="GP33" s="3">
        <v>1</v>
      </c>
      <c r="GQ33" s="3">
        <v>1</v>
      </c>
      <c r="GR33" s="3">
        <v>0</v>
      </c>
      <c r="GS33" s="3">
        <v>1</v>
      </c>
      <c r="GT33" s="3">
        <v>1</v>
      </c>
      <c r="GU33" s="3">
        <v>1</v>
      </c>
      <c r="GV33" s="3">
        <v>1</v>
      </c>
      <c r="GW33" s="3">
        <v>1</v>
      </c>
      <c r="GX33" s="3">
        <v>1</v>
      </c>
      <c r="GY33" s="3">
        <v>0</v>
      </c>
      <c r="GZ33" s="3">
        <v>1</v>
      </c>
      <c r="HA33" s="3">
        <v>1</v>
      </c>
      <c r="HB33" s="3">
        <v>1</v>
      </c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6"/>
      <c r="HT33" s="4">
        <v>22</v>
      </c>
      <c r="HU33" s="3">
        <v>23</v>
      </c>
      <c r="HV33" s="3">
        <v>44</v>
      </c>
      <c r="HW33" s="3">
        <v>0</v>
      </c>
      <c r="HX33" s="3">
        <v>0</v>
      </c>
      <c r="HY33" s="3">
        <v>26</v>
      </c>
      <c r="HZ33" s="3">
        <v>35</v>
      </c>
      <c r="IA33" s="3">
        <v>30</v>
      </c>
      <c r="IB33" s="3">
        <v>32</v>
      </c>
      <c r="IC33" s="3">
        <v>16</v>
      </c>
      <c r="ID33" s="3">
        <v>0</v>
      </c>
      <c r="IE33" s="3">
        <v>25</v>
      </c>
      <c r="IF33" s="3">
        <v>23</v>
      </c>
      <c r="IG33" s="3">
        <v>0</v>
      </c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6"/>
    </row>
    <row r="34" spans="1:258" hidden="1">
      <c r="A34" s="97" t="s">
        <v>25</v>
      </c>
      <c r="B34" s="98" t="s">
        <v>90</v>
      </c>
      <c r="C34" s="98" t="s">
        <v>27</v>
      </c>
      <c r="D34" s="99" t="s">
        <v>1112</v>
      </c>
      <c r="E34" s="98" t="s">
        <v>137</v>
      </c>
      <c r="F34" s="98" t="s">
        <v>1038</v>
      </c>
      <c r="G34" s="98" t="s">
        <v>138</v>
      </c>
      <c r="H34" s="98" t="s">
        <v>1428</v>
      </c>
      <c r="I34" s="98" t="s">
        <v>1428</v>
      </c>
      <c r="J34" s="98" t="s">
        <v>1116</v>
      </c>
      <c r="K34" s="98" t="s">
        <v>1092</v>
      </c>
      <c r="L34" s="98">
        <v>46230</v>
      </c>
      <c r="M34" s="101" t="s">
        <v>950</v>
      </c>
      <c r="N34" s="108">
        <v>46230</v>
      </c>
      <c r="O34" s="100">
        <v>1</v>
      </c>
      <c r="P34" s="69">
        <v>0</v>
      </c>
      <c r="Q34" s="69">
        <f t="shared" si="21"/>
        <v>1</v>
      </c>
      <c r="R34" s="69">
        <f t="shared" si="330"/>
        <v>1</v>
      </c>
      <c r="S34" s="69">
        <f t="shared" si="331"/>
        <v>0</v>
      </c>
      <c r="T34" s="69">
        <f t="shared" si="332"/>
        <v>1</v>
      </c>
      <c r="U34" s="69">
        <f t="shared" si="333"/>
        <v>1</v>
      </c>
      <c r="V34" s="70">
        <f t="shared" si="334"/>
        <v>1</v>
      </c>
      <c r="W34" s="71">
        <f t="shared" si="335"/>
        <v>1</v>
      </c>
      <c r="X34" s="71">
        <f t="shared" si="336"/>
        <v>1</v>
      </c>
      <c r="Y34" s="71">
        <f t="shared" si="337"/>
        <v>0</v>
      </c>
      <c r="Z34" s="71">
        <f t="shared" si="338"/>
        <v>1</v>
      </c>
      <c r="AA34" s="71">
        <f t="shared" si="339"/>
        <v>1</v>
      </c>
      <c r="AB34" s="71">
        <f t="shared" si="340"/>
        <v>1</v>
      </c>
      <c r="AC34" s="71">
        <f t="shared" si="341"/>
        <v>1</v>
      </c>
      <c r="AD34" s="71">
        <f t="shared" si="342"/>
        <v>1</v>
      </c>
      <c r="AE34" s="71">
        <f t="shared" si="343"/>
        <v>1</v>
      </c>
      <c r="AF34" s="71">
        <f t="shared" si="344"/>
        <v>0</v>
      </c>
      <c r="AG34" s="71">
        <f t="shared" si="345"/>
        <v>1</v>
      </c>
      <c r="AH34" s="71">
        <f t="shared" si="346"/>
        <v>1</v>
      </c>
      <c r="AI34" s="71">
        <f t="shared" si="347"/>
        <v>1</v>
      </c>
      <c r="AJ34" s="71">
        <f t="shared" si="348"/>
        <v>0</v>
      </c>
      <c r="AK34" s="71">
        <f t="shared" si="349"/>
        <v>0</v>
      </c>
      <c r="AL34" s="71">
        <f t="shared" si="350"/>
        <v>0</v>
      </c>
      <c r="AM34" s="71">
        <f t="shared" si="351"/>
        <v>0</v>
      </c>
      <c r="AN34" s="71">
        <f t="shared" si="352"/>
        <v>0</v>
      </c>
      <c r="AO34" s="71">
        <f t="shared" si="353"/>
        <v>0</v>
      </c>
      <c r="AP34" s="71">
        <f t="shared" si="354"/>
        <v>0</v>
      </c>
      <c r="AQ34" s="71">
        <f t="shared" si="355"/>
        <v>0</v>
      </c>
      <c r="AR34" s="71">
        <f t="shared" si="356"/>
        <v>0</v>
      </c>
      <c r="AS34" s="71">
        <f t="shared" si="357"/>
        <v>0</v>
      </c>
      <c r="AT34" s="71">
        <f t="shared" si="358"/>
        <v>0</v>
      </c>
      <c r="AU34" s="71">
        <f t="shared" si="359"/>
        <v>0</v>
      </c>
      <c r="AV34" s="71">
        <f t="shared" si="360"/>
        <v>0</v>
      </c>
      <c r="AW34" s="71">
        <f t="shared" si="361"/>
        <v>0</v>
      </c>
      <c r="AX34" s="71">
        <f t="shared" si="362"/>
        <v>0</v>
      </c>
      <c r="AY34" s="71">
        <f t="shared" si="363"/>
        <v>0</v>
      </c>
      <c r="AZ34" s="72">
        <f t="shared" si="364"/>
        <v>0</v>
      </c>
      <c r="BA34" s="70">
        <f t="shared" si="60"/>
        <v>12</v>
      </c>
      <c r="BB34" s="69">
        <f t="shared" ca="1" si="61"/>
        <v>0.92307692307692313</v>
      </c>
      <c r="BC34" s="70">
        <f t="shared" si="365"/>
        <v>0</v>
      </c>
      <c r="BD34" s="71">
        <f t="shared" si="366"/>
        <v>38</v>
      </c>
      <c r="BE34" s="71">
        <f t="shared" si="367"/>
        <v>35</v>
      </c>
      <c r="BF34" s="71">
        <f t="shared" si="368"/>
        <v>0</v>
      </c>
      <c r="BG34" s="71">
        <f t="shared" si="369"/>
        <v>0</v>
      </c>
      <c r="BH34" s="71">
        <f t="shared" si="370"/>
        <v>37</v>
      </c>
      <c r="BI34" s="71">
        <f t="shared" si="371"/>
        <v>63</v>
      </c>
      <c r="BJ34" s="71">
        <f t="shared" si="372"/>
        <v>36</v>
      </c>
      <c r="BK34" s="71">
        <f t="shared" si="373"/>
        <v>38</v>
      </c>
      <c r="BL34" s="71">
        <f t="shared" si="374"/>
        <v>48</v>
      </c>
      <c r="BM34" s="71">
        <f t="shared" si="375"/>
        <v>0</v>
      </c>
      <c r="BN34" s="71">
        <f t="shared" si="376"/>
        <v>37</v>
      </c>
      <c r="BO34" s="71">
        <f t="shared" si="377"/>
        <v>37</v>
      </c>
      <c r="BP34" s="71">
        <f t="shared" si="378"/>
        <v>0</v>
      </c>
      <c r="BQ34" s="71">
        <f t="shared" si="379"/>
        <v>0</v>
      </c>
      <c r="BR34" s="71">
        <f t="shared" si="380"/>
        <v>0</v>
      </c>
      <c r="BS34" s="71">
        <f t="shared" si="381"/>
        <v>0</v>
      </c>
      <c r="BT34" s="71">
        <f t="shared" si="382"/>
        <v>0</v>
      </c>
      <c r="BU34" s="71">
        <f t="shared" si="383"/>
        <v>0</v>
      </c>
      <c r="BV34" s="71">
        <f t="shared" si="384"/>
        <v>0</v>
      </c>
      <c r="BW34" s="71">
        <f t="shared" si="385"/>
        <v>0</v>
      </c>
      <c r="BX34" s="71">
        <f t="shared" si="386"/>
        <v>0</v>
      </c>
      <c r="BY34" s="71">
        <f t="shared" si="387"/>
        <v>0</v>
      </c>
      <c r="BZ34" s="71">
        <f t="shared" si="388"/>
        <v>0</v>
      </c>
      <c r="CA34" s="71">
        <f t="shared" si="389"/>
        <v>0</v>
      </c>
      <c r="CB34" s="71">
        <f t="shared" si="390"/>
        <v>0</v>
      </c>
      <c r="CC34" s="71">
        <f t="shared" si="391"/>
        <v>0</v>
      </c>
      <c r="CD34" s="71">
        <f t="shared" si="392"/>
        <v>0</v>
      </c>
      <c r="CE34" s="71">
        <f t="shared" si="393"/>
        <v>0</v>
      </c>
      <c r="CF34" s="71">
        <f t="shared" si="394"/>
        <v>0</v>
      </c>
      <c r="CG34" s="71">
        <f t="shared" si="395"/>
        <v>0</v>
      </c>
      <c r="CH34" s="70">
        <f t="shared" si="93"/>
        <v>369</v>
      </c>
      <c r="CI34" s="69">
        <f t="shared" ca="1" si="94"/>
        <v>28.384615384615383</v>
      </c>
      <c r="GM34" s="2" t="s">
        <v>16</v>
      </c>
      <c r="GN34" s="98" t="str">
        <f t="shared" si="95"/>
        <v>KHI04-FMCG02-SPO-06</v>
      </c>
      <c r="GO34" s="4">
        <v>1</v>
      </c>
      <c r="GP34" s="3">
        <v>1</v>
      </c>
      <c r="GQ34" s="3">
        <v>1</v>
      </c>
      <c r="GR34" s="3">
        <v>0</v>
      </c>
      <c r="GS34" s="3">
        <v>1</v>
      </c>
      <c r="GT34" s="3">
        <v>1</v>
      </c>
      <c r="GU34" s="3">
        <v>1</v>
      </c>
      <c r="GV34" s="3">
        <v>1</v>
      </c>
      <c r="GW34" s="3">
        <v>1</v>
      </c>
      <c r="GX34" s="3">
        <v>1</v>
      </c>
      <c r="GY34" s="3">
        <v>0</v>
      </c>
      <c r="GZ34" s="3">
        <v>1</v>
      </c>
      <c r="HA34" s="3">
        <v>1</v>
      </c>
      <c r="HB34" s="3">
        <v>1</v>
      </c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6"/>
      <c r="HT34" s="4">
        <v>0</v>
      </c>
      <c r="HU34" s="3">
        <v>38</v>
      </c>
      <c r="HV34" s="3">
        <v>35</v>
      </c>
      <c r="HW34" s="3">
        <v>0</v>
      </c>
      <c r="HX34" s="3">
        <v>0</v>
      </c>
      <c r="HY34" s="3">
        <v>37</v>
      </c>
      <c r="HZ34" s="3">
        <v>63</v>
      </c>
      <c r="IA34" s="3">
        <v>36</v>
      </c>
      <c r="IB34" s="3">
        <v>38</v>
      </c>
      <c r="IC34" s="3">
        <v>48</v>
      </c>
      <c r="ID34" s="3">
        <v>0</v>
      </c>
      <c r="IE34" s="3">
        <v>37</v>
      </c>
      <c r="IF34" s="3">
        <v>37</v>
      </c>
      <c r="IG34" s="3">
        <v>0</v>
      </c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6"/>
    </row>
    <row r="35" spans="1:258" hidden="1">
      <c r="A35" s="97" t="s">
        <v>1287</v>
      </c>
      <c r="B35" s="98" t="s">
        <v>90</v>
      </c>
      <c r="C35" s="98" t="s">
        <v>27</v>
      </c>
      <c r="D35" s="99" t="s">
        <v>1112</v>
      </c>
      <c r="E35" s="98" t="s">
        <v>1098</v>
      </c>
      <c r="F35" s="98" t="s">
        <v>108</v>
      </c>
      <c r="G35" s="98" t="s">
        <v>109</v>
      </c>
      <c r="H35" s="98" t="s">
        <v>1429</v>
      </c>
      <c r="I35" s="98" t="s">
        <v>1429</v>
      </c>
      <c r="J35" s="98" t="s">
        <v>857</v>
      </c>
      <c r="K35" s="98" t="s">
        <v>1099</v>
      </c>
      <c r="L35" s="98" t="s">
        <v>1099</v>
      </c>
      <c r="M35" s="101" t="s">
        <v>1099</v>
      </c>
      <c r="N35" s="108">
        <v>45474</v>
      </c>
      <c r="O35" s="100">
        <v>0</v>
      </c>
      <c r="P35" s="69">
        <v>0</v>
      </c>
      <c r="Q35" s="69">
        <f t="shared" si="21"/>
        <v>0</v>
      </c>
      <c r="R35" s="69">
        <f t="shared" si="330"/>
        <v>0</v>
      </c>
      <c r="S35" s="69">
        <f t="shared" si="331"/>
        <v>0</v>
      </c>
      <c r="T35" s="69">
        <f t="shared" si="332"/>
        <v>0</v>
      </c>
      <c r="U35" s="69">
        <f t="shared" si="333"/>
        <v>0</v>
      </c>
      <c r="V35" s="70">
        <f t="shared" si="334"/>
        <v>0</v>
      </c>
      <c r="W35" s="71">
        <f t="shared" si="335"/>
        <v>0</v>
      </c>
      <c r="X35" s="71">
        <f t="shared" si="336"/>
        <v>0</v>
      </c>
      <c r="Y35" s="71">
        <f t="shared" si="337"/>
        <v>0</v>
      </c>
      <c r="Z35" s="71">
        <f t="shared" si="338"/>
        <v>0</v>
      </c>
      <c r="AA35" s="71">
        <f t="shared" si="339"/>
        <v>0</v>
      </c>
      <c r="AB35" s="71">
        <f t="shared" si="340"/>
        <v>0</v>
      </c>
      <c r="AC35" s="71">
        <f t="shared" si="341"/>
        <v>0</v>
      </c>
      <c r="AD35" s="71">
        <f t="shared" si="342"/>
        <v>0</v>
      </c>
      <c r="AE35" s="71">
        <f t="shared" si="343"/>
        <v>0</v>
      </c>
      <c r="AF35" s="71">
        <f t="shared" si="344"/>
        <v>0</v>
      </c>
      <c r="AG35" s="71">
        <f t="shared" si="345"/>
        <v>0</v>
      </c>
      <c r="AH35" s="71">
        <f t="shared" si="346"/>
        <v>0</v>
      </c>
      <c r="AI35" s="71">
        <f t="shared" si="347"/>
        <v>0</v>
      </c>
      <c r="AJ35" s="71">
        <f t="shared" si="348"/>
        <v>0</v>
      </c>
      <c r="AK35" s="71">
        <f t="shared" si="349"/>
        <v>0</v>
      </c>
      <c r="AL35" s="71">
        <f t="shared" si="350"/>
        <v>0</v>
      </c>
      <c r="AM35" s="71">
        <f t="shared" si="351"/>
        <v>0</v>
      </c>
      <c r="AN35" s="71">
        <f t="shared" si="352"/>
        <v>0</v>
      </c>
      <c r="AO35" s="71">
        <f t="shared" si="353"/>
        <v>0</v>
      </c>
      <c r="AP35" s="71">
        <f t="shared" si="354"/>
        <v>0</v>
      </c>
      <c r="AQ35" s="71">
        <f t="shared" si="355"/>
        <v>0</v>
      </c>
      <c r="AR35" s="71">
        <f t="shared" si="356"/>
        <v>0</v>
      </c>
      <c r="AS35" s="71">
        <f t="shared" si="357"/>
        <v>0</v>
      </c>
      <c r="AT35" s="71">
        <f t="shared" si="358"/>
        <v>0</v>
      </c>
      <c r="AU35" s="71">
        <f t="shared" si="359"/>
        <v>0</v>
      </c>
      <c r="AV35" s="71">
        <f t="shared" si="360"/>
        <v>0</v>
      </c>
      <c r="AW35" s="71">
        <f t="shared" si="361"/>
        <v>0</v>
      </c>
      <c r="AX35" s="71">
        <f t="shared" si="362"/>
        <v>0</v>
      </c>
      <c r="AY35" s="71">
        <f t="shared" si="363"/>
        <v>0</v>
      </c>
      <c r="AZ35" s="72">
        <f t="shared" si="364"/>
        <v>0</v>
      </c>
      <c r="BA35" s="70">
        <f t="shared" si="60"/>
        <v>0</v>
      </c>
      <c r="BB35" s="69">
        <f t="shared" ca="1" si="61"/>
        <v>0</v>
      </c>
      <c r="BC35" s="70">
        <f t="shared" si="365"/>
        <v>0</v>
      </c>
      <c r="BD35" s="71">
        <f t="shared" si="366"/>
        <v>0</v>
      </c>
      <c r="BE35" s="71">
        <f t="shared" si="367"/>
        <v>0</v>
      </c>
      <c r="BF35" s="71">
        <f t="shared" si="368"/>
        <v>0</v>
      </c>
      <c r="BG35" s="71">
        <f t="shared" si="369"/>
        <v>0</v>
      </c>
      <c r="BH35" s="71">
        <f t="shared" si="370"/>
        <v>0</v>
      </c>
      <c r="BI35" s="71">
        <f t="shared" si="371"/>
        <v>0</v>
      </c>
      <c r="BJ35" s="71">
        <f t="shared" si="372"/>
        <v>0</v>
      </c>
      <c r="BK35" s="71">
        <f t="shared" si="373"/>
        <v>0</v>
      </c>
      <c r="BL35" s="71">
        <f t="shared" si="374"/>
        <v>0</v>
      </c>
      <c r="BM35" s="71">
        <f t="shared" si="375"/>
        <v>0</v>
      </c>
      <c r="BN35" s="71">
        <f t="shared" si="376"/>
        <v>0</v>
      </c>
      <c r="BO35" s="71">
        <f t="shared" si="377"/>
        <v>0</v>
      </c>
      <c r="BP35" s="71">
        <f t="shared" si="378"/>
        <v>0</v>
      </c>
      <c r="BQ35" s="71">
        <f t="shared" si="379"/>
        <v>0</v>
      </c>
      <c r="BR35" s="71">
        <f t="shared" si="380"/>
        <v>0</v>
      </c>
      <c r="BS35" s="71">
        <f t="shared" si="381"/>
        <v>0</v>
      </c>
      <c r="BT35" s="71">
        <f t="shared" si="382"/>
        <v>0</v>
      </c>
      <c r="BU35" s="71">
        <f t="shared" si="383"/>
        <v>0</v>
      </c>
      <c r="BV35" s="71">
        <f t="shared" si="384"/>
        <v>0</v>
      </c>
      <c r="BW35" s="71">
        <f t="shared" si="385"/>
        <v>0</v>
      </c>
      <c r="BX35" s="71">
        <f t="shared" si="386"/>
        <v>0</v>
      </c>
      <c r="BY35" s="71">
        <f t="shared" si="387"/>
        <v>0</v>
      </c>
      <c r="BZ35" s="71">
        <f t="shared" si="388"/>
        <v>0</v>
      </c>
      <c r="CA35" s="71">
        <f t="shared" si="389"/>
        <v>0</v>
      </c>
      <c r="CB35" s="71">
        <f t="shared" si="390"/>
        <v>0</v>
      </c>
      <c r="CC35" s="71">
        <f t="shared" si="391"/>
        <v>0</v>
      </c>
      <c r="CD35" s="71">
        <f t="shared" si="392"/>
        <v>0</v>
      </c>
      <c r="CE35" s="71">
        <f t="shared" si="393"/>
        <v>0</v>
      </c>
      <c r="CF35" s="71">
        <f t="shared" si="394"/>
        <v>0</v>
      </c>
      <c r="CG35" s="71">
        <f t="shared" si="395"/>
        <v>0</v>
      </c>
      <c r="CH35" s="70">
        <f t="shared" si="93"/>
        <v>0</v>
      </c>
      <c r="CI35" s="69">
        <f t="shared" ca="1" si="94"/>
        <v>0</v>
      </c>
      <c r="GM35" s="2" t="s">
        <v>16</v>
      </c>
      <c r="GN35" s="98" t="str">
        <f t="shared" si="95"/>
        <v>KHI04-FMCG02-SPO-00</v>
      </c>
      <c r="GO35" s="4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6"/>
      <c r="HT35" s="4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6"/>
    </row>
    <row r="36" spans="1:258" hidden="1">
      <c r="A36" s="97" t="s">
        <v>1380</v>
      </c>
      <c r="B36" s="98" t="s">
        <v>90</v>
      </c>
      <c r="C36" s="98" t="s">
        <v>27</v>
      </c>
      <c r="D36" s="99" t="s">
        <v>1112</v>
      </c>
      <c r="E36" s="98" t="s">
        <v>110</v>
      </c>
      <c r="F36" s="98" t="s">
        <v>111</v>
      </c>
      <c r="G36" s="98" t="s">
        <v>112</v>
      </c>
      <c r="H36" s="98" t="s">
        <v>1117</v>
      </c>
      <c r="I36" s="98" t="s">
        <v>1117</v>
      </c>
      <c r="J36" s="98" t="s">
        <v>857</v>
      </c>
      <c r="K36" s="98" t="s">
        <v>1092</v>
      </c>
      <c r="L36" s="98" t="s">
        <v>114</v>
      </c>
      <c r="M36" s="101" t="s">
        <v>52</v>
      </c>
      <c r="N36" s="108">
        <v>45139</v>
      </c>
      <c r="O36" s="100">
        <v>0</v>
      </c>
      <c r="P36" s="69">
        <v>0</v>
      </c>
      <c r="Q36" s="69">
        <f t="shared" si="21"/>
        <v>0</v>
      </c>
      <c r="R36" s="69">
        <f t="shared" si="330"/>
        <v>0</v>
      </c>
      <c r="S36" s="69">
        <f t="shared" si="331"/>
        <v>0</v>
      </c>
      <c r="T36" s="69">
        <f t="shared" si="332"/>
        <v>0</v>
      </c>
      <c r="U36" s="69">
        <f t="shared" si="333"/>
        <v>0</v>
      </c>
      <c r="V36" s="70">
        <f t="shared" si="334"/>
        <v>0</v>
      </c>
      <c r="W36" s="71">
        <f t="shared" si="335"/>
        <v>0</v>
      </c>
      <c r="X36" s="71">
        <f t="shared" si="336"/>
        <v>0</v>
      </c>
      <c r="Y36" s="71">
        <f t="shared" si="337"/>
        <v>0</v>
      </c>
      <c r="Z36" s="71">
        <f t="shared" si="338"/>
        <v>0</v>
      </c>
      <c r="AA36" s="71">
        <f t="shared" si="339"/>
        <v>0</v>
      </c>
      <c r="AB36" s="71">
        <f t="shared" si="340"/>
        <v>0</v>
      </c>
      <c r="AC36" s="71">
        <f t="shared" si="341"/>
        <v>0</v>
      </c>
      <c r="AD36" s="71">
        <f t="shared" si="342"/>
        <v>0</v>
      </c>
      <c r="AE36" s="71">
        <f t="shared" si="343"/>
        <v>0</v>
      </c>
      <c r="AF36" s="71">
        <f t="shared" si="344"/>
        <v>0</v>
      </c>
      <c r="AG36" s="71">
        <f t="shared" si="345"/>
        <v>0</v>
      </c>
      <c r="AH36" s="71">
        <f t="shared" si="346"/>
        <v>0</v>
      </c>
      <c r="AI36" s="71">
        <f t="shared" si="347"/>
        <v>0</v>
      </c>
      <c r="AJ36" s="71">
        <f t="shared" si="348"/>
        <v>0</v>
      </c>
      <c r="AK36" s="71">
        <f t="shared" si="349"/>
        <v>0</v>
      </c>
      <c r="AL36" s="71">
        <f t="shared" si="350"/>
        <v>0</v>
      </c>
      <c r="AM36" s="71">
        <f t="shared" si="351"/>
        <v>0</v>
      </c>
      <c r="AN36" s="71">
        <f t="shared" si="352"/>
        <v>0</v>
      </c>
      <c r="AO36" s="71">
        <f t="shared" si="353"/>
        <v>0</v>
      </c>
      <c r="AP36" s="71">
        <f t="shared" si="354"/>
        <v>0</v>
      </c>
      <c r="AQ36" s="71">
        <f t="shared" si="355"/>
        <v>0</v>
      </c>
      <c r="AR36" s="71">
        <f t="shared" si="356"/>
        <v>0</v>
      </c>
      <c r="AS36" s="71">
        <f t="shared" si="357"/>
        <v>0</v>
      </c>
      <c r="AT36" s="71">
        <f t="shared" si="358"/>
        <v>0</v>
      </c>
      <c r="AU36" s="71">
        <f t="shared" si="359"/>
        <v>0</v>
      </c>
      <c r="AV36" s="71">
        <f t="shared" si="360"/>
        <v>0</v>
      </c>
      <c r="AW36" s="71">
        <f t="shared" si="361"/>
        <v>0</v>
      </c>
      <c r="AX36" s="71">
        <f t="shared" si="362"/>
        <v>0</v>
      </c>
      <c r="AY36" s="71">
        <f t="shared" si="363"/>
        <v>0</v>
      </c>
      <c r="AZ36" s="72">
        <f t="shared" si="364"/>
        <v>0</v>
      </c>
      <c r="BA36" s="70">
        <f t="shared" si="60"/>
        <v>0</v>
      </c>
      <c r="BB36" s="69">
        <f t="shared" ca="1" si="61"/>
        <v>0</v>
      </c>
      <c r="BC36" s="70">
        <f t="shared" si="365"/>
        <v>0</v>
      </c>
      <c r="BD36" s="71">
        <f t="shared" si="366"/>
        <v>0</v>
      </c>
      <c r="BE36" s="71">
        <f t="shared" si="367"/>
        <v>0</v>
      </c>
      <c r="BF36" s="71">
        <f t="shared" si="368"/>
        <v>0</v>
      </c>
      <c r="BG36" s="71">
        <f t="shared" si="369"/>
        <v>0</v>
      </c>
      <c r="BH36" s="71">
        <f t="shared" si="370"/>
        <v>0</v>
      </c>
      <c r="BI36" s="71">
        <f t="shared" si="371"/>
        <v>0</v>
      </c>
      <c r="BJ36" s="71">
        <f t="shared" si="372"/>
        <v>0</v>
      </c>
      <c r="BK36" s="71">
        <f t="shared" si="373"/>
        <v>0</v>
      </c>
      <c r="BL36" s="71">
        <f t="shared" si="374"/>
        <v>0</v>
      </c>
      <c r="BM36" s="71">
        <f t="shared" si="375"/>
        <v>0</v>
      </c>
      <c r="BN36" s="71">
        <f t="shared" si="376"/>
        <v>0</v>
      </c>
      <c r="BO36" s="71">
        <f t="shared" si="377"/>
        <v>0</v>
      </c>
      <c r="BP36" s="71">
        <f t="shared" si="378"/>
        <v>0</v>
      </c>
      <c r="BQ36" s="71">
        <f t="shared" si="379"/>
        <v>0</v>
      </c>
      <c r="BR36" s="71">
        <f t="shared" si="380"/>
        <v>0</v>
      </c>
      <c r="BS36" s="71">
        <f t="shared" si="381"/>
        <v>0</v>
      </c>
      <c r="BT36" s="71">
        <f t="shared" si="382"/>
        <v>0</v>
      </c>
      <c r="BU36" s="71">
        <f t="shared" si="383"/>
        <v>0</v>
      </c>
      <c r="BV36" s="71">
        <f t="shared" si="384"/>
        <v>0</v>
      </c>
      <c r="BW36" s="71">
        <f t="shared" si="385"/>
        <v>0</v>
      </c>
      <c r="BX36" s="71">
        <f t="shared" si="386"/>
        <v>0</v>
      </c>
      <c r="BY36" s="71">
        <f t="shared" si="387"/>
        <v>0</v>
      </c>
      <c r="BZ36" s="71">
        <f t="shared" si="388"/>
        <v>0</v>
      </c>
      <c r="CA36" s="71">
        <f t="shared" si="389"/>
        <v>0</v>
      </c>
      <c r="CB36" s="71">
        <f t="shared" si="390"/>
        <v>0</v>
      </c>
      <c r="CC36" s="71">
        <f t="shared" si="391"/>
        <v>0</v>
      </c>
      <c r="CD36" s="71">
        <f t="shared" si="392"/>
        <v>0</v>
      </c>
      <c r="CE36" s="71">
        <f t="shared" si="393"/>
        <v>0</v>
      </c>
      <c r="CF36" s="71">
        <f t="shared" si="394"/>
        <v>0</v>
      </c>
      <c r="CG36" s="71">
        <f t="shared" si="395"/>
        <v>0</v>
      </c>
      <c r="CH36" s="70">
        <f t="shared" si="93"/>
        <v>0</v>
      </c>
      <c r="CI36" s="69">
        <f t="shared" ca="1" si="94"/>
        <v>0</v>
      </c>
      <c r="GM36" s="2" t="s">
        <v>16</v>
      </c>
      <c r="GN36" s="98" t="str">
        <f t="shared" si="95"/>
        <v>KHI04-FMCG02-ASM-01</v>
      </c>
      <c r="GO36" s="4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6"/>
      <c r="HT36" s="4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6"/>
    </row>
    <row r="37" spans="1:258" hidden="1">
      <c r="A37" s="102" t="s">
        <v>53</v>
      </c>
      <c r="B37" s="103" t="s">
        <v>90</v>
      </c>
      <c r="C37" s="103" t="s">
        <v>27</v>
      </c>
      <c r="D37" s="104" t="s">
        <v>91</v>
      </c>
      <c r="E37" s="103" t="s">
        <v>110</v>
      </c>
      <c r="F37" s="103" t="s">
        <v>111</v>
      </c>
      <c r="G37" s="103" t="s">
        <v>112</v>
      </c>
      <c r="H37" s="103" t="s">
        <v>1117</v>
      </c>
      <c r="I37" s="103" t="s">
        <v>1117</v>
      </c>
      <c r="J37" s="103" t="s">
        <v>113</v>
      </c>
      <c r="K37" s="103" t="s">
        <v>31</v>
      </c>
      <c r="L37" s="103" t="s">
        <v>114</v>
      </c>
      <c r="M37" s="103" t="s">
        <v>52</v>
      </c>
      <c r="N37" s="119">
        <v>45139</v>
      </c>
      <c r="O37" s="105">
        <f>O35+O33+O32+O31+O30+O29+O34</f>
        <v>6</v>
      </c>
      <c r="P37" s="73">
        <f t="shared" ref="P37:CA37" si="396">P35+P33+P32+P31+P30+P29+P34</f>
        <v>0</v>
      </c>
      <c r="Q37" s="73">
        <f t="shared" si="396"/>
        <v>6</v>
      </c>
      <c r="R37" s="73">
        <f t="shared" si="396"/>
        <v>6</v>
      </c>
      <c r="S37" s="73">
        <f t="shared" si="396"/>
        <v>0</v>
      </c>
      <c r="T37" s="73">
        <f t="shared" si="396"/>
        <v>6</v>
      </c>
      <c r="U37" s="76">
        <f t="shared" si="396"/>
        <v>6</v>
      </c>
      <c r="V37" s="129">
        <f t="shared" si="396"/>
        <v>6</v>
      </c>
      <c r="W37" s="73">
        <f t="shared" si="396"/>
        <v>6</v>
      </c>
      <c r="X37" s="73">
        <f t="shared" si="396"/>
        <v>6</v>
      </c>
      <c r="Y37" s="73">
        <f t="shared" si="396"/>
        <v>0</v>
      </c>
      <c r="Z37" s="73">
        <f t="shared" si="396"/>
        <v>6</v>
      </c>
      <c r="AA37" s="73">
        <f t="shared" si="396"/>
        <v>6</v>
      </c>
      <c r="AB37" s="73">
        <f t="shared" si="396"/>
        <v>6</v>
      </c>
      <c r="AC37" s="73">
        <f t="shared" si="396"/>
        <v>6</v>
      </c>
      <c r="AD37" s="73">
        <f t="shared" si="396"/>
        <v>6</v>
      </c>
      <c r="AE37" s="73">
        <f t="shared" si="396"/>
        <v>6</v>
      </c>
      <c r="AF37" s="73">
        <f t="shared" si="396"/>
        <v>0</v>
      </c>
      <c r="AG37" s="73">
        <f t="shared" si="396"/>
        <v>6</v>
      </c>
      <c r="AH37" s="73">
        <f t="shared" si="396"/>
        <v>6</v>
      </c>
      <c r="AI37" s="73">
        <f t="shared" si="396"/>
        <v>6</v>
      </c>
      <c r="AJ37" s="73">
        <f t="shared" si="396"/>
        <v>0</v>
      </c>
      <c r="AK37" s="73">
        <f t="shared" si="396"/>
        <v>0</v>
      </c>
      <c r="AL37" s="73">
        <f t="shared" si="396"/>
        <v>0</v>
      </c>
      <c r="AM37" s="73">
        <f t="shared" si="396"/>
        <v>0</v>
      </c>
      <c r="AN37" s="73">
        <f t="shared" si="396"/>
        <v>0</v>
      </c>
      <c r="AO37" s="73">
        <f t="shared" si="396"/>
        <v>0</v>
      </c>
      <c r="AP37" s="73">
        <f t="shared" si="396"/>
        <v>0</v>
      </c>
      <c r="AQ37" s="73">
        <f t="shared" si="396"/>
        <v>0</v>
      </c>
      <c r="AR37" s="73">
        <f t="shared" si="396"/>
        <v>0</v>
      </c>
      <c r="AS37" s="73">
        <f t="shared" si="396"/>
        <v>0</v>
      </c>
      <c r="AT37" s="73">
        <f t="shared" si="396"/>
        <v>0</v>
      </c>
      <c r="AU37" s="73">
        <f t="shared" si="396"/>
        <v>0</v>
      </c>
      <c r="AV37" s="73">
        <f t="shared" si="396"/>
        <v>0</v>
      </c>
      <c r="AW37" s="73">
        <f t="shared" si="396"/>
        <v>0</v>
      </c>
      <c r="AX37" s="73">
        <f t="shared" si="396"/>
        <v>0</v>
      </c>
      <c r="AY37" s="73">
        <f t="shared" si="396"/>
        <v>0</v>
      </c>
      <c r="AZ37" s="73">
        <f t="shared" si="396"/>
        <v>0</v>
      </c>
      <c r="BA37" s="74">
        <f t="shared" si="60"/>
        <v>72</v>
      </c>
      <c r="BB37" s="73">
        <f t="shared" ca="1" si="61"/>
        <v>0.92307692307692302</v>
      </c>
      <c r="BC37" s="74">
        <f t="shared" si="396"/>
        <v>92</v>
      </c>
      <c r="BD37" s="75">
        <f t="shared" si="396"/>
        <v>136</v>
      </c>
      <c r="BE37" s="75">
        <f t="shared" si="396"/>
        <v>185</v>
      </c>
      <c r="BF37" s="75">
        <f t="shared" si="396"/>
        <v>0</v>
      </c>
      <c r="BG37" s="75">
        <f t="shared" si="396"/>
        <v>83</v>
      </c>
      <c r="BH37" s="75">
        <f t="shared" si="396"/>
        <v>159</v>
      </c>
      <c r="BI37" s="75">
        <f t="shared" si="396"/>
        <v>193</v>
      </c>
      <c r="BJ37" s="75">
        <f t="shared" si="396"/>
        <v>103</v>
      </c>
      <c r="BK37" s="75">
        <f t="shared" si="396"/>
        <v>133</v>
      </c>
      <c r="BL37" s="75">
        <f t="shared" si="396"/>
        <v>224</v>
      </c>
      <c r="BM37" s="75">
        <f t="shared" si="396"/>
        <v>0</v>
      </c>
      <c r="BN37" s="75">
        <f t="shared" si="396"/>
        <v>215</v>
      </c>
      <c r="BO37" s="75">
        <f t="shared" si="396"/>
        <v>184</v>
      </c>
      <c r="BP37" s="75">
        <f t="shared" si="396"/>
        <v>0</v>
      </c>
      <c r="BQ37" s="75">
        <f t="shared" si="396"/>
        <v>0</v>
      </c>
      <c r="BR37" s="75">
        <f t="shared" si="396"/>
        <v>0</v>
      </c>
      <c r="BS37" s="75">
        <f t="shared" si="396"/>
        <v>0</v>
      </c>
      <c r="BT37" s="75">
        <f t="shared" si="396"/>
        <v>0</v>
      </c>
      <c r="BU37" s="75">
        <f t="shared" si="396"/>
        <v>0</v>
      </c>
      <c r="BV37" s="75">
        <f t="shared" si="396"/>
        <v>0</v>
      </c>
      <c r="BW37" s="75">
        <f t="shared" si="396"/>
        <v>0</v>
      </c>
      <c r="BX37" s="75">
        <f t="shared" si="396"/>
        <v>0</v>
      </c>
      <c r="BY37" s="75">
        <f t="shared" si="396"/>
        <v>0</v>
      </c>
      <c r="BZ37" s="75">
        <f t="shared" si="396"/>
        <v>0</v>
      </c>
      <c r="CA37" s="75">
        <f t="shared" si="396"/>
        <v>0</v>
      </c>
      <c r="CB37" s="75">
        <f t="shared" ref="CB37:CG37" si="397">CB35+CB33+CB32+CB31+CB30+CB29+CB34</f>
        <v>0</v>
      </c>
      <c r="CC37" s="75">
        <f t="shared" si="397"/>
        <v>0</v>
      </c>
      <c r="CD37" s="75">
        <f t="shared" si="397"/>
        <v>0</v>
      </c>
      <c r="CE37" s="75">
        <f t="shared" si="397"/>
        <v>0</v>
      </c>
      <c r="CF37" s="75">
        <f t="shared" si="397"/>
        <v>0</v>
      </c>
      <c r="CG37" s="75">
        <f t="shared" si="397"/>
        <v>0</v>
      </c>
      <c r="CH37" s="74">
        <f t="shared" si="93"/>
        <v>1707</v>
      </c>
      <c r="CI37" s="73">
        <f t="shared" ca="1" si="94"/>
        <v>21.884615384615387</v>
      </c>
      <c r="GM37" s="2" t="s">
        <v>17</v>
      </c>
      <c r="GN37" s="103" t="str">
        <f t="shared" si="95"/>
        <v>KHI04-FMCG02-ASM-01</v>
      </c>
      <c r="GO37" s="4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6"/>
      <c r="HT37" s="4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6"/>
    </row>
    <row r="38" spans="1:258" hidden="1">
      <c r="A38" s="97" t="s">
        <v>25</v>
      </c>
      <c r="B38" s="98" t="s">
        <v>90</v>
      </c>
      <c r="C38" s="98" t="s">
        <v>27</v>
      </c>
      <c r="D38" s="99" t="s">
        <v>1118</v>
      </c>
      <c r="E38" s="98" t="s">
        <v>952</v>
      </c>
      <c r="F38" s="98" t="s">
        <v>1039</v>
      </c>
      <c r="G38" s="98" t="s">
        <v>83</v>
      </c>
      <c r="H38" s="98" t="s">
        <v>1703</v>
      </c>
      <c r="I38" s="98" t="s">
        <v>1652</v>
      </c>
      <c r="J38" s="98" t="s">
        <v>1113</v>
      </c>
      <c r="K38" s="98" t="s">
        <v>1092</v>
      </c>
      <c r="L38" s="101" t="s">
        <v>0</v>
      </c>
      <c r="M38" s="101" t="s">
        <v>950</v>
      </c>
      <c r="N38" s="139">
        <v>46202</v>
      </c>
      <c r="O38" s="100">
        <v>1</v>
      </c>
      <c r="P38" s="69">
        <v>1</v>
      </c>
      <c r="Q38" s="69">
        <f t="shared" ref="Q38:Q44" si="398">IFERROR(IF(OR(AI38&gt;0),1,0),0)</f>
        <v>0</v>
      </c>
      <c r="R38" s="69">
        <f t="shared" ref="R38:R44" si="399">IFERROR(IF(OR(BA38&gt;0),1,0),0)</f>
        <v>0</v>
      </c>
      <c r="S38" s="69">
        <f t="shared" ref="S38:S44" si="400">IFERROR(IF(OR(BP38&gt;0),1,0),0)</f>
        <v>0</v>
      </c>
      <c r="T38" s="69">
        <f t="shared" ref="T38:T44" si="401">IFERROR(IF(OR(CH38&gt;0),1,0),0)</f>
        <v>0</v>
      </c>
      <c r="U38" s="69">
        <f t="shared" ref="U38:U44" si="402">IFERROR(IF(OR(BA38&gt;0,CH38&gt;0),1,0),0)</f>
        <v>0</v>
      </c>
      <c r="V38" s="70">
        <f t="shared" ref="V38:V44" si="403">GO38</f>
        <v>0</v>
      </c>
      <c r="W38" s="71">
        <f t="shared" ref="W38:W44" si="404">GP38</f>
        <v>0</v>
      </c>
      <c r="X38" s="71">
        <f t="shared" ref="X38:X44" si="405">GQ38</f>
        <v>0</v>
      </c>
      <c r="Y38" s="71">
        <f t="shared" ref="Y38:Y44" si="406">GR38</f>
        <v>0</v>
      </c>
      <c r="Z38" s="71">
        <f t="shared" ref="Z38:Z44" si="407">GS38</f>
        <v>0</v>
      </c>
      <c r="AA38" s="71">
        <f t="shared" ref="AA38:AA44" si="408">GT38</f>
        <v>0</v>
      </c>
      <c r="AB38" s="71">
        <f t="shared" ref="AB38:AB44" si="409">GU38</f>
        <v>0</v>
      </c>
      <c r="AC38" s="71">
        <f t="shared" ref="AC38:AC44" si="410">GV38</f>
        <v>0</v>
      </c>
      <c r="AD38" s="71">
        <f t="shared" ref="AD38:AD44" si="411">GW38</f>
        <v>0</v>
      </c>
      <c r="AE38" s="71">
        <f t="shared" ref="AE38:AE44" si="412">GX38</f>
        <v>0</v>
      </c>
      <c r="AF38" s="71">
        <f t="shared" ref="AF38:AF44" si="413">GY38</f>
        <v>0</v>
      </c>
      <c r="AG38" s="71">
        <f t="shared" ref="AG38:AG44" si="414">GZ38</f>
        <v>0</v>
      </c>
      <c r="AH38" s="71">
        <f t="shared" ref="AH38:AH44" si="415">HA38</f>
        <v>0</v>
      </c>
      <c r="AI38" s="71">
        <f t="shared" ref="AI38:AI44" si="416">HB38</f>
        <v>0</v>
      </c>
      <c r="AJ38" s="71">
        <f t="shared" ref="AJ38:AJ44" si="417">HC38</f>
        <v>0</v>
      </c>
      <c r="AK38" s="71">
        <f t="shared" ref="AK38:AK44" si="418">HD38</f>
        <v>0</v>
      </c>
      <c r="AL38" s="71">
        <f t="shared" ref="AL38:AL44" si="419">HE38</f>
        <v>0</v>
      </c>
      <c r="AM38" s="71">
        <f t="shared" ref="AM38:AM44" si="420">HF38</f>
        <v>0</v>
      </c>
      <c r="AN38" s="71">
        <f t="shared" ref="AN38:AN44" si="421">HG38</f>
        <v>0</v>
      </c>
      <c r="AO38" s="71">
        <f t="shared" ref="AO38:AO44" si="422">HH38</f>
        <v>0</v>
      </c>
      <c r="AP38" s="71">
        <f t="shared" ref="AP38:AP44" si="423">HI38</f>
        <v>0</v>
      </c>
      <c r="AQ38" s="71">
        <f t="shared" ref="AQ38:AQ44" si="424">HJ38</f>
        <v>0</v>
      </c>
      <c r="AR38" s="71">
        <f t="shared" ref="AR38:AR44" si="425">HK38</f>
        <v>0</v>
      </c>
      <c r="AS38" s="71">
        <f t="shared" ref="AS38:AS44" si="426">HL38</f>
        <v>0</v>
      </c>
      <c r="AT38" s="71">
        <f t="shared" ref="AT38:AT44" si="427">HM38</f>
        <v>0</v>
      </c>
      <c r="AU38" s="71">
        <f t="shared" ref="AU38:AU44" si="428">HN38</f>
        <v>0</v>
      </c>
      <c r="AV38" s="71">
        <f t="shared" ref="AV38:AV44" si="429">HO38</f>
        <v>0</v>
      </c>
      <c r="AW38" s="71">
        <f t="shared" ref="AW38:AW44" si="430">HP38</f>
        <v>0</v>
      </c>
      <c r="AX38" s="71">
        <f t="shared" ref="AX38:AX44" si="431">HQ38</f>
        <v>0</v>
      </c>
      <c r="AY38" s="71">
        <f t="shared" ref="AY38:AY44" si="432">HR38</f>
        <v>0</v>
      </c>
      <c r="AZ38" s="72">
        <f t="shared" ref="AZ38:AZ44" si="433">HS38</f>
        <v>0</v>
      </c>
      <c r="BA38" s="70">
        <f t="shared" si="60"/>
        <v>0</v>
      </c>
      <c r="BB38" s="69">
        <f t="shared" ca="1" si="61"/>
        <v>0</v>
      </c>
      <c r="BC38" s="70">
        <f t="shared" ref="BC38:BC44" si="434">HT38</f>
        <v>0</v>
      </c>
      <c r="BD38" s="71">
        <f t="shared" ref="BD38:BD44" si="435">HU38</f>
        <v>0</v>
      </c>
      <c r="BE38" s="71">
        <f t="shared" ref="BE38:BE44" si="436">HV38</f>
        <v>0</v>
      </c>
      <c r="BF38" s="71">
        <f t="shared" ref="BF38:BF44" si="437">HW38</f>
        <v>0</v>
      </c>
      <c r="BG38" s="71">
        <f t="shared" ref="BG38:BG44" si="438">HX38</f>
        <v>0</v>
      </c>
      <c r="BH38" s="71">
        <f t="shared" ref="BH38:BH44" si="439">HY38</f>
        <v>0</v>
      </c>
      <c r="BI38" s="71">
        <f t="shared" ref="BI38:BI44" si="440">HZ38</f>
        <v>0</v>
      </c>
      <c r="BJ38" s="71">
        <f t="shared" ref="BJ38:BJ44" si="441">IA38</f>
        <v>0</v>
      </c>
      <c r="BK38" s="71">
        <f t="shared" ref="BK38:BK44" si="442">IB38</f>
        <v>0</v>
      </c>
      <c r="BL38" s="71">
        <f t="shared" ref="BL38:BL44" si="443">IC38</f>
        <v>0</v>
      </c>
      <c r="BM38" s="71">
        <f t="shared" ref="BM38:BM44" si="444">ID38</f>
        <v>0</v>
      </c>
      <c r="BN38" s="71">
        <f t="shared" ref="BN38:BN44" si="445">IE38</f>
        <v>0</v>
      </c>
      <c r="BO38" s="71">
        <f t="shared" ref="BO38:BO44" si="446">IF38</f>
        <v>0</v>
      </c>
      <c r="BP38" s="71">
        <f t="shared" ref="BP38:BP44" si="447">IG38</f>
        <v>0</v>
      </c>
      <c r="BQ38" s="71">
        <f t="shared" ref="BQ38:BQ44" si="448">IH38</f>
        <v>0</v>
      </c>
      <c r="BR38" s="71">
        <f t="shared" ref="BR38:BR44" si="449">II38</f>
        <v>0</v>
      </c>
      <c r="BS38" s="71">
        <f t="shared" ref="BS38:BS44" si="450">IJ38</f>
        <v>0</v>
      </c>
      <c r="BT38" s="71">
        <f t="shared" ref="BT38:BT44" si="451">IK38</f>
        <v>0</v>
      </c>
      <c r="BU38" s="71">
        <f t="shared" ref="BU38:BU44" si="452">IL38</f>
        <v>0</v>
      </c>
      <c r="BV38" s="71">
        <f t="shared" ref="BV38:BV44" si="453">IM38</f>
        <v>0</v>
      </c>
      <c r="BW38" s="71">
        <f t="shared" ref="BW38:BW44" si="454">IN38</f>
        <v>0</v>
      </c>
      <c r="BX38" s="71">
        <f t="shared" ref="BX38:BX44" si="455">IO38</f>
        <v>0</v>
      </c>
      <c r="BY38" s="71">
        <f t="shared" ref="BY38:BY44" si="456">IP38</f>
        <v>0</v>
      </c>
      <c r="BZ38" s="71">
        <f t="shared" ref="BZ38:BZ44" si="457">IQ38</f>
        <v>0</v>
      </c>
      <c r="CA38" s="71">
        <f t="shared" ref="CA38:CA44" si="458">IR38</f>
        <v>0</v>
      </c>
      <c r="CB38" s="71">
        <f t="shared" ref="CB38:CB44" si="459">IS38</f>
        <v>0</v>
      </c>
      <c r="CC38" s="71">
        <f t="shared" ref="CC38:CC44" si="460">IT38</f>
        <v>0</v>
      </c>
      <c r="CD38" s="71">
        <f t="shared" ref="CD38:CD44" si="461">IU38</f>
        <v>0</v>
      </c>
      <c r="CE38" s="71">
        <f t="shared" ref="CE38:CE44" si="462">IV38</f>
        <v>0</v>
      </c>
      <c r="CF38" s="71">
        <f t="shared" ref="CF38:CF44" si="463">IW38</f>
        <v>0</v>
      </c>
      <c r="CG38" s="71">
        <f t="shared" ref="CG38:CG44" si="464">IX38</f>
        <v>0</v>
      </c>
      <c r="CH38" s="70">
        <f t="shared" si="93"/>
        <v>0</v>
      </c>
      <c r="CI38" s="69">
        <f t="shared" ca="1" si="94"/>
        <v>0</v>
      </c>
      <c r="GM38" s="2" t="s">
        <v>16</v>
      </c>
      <c r="GN38" s="98" t="str">
        <f t="shared" si="95"/>
        <v>KHI05-FMCG03-SPO-01</v>
      </c>
      <c r="GO38" s="4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6"/>
      <c r="HT38" s="4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6"/>
    </row>
    <row r="39" spans="1:258" hidden="1">
      <c r="A39" s="106" t="s">
        <v>25</v>
      </c>
      <c r="B39" s="101" t="s">
        <v>90</v>
      </c>
      <c r="C39" s="98" t="s">
        <v>27</v>
      </c>
      <c r="D39" s="107" t="s">
        <v>1118</v>
      </c>
      <c r="E39" s="101" t="s">
        <v>953</v>
      </c>
      <c r="F39" s="101" t="s">
        <v>1040</v>
      </c>
      <c r="G39" s="98" t="s">
        <v>79</v>
      </c>
      <c r="H39" s="98" t="s">
        <v>1653</v>
      </c>
      <c r="I39" s="98" t="s">
        <v>1663</v>
      </c>
      <c r="J39" s="101" t="s">
        <v>1119</v>
      </c>
      <c r="K39" s="101" t="s">
        <v>1092</v>
      </c>
      <c r="L39" s="98" t="s">
        <v>937</v>
      </c>
      <c r="M39" s="101" t="s">
        <v>1093</v>
      </c>
      <c r="N39" s="139">
        <v>46216</v>
      </c>
      <c r="O39" s="100">
        <v>1</v>
      </c>
      <c r="P39" s="69">
        <v>0</v>
      </c>
      <c r="Q39" s="69">
        <f t="shared" si="398"/>
        <v>1</v>
      </c>
      <c r="R39" s="69">
        <f t="shared" si="399"/>
        <v>1</v>
      </c>
      <c r="S39" s="69">
        <f t="shared" si="400"/>
        <v>0</v>
      </c>
      <c r="T39" s="69">
        <f t="shared" si="401"/>
        <v>1</v>
      </c>
      <c r="U39" s="69">
        <f t="shared" si="402"/>
        <v>1</v>
      </c>
      <c r="V39" s="70">
        <f t="shared" si="403"/>
        <v>1</v>
      </c>
      <c r="W39" s="71">
        <f t="shared" si="404"/>
        <v>1</v>
      </c>
      <c r="X39" s="71">
        <f t="shared" si="405"/>
        <v>1</v>
      </c>
      <c r="Y39" s="71">
        <f t="shared" si="406"/>
        <v>0</v>
      </c>
      <c r="Z39" s="71">
        <f t="shared" si="407"/>
        <v>1</v>
      </c>
      <c r="AA39" s="71">
        <f t="shared" si="408"/>
        <v>1</v>
      </c>
      <c r="AB39" s="71">
        <f t="shared" si="409"/>
        <v>1</v>
      </c>
      <c r="AC39" s="71">
        <f t="shared" si="410"/>
        <v>1</v>
      </c>
      <c r="AD39" s="71">
        <f t="shared" si="411"/>
        <v>1</v>
      </c>
      <c r="AE39" s="71">
        <f t="shared" si="412"/>
        <v>1</v>
      </c>
      <c r="AF39" s="71">
        <f t="shared" si="413"/>
        <v>0</v>
      </c>
      <c r="AG39" s="71">
        <f t="shared" si="414"/>
        <v>1</v>
      </c>
      <c r="AH39" s="71">
        <f t="shared" si="415"/>
        <v>1</v>
      </c>
      <c r="AI39" s="71">
        <f t="shared" si="416"/>
        <v>1</v>
      </c>
      <c r="AJ39" s="71">
        <f t="shared" si="417"/>
        <v>0</v>
      </c>
      <c r="AK39" s="71">
        <f t="shared" si="418"/>
        <v>0</v>
      </c>
      <c r="AL39" s="71">
        <f t="shared" si="419"/>
        <v>0</v>
      </c>
      <c r="AM39" s="71">
        <f t="shared" si="420"/>
        <v>0</v>
      </c>
      <c r="AN39" s="71">
        <f t="shared" si="421"/>
        <v>0</v>
      </c>
      <c r="AO39" s="71">
        <f t="shared" si="422"/>
        <v>0</v>
      </c>
      <c r="AP39" s="71">
        <f t="shared" si="423"/>
        <v>0</v>
      </c>
      <c r="AQ39" s="71">
        <f t="shared" si="424"/>
        <v>0</v>
      </c>
      <c r="AR39" s="71">
        <f t="shared" si="425"/>
        <v>0</v>
      </c>
      <c r="AS39" s="71">
        <f t="shared" si="426"/>
        <v>0</v>
      </c>
      <c r="AT39" s="71">
        <f t="shared" si="427"/>
        <v>0</v>
      </c>
      <c r="AU39" s="71">
        <f t="shared" si="428"/>
        <v>0</v>
      </c>
      <c r="AV39" s="71">
        <f t="shared" si="429"/>
        <v>0</v>
      </c>
      <c r="AW39" s="71">
        <f t="shared" si="430"/>
        <v>0</v>
      </c>
      <c r="AX39" s="71">
        <f t="shared" si="431"/>
        <v>0</v>
      </c>
      <c r="AY39" s="71">
        <f t="shared" si="432"/>
        <v>0</v>
      </c>
      <c r="AZ39" s="72">
        <f t="shared" si="433"/>
        <v>0</v>
      </c>
      <c r="BA39" s="70">
        <f t="shared" si="60"/>
        <v>12</v>
      </c>
      <c r="BB39" s="69">
        <f t="shared" ca="1" si="61"/>
        <v>0.92307692307692313</v>
      </c>
      <c r="BC39" s="70">
        <f t="shared" si="434"/>
        <v>13</v>
      </c>
      <c r="BD39" s="71">
        <f t="shared" si="435"/>
        <v>0</v>
      </c>
      <c r="BE39" s="71">
        <f t="shared" si="436"/>
        <v>0</v>
      </c>
      <c r="BF39" s="71">
        <f t="shared" si="437"/>
        <v>10</v>
      </c>
      <c r="BG39" s="71">
        <f t="shared" si="438"/>
        <v>16</v>
      </c>
      <c r="BH39" s="71">
        <f t="shared" si="439"/>
        <v>20</v>
      </c>
      <c r="BI39" s="71">
        <f t="shared" si="440"/>
        <v>9</v>
      </c>
      <c r="BJ39" s="71">
        <f t="shared" si="441"/>
        <v>21</v>
      </c>
      <c r="BK39" s="71">
        <f t="shared" si="442"/>
        <v>15</v>
      </c>
      <c r="BL39" s="71">
        <f t="shared" si="443"/>
        <v>0</v>
      </c>
      <c r="BM39" s="71">
        <f t="shared" si="444"/>
        <v>0</v>
      </c>
      <c r="BN39" s="71">
        <f t="shared" si="445"/>
        <v>10</v>
      </c>
      <c r="BO39" s="71">
        <f t="shared" si="446"/>
        <v>13</v>
      </c>
      <c r="BP39" s="71">
        <f t="shared" si="447"/>
        <v>0</v>
      </c>
      <c r="BQ39" s="71">
        <f t="shared" si="448"/>
        <v>0</v>
      </c>
      <c r="BR39" s="71">
        <f t="shared" si="449"/>
        <v>0</v>
      </c>
      <c r="BS39" s="71">
        <f t="shared" si="450"/>
        <v>0</v>
      </c>
      <c r="BT39" s="71">
        <f t="shared" si="451"/>
        <v>0</v>
      </c>
      <c r="BU39" s="71">
        <f t="shared" si="452"/>
        <v>0</v>
      </c>
      <c r="BV39" s="71">
        <f t="shared" si="453"/>
        <v>0</v>
      </c>
      <c r="BW39" s="71">
        <f t="shared" si="454"/>
        <v>0</v>
      </c>
      <c r="BX39" s="71">
        <f t="shared" si="455"/>
        <v>0</v>
      </c>
      <c r="BY39" s="71">
        <f t="shared" si="456"/>
        <v>0</v>
      </c>
      <c r="BZ39" s="71">
        <f t="shared" si="457"/>
        <v>0</v>
      </c>
      <c r="CA39" s="71">
        <f t="shared" si="458"/>
        <v>0</v>
      </c>
      <c r="CB39" s="71">
        <f t="shared" si="459"/>
        <v>0</v>
      </c>
      <c r="CC39" s="71">
        <f t="shared" si="460"/>
        <v>0</v>
      </c>
      <c r="CD39" s="71">
        <f t="shared" si="461"/>
        <v>0</v>
      </c>
      <c r="CE39" s="71">
        <f t="shared" si="462"/>
        <v>0</v>
      </c>
      <c r="CF39" s="71">
        <f t="shared" si="463"/>
        <v>0</v>
      </c>
      <c r="CG39" s="71">
        <f t="shared" si="464"/>
        <v>0</v>
      </c>
      <c r="CH39" s="70">
        <f t="shared" si="93"/>
        <v>127</v>
      </c>
      <c r="CI39" s="69">
        <f t="shared" ca="1" si="94"/>
        <v>9.7692307692307701</v>
      </c>
      <c r="GM39" s="2" t="s">
        <v>16</v>
      </c>
      <c r="GN39" s="101" t="str">
        <f t="shared" si="95"/>
        <v>KHI05-FMCG03-SPO-02</v>
      </c>
      <c r="GO39" s="4">
        <v>1</v>
      </c>
      <c r="GP39" s="3">
        <v>1</v>
      </c>
      <c r="GQ39" s="3">
        <v>1</v>
      </c>
      <c r="GR39" s="3">
        <v>0</v>
      </c>
      <c r="GS39" s="3">
        <v>1</v>
      </c>
      <c r="GT39" s="3">
        <v>1</v>
      </c>
      <c r="GU39" s="3">
        <v>1</v>
      </c>
      <c r="GV39" s="3">
        <v>1</v>
      </c>
      <c r="GW39" s="3">
        <v>1</v>
      </c>
      <c r="GX39" s="3">
        <v>1</v>
      </c>
      <c r="GY39" s="3">
        <v>0</v>
      </c>
      <c r="GZ39" s="3">
        <v>1</v>
      </c>
      <c r="HA39" s="3">
        <v>1</v>
      </c>
      <c r="HB39" s="3">
        <v>1</v>
      </c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6"/>
      <c r="HT39" s="4">
        <v>13</v>
      </c>
      <c r="HU39" s="3">
        <v>0</v>
      </c>
      <c r="HV39" s="3">
        <v>0</v>
      </c>
      <c r="HW39" s="3">
        <v>10</v>
      </c>
      <c r="HX39" s="3">
        <v>16</v>
      </c>
      <c r="HY39" s="3">
        <v>20</v>
      </c>
      <c r="HZ39" s="3">
        <v>9</v>
      </c>
      <c r="IA39" s="3">
        <v>21</v>
      </c>
      <c r="IB39" s="3">
        <v>15</v>
      </c>
      <c r="IC39" s="3">
        <v>0</v>
      </c>
      <c r="ID39" s="3">
        <v>0</v>
      </c>
      <c r="IE39" s="3">
        <v>10</v>
      </c>
      <c r="IF39" s="3">
        <v>13</v>
      </c>
      <c r="IG39" s="3">
        <v>0</v>
      </c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6"/>
    </row>
    <row r="40" spans="1:258" hidden="1">
      <c r="A40" s="97" t="s">
        <v>25</v>
      </c>
      <c r="B40" s="98" t="s">
        <v>90</v>
      </c>
      <c r="C40" s="98" t="s">
        <v>27</v>
      </c>
      <c r="D40" s="99" t="s">
        <v>1118</v>
      </c>
      <c r="E40" s="98" t="s">
        <v>954</v>
      </c>
      <c r="F40" s="98" t="s">
        <v>1041</v>
      </c>
      <c r="G40" s="98" t="s">
        <v>84</v>
      </c>
      <c r="H40" s="98" t="s">
        <v>1430</v>
      </c>
      <c r="I40" s="98" t="s">
        <v>1430</v>
      </c>
      <c r="J40" s="98" t="s">
        <v>1109</v>
      </c>
      <c r="K40" s="98" t="s">
        <v>1092</v>
      </c>
      <c r="L40" s="98" t="s">
        <v>939</v>
      </c>
      <c r="M40" s="101" t="s">
        <v>1093</v>
      </c>
      <c r="N40" s="139">
        <v>46216</v>
      </c>
      <c r="O40" s="100">
        <v>1</v>
      </c>
      <c r="P40" s="69">
        <v>0</v>
      </c>
      <c r="Q40" s="69">
        <f t="shared" si="398"/>
        <v>1</v>
      </c>
      <c r="R40" s="69">
        <f t="shared" si="399"/>
        <v>1</v>
      </c>
      <c r="S40" s="69">
        <f t="shared" si="400"/>
        <v>0</v>
      </c>
      <c r="T40" s="69">
        <f t="shared" si="401"/>
        <v>1</v>
      </c>
      <c r="U40" s="69">
        <f t="shared" si="402"/>
        <v>1</v>
      </c>
      <c r="V40" s="70">
        <f t="shared" si="403"/>
        <v>1</v>
      </c>
      <c r="W40" s="71">
        <f t="shared" si="404"/>
        <v>1</v>
      </c>
      <c r="X40" s="71">
        <f t="shared" si="405"/>
        <v>1</v>
      </c>
      <c r="Y40" s="71">
        <f t="shared" si="406"/>
        <v>0</v>
      </c>
      <c r="Z40" s="71">
        <f t="shared" si="407"/>
        <v>1</v>
      </c>
      <c r="AA40" s="71">
        <f t="shared" si="408"/>
        <v>1</v>
      </c>
      <c r="AB40" s="71">
        <f t="shared" si="409"/>
        <v>1</v>
      </c>
      <c r="AC40" s="71">
        <f t="shared" si="410"/>
        <v>1</v>
      </c>
      <c r="AD40" s="71">
        <f t="shared" si="411"/>
        <v>1</v>
      </c>
      <c r="AE40" s="71">
        <f t="shared" si="412"/>
        <v>1</v>
      </c>
      <c r="AF40" s="71">
        <f t="shared" si="413"/>
        <v>0</v>
      </c>
      <c r="AG40" s="71">
        <f t="shared" si="414"/>
        <v>1</v>
      </c>
      <c r="AH40" s="71">
        <f t="shared" si="415"/>
        <v>1</v>
      </c>
      <c r="AI40" s="71">
        <f t="shared" si="416"/>
        <v>1</v>
      </c>
      <c r="AJ40" s="71">
        <f t="shared" si="417"/>
        <v>0</v>
      </c>
      <c r="AK40" s="71">
        <f t="shared" si="418"/>
        <v>0</v>
      </c>
      <c r="AL40" s="71">
        <f t="shared" si="419"/>
        <v>0</v>
      </c>
      <c r="AM40" s="71">
        <f t="shared" si="420"/>
        <v>0</v>
      </c>
      <c r="AN40" s="71">
        <f t="shared" si="421"/>
        <v>0</v>
      </c>
      <c r="AO40" s="71">
        <f t="shared" si="422"/>
        <v>0</v>
      </c>
      <c r="AP40" s="71">
        <f t="shared" si="423"/>
        <v>0</v>
      </c>
      <c r="AQ40" s="71">
        <f t="shared" si="424"/>
        <v>0</v>
      </c>
      <c r="AR40" s="71">
        <f t="shared" si="425"/>
        <v>0</v>
      </c>
      <c r="AS40" s="71">
        <f t="shared" si="426"/>
        <v>0</v>
      </c>
      <c r="AT40" s="71">
        <f t="shared" si="427"/>
        <v>0</v>
      </c>
      <c r="AU40" s="71">
        <f t="shared" si="428"/>
        <v>0</v>
      </c>
      <c r="AV40" s="71">
        <f t="shared" si="429"/>
        <v>0</v>
      </c>
      <c r="AW40" s="71">
        <f t="shared" si="430"/>
        <v>0</v>
      </c>
      <c r="AX40" s="71">
        <f t="shared" si="431"/>
        <v>0</v>
      </c>
      <c r="AY40" s="71">
        <f t="shared" si="432"/>
        <v>0</v>
      </c>
      <c r="AZ40" s="72">
        <f t="shared" si="433"/>
        <v>0</v>
      </c>
      <c r="BA40" s="70">
        <f t="shared" si="60"/>
        <v>12</v>
      </c>
      <c r="BB40" s="69">
        <f t="shared" ca="1" si="61"/>
        <v>0.92307692307692313</v>
      </c>
      <c r="BC40" s="70">
        <f t="shared" si="434"/>
        <v>0</v>
      </c>
      <c r="BD40" s="71">
        <f t="shared" si="435"/>
        <v>0</v>
      </c>
      <c r="BE40" s="71">
        <f t="shared" si="436"/>
        <v>0</v>
      </c>
      <c r="BF40" s="71">
        <f t="shared" si="437"/>
        <v>0</v>
      </c>
      <c r="BG40" s="71">
        <f t="shared" si="438"/>
        <v>0</v>
      </c>
      <c r="BH40" s="71">
        <f t="shared" si="439"/>
        <v>0</v>
      </c>
      <c r="BI40" s="71">
        <f t="shared" si="440"/>
        <v>0</v>
      </c>
      <c r="BJ40" s="71">
        <f t="shared" si="441"/>
        <v>12</v>
      </c>
      <c r="BK40" s="71">
        <f t="shared" si="442"/>
        <v>5</v>
      </c>
      <c r="BL40" s="71">
        <f t="shared" si="443"/>
        <v>0</v>
      </c>
      <c r="BM40" s="71">
        <f t="shared" si="444"/>
        <v>0</v>
      </c>
      <c r="BN40" s="71">
        <f t="shared" si="445"/>
        <v>0</v>
      </c>
      <c r="BO40" s="71">
        <f t="shared" si="446"/>
        <v>0</v>
      </c>
      <c r="BP40" s="71">
        <f t="shared" si="447"/>
        <v>0</v>
      </c>
      <c r="BQ40" s="71">
        <f t="shared" si="448"/>
        <v>0</v>
      </c>
      <c r="BR40" s="71">
        <f t="shared" si="449"/>
        <v>0</v>
      </c>
      <c r="BS40" s="71">
        <f t="shared" si="450"/>
        <v>0</v>
      </c>
      <c r="BT40" s="71">
        <f t="shared" si="451"/>
        <v>0</v>
      </c>
      <c r="BU40" s="71">
        <f t="shared" si="452"/>
        <v>0</v>
      </c>
      <c r="BV40" s="71">
        <f t="shared" si="453"/>
        <v>0</v>
      </c>
      <c r="BW40" s="71">
        <f t="shared" si="454"/>
        <v>0</v>
      </c>
      <c r="BX40" s="71">
        <f t="shared" si="455"/>
        <v>0</v>
      </c>
      <c r="BY40" s="71">
        <f t="shared" si="456"/>
        <v>0</v>
      </c>
      <c r="BZ40" s="71">
        <f t="shared" si="457"/>
        <v>0</v>
      </c>
      <c r="CA40" s="71">
        <f t="shared" si="458"/>
        <v>0</v>
      </c>
      <c r="CB40" s="71">
        <f t="shared" si="459"/>
        <v>0</v>
      </c>
      <c r="CC40" s="71">
        <f t="shared" si="460"/>
        <v>0</v>
      </c>
      <c r="CD40" s="71">
        <f t="shared" si="461"/>
        <v>0</v>
      </c>
      <c r="CE40" s="71">
        <f t="shared" si="462"/>
        <v>0</v>
      </c>
      <c r="CF40" s="71">
        <f t="shared" si="463"/>
        <v>0</v>
      </c>
      <c r="CG40" s="71">
        <f t="shared" si="464"/>
        <v>0</v>
      </c>
      <c r="CH40" s="70">
        <f t="shared" si="93"/>
        <v>17</v>
      </c>
      <c r="CI40" s="69">
        <f t="shared" ca="1" si="94"/>
        <v>1.3076923076923077</v>
      </c>
      <c r="GM40" s="2" t="s">
        <v>16</v>
      </c>
      <c r="GN40" s="98" t="str">
        <f t="shared" si="95"/>
        <v>KHI05-FMCG03-SPO-03</v>
      </c>
      <c r="GO40" s="4">
        <v>1</v>
      </c>
      <c r="GP40" s="3">
        <v>1</v>
      </c>
      <c r="GQ40" s="3">
        <v>1</v>
      </c>
      <c r="GR40" s="3">
        <v>0</v>
      </c>
      <c r="GS40" s="3">
        <v>1</v>
      </c>
      <c r="GT40" s="3">
        <v>1</v>
      </c>
      <c r="GU40" s="3">
        <v>1</v>
      </c>
      <c r="GV40" s="3">
        <v>1</v>
      </c>
      <c r="GW40" s="3">
        <v>1</v>
      </c>
      <c r="GX40" s="3">
        <v>1</v>
      </c>
      <c r="GY40" s="3">
        <v>0</v>
      </c>
      <c r="GZ40" s="3">
        <v>1</v>
      </c>
      <c r="HA40" s="3">
        <v>1</v>
      </c>
      <c r="HB40" s="3">
        <v>1</v>
      </c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6"/>
      <c r="HT40" s="4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12</v>
      </c>
      <c r="IB40" s="3">
        <v>5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6"/>
    </row>
    <row r="41" spans="1:258" hidden="1">
      <c r="A41" s="97" t="s">
        <v>25</v>
      </c>
      <c r="B41" s="98" t="s">
        <v>90</v>
      </c>
      <c r="C41" s="98" t="s">
        <v>27</v>
      </c>
      <c r="D41" s="99" t="s">
        <v>1118</v>
      </c>
      <c r="E41" s="98" t="s">
        <v>955</v>
      </c>
      <c r="F41" s="98" t="s">
        <v>1042</v>
      </c>
      <c r="G41" s="98">
        <v>129001</v>
      </c>
      <c r="H41" s="101" t="s">
        <v>1678</v>
      </c>
      <c r="I41" s="101" t="s">
        <v>1650</v>
      </c>
      <c r="J41" s="98" t="s">
        <v>1120</v>
      </c>
      <c r="K41" s="98" t="s">
        <v>1092</v>
      </c>
      <c r="L41" s="98" t="s">
        <v>938</v>
      </c>
      <c r="M41" s="101" t="s">
        <v>1093</v>
      </c>
      <c r="N41" s="139">
        <v>46178</v>
      </c>
      <c r="O41" s="100">
        <v>1</v>
      </c>
      <c r="P41" s="69">
        <v>0</v>
      </c>
      <c r="Q41" s="69">
        <f t="shared" si="398"/>
        <v>1</v>
      </c>
      <c r="R41" s="69">
        <f t="shared" si="399"/>
        <v>1</v>
      </c>
      <c r="S41" s="69">
        <f t="shared" si="400"/>
        <v>0</v>
      </c>
      <c r="T41" s="69">
        <f t="shared" si="401"/>
        <v>1</v>
      </c>
      <c r="U41" s="69">
        <f t="shared" si="402"/>
        <v>1</v>
      </c>
      <c r="V41" s="70">
        <f t="shared" si="403"/>
        <v>1</v>
      </c>
      <c r="W41" s="71">
        <f t="shared" si="404"/>
        <v>1</v>
      </c>
      <c r="X41" s="71">
        <f t="shared" si="405"/>
        <v>1</v>
      </c>
      <c r="Y41" s="71">
        <f t="shared" si="406"/>
        <v>0</v>
      </c>
      <c r="Z41" s="71">
        <f t="shared" si="407"/>
        <v>1</v>
      </c>
      <c r="AA41" s="71">
        <f t="shared" si="408"/>
        <v>1</v>
      </c>
      <c r="AB41" s="71">
        <f t="shared" si="409"/>
        <v>1</v>
      </c>
      <c r="AC41" s="71">
        <f t="shared" si="410"/>
        <v>1</v>
      </c>
      <c r="AD41" s="71">
        <f t="shared" si="411"/>
        <v>1</v>
      </c>
      <c r="AE41" s="71">
        <f t="shared" si="412"/>
        <v>1</v>
      </c>
      <c r="AF41" s="71">
        <f t="shared" si="413"/>
        <v>0</v>
      </c>
      <c r="AG41" s="71">
        <f t="shared" si="414"/>
        <v>1</v>
      </c>
      <c r="AH41" s="71">
        <f t="shared" si="415"/>
        <v>1</v>
      </c>
      <c r="AI41" s="71">
        <f t="shared" si="416"/>
        <v>1</v>
      </c>
      <c r="AJ41" s="71">
        <f t="shared" si="417"/>
        <v>0</v>
      </c>
      <c r="AK41" s="71">
        <f t="shared" si="418"/>
        <v>0</v>
      </c>
      <c r="AL41" s="71">
        <f t="shared" si="419"/>
        <v>0</v>
      </c>
      <c r="AM41" s="71">
        <f t="shared" si="420"/>
        <v>0</v>
      </c>
      <c r="AN41" s="71">
        <f t="shared" si="421"/>
        <v>0</v>
      </c>
      <c r="AO41" s="71">
        <f t="shared" si="422"/>
        <v>0</v>
      </c>
      <c r="AP41" s="71">
        <f t="shared" si="423"/>
        <v>0</v>
      </c>
      <c r="AQ41" s="71">
        <f t="shared" si="424"/>
        <v>0</v>
      </c>
      <c r="AR41" s="71">
        <f t="shared" si="425"/>
        <v>0</v>
      </c>
      <c r="AS41" s="71">
        <f t="shared" si="426"/>
        <v>0</v>
      </c>
      <c r="AT41" s="71">
        <f t="shared" si="427"/>
        <v>0</v>
      </c>
      <c r="AU41" s="71">
        <f t="shared" si="428"/>
        <v>0</v>
      </c>
      <c r="AV41" s="71">
        <f t="shared" si="429"/>
        <v>0</v>
      </c>
      <c r="AW41" s="71">
        <f t="shared" si="430"/>
        <v>0</v>
      </c>
      <c r="AX41" s="71">
        <f t="shared" si="431"/>
        <v>0</v>
      </c>
      <c r="AY41" s="71">
        <f t="shared" si="432"/>
        <v>0</v>
      </c>
      <c r="AZ41" s="72">
        <f t="shared" si="433"/>
        <v>0</v>
      </c>
      <c r="BA41" s="70">
        <f t="shared" si="60"/>
        <v>12</v>
      </c>
      <c r="BB41" s="69">
        <f t="shared" ca="1" si="61"/>
        <v>0.92307692307692313</v>
      </c>
      <c r="BC41" s="70">
        <f t="shared" si="434"/>
        <v>0</v>
      </c>
      <c r="BD41" s="71">
        <f t="shared" si="435"/>
        <v>0</v>
      </c>
      <c r="BE41" s="71">
        <f t="shared" si="436"/>
        <v>0</v>
      </c>
      <c r="BF41" s="71">
        <f t="shared" si="437"/>
        <v>0</v>
      </c>
      <c r="BG41" s="71">
        <f t="shared" si="438"/>
        <v>0</v>
      </c>
      <c r="BH41" s="71">
        <f t="shared" si="439"/>
        <v>0</v>
      </c>
      <c r="BI41" s="71">
        <f t="shared" si="440"/>
        <v>0</v>
      </c>
      <c r="BJ41" s="71">
        <f t="shared" si="441"/>
        <v>0</v>
      </c>
      <c r="BK41" s="71">
        <f t="shared" si="442"/>
        <v>0</v>
      </c>
      <c r="BL41" s="71">
        <f t="shared" si="443"/>
        <v>5</v>
      </c>
      <c r="BM41" s="71">
        <f t="shared" si="444"/>
        <v>0</v>
      </c>
      <c r="BN41" s="71">
        <f t="shared" si="445"/>
        <v>6</v>
      </c>
      <c r="BO41" s="71">
        <f t="shared" si="446"/>
        <v>0</v>
      </c>
      <c r="BP41" s="71">
        <f t="shared" si="447"/>
        <v>0</v>
      </c>
      <c r="BQ41" s="71">
        <f t="shared" si="448"/>
        <v>0</v>
      </c>
      <c r="BR41" s="71">
        <f t="shared" si="449"/>
        <v>0</v>
      </c>
      <c r="BS41" s="71">
        <f t="shared" si="450"/>
        <v>0</v>
      </c>
      <c r="BT41" s="71">
        <f t="shared" si="451"/>
        <v>0</v>
      </c>
      <c r="BU41" s="71">
        <f t="shared" si="452"/>
        <v>0</v>
      </c>
      <c r="BV41" s="71">
        <f t="shared" si="453"/>
        <v>0</v>
      </c>
      <c r="BW41" s="71">
        <f t="shared" si="454"/>
        <v>0</v>
      </c>
      <c r="BX41" s="71">
        <f t="shared" si="455"/>
        <v>0</v>
      </c>
      <c r="BY41" s="71">
        <f t="shared" si="456"/>
        <v>0</v>
      </c>
      <c r="BZ41" s="71">
        <f t="shared" si="457"/>
        <v>0</v>
      </c>
      <c r="CA41" s="71">
        <f t="shared" si="458"/>
        <v>0</v>
      </c>
      <c r="CB41" s="71">
        <f t="shared" si="459"/>
        <v>0</v>
      </c>
      <c r="CC41" s="71">
        <f t="shared" si="460"/>
        <v>0</v>
      </c>
      <c r="CD41" s="71">
        <f t="shared" si="461"/>
        <v>0</v>
      </c>
      <c r="CE41" s="71">
        <f t="shared" si="462"/>
        <v>0</v>
      </c>
      <c r="CF41" s="71">
        <f t="shared" si="463"/>
        <v>0</v>
      </c>
      <c r="CG41" s="71">
        <f t="shared" si="464"/>
        <v>0</v>
      </c>
      <c r="CH41" s="70">
        <f t="shared" si="93"/>
        <v>11</v>
      </c>
      <c r="CI41" s="69">
        <f t="shared" ca="1" si="94"/>
        <v>0.84615384615384615</v>
      </c>
      <c r="GM41" s="2" t="s">
        <v>16</v>
      </c>
      <c r="GN41" s="98" t="str">
        <f t="shared" si="95"/>
        <v>KHI05-FMCG03-SPO-04</v>
      </c>
      <c r="GO41" s="4">
        <v>1</v>
      </c>
      <c r="GP41" s="3">
        <v>1</v>
      </c>
      <c r="GQ41" s="3">
        <v>1</v>
      </c>
      <c r="GR41" s="3">
        <v>0</v>
      </c>
      <c r="GS41" s="3">
        <v>1</v>
      </c>
      <c r="GT41" s="3">
        <v>1</v>
      </c>
      <c r="GU41" s="3">
        <v>1</v>
      </c>
      <c r="GV41" s="3">
        <v>1</v>
      </c>
      <c r="GW41" s="3">
        <v>1</v>
      </c>
      <c r="GX41" s="3">
        <v>1</v>
      </c>
      <c r="GY41" s="3">
        <v>0</v>
      </c>
      <c r="GZ41" s="3">
        <v>1</v>
      </c>
      <c r="HA41" s="3">
        <v>1</v>
      </c>
      <c r="HB41" s="3">
        <v>1</v>
      </c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6"/>
      <c r="HT41" s="4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5</v>
      </c>
      <c r="ID41" s="3">
        <v>0</v>
      </c>
      <c r="IE41" s="3">
        <v>6</v>
      </c>
      <c r="IF41" s="3">
        <v>0</v>
      </c>
      <c r="IG41" s="3">
        <v>0</v>
      </c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6"/>
    </row>
    <row r="42" spans="1:258" hidden="1">
      <c r="A42" s="97" t="s">
        <v>25</v>
      </c>
      <c r="B42" s="98" t="s">
        <v>90</v>
      </c>
      <c r="C42" s="98" t="s">
        <v>27</v>
      </c>
      <c r="D42" s="99" t="s">
        <v>1118</v>
      </c>
      <c r="E42" s="98" t="s">
        <v>956</v>
      </c>
      <c r="F42" s="98" t="s">
        <v>1043</v>
      </c>
      <c r="G42" s="98" t="s">
        <v>81</v>
      </c>
      <c r="H42" s="98" t="s">
        <v>1738</v>
      </c>
      <c r="I42" s="98" t="s">
        <v>1677</v>
      </c>
      <c r="J42" s="98" t="s">
        <v>1121</v>
      </c>
      <c r="K42" s="98" t="s">
        <v>1092</v>
      </c>
      <c r="L42" s="98" t="s">
        <v>1739</v>
      </c>
      <c r="M42" s="101" t="s">
        <v>1093</v>
      </c>
      <c r="N42" s="139">
        <v>46304</v>
      </c>
      <c r="O42" s="100">
        <v>1</v>
      </c>
      <c r="P42" s="69">
        <v>0</v>
      </c>
      <c r="Q42" s="69">
        <f t="shared" si="398"/>
        <v>1</v>
      </c>
      <c r="R42" s="69">
        <f t="shared" si="399"/>
        <v>1</v>
      </c>
      <c r="S42" s="69">
        <f t="shared" si="400"/>
        <v>0</v>
      </c>
      <c r="T42" s="69">
        <f t="shared" si="401"/>
        <v>0</v>
      </c>
      <c r="U42" s="69">
        <f t="shared" si="402"/>
        <v>1</v>
      </c>
      <c r="V42" s="70">
        <f t="shared" si="403"/>
        <v>0</v>
      </c>
      <c r="W42" s="71">
        <f t="shared" si="404"/>
        <v>0</v>
      </c>
      <c r="X42" s="71">
        <f t="shared" si="405"/>
        <v>0</v>
      </c>
      <c r="Y42" s="71">
        <f t="shared" si="406"/>
        <v>0</v>
      </c>
      <c r="Z42" s="71">
        <f t="shared" si="407"/>
        <v>0</v>
      </c>
      <c r="AA42" s="71">
        <f t="shared" si="408"/>
        <v>0</v>
      </c>
      <c r="AB42" s="71">
        <f t="shared" si="409"/>
        <v>0</v>
      </c>
      <c r="AC42" s="71">
        <f t="shared" si="410"/>
        <v>0</v>
      </c>
      <c r="AD42" s="71">
        <f t="shared" si="411"/>
        <v>0</v>
      </c>
      <c r="AE42" s="71">
        <f t="shared" si="412"/>
        <v>0</v>
      </c>
      <c r="AF42" s="71">
        <f t="shared" si="413"/>
        <v>0</v>
      </c>
      <c r="AG42" s="71">
        <f t="shared" si="414"/>
        <v>1</v>
      </c>
      <c r="AH42" s="71">
        <f t="shared" si="415"/>
        <v>1</v>
      </c>
      <c r="AI42" s="71">
        <f t="shared" si="416"/>
        <v>1</v>
      </c>
      <c r="AJ42" s="71">
        <f t="shared" si="417"/>
        <v>0</v>
      </c>
      <c r="AK42" s="71">
        <f t="shared" si="418"/>
        <v>0</v>
      </c>
      <c r="AL42" s="71">
        <f t="shared" si="419"/>
        <v>0</v>
      </c>
      <c r="AM42" s="71">
        <f t="shared" si="420"/>
        <v>0</v>
      </c>
      <c r="AN42" s="71">
        <f t="shared" si="421"/>
        <v>0</v>
      </c>
      <c r="AO42" s="71">
        <f t="shared" si="422"/>
        <v>0</v>
      </c>
      <c r="AP42" s="71">
        <f t="shared" si="423"/>
        <v>0</v>
      </c>
      <c r="AQ42" s="71">
        <f t="shared" si="424"/>
        <v>0</v>
      </c>
      <c r="AR42" s="71">
        <f t="shared" si="425"/>
        <v>0</v>
      </c>
      <c r="AS42" s="71">
        <f t="shared" si="426"/>
        <v>0</v>
      </c>
      <c r="AT42" s="71">
        <f t="shared" si="427"/>
        <v>0</v>
      </c>
      <c r="AU42" s="71">
        <f t="shared" si="428"/>
        <v>0</v>
      </c>
      <c r="AV42" s="71">
        <f t="shared" si="429"/>
        <v>0</v>
      </c>
      <c r="AW42" s="71">
        <f t="shared" si="430"/>
        <v>0</v>
      </c>
      <c r="AX42" s="71">
        <f t="shared" si="431"/>
        <v>0</v>
      </c>
      <c r="AY42" s="71">
        <f t="shared" si="432"/>
        <v>0</v>
      </c>
      <c r="AZ42" s="72">
        <f t="shared" si="433"/>
        <v>0</v>
      </c>
      <c r="BA42" s="70">
        <f t="shared" si="60"/>
        <v>3</v>
      </c>
      <c r="BB42" s="69">
        <f t="shared" ca="1" si="61"/>
        <v>0.23076923076923078</v>
      </c>
      <c r="BC42" s="70">
        <f t="shared" si="434"/>
        <v>0</v>
      </c>
      <c r="BD42" s="71">
        <f t="shared" si="435"/>
        <v>0</v>
      </c>
      <c r="BE42" s="71">
        <f t="shared" si="436"/>
        <v>0</v>
      </c>
      <c r="BF42" s="71">
        <f t="shared" si="437"/>
        <v>0</v>
      </c>
      <c r="BG42" s="71">
        <f t="shared" si="438"/>
        <v>0</v>
      </c>
      <c r="BH42" s="71">
        <f t="shared" si="439"/>
        <v>0</v>
      </c>
      <c r="BI42" s="71">
        <f t="shared" si="440"/>
        <v>0</v>
      </c>
      <c r="BJ42" s="71">
        <f t="shared" si="441"/>
        <v>0</v>
      </c>
      <c r="BK42" s="71">
        <f t="shared" si="442"/>
        <v>0</v>
      </c>
      <c r="BL42" s="71">
        <f t="shared" si="443"/>
        <v>0</v>
      </c>
      <c r="BM42" s="71">
        <f t="shared" si="444"/>
        <v>0</v>
      </c>
      <c r="BN42" s="71">
        <f t="shared" si="445"/>
        <v>0</v>
      </c>
      <c r="BO42" s="71">
        <f t="shared" si="446"/>
        <v>0</v>
      </c>
      <c r="BP42" s="71">
        <f t="shared" si="447"/>
        <v>0</v>
      </c>
      <c r="BQ42" s="71">
        <f t="shared" si="448"/>
        <v>0</v>
      </c>
      <c r="BR42" s="71">
        <f t="shared" si="449"/>
        <v>0</v>
      </c>
      <c r="BS42" s="71">
        <f t="shared" si="450"/>
        <v>0</v>
      </c>
      <c r="BT42" s="71">
        <f t="shared" si="451"/>
        <v>0</v>
      </c>
      <c r="BU42" s="71">
        <f t="shared" si="452"/>
        <v>0</v>
      </c>
      <c r="BV42" s="71">
        <f t="shared" si="453"/>
        <v>0</v>
      </c>
      <c r="BW42" s="71">
        <f t="shared" si="454"/>
        <v>0</v>
      </c>
      <c r="BX42" s="71">
        <f t="shared" si="455"/>
        <v>0</v>
      </c>
      <c r="BY42" s="71">
        <f t="shared" si="456"/>
        <v>0</v>
      </c>
      <c r="BZ42" s="71">
        <f t="shared" si="457"/>
        <v>0</v>
      </c>
      <c r="CA42" s="71">
        <f t="shared" si="458"/>
        <v>0</v>
      </c>
      <c r="CB42" s="71">
        <f t="shared" si="459"/>
        <v>0</v>
      </c>
      <c r="CC42" s="71">
        <f t="shared" si="460"/>
        <v>0</v>
      </c>
      <c r="CD42" s="71">
        <f t="shared" si="461"/>
        <v>0</v>
      </c>
      <c r="CE42" s="71">
        <f t="shared" si="462"/>
        <v>0</v>
      </c>
      <c r="CF42" s="71">
        <f t="shared" si="463"/>
        <v>0</v>
      </c>
      <c r="CG42" s="71">
        <f t="shared" si="464"/>
        <v>0</v>
      </c>
      <c r="CH42" s="70">
        <f t="shared" si="93"/>
        <v>0</v>
      </c>
      <c r="CI42" s="69">
        <f t="shared" ca="1" si="94"/>
        <v>0</v>
      </c>
      <c r="GM42" s="2" t="s">
        <v>16</v>
      </c>
      <c r="GN42" s="98" t="str">
        <f t="shared" si="95"/>
        <v>KHI05-FMCG03-SPO-05</v>
      </c>
      <c r="GO42" s="4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1</v>
      </c>
      <c r="HA42" s="3">
        <v>1</v>
      </c>
      <c r="HB42" s="3">
        <v>1</v>
      </c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6"/>
      <c r="HT42" s="4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0</v>
      </c>
      <c r="IG42" s="3">
        <v>0</v>
      </c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6"/>
    </row>
    <row r="43" spans="1:258" hidden="1">
      <c r="A43" s="97" t="s">
        <v>1287</v>
      </c>
      <c r="B43" s="98" t="s">
        <v>90</v>
      </c>
      <c r="C43" s="98" t="s">
        <v>27</v>
      </c>
      <c r="D43" s="99" t="s">
        <v>1118</v>
      </c>
      <c r="E43" s="98" t="s">
        <v>1098</v>
      </c>
      <c r="F43" s="98" t="s">
        <v>1122</v>
      </c>
      <c r="G43" s="98" t="s">
        <v>85</v>
      </c>
      <c r="H43" s="98" t="s">
        <v>1431</v>
      </c>
      <c r="I43" s="98" t="s">
        <v>1431</v>
      </c>
      <c r="J43" s="98" t="s">
        <v>857</v>
      </c>
      <c r="K43" s="98" t="s">
        <v>1099</v>
      </c>
      <c r="L43" s="98" t="s">
        <v>1099</v>
      </c>
      <c r="M43" s="101" t="s">
        <v>1099</v>
      </c>
      <c r="N43" s="108">
        <v>45474</v>
      </c>
      <c r="O43" s="100">
        <v>0</v>
      </c>
      <c r="P43" s="69">
        <v>0</v>
      </c>
      <c r="Q43" s="69">
        <f t="shared" si="398"/>
        <v>0</v>
      </c>
      <c r="R43" s="69">
        <f t="shared" si="399"/>
        <v>0</v>
      </c>
      <c r="S43" s="69">
        <f t="shared" si="400"/>
        <v>0</v>
      </c>
      <c r="T43" s="69">
        <f t="shared" si="401"/>
        <v>0</v>
      </c>
      <c r="U43" s="69">
        <f t="shared" si="402"/>
        <v>0</v>
      </c>
      <c r="V43" s="70">
        <f t="shared" si="403"/>
        <v>0</v>
      </c>
      <c r="W43" s="71">
        <f t="shared" si="404"/>
        <v>0</v>
      </c>
      <c r="X43" s="71">
        <f t="shared" si="405"/>
        <v>0</v>
      </c>
      <c r="Y43" s="71">
        <f t="shared" si="406"/>
        <v>0</v>
      </c>
      <c r="Z43" s="71">
        <f t="shared" si="407"/>
        <v>0</v>
      </c>
      <c r="AA43" s="71">
        <f t="shared" si="408"/>
        <v>0</v>
      </c>
      <c r="AB43" s="71">
        <f t="shared" si="409"/>
        <v>0</v>
      </c>
      <c r="AC43" s="71">
        <f t="shared" si="410"/>
        <v>0</v>
      </c>
      <c r="AD43" s="71">
        <f t="shared" si="411"/>
        <v>0</v>
      </c>
      <c r="AE43" s="71">
        <f t="shared" si="412"/>
        <v>0</v>
      </c>
      <c r="AF43" s="71">
        <f t="shared" si="413"/>
        <v>0</v>
      </c>
      <c r="AG43" s="71">
        <f t="shared" si="414"/>
        <v>0</v>
      </c>
      <c r="AH43" s="71">
        <f t="shared" si="415"/>
        <v>0</v>
      </c>
      <c r="AI43" s="71">
        <f t="shared" si="416"/>
        <v>0</v>
      </c>
      <c r="AJ43" s="71">
        <f t="shared" si="417"/>
        <v>0</v>
      </c>
      <c r="AK43" s="71">
        <f t="shared" si="418"/>
        <v>0</v>
      </c>
      <c r="AL43" s="71">
        <f t="shared" si="419"/>
        <v>0</v>
      </c>
      <c r="AM43" s="71">
        <f t="shared" si="420"/>
        <v>0</v>
      </c>
      <c r="AN43" s="71">
        <f t="shared" si="421"/>
        <v>0</v>
      </c>
      <c r="AO43" s="71">
        <f t="shared" si="422"/>
        <v>0</v>
      </c>
      <c r="AP43" s="71">
        <f t="shared" si="423"/>
        <v>0</v>
      </c>
      <c r="AQ43" s="71">
        <f t="shared" si="424"/>
        <v>0</v>
      </c>
      <c r="AR43" s="71">
        <f t="shared" si="425"/>
        <v>0</v>
      </c>
      <c r="AS43" s="71">
        <f t="shared" si="426"/>
        <v>0</v>
      </c>
      <c r="AT43" s="71">
        <f t="shared" si="427"/>
        <v>0</v>
      </c>
      <c r="AU43" s="71">
        <f t="shared" si="428"/>
        <v>0</v>
      </c>
      <c r="AV43" s="71">
        <f t="shared" si="429"/>
        <v>0</v>
      </c>
      <c r="AW43" s="71">
        <f t="shared" si="430"/>
        <v>0</v>
      </c>
      <c r="AX43" s="71">
        <f t="shared" si="431"/>
        <v>0</v>
      </c>
      <c r="AY43" s="71">
        <f t="shared" si="432"/>
        <v>0</v>
      </c>
      <c r="AZ43" s="72">
        <f t="shared" si="433"/>
        <v>0</v>
      </c>
      <c r="BA43" s="70">
        <f t="shared" si="60"/>
        <v>0</v>
      </c>
      <c r="BB43" s="69">
        <f t="shared" ca="1" si="61"/>
        <v>0</v>
      </c>
      <c r="BC43" s="70">
        <f t="shared" si="434"/>
        <v>0</v>
      </c>
      <c r="BD43" s="71">
        <f t="shared" si="435"/>
        <v>0</v>
      </c>
      <c r="BE43" s="71">
        <f t="shared" si="436"/>
        <v>0</v>
      </c>
      <c r="BF43" s="71">
        <f t="shared" si="437"/>
        <v>0</v>
      </c>
      <c r="BG43" s="71">
        <f t="shared" si="438"/>
        <v>0</v>
      </c>
      <c r="BH43" s="71">
        <f t="shared" si="439"/>
        <v>0</v>
      </c>
      <c r="BI43" s="71">
        <f t="shared" si="440"/>
        <v>0</v>
      </c>
      <c r="BJ43" s="71">
        <f t="shared" si="441"/>
        <v>0</v>
      </c>
      <c r="BK43" s="71">
        <f t="shared" si="442"/>
        <v>0</v>
      </c>
      <c r="BL43" s="71">
        <f t="shared" si="443"/>
        <v>0</v>
      </c>
      <c r="BM43" s="71">
        <f t="shared" si="444"/>
        <v>0</v>
      </c>
      <c r="BN43" s="71">
        <f t="shared" si="445"/>
        <v>0</v>
      </c>
      <c r="BO43" s="71">
        <f t="shared" si="446"/>
        <v>0</v>
      </c>
      <c r="BP43" s="71">
        <f t="shared" si="447"/>
        <v>0</v>
      </c>
      <c r="BQ43" s="71">
        <f t="shared" si="448"/>
        <v>0</v>
      </c>
      <c r="BR43" s="71">
        <f t="shared" si="449"/>
        <v>0</v>
      </c>
      <c r="BS43" s="71">
        <f t="shared" si="450"/>
        <v>0</v>
      </c>
      <c r="BT43" s="71">
        <f t="shared" si="451"/>
        <v>0</v>
      </c>
      <c r="BU43" s="71">
        <f t="shared" si="452"/>
        <v>0</v>
      </c>
      <c r="BV43" s="71">
        <f t="shared" si="453"/>
        <v>0</v>
      </c>
      <c r="BW43" s="71">
        <f t="shared" si="454"/>
        <v>0</v>
      </c>
      <c r="BX43" s="71">
        <f t="shared" si="455"/>
        <v>0</v>
      </c>
      <c r="BY43" s="71">
        <f t="shared" si="456"/>
        <v>0</v>
      </c>
      <c r="BZ43" s="71">
        <f t="shared" si="457"/>
        <v>0</v>
      </c>
      <c r="CA43" s="71">
        <f t="shared" si="458"/>
        <v>0</v>
      </c>
      <c r="CB43" s="71">
        <f t="shared" si="459"/>
        <v>0</v>
      </c>
      <c r="CC43" s="71">
        <f t="shared" si="460"/>
        <v>0</v>
      </c>
      <c r="CD43" s="71">
        <f t="shared" si="461"/>
        <v>0</v>
      </c>
      <c r="CE43" s="71">
        <f t="shared" si="462"/>
        <v>0</v>
      </c>
      <c r="CF43" s="71">
        <f t="shared" si="463"/>
        <v>0</v>
      </c>
      <c r="CG43" s="71">
        <f t="shared" si="464"/>
        <v>0</v>
      </c>
      <c r="CH43" s="70">
        <f t="shared" si="93"/>
        <v>0</v>
      </c>
      <c r="CI43" s="69">
        <f t="shared" ca="1" si="94"/>
        <v>0</v>
      </c>
      <c r="GM43" s="2" t="s">
        <v>16</v>
      </c>
      <c r="GN43" s="98" t="str">
        <f t="shared" si="95"/>
        <v>KHI05-FMCG03-SPO-00</v>
      </c>
      <c r="GO43" s="4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6"/>
      <c r="HT43" s="4">
        <v>0</v>
      </c>
      <c r="HU43" s="3">
        <v>0</v>
      </c>
      <c r="HV43" s="3">
        <v>0</v>
      </c>
      <c r="HW43" s="3">
        <v>0</v>
      </c>
      <c r="HX43" s="3">
        <v>0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6"/>
    </row>
    <row r="44" spans="1:258" hidden="1">
      <c r="A44" s="97" t="s">
        <v>1380</v>
      </c>
      <c r="B44" s="98" t="s">
        <v>90</v>
      </c>
      <c r="C44" s="98" t="s">
        <v>27</v>
      </c>
      <c r="D44" s="99" t="s">
        <v>1118</v>
      </c>
      <c r="E44" s="98" t="s">
        <v>1123</v>
      </c>
      <c r="F44" s="98" t="s">
        <v>1124</v>
      </c>
      <c r="G44" s="98" t="s">
        <v>86</v>
      </c>
      <c r="H44" s="98" t="s">
        <v>1125</v>
      </c>
      <c r="I44" s="98" t="s">
        <v>1125</v>
      </c>
      <c r="J44" s="98" t="s">
        <v>857</v>
      </c>
      <c r="K44" s="98" t="s">
        <v>1092</v>
      </c>
      <c r="L44" s="98" t="s">
        <v>89</v>
      </c>
      <c r="M44" s="101" t="s">
        <v>52</v>
      </c>
      <c r="N44" s="108">
        <v>45139</v>
      </c>
      <c r="O44" s="100">
        <v>0</v>
      </c>
      <c r="P44" s="69">
        <v>0</v>
      </c>
      <c r="Q44" s="69">
        <f t="shared" si="398"/>
        <v>0</v>
      </c>
      <c r="R44" s="69">
        <f t="shared" si="399"/>
        <v>0</v>
      </c>
      <c r="S44" s="69">
        <f t="shared" si="400"/>
        <v>0</v>
      </c>
      <c r="T44" s="69">
        <f t="shared" si="401"/>
        <v>0</v>
      </c>
      <c r="U44" s="69">
        <f t="shared" si="402"/>
        <v>0</v>
      </c>
      <c r="V44" s="70">
        <f t="shared" si="403"/>
        <v>0</v>
      </c>
      <c r="W44" s="71">
        <f t="shared" si="404"/>
        <v>0</v>
      </c>
      <c r="X44" s="71">
        <f t="shared" si="405"/>
        <v>0</v>
      </c>
      <c r="Y44" s="71">
        <f t="shared" si="406"/>
        <v>0</v>
      </c>
      <c r="Z44" s="71">
        <f t="shared" si="407"/>
        <v>0</v>
      </c>
      <c r="AA44" s="71">
        <f t="shared" si="408"/>
        <v>0</v>
      </c>
      <c r="AB44" s="71">
        <f t="shared" si="409"/>
        <v>0</v>
      </c>
      <c r="AC44" s="71">
        <f t="shared" si="410"/>
        <v>0</v>
      </c>
      <c r="AD44" s="71">
        <f t="shared" si="411"/>
        <v>0</v>
      </c>
      <c r="AE44" s="71">
        <f t="shared" si="412"/>
        <v>0</v>
      </c>
      <c r="AF44" s="71">
        <f t="shared" si="413"/>
        <v>0</v>
      </c>
      <c r="AG44" s="71">
        <f t="shared" si="414"/>
        <v>0</v>
      </c>
      <c r="AH44" s="71">
        <f t="shared" si="415"/>
        <v>0</v>
      </c>
      <c r="AI44" s="71">
        <f t="shared" si="416"/>
        <v>0</v>
      </c>
      <c r="AJ44" s="71">
        <f t="shared" si="417"/>
        <v>0</v>
      </c>
      <c r="AK44" s="71">
        <f t="shared" si="418"/>
        <v>0</v>
      </c>
      <c r="AL44" s="71">
        <f t="shared" si="419"/>
        <v>0</v>
      </c>
      <c r="AM44" s="71">
        <f t="shared" si="420"/>
        <v>0</v>
      </c>
      <c r="AN44" s="71">
        <f t="shared" si="421"/>
        <v>0</v>
      </c>
      <c r="AO44" s="71">
        <f t="shared" si="422"/>
        <v>0</v>
      </c>
      <c r="AP44" s="71">
        <f t="shared" si="423"/>
        <v>0</v>
      </c>
      <c r="AQ44" s="71">
        <f t="shared" si="424"/>
        <v>0</v>
      </c>
      <c r="AR44" s="71">
        <f t="shared" si="425"/>
        <v>0</v>
      </c>
      <c r="AS44" s="71">
        <f t="shared" si="426"/>
        <v>0</v>
      </c>
      <c r="AT44" s="71">
        <f t="shared" si="427"/>
        <v>0</v>
      </c>
      <c r="AU44" s="71">
        <f t="shared" si="428"/>
        <v>0</v>
      </c>
      <c r="AV44" s="71">
        <f t="shared" si="429"/>
        <v>0</v>
      </c>
      <c r="AW44" s="71">
        <f t="shared" si="430"/>
        <v>0</v>
      </c>
      <c r="AX44" s="71">
        <f t="shared" si="431"/>
        <v>0</v>
      </c>
      <c r="AY44" s="71">
        <f t="shared" si="432"/>
        <v>0</v>
      </c>
      <c r="AZ44" s="72">
        <f t="shared" si="433"/>
        <v>0</v>
      </c>
      <c r="BA44" s="70">
        <f t="shared" si="60"/>
        <v>0</v>
      </c>
      <c r="BB44" s="69">
        <f t="shared" ca="1" si="61"/>
        <v>0</v>
      </c>
      <c r="BC44" s="70">
        <f t="shared" si="434"/>
        <v>0</v>
      </c>
      <c r="BD44" s="71">
        <f t="shared" si="435"/>
        <v>0</v>
      </c>
      <c r="BE44" s="71">
        <f t="shared" si="436"/>
        <v>0</v>
      </c>
      <c r="BF44" s="71">
        <f t="shared" si="437"/>
        <v>0</v>
      </c>
      <c r="BG44" s="71">
        <f t="shared" si="438"/>
        <v>0</v>
      </c>
      <c r="BH44" s="71">
        <f t="shared" si="439"/>
        <v>0</v>
      </c>
      <c r="BI44" s="71">
        <f t="shared" si="440"/>
        <v>0</v>
      </c>
      <c r="BJ44" s="71">
        <f t="shared" si="441"/>
        <v>0</v>
      </c>
      <c r="BK44" s="71">
        <f t="shared" si="442"/>
        <v>0</v>
      </c>
      <c r="BL44" s="71">
        <f t="shared" si="443"/>
        <v>0</v>
      </c>
      <c r="BM44" s="71">
        <f t="shared" si="444"/>
        <v>0</v>
      </c>
      <c r="BN44" s="71">
        <f t="shared" si="445"/>
        <v>0</v>
      </c>
      <c r="BO44" s="71">
        <f t="shared" si="446"/>
        <v>0</v>
      </c>
      <c r="BP44" s="71">
        <f t="shared" si="447"/>
        <v>0</v>
      </c>
      <c r="BQ44" s="71">
        <f t="shared" si="448"/>
        <v>0</v>
      </c>
      <c r="BR44" s="71">
        <f t="shared" si="449"/>
        <v>0</v>
      </c>
      <c r="BS44" s="71">
        <f t="shared" si="450"/>
        <v>0</v>
      </c>
      <c r="BT44" s="71">
        <f t="shared" si="451"/>
        <v>0</v>
      </c>
      <c r="BU44" s="71">
        <f t="shared" si="452"/>
        <v>0</v>
      </c>
      <c r="BV44" s="71">
        <f t="shared" si="453"/>
        <v>0</v>
      </c>
      <c r="BW44" s="71">
        <f t="shared" si="454"/>
        <v>0</v>
      </c>
      <c r="BX44" s="71">
        <f t="shared" si="455"/>
        <v>0</v>
      </c>
      <c r="BY44" s="71">
        <f t="shared" si="456"/>
        <v>0</v>
      </c>
      <c r="BZ44" s="71">
        <f t="shared" si="457"/>
        <v>0</v>
      </c>
      <c r="CA44" s="71">
        <f t="shared" si="458"/>
        <v>0</v>
      </c>
      <c r="CB44" s="71">
        <f t="shared" si="459"/>
        <v>0</v>
      </c>
      <c r="CC44" s="71">
        <f t="shared" si="460"/>
        <v>0</v>
      </c>
      <c r="CD44" s="71">
        <f t="shared" si="461"/>
        <v>0</v>
      </c>
      <c r="CE44" s="71">
        <f t="shared" si="462"/>
        <v>0</v>
      </c>
      <c r="CF44" s="71">
        <f t="shared" si="463"/>
        <v>0</v>
      </c>
      <c r="CG44" s="71">
        <f t="shared" si="464"/>
        <v>0</v>
      </c>
      <c r="CH44" s="70">
        <f t="shared" si="93"/>
        <v>0</v>
      </c>
      <c r="CI44" s="69">
        <f t="shared" ca="1" si="94"/>
        <v>0</v>
      </c>
      <c r="GM44" s="2" t="s">
        <v>16</v>
      </c>
      <c r="GN44" s="98" t="str">
        <f t="shared" si="95"/>
        <v>KHI05-FMCG03-ASM-01</v>
      </c>
      <c r="GO44" s="4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6"/>
      <c r="HT44" s="4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6"/>
    </row>
    <row r="45" spans="1:258" hidden="1">
      <c r="A45" s="102" t="s">
        <v>53</v>
      </c>
      <c r="B45" s="103" t="s">
        <v>90</v>
      </c>
      <c r="C45" s="103" t="s">
        <v>27</v>
      </c>
      <c r="D45" s="104" t="s">
        <v>1118</v>
      </c>
      <c r="E45" s="103" t="s">
        <v>1123</v>
      </c>
      <c r="F45" s="103" t="s">
        <v>1124</v>
      </c>
      <c r="G45" s="103" t="s">
        <v>86</v>
      </c>
      <c r="H45" s="103" t="s">
        <v>1125</v>
      </c>
      <c r="I45" s="103" t="s">
        <v>1125</v>
      </c>
      <c r="J45" s="103" t="s">
        <v>857</v>
      </c>
      <c r="K45" s="103" t="s">
        <v>1092</v>
      </c>
      <c r="L45" s="103" t="s">
        <v>89</v>
      </c>
      <c r="M45" s="103" t="s">
        <v>52</v>
      </c>
      <c r="N45" s="119">
        <v>45139</v>
      </c>
      <c r="O45" s="105">
        <f>O43+O42+O41+O40+O39+O38</f>
        <v>5</v>
      </c>
      <c r="P45" s="73">
        <f t="shared" ref="P45:CA45" si="465">P43+P42+P41+P40+P39+P38</f>
        <v>1</v>
      </c>
      <c r="Q45" s="73">
        <f t="shared" si="465"/>
        <v>4</v>
      </c>
      <c r="R45" s="73">
        <f t="shared" si="465"/>
        <v>4</v>
      </c>
      <c r="S45" s="73">
        <f t="shared" si="465"/>
        <v>0</v>
      </c>
      <c r="T45" s="73">
        <f t="shared" si="465"/>
        <v>3</v>
      </c>
      <c r="U45" s="76">
        <f t="shared" si="465"/>
        <v>4</v>
      </c>
      <c r="V45" s="133">
        <f t="shared" si="465"/>
        <v>3</v>
      </c>
      <c r="W45" s="132">
        <f t="shared" si="465"/>
        <v>3</v>
      </c>
      <c r="X45" s="132">
        <f t="shared" si="465"/>
        <v>3</v>
      </c>
      <c r="Y45" s="132">
        <f t="shared" si="465"/>
        <v>0</v>
      </c>
      <c r="Z45" s="132">
        <f t="shared" si="465"/>
        <v>3</v>
      </c>
      <c r="AA45" s="132">
        <f t="shared" si="465"/>
        <v>3</v>
      </c>
      <c r="AB45" s="132">
        <f t="shared" si="465"/>
        <v>3</v>
      </c>
      <c r="AC45" s="132">
        <f t="shared" si="465"/>
        <v>3</v>
      </c>
      <c r="AD45" s="132">
        <f t="shared" si="465"/>
        <v>3</v>
      </c>
      <c r="AE45" s="132">
        <f t="shared" si="465"/>
        <v>3</v>
      </c>
      <c r="AF45" s="132">
        <f t="shared" si="465"/>
        <v>0</v>
      </c>
      <c r="AG45" s="132">
        <f t="shared" si="465"/>
        <v>4</v>
      </c>
      <c r="AH45" s="132">
        <f t="shared" si="465"/>
        <v>4</v>
      </c>
      <c r="AI45" s="132">
        <f t="shared" si="465"/>
        <v>4</v>
      </c>
      <c r="AJ45" s="132">
        <f t="shared" si="465"/>
        <v>0</v>
      </c>
      <c r="AK45" s="132">
        <f t="shared" si="465"/>
        <v>0</v>
      </c>
      <c r="AL45" s="132">
        <f t="shared" si="465"/>
        <v>0</v>
      </c>
      <c r="AM45" s="132">
        <f t="shared" si="465"/>
        <v>0</v>
      </c>
      <c r="AN45" s="132">
        <f t="shared" si="465"/>
        <v>0</v>
      </c>
      <c r="AO45" s="132">
        <f t="shared" si="465"/>
        <v>0</v>
      </c>
      <c r="AP45" s="132">
        <f t="shared" si="465"/>
        <v>0</v>
      </c>
      <c r="AQ45" s="132">
        <f t="shared" si="465"/>
        <v>0</v>
      </c>
      <c r="AR45" s="132">
        <f t="shared" si="465"/>
        <v>0</v>
      </c>
      <c r="AS45" s="132">
        <f t="shared" si="465"/>
        <v>0</v>
      </c>
      <c r="AT45" s="132">
        <f t="shared" si="465"/>
        <v>0</v>
      </c>
      <c r="AU45" s="132">
        <f t="shared" si="465"/>
        <v>0</v>
      </c>
      <c r="AV45" s="132">
        <f t="shared" si="465"/>
        <v>0</v>
      </c>
      <c r="AW45" s="132">
        <f t="shared" si="465"/>
        <v>0</v>
      </c>
      <c r="AX45" s="132">
        <f t="shared" si="465"/>
        <v>0</v>
      </c>
      <c r="AY45" s="132">
        <f t="shared" si="465"/>
        <v>0</v>
      </c>
      <c r="AZ45" s="73">
        <f t="shared" si="465"/>
        <v>0</v>
      </c>
      <c r="BA45" s="74">
        <f t="shared" si="60"/>
        <v>39</v>
      </c>
      <c r="BB45" s="73">
        <f t="shared" ca="1" si="61"/>
        <v>0.75</v>
      </c>
      <c r="BC45" s="74">
        <f t="shared" si="465"/>
        <v>13</v>
      </c>
      <c r="BD45" s="75">
        <f t="shared" si="465"/>
        <v>0</v>
      </c>
      <c r="BE45" s="75">
        <f t="shared" si="465"/>
        <v>0</v>
      </c>
      <c r="BF45" s="75">
        <f t="shared" si="465"/>
        <v>10</v>
      </c>
      <c r="BG45" s="75">
        <f t="shared" si="465"/>
        <v>16</v>
      </c>
      <c r="BH45" s="75">
        <f t="shared" si="465"/>
        <v>20</v>
      </c>
      <c r="BI45" s="75">
        <f t="shared" si="465"/>
        <v>9</v>
      </c>
      <c r="BJ45" s="75">
        <f t="shared" si="465"/>
        <v>33</v>
      </c>
      <c r="BK45" s="75">
        <f t="shared" si="465"/>
        <v>20</v>
      </c>
      <c r="BL45" s="75">
        <f t="shared" si="465"/>
        <v>5</v>
      </c>
      <c r="BM45" s="75">
        <f t="shared" si="465"/>
        <v>0</v>
      </c>
      <c r="BN45" s="75">
        <f t="shared" si="465"/>
        <v>16</v>
      </c>
      <c r="BO45" s="75">
        <f t="shared" si="465"/>
        <v>13</v>
      </c>
      <c r="BP45" s="75">
        <f t="shared" si="465"/>
        <v>0</v>
      </c>
      <c r="BQ45" s="75">
        <f t="shared" si="465"/>
        <v>0</v>
      </c>
      <c r="BR45" s="75">
        <f t="shared" si="465"/>
        <v>0</v>
      </c>
      <c r="BS45" s="75">
        <f t="shared" si="465"/>
        <v>0</v>
      </c>
      <c r="BT45" s="75">
        <f t="shared" si="465"/>
        <v>0</v>
      </c>
      <c r="BU45" s="75">
        <f t="shared" si="465"/>
        <v>0</v>
      </c>
      <c r="BV45" s="75">
        <f t="shared" si="465"/>
        <v>0</v>
      </c>
      <c r="BW45" s="75">
        <f t="shared" si="465"/>
        <v>0</v>
      </c>
      <c r="BX45" s="75">
        <f t="shared" si="465"/>
        <v>0</v>
      </c>
      <c r="BY45" s="75">
        <f t="shared" si="465"/>
        <v>0</v>
      </c>
      <c r="BZ45" s="75">
        <f t="shared" si="465"/>
        <v>0</v>
      </c>
      <c r="CA45" s="75">
        <f t="shared" si="465"/>
        <v>0</v>
      </c>
      <c r="CB45" s="75">
        <f t="shared" ref="CB45:CG45" si="466">CB43+CB42+CB41+CB40+CB39+CB38</f>
        <v>0</v>
      </c>
      <c r="CC45" s="75">
        <f t="shared" si="466"/>
        <v>0</v>
      </c>
      <c r="CD45" s="75">
        <f t="shared" si="466"/>
        <v>0</v>
      </c>
      <c r="CE45" s="75">
        <f t="shared" si="466"/>
        <v>0</v>
      </c>
      <c r="CF45" s="75">
        <f t="shared" si="466"/>
        <v>0</v>
      </c>
      <c r="CG45" s="75">
        <f t="shared" si="466"/>
        <v>0</v>
      </c>
      <c r="CH45" s="74">
        <f t="shared" si="93"/>
        <v>155</v>
      </c>
      <c r="CI45" s="73">
        <f t="shared" ca="1" si="94"/>
        <v>2.9807692307692308</v>
      </c>
      <c r="GM45" s="2" t="s">
        <v>17</v>
      </c>
      <c r="GN45" s="103" t="str">
        <f t="shared" si="95"/>
        <v>KHI05-FMCG03-ASM-01</v>
      </c>
      <c r="GO45" s="4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6"/>
      <c r="HT45" s="4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6"/>
    </row>
    <row r="46" spans="1:258" hidden="1">
      <c r="A46" s="97" t="s">
        <v>19</v>
      </c>
      <c r="B46" s="98" t="s">
        <v>20</v>
      </c>
      <c r="C46" s="98" t="s">
        <v>27</v>
      </c>
      <c r="D46" s="99" t="s">
        <v>128</v>
      </c>
      <c r="E46" s="98" t="s">
        <v>1279</v>
      </c>
      <c r="F46" s="98" t="s">
        <v>1392</v>
      </c>
      <c r="G46" s="98" t="s">
        <v>146</v>
      </c>
      <c r="H46" s="98" t="s">
        <v>1432</v>
      </c>
      <c r="I46" s="98" t="s">
        <v>1432</v>
      </c>
      <c r="J46" s="98" t="s">
        <v>147</v>
      </c>
      <c r="K46" s="98" t="s">
        <v>144</v>
      </c>
      <c r="L46" s="98" t="s">
        <v>148</v>
      </c>
      <c r="M46" s="101" t="s">
        <v>52</v>
      </c>
      <c r="N46" s="108">
        <v>45139</v>
      </c>
      <c r="O46" s="100">
        <v>1</v>
      </c>
      <c r="P46" s="69">
        <v>0</v>
      </c>
      <c r="Q46" s="69">
        <f>IFERROR(IF(OR(AI46&gt;0),1,0),0)</f>
        <v>0</v>
      </c>
      <c r="R46" s="69">
        <f>IFERROR(IF(OR(BA46&gt;0),1,0),0)</f>
        <v>0</v>
      </c>
      <c r="S46" s="69">
        <f>IFERROR(IF(OR(BP46&gt;0),1,0),0)</f>
        <v>0</v>
      </c>
      <c r="T46" s="69">
        <f>IFERROR(IF(OR(CH46&gt;0),1,0),0)</f>
        <v>0</v>
      </c>
      <c r="U46" s="69">
        <f>IFERROR(IF(OR(BA46&gt;0,CH46&gt;0),1,0),0)</f>
        <v>0</v>
      </c>
      <c r="V46" s="70">
        <f t="shared" ref="V46" si="467">GO46</f>
        <v>0</v>
      </c>
      <c r="W46" s="71">
        <f t="shared" ref="W46" si="468">GP46</f>
        <v>0</v>
      </c>
      <c r="X46" s="71">
        <f t="shared" ref="X46" si="469">GQ46</f>
        <v>0</v>
      </c>
      <c r="Y46" s="71">
        <f t="shared" ref="Y46" si="470">GR46</f>
        <v>0</v>
      </c>
      <c r="Z46" s="71">
        <f t="shared" ref="Z46" si="471">GS46</f>
        <v>0</v>
      </c>
      <c r="AA46" s="71">
        <f t="shared" ref="AA46" si="472">GT46</f>
        <v>0</v>
      </c>
      <c r="AB46" s="71">
        <f t="shared" ref="AB46" si="473">GU46</f>
        <v>0</v>
      </c>
      <c r="AC46" s="71">
        <f t="shared" ref="AC46" si="474">GV46</f>
        <v>0</v>
      </c>
      <c r="AD46" s="71">
        <f t="shared" ref="AD46" si="475">GW46</f>
        <v>0</v>
      </c>
      <c r="AE46" s="71">
        <f t="shared" ref="AE46" si="476">GX46</f>
        <v>0</v>
      </c>
      <c r="AF46" s="71">
        <f t="shared" ref="AF46" si="477">GY46</f>
        <v>0</v>
      </c>
      <c r="AG46" s="71">
        <f t="shared" ref="AG46" si="478">GZ46</f>
        <v>0</v>
      </c>
      <c r="AH46" s="71">
        <f t="shared" ref="AH46" si="479">HA46</f>
        <v>0</v>
      </c>
      <c r="AI46" s="71">
        <f t="shared" ref="AI46" si="480">HB46</f>
        <v>0</v>
      </c>
      <c r="AJ46" s="71">
        <f t="shared" ref="AJ46" si="481">HC46</f>
        <v>0</v>
      </c>
      <c r="AK46" s="71">
        <f t="shared" ref="AK46" si="482">HD46</f>
        <v>0</v>
      </c>
      <c r="AL46" s="71">
        <f t="shared" ref="AL46" si="483">HE46</f>
        <v>0</v>
      </c>
      <c r="AM46" s="71">
        <f t="shared" ref="AM46" si="484">HF46</f>
        <v>0</v>
      </c>
      <c r="AN46" s="71">
        <f t="shared" ref="AN46" si="485">HG46</f>
        <v>0</v>
      </c>
      <c r="AO46" s="71">
        <f t="shared" ref="AO46" si="486">HH46</f>
        <v>0</v>
      </c>
      <c r="AP46" s="71">
        <f t="shared" ref="AP46" si="487">HI46</f>
        <v>0</v>
      </c>
      <c r="AQ46" s="71">
        <f t="shared" ref="AQ46" si="488">HJ46</f>
        <v>0</v>
      </c>
      <c r="AR46" s="71">
        <f t="shared" ref="AR46" si="489">HK46</f>
        <v>0</v>
      </c>
      <c r="AS46" s="71">
        <f t="shared" ref="AS46" si="490">HL46</f>
        <v>0</v>
      </c>
      <c r="AT46" s="71">
        <f t="shared" ref="AT46" si="491">HM46</f>
        <v>0</v>
      </c>
      <c r="AU46" s="71">
        <f t="shared" ref="AU46" si="492">HN46</f>
        <v>0</v>
      </c>
      <c r="AV46" s="71">
        <f t="shared" ref="AV46" si="493">HO46</f>
        <v>0</v>
      </c>
      <c r="AW46" s="71">
        <f t="shared" ref="AW46" si="494">HP46</f>
        <v>0</v>
      </c>
      <c r="AX46" s="71">
        <f t="shared" ref="AX46" si="495">HQ46</f>
        <v>0</v>
      </c>
      <c r="AY46" s="71">
        <f t="shared" ref="AY46" si="496">HR46</f>
        <v>0</v>
      </c>
      <c r="AZ46" s="72">
        <f t="shared" ref="AZ46" si="497">HS46</f>
        <v>0</v>
      </c>
      <c r="BA46" s="70">
        <f t="shared" si="60"/>
        <v>0</v>
      </c>
      <c r="BB46" s="69">
        <f t="shared" ca="1" si="61"/>
        <v>0</v>
      </c>
      <c r="BC46" s="70">
        <f t="shared" ref="BC46" si="498">HT46</f>
        <v>0</v>
      </c>
      <c r="BD46" s="71">
        <f t="shared" ref="BD46" si="499">HU46</f>
        <v>0</v>
      </c>
      <c r="BE46" s="71">
        <f t="shared" ref="BE46" si="500">HV46</f>
        <v>0</v>
      </c>
      <c r="BF46" s="71">
        <f t="shared" ref="BF46" si="501">HW46</f>
        <v>0</v>
      </c>
      <c r="BG46" s="71">
        <f t="shared" ref="BG46" si="502">HX46</f>
        <v>0</v>
      </c>
      <c r="BH46" s="71">
        <f t="shared" ref="BH46" si="503">HY46</f>
        <v>0</v>
      </c>
      <c r="BI46" s="71">
        <f t="shared" ref="BI46" si="504">HZ46</f>
        <v>0</v>
      </c>
      <c r="BJ46" s="71">
        <f t="shared" ref="BJ46" si="505">IA46</f>
        <v>0</v>
      </c>
      <c r="BK46" s="71">
        <f t="shared" ref="BK46" si="506">IB46</f>
        <v>0</v>
      </c>
      <c r="BL46" s="71">
        <f t="shared" ref="BL46" si="507">IC46</f>
        <v>0</v>
      </c>
      <c r="BM46" s="71">
        <f t="shared" ref="BM46" si="508">ID46</f>
        <v>0</v>
      </c>
      <c r="BN46" s="71">
        <f t="shared" ref="BN46" si="509">IE46</f>
        <v>0</v>
      </c>
      <c r="BO46" s="71">
        <f t="shared" ref="BO46" si="510">IF46</f>
        <v>0</v>
      </c>
      <c r="BP46" s="71">
        <f t="shared" ref="BP46" si="511">IG46</f>
        <v>0</v>
      </c>
      <c r="BQ46" s="71">
        <f t="shared" ref="BQ46" si="512">IH46</f>
        <v>0</v>
      </c>
      <c r="BR46" s="71">
        <f t="shared" ref="BR46" si="513">II46</f>
        <v>0</v>
      </c>
      <c r="BS46" s="71">
        <f t="shared" ref="BS46" si="514">IJ46</f>
        <v>0</v>
      </c>
      <c r="BT46" s="71">
        <f t="shared" ref="BT46" si="515">IK46</f>
        <v>0</v>
      </c>
      <c r="BU46" s="71">
        <f t="shared" ref="BU46" si="516">IL46</f>
        <v>0</v>
      </c>
      <c r="BV46" s="71">
        <f t="shared" ref="BV46" si="517">IM46</f>
        <v>0</v>
      </c>
      <c r="BW46" s="71">
        <f t="shared" ref="BW46" si="518">IN46</f>
        <v>0</v>
      </c>
      <c r="BX46" s="71">
        <f t="shared" ref="BX46" si="519">IO46</f>
        <v>0</v>
      </c>
      <c r="BY46" s="71">
        <f t="shared" ref="BY46" si="520">IP46</f>
        <v>0</v>
      </c>
      <c r="BZ46" s="71">
        <f t="shared" ref="BZ46" si="521">IQ46</f>
        <v>0</v>
      </c>
      <c r="CA46" s="71">
        <f t="shared" ref="CA46" si="522">IR46</f>
        <v>0</v>
      </c>
      <c r="CB46" s="71">
        <f t="shared" ref="CB46" si="523">IS46</f>
        <v>0</v>
      </c>
      <c r="CC46" s="71">
        <f t="shared" ref="CC46" si="524">IT46</f>
        <v>0</v>
      </c>
      <c r="CD46" s="71">
        <f t="shared" ref="CD46" si="525">IU46</f>
        <v>0</v>
      </c>
      <c r="CE46" s="71">
        <f t="shared" ref="CE46" si="526">IV46</f>
        <v>0</v>
      </c>
      <c r="CF46" s="71">
        <f t="shared" ref="CF46" si="527">IW46</f>
        <v>0</v>
      </c>
      <c r="CG46" s="71">
        <f t="shared" ref="CG46" si="528">IX46</f>
        <v>0</v>
      </c>
      <c r="CH46" s="70">
        <f t="shared" si="93"/>
        <v>0</v>
      </c>
      <c r="CI46" s="69">
        <f t="shared" ca="1" si="94"/>
        <v>0</v>
      </c>
      <c r="GM46" s="2" t="s">
        <v>16</v>
      </c>
      <c r="GN46" s="98" t="str">
        <f>F46</f>
        <v>STH-A-FMCG-CM-00</v>
      </c>
      <c r="GO46" s="4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6"/>
      <c r="HT46" s="4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6"/>
    </row>
    <row r="47" spans="1:258" hidden="1">
      <c r="A47" s="97" t="s">
        <v>149</v>
      </c>
      <c r="B47" s="98" t="s">
        <v>26</v>
      </c>
      <c r="C47" s="98" t="s">
        <v>27</v>
      </c>
      <c r="D47" s="99" t="s">
        <v>143</v>
      </c>
      <c r="E47" s="98" t="s">
        <v>1281</v>
      </c>
      <c r="F47" s="98" t="s">
        <v>1282</v>
      </c>
      <c r="G47" s="98" t="s">
        <v>150</v>
      </c>
      <c r="H47" s="98" t="s">
        <v>1433</v>
      </c>
      <c r="I47" s="98" t="s">
        <v>1433</v>
      </c>
      <c r="J47" s="98" t="s">
        <v>46</v>
      </c>
      <c r="K47" s="98" t="s">
        <v>149</v>
      </c>
      <c r="L47" s="98" t="s">
        <v>151</v>
      </c>
      <c r="M47" s="98" t="s">
        <v>33</v>
      </c>
      <c r="N47" s="108">
        <v>45477</v>
      </c>
      <c r="O47" s="100">
        <v>1</v>
      </c>
      <c r="P47" s="69">
        <v>0</v>
      </c>
      <c r="Q47" s="69">
        <f>IFERROR(IF(OR(AI47&gt;0),1,0),0)</f>
        <v>0</v>
      </c>
      <c r="R47" s="69">
        <f t="shared" ref="R47:R48" si="529">IFERROR(IF(OR(BA47&gt;0),1,0),0)</f>
        <v>1</v>
      </c>
      <c r="S47" s="69">
        <f>IFERROR(IF(OR(BP47&gt;0),1,0),0)</f>
        <v>0</v>
      </c>
      <c r="T47" s="69">
        <f t="shared" ref="T47:T48" si="530">IFERROR(IF(OR(CH47&gt;0),1,0),0)</f>
        <v>0</v>
      </c>
      <c r="U47" s="69">
        <f t="shared" ref="U47:U48" si="531">IFERROR(IF(OR(BA47&gt;0,CH47&gt;0),1,0),0)</f>
        <v>1</v>
      </c>
      <c r="V47" s="70">
        <f t="shared" ref="V47:V48" si="532">GO47</f>
        <v>1</v>
      </c>
      <c r="W47" s="71">
        <f t="shared" ref="W47:W48" si="533">GP47</f>
        <v>1</v>
      </c>
      <c r="X47" s="71">
        <f t="shared" ref="X47:X48" si="534">GQ47</f>
        <v>1</v>
      </c>
      <c r="Y47" s="71">
        <f t="shared" ref="Y47:Y48" si="535">GR47</f>
        <v>0</v>
      </c>
      <c r="Z47" s="71">
        <f t="shared" ref="Z47:Z48" si="536">GS47</f>
        <v>1</v>
      </c>
      <c r="AA47" s="71">
        <f t="shared" ref="AA47:AA48" si="537">GT47</f>
        <v>1</v>
      </c>
      <c r="AB47" s="71">
        <f t="shared" ref="AB47:AB48" si="538">GU47</f>
        <v>1</v>
      </c>
      <c r="AC47" s="71">
        <f t="shared" ref="AC47:AC48" si="539">GV47</f>
        <v>1</v>
      </c>
      <c r="AD47" s="71">
        <f t="shared" ref="AD47:AD48" si="540">GW47</f>
        <v>1</v>
      </c>
      <c r="AE47" s="71">
        <f t="shared" ref="AE47:AE48" si="541">GX47</f>
        <v>1</v>
      </c>
      <c r="AF47" s="71">
        <f t="shared" ref="AF47:AF48" si="542">GY47</f>
        <v>0</v>
      </c>
      <c r="AG47" s="71">
        <f t="shared" ref="AG47:AG48" si="543">GZ47</f>
        <v>1</v>
      </c>
      <c r="AH47" s="71">
        <f t="shared" ref="AH47:AH48" si="544">HA47</f>
        <v>1</v>
      </c>
      <c r="AI47" s="71">
        <f t="shared" ref="AI47:AI48" si="545">HB47</f>
        <v>0</v>
      </c>
      <c r="AJ47" s="71">
        <f t="shared" ref="AJ47:AJ48" si="546">HC47</f>
        <v>0</v>
      </c>
      <c r="AK47" s="71">
        <f t="shared" ref="AK47:AK48" si="547">HD47</f>
        <v>0</v>
      </c>
      <c r="AL47" s="71">
        <f t="shared" ref="AL47:AL48" si="548">HE47</f>
        <v>0</v>
      </c>
      <c r="AM47" s="71">
        <f t="shared" ref="AM47:AM48" si="549">HF47</f>
        <v>0</v>
      </c>
      <c r="AN47" s="71">
        <f t="shared" ref="AN47:AN48" si="550">HG47</f>
        <v>0</v>
      </c>
      <c r="AO47" s="71">
        <f t="shared" ref="AO47:AO48" si="551">HH47</f>
        <v>0</v>
      </c>
      <c r="AP47" s="71">
        <f t="shared" ref="AP47:AP48" si="552">HI47</f>
        <v>0</v>
      </c>
      <c r="AQ47" s="71">
        <f t="shared" ref="AQ47:AQ48" si="553">HJ47</f>
        <v>0</v>
      </c>
      <c r="AR47" s="71">
        <f t="shared" ref="AR47:AR48" si="554">HK47</f>
        <v>0</v>
      </c>
      <c r="AS47" s="71">
        <f t="shared" ref="AS47:AS48" si="555">HL47</f>
        <v>0</v>
      </c>
      <c r="AT47" s="71">
        <f t="shared" ref="AT47:AT48" si="556">HM47</f>
        <v>0</v>
      </c>
      <c r="AU47" s="71">
        <f t="shared" ref="AU47:AU48" si="557">HN47</f>
        <v>0</v>
      </c>
      <c r="AV47" s="71">
        <f t="shared" ref="AV47:AV48" si="558">HO47</f>
        <v>0</v>
      </c>
      <c r="AW47" s="71">
        <f t="shared" ref="AW47:AW48" si="559">HP47</f>
        <v>0</v>
      </c>
      <c r="AX47" s="71">
        <f t="shared" ref="AX47:AX48" si="560">HQ47</f>
        <v>0</v>
      </c>
      <c r="AY47" s="71">
        <f t="shared" ref="AY47:AY48" si="561">HR47</f>
        <v>0</v>
      </c>
      <c r="AZ47" s="72">
        <f t="shared" ref="AZ47:AZ48" si="562">HS47</f>
        <v>0</v>
      </c>
      <c r="BA47" s="70">
        <f t="shared" si="60"/>
        <v>11</v>
      </c>
      <c r="BB47" s="69">
        <f t="shared" ca="1" si="61"/>
        <v>0.84615384615384615</v>
      </c>
      <c r="BC47" s="70">
        <f t="shared" ref="BC47:BC48" si="563">HT47</f>
        <v>0</v>
      </c>
      <c r="BD47" s="71">
        <f t="shared" ref="BD47:BD48" si="564">HU47</f>
        <v>0</v>
      </c>
      <c r="BE47" s="71">
        <f t="shared" ref="BE47:BE48" si="565">HV47</f>
        <v>0</v>
      </c>
      <c r="BF47" s="71">
        <f t="shared" ref="BF47:BF48" si="566">HW47</f>
        <v>0</v>
      </c>
      <c r="BG47" s="71">
        <f t="shared" ref="BG47:BG48" si="567">HX47</f>
        <v>0</v>
      </c>
      <c r="BH47" s="71">
        <f t="shared" ref="BH47:BH48" si="568">HY47</f>
        <v>0</v>
      </c>
      <c r="BI47" s="71">
        <f t="shared" ref="BI47:BI48" si="569">HZ47</f>
        <v>0</v>
      </c>
      <c r="BJ47" s="71">
        <f t="shared" ref="BJ47:BJ48" si="570">IA47</f>
        <v>0</v>
      </c>
      <c r="BK47" s="71">
        <f t="shared" ref="BK47:BK48" si="571">IB47</f>
        <v>0</v>
      </c>
      <c r="BL47" s="71">
        <f t="shared" ref="BL47:BL48" si="572">IC47</f>
        <v>0</v>
      </c>
      <c r="BM47" s="71">
        <f t="shared" ref="BM47:BM48" si="573">ID47</f>
        <v>0</v>
      </c>
      <c r="BN47" s="71">
        <f t="shared" ref="BN47:BN48" si="574">IE47</f>
        <v>0</v>
      </c>
      <c r="BO47" s="71">
        <f t="shared" ref="BO47:BO48" si="575">IF47</f>
        <v>0</v>
      </c>
      <c r="BP47" s="71">
        <f t="shared" ref="BP47:BP48" si="576">IG47</f>
        <v>0</v>
      </c>
      <c r="BQ47" s="71">
        <f t="shared" ref="BQ47:BQ48" si="577">IH47</f>
        <v>0</v>
      </c>
      <c r="BR47" s="71">
        <f t="shared" ref="BR47:BR48" si="578">II47</f>
        <v>0</v>
      </c>
      <c r="BS47" s="71">
        <f t="shared" ref="BS47:BS48" si="579">IJ47</f>
        <v>0</v>
      </c>
      <c r="BT47" s="71">
        <f t="shared" ref="BT47:BT48" si="580">IK47</f>
        <v>0</v>
      </c>
      <c r="BU47" s="71">
        <f t="shared" ref="BU47:BU48" si="581">IL47</f>
        <v>0</v>
      </c>
      <c r="BV47" s="71">
        <f t="shared" ref="BV47:BV48" si="582">IM47</f>
        <v>0</v>
      </c>
      <c r="BW47" s="71">
        <f t="shared" ref="BW47:BW48" si="583">IN47</f>
        <v>0</v>
      </c>
      <c r="BX47" s="71">
        <f t="shared" ref="BX47:BX48" si="584">IO47</f>
        <v>0</v>
      </c>
      <c r="BY47" s="71">
        <f t="shared" ref="BY47:BY48" si="585">IP47</f>
        <v>0</v>
      </c>
      <c r="BZ47" s="71">
        <f t="shared" ref="BZ47:BZ48" si="586">IQ47</f>
        <v>0</v>
      </c>
      <c r="CA47" s="71">
        <f t="shared" ref="CA47:CA48" si="587">IR47</f>
        <v>0</v>
      </c>
      <c r="CB47" s="71">
        <f t="shared" ref="CB47:CB48" si="588">IS47</f>
        <v>0</v>
      </c>
      <c r="CC47" s="71">
        <f t="shared" ref="CC47:CC48" si="589">IT47</f>
        <v>0</v>
      </c>
      <c r="CD47" s="71">
        <f t="shared" ref="CD47:CD48" si="590">IU47</f>
        <v>0</v>
      </c>
      <c r="CE47" s="71">
        <f t="shared" ref="CE47:CE48" si="591">IV47</f>
        <v>0</v>
      </c>
      <c r="CF47" s="71">
        <f t="shared" ref="CF47:CF48" si="592">IW47</f>
        <v>0</v>
      </c>
      <c r="CG47" s="71">
        <f t="shared" ref="CG47:CG48" si="593">IX47</f>
        <v>0</v>
      </c>
      <c r="CH47" s="70">
        <f t="shared" si="93"/>
        <v>0</v>
      </c>
      <c r="CI47" s="69">
        <f t="shared" ca="1" si="94"/>
        <v>0</v>
      </c>
      <c r="GM47" s="2" t="s">
        <v>16</v>
      </c>
      <c r="GN47" s="98" t="str">
        <f t="shared" si="95"/>
        <v>STH-A-FMCG01-TE-01</v>
      </c>
      <c r="GO47" s="4">
        <v>1</v>
      </c>
      <c r="GP47" s="3">
        <v>1</v>
      </c>
      <c r="GQ47" s="3">
        <v>1</v>
      </c>
      <c r="GR47" s="3">
        <v>0</v>
      </c>
      <c r="GS47" s="3">
        <v>1</v>
      </c>
      <c r="GT47" s="3">
        <v>1</v>
      </c>
      <c r="GU47" s="3">
        <v>1</v>
      </c>
      <c r="GV47" s="3">
        <v>1</v>
      </c>
      <c r="GW47" s="3">
        <v>1</v>
      </c>
      <c r="GX47" s="3">
        <v>1</v>
      </c>
      <c r="GY47" s="3">
        <v>0</v>
      </c>
      <c r="GZ47" s="3">
        <v>1</v>
      </c>
      <c r="HA47" s="3">
        <v>1</v>
      </c>
      <c r="HB47" s="3">
        <v>0</v>
      </c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6"/>
      <c r="HT47" s="4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6"/>
    </row>
    <row r="48" spans="1:258" hidden="1">
      <c r="A48" s="97" t="s">
        <v>1397</v>
      </c>
      <c r="B48" s="98" t="s">
        <v>20</v>
      </c>
      <c r="C48" s="98" t="s">
        <v>27</v>
      </c>
      <c r="D48" s="99" t="s">
        <v>152</v>
      </c>
      <c r="E48" s="98" t="s">
        <v>153</v>
      </c>
      <c r="F48" s="98" t="s">
        <v>154</v>
      </c>
      <c r="G48" s="98" t="s">
        <v>155</v>
      </c>
      <c r="H48" s="98" t="s">
        <v>156</v>
      </c>
      <c r="I48" s="98" t="s">
        <v>156</v>
      </c>
      <c r="J48" s="98" t="s">
        <v>46</v>
      </c>
      <c r="K48" s="98" t="s">
        <v>31</v>
      </c>
      <c r="L48" s="98" t="s">
        <v>157</v>
      </c>
      <c r="M48" s="98" t="s">
        <v>52</v>
      </c>
      <c r="N48" s="108">
        <v>45667</v>
      </c>
      <c r="O48" s="100">
        <v>0</v>
      </c>
      <c r="P48" s="69">
        <v>0</v>
      </c>
      <c r="Q48" s="69">
        <f>IFERROR(IF(OR(AI48&gt;0),1,0),0)</f>
        <v>0</v>
      </c>
      <c r="R48" s="69">
        <f t="shared" si="529"/>
        <v>0</v>
      </c>
      <c r="S48" s="69">
        <f>IFERROR(IF(OR(BP48&gt;0),1,0),0)</f>
        <v>0</v>
      </c>
      <c r="T48" s="69">
        <f t="shared" si="530"/>
        <v>0</v>
      </c>
      <c r="U48" s="69">
        <f t="shared" si="531"/>
        <v>0</v>
      </c>
      <c r="V48" s="70">
        <f t="shared" si="532"/>
        <v>0</v>
      </c>
      <c r="W48" s="71">
        <f t="shared" si="533"/>
        <v>0</v>
      </c>
      <c r="X48" s="71">
        <f t="shared" si="534"/>
        <v>0</v>
      </c>
      <c r="Y48" s="71">
        <f t="shared" si="535"/>
        <v>0</v>
      </c>
      <c r="Z48" s="71">
        <f t="shared" si="536"/>
        <v>0</v>
      </c>
      <c r="AA48" s="71">
        <f t="shared" si="537"/>
        <v>0</v>
      </c>
      <c r="AB48" s="71">
        <f t="shared" si="538"/>
        <v>0</v>
      </c>
      <c r="AC48" s="71">
        <f t="shared" si="539"/>
        <v>0</v>
      </c>
      <c r="AD48" s="71">
        <f t="shared" si="540"/>
        <v>0</v>
      </c>
      <c r="AE48" s="71">
        <f t="shared" si="541"/>
        <v>0</v>
      </c>
      <c r="AF48" s="71">
        <f t="shared" si="542"/>
        <v>0</v>
      </c>
      <c r="AG48" s="71">
        <f t="shared" si="543"/>
        <v>0</v>
      </c>
      <c r="AH48" s="71">
        <f t="shared" si="544"/>
        <v>0</v>
      </c>
      <c r="AI48" s="71">
        <f t="shared" si="545"/>
        <v>0</v>
      </c>
      <c r="AJ48" s="71">
        <f t="shared" si="546"/>
        <v>0</v>
      </c>
      <c r="AK48" s="71">
        <f t="shared" si="547"/>
        <v>0</v>
      </c>
      <c r="AL48" s="71">
        <f t="shared" si="548"/>
        <v>0</v>
      </c>
      <c r="AM48" s="71">
        <f t="shared" si="549"/>
        <v>0</v>
      </c>
      <c r="AN48" s="71">
        <f t="shared" si="550"/>
        <v>0</v>
      </c>
      <c r="AO48" s="71">
        <f t="shared" si="551"/>
        <v>0</v>
      </c>
      <c r="AP48" s="71">
        <f t="shared" si="552"/>
        <v>0</v>
      </c>
      <c r="AQ48" s="71">
        <f t="shared" si="553"/>
        <v>0</v>
      </c>
      <c r="AR48" s="71">
        <f t="shared" si="554"/>
        <v>0</v>
      </c>
      <c r="AS48" s="71">
        <f t="shared" si="555"/>
        <v>0</v>
      </c>
      <c r="AT48" s="71">
        <f t="shared" si="556"/>
        <v>0</v>
      </c>
      <c r="AU48" s="71">
        <f t="shared" si="557"/>
        <v>0</v>
      </c>
      <c r="AV48" s="71">
        <f t="shared" si="558"/>
        <v>0</v>
      </c>
      <c r="AW48" s="71">
        <f t="shared" si="559"/>
        <v>0</v>
      </c>
      <c r="AX48" s="71">
        <f t="shared" si="560"/>
        <v>0</v>
      </c>
      <c r="AY48" s="71">
        <f t="shared" si="561"/>
        <v>0</v>
      </c>
      <c r="AZ48" s="72">
        <f t="shared" si="562"/>
        <v>0</v>
      </c>
      <c r="BA48" s="70">
        <f t="shared" si="60"/>
        <v>0</v>
      </c>
      <c r="BB48" s="69">
        <f t="shared" ca="1" si="61"/>
        <v>0</v>
      </c>
      <c r="BC48" s="70">
        <f t="shared" si="563"/>
        <v>0</v>
      </c>
      <c r="BD48" s="71">
        <f t="shared" si="564"/>
        <v>0</v>
      </c>
      <c r="BE48" s="71">
        <f t="shared" si="565"/>
        <v>0</v>
      </c>
      <c r="BF48" s="71">
        <f t="shared" si="566"/>
        <v>0</v>
      </c>
      <c r="BG48" s="71">
        <f t="shared" si="567"/>
        <v>0</v>
      </c>
      <c r="BH48" s="71">
        <f t="shared" si="568"/>
        <v>0</v>
      </c>
      <c r="BI48" s="71">
        <f t="shared" si="569"/>
        <v>0</v>
      </c>
      <c r="BJ48" s="71">
        <f t="shared" si="570"/>
        <v>0</v>
      </c>
      <c r="BK48" s="71">
        <f t="shared" si="571"/>
        <v>0</v>
      </c>
      <c r="BL48" s="71">
        <f t="shared" si="572"/>
        <v>0</v>
      </c>
      <c r="BM48" s="71">
        <f t="shared" si="573"/>
        <v>0</v>
      </c>
      <c r="BN48" s="71">
        <f t="shared" si="574"/>
        <v>0</v>
      </c>
      <c r="BO48" s="71">
        <f t="shared" si="575"/>
        <v>0</v>
      </c>
      <c r="BP48" s="71">
        <f t="shared" si="576"/>
        <v>0</v>
      </c>
      <c r="BQ48" s="71">
        <f t="shared" si="577"/>
        <v>0</v>
      </c>
      <c r="BR48" s="71">
        <f t="shared" si="578"/>
        <v>0</v>
      </c>
      <c r="BS48" s="71">
        <f t="shared" si="579"/>
        <v>0</v>
      </c>
      <c r="BT48" s="71">
        <f t="shared" si="580"/>
        <v>0</v>
      </c>
      <c r="BU48" s="71">
        <f t="shared" si="581"/>
        <v>0</v>
      </c>
      <c r="BV48" s="71">
        <f t="shared" si="582"/>
        <v>0</v>
      </c>
      <c r="BW48" s="71">
        <f t="shared" si="583"/>
        <v>0</v>
      </c>
      <c r="BX48" s="71">
        <f t="shared" si="584"/>
        <v>0</v>
      </c>
      <c r="BY48" s="71">
        <f t="shared" si="585"/>
        <v>0</v>
      </c>
      <c r="BZ48" s="71">
        <f t="shared" si="586"/>
        <v>0</v>
      </c>
      <c r="CA48" s="71">
        <f t="shared" si="587"/>
        <v>0</v>
      </c>
      <c r="CB48" s="71">
        <f t="shared" si="588"/>
        <v>0</v>
      </c>
      <c r="CC48" s="71">
        <f t="shared" si="589"/>
        <v>0</v>
      </c>
      <c r="CD48" s="71">
        <f t="shared" si="590"/>
        <v>0</v>
      </c>
      <c r="CE48" s="71">
        <f t="shared" si="591"/>
        <v>0</v>
      </c>
      <c r="CF48" s="71">
        <f t="shared" si="592"/>
        <v>0</v>
      </c>
      <c r="CG48" s="71">
        <f t="shared" si="593"/>
        <v>0</v>
      </c>
      <c r="CH48" s="70">
        <f t="shared" si="93"/>
        <v>0</v>
      </c>
      <c r="CI48" s="69">
        <f t="shared" ca="1" si="94"/>
        <v>0</v>
      </c>
      <c r="GM48" s="2" t="s">
        <v>16</v>
      </c>
      <c r="GN48" s="98" t="str">
        <f t="shared" si="95"/>
        <v>STH-A-FMCG-RSM-01</v>
      </c>
      <c r="GO48" s="4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6"/>
      <c r="HT48" s="4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6"/>
    </row>
    <row r="49" spans="1:258" hidden="1">
      <c r="A49" s="109" t="s">
        <v>158</v>
      </c>
      <c r="B49" s="110" t="s">
        <v>20</v>
      </c>
      <c r="C49" s="110" t="s">
        <v>27</v>
      </c>
      <c r="D49" s="111" t="s">
        <v>152</v>
      </c>
      <c r="E49" s="110" t="s">
        <v>153</v>
      </c>
      <c r="F49" s="110" t="s">
        <v>154</v>
      </c>
      <c r="G49" s="110" t="s">
        <v>155</v>
      </c>
      <c r="H49" s="110" t="s">
        <v>156</v>
      </c>
      <c r="I49" s="110" t="s">
        <v>156</v>
      </c>
      <c r="J49" s="110" t="s">
        <v>46</v>
      </c>
      <c r="K49" s="110" t="s">
        <v>31</v>
      </c>
      <c r="L49" s="110" t="s">
        <v>157</v>
      </c>
      <c r="M49" s="110" t="s">
        <v>52</v>
      </c>
      <c r="N49" s="140">
        <v>45667</v>
      </c>
      <c r="O49" s="112">
        <f>O48++O45+O37+O28+O19+O11+O47+O46</f>
        <v>29</v>
      </c>
      <c r="P49" s="77">
        <f t="shared" ref="P49:CA49" si="594">P48++P45+P37+P28+P19+P11+P47+P46</f>
        <v>3</v>
      </c>
      <c r="Q49" s="77">
        <f t="shared" si="594"/>
        <v>13</v>
      </c>
      <c r="R49" s="77">
        <f t="shared" si="594"/>
        <v>25</v>
      </c>
      <c r="S49" s="77">
        <f t="shared" si="594"/>
        <v>0</v>
      </c>
      <c r="T49" s="77">
        <f t="shared" si="594"/>
        <v>23</v>
      </c>
      <c r="U49" s="80">
        <f t="shared" si="594"/>
        <v>25</v>
      </c>
      <c r="V49" s="130">
        <f t="shared" si="594"/>
        <v>23</v>
      </c>
      <c r="W49" s="131">
        <f t="shared" si="594"/>
        <v>24</v>
      </c>
      <c r="X49" s="131">
        <f t="shared" si="594"/>
        <v>23</v>
      </c>
      <c r="Y49" s="131">
        <f t="shared" si="594"/>
        <v>0</v>
      </c>
      <c r="Z49" s="131">
        <f t="shared" si="594"/>
        <v>24</v>
      </c>
      <c r="AA49" s="131">
        <f t="shared" si="594"/>
        <v>24</v>
      </c>
      <c r="AB49" s="131">
        <f t="shared" si="594"/>
        <v>24</v>
      </c>
      <c r="AC49" s="131">
        <f t="shared" si="594"/>
        <v>24</v>
      </c>
      <c r="AD49" s="131">
        <f t="shared" si="594"/>
        <v>24</v>
      </c>
      <c r="AE49" s="131">
        <f t="shared" si="594"/>
        <v>24</v>
      </c>
      <c r="AF49" s="131">
        <f t="shared" si="594"/>
        <v>0</v>
      </c>
      <c r="AG49" s="131">
        <f t="shared" si="594"/>
        <v>25</v>
      </c>
      <c r="AH49" s="131">
        <f t="shared" si="594"/>
        <v>25</v>
      </c>
      <c r="AI49" s="131">
        <f t="shared" si="594"/>
        <v>22</v>
      </c>
      <c r="AJ49" s="131">
        <f t="shared" si="594"/>
        <v>0</v>
      </c>
      <c r="AK49" s="131">
        <f t="shared" si="594"/>
        <v>0</v>
      </c>
      <c r="AL49" s="131">
        <f t="shared" si="594"/>
        <v>0</v>
      </c>
      <c r="AM49" s="131">
        <f t="shared" si="594"/>
        <v>0</v>
      </c>
      <c r="AN49" s="131">
        <f t="shared" si="594"/>
        <v>0</v>
      </c>
      <c r="AO49" s="131">
        <f t="shared" si="594"/>
        <v>0</v>
      </c>
      <c r="AP49" s="131">
        <f t="shared" si="594"/>
        <v>0</v>
      </c>
      <c r="AQ49" s="131">
        <f t="shared" si="594"/>
        <v>0</v>
      </c>
      <c r="AR49" s="131">
        <f t="shared" si="594"/>
        <v>0</v>
      </c>
      <c r="AS49" s="131">
        <f t="shared" si="594"/>
        <v>0</v>
      </c>
      <c r="AT49" s="131">
        <f t="shared" si="594"/>
        <v>0</v>
      </c>
      <c r="AU49" s="131">
        <f t="shared" si="594"/>
        <v>0</v>
      </c>
      <c r="AV49" s="131">
        <f t="shared" si="594"/>
        <v>0</v>
      </c>
      <c r="AW49" s="131">
        <f t="shared" si="594"/>
        <v>0</v>
      </c>
      <c r="AX49" s="131">
        <f t="shared" si="594"/>
        <v>0</v>
      </c>
      <c r="AY49" s="131">
        <f t="shared" si="594"/>
        <v>0</v>
      </c>
      <c r="AZ49" s="131">
        <f t="shared" si="594"/>
        <v>0</v>
      </c>
      <c r="BA49" s="79">
        <f t="shared" si="60"/>
        <v>286</v>
      </c>
      <c r="BB49" s="77">
        <f t="shared" ca="1" si="61"/>
        <v>0.84615384615384615</v>
      </c>
      <c r="BC49" s="78">
        <f t="shared" si="594"/>
        <v>413</v>
      </c>
      <c r="BD49" s="79">
        <f t="shared" si="594"/>
        <v>444</v>
      </c>
      <c r="BE49" s="79">
        <f t="shared" si="594"/>
        <v>520</v>
      </c>
      <c r="BF49" s="79">
        <f t="shared" si="594"/>
        <v>10</v>
      </c>
      <c r="BG49" s="79">
        <f t="shared" si="594"/>
        <v>577</v>
      </c>
      <c r="BH49" s="79">
        <f t="shared" si="594"/>
        <v>533</v>
      </c>
      <c r="BI49" s="79">
        <f t="shared" si="594"/>
        <v>581</v>
      </c>
      <c r="BJ49" s="79">
        <f t="shared" si="594"/>
        <v>579</v>
      </c>
      <c r="BK49" s="79">
        <f t="shared" si="594"/>
        <v>576</v>
      </c>
      <c r="BL49" s="79">
        <f t="shared" si="594"/>
        <v>609</v>
      </c>
      <c r="BM49" s="79">
        <f t="shared" si="594"/>
        <v>0</v>
      </c>
      <c r="BN49" s="79">
        <f t="shared" si="594"/>
        <v>623</v>
      </c>
      <c r="BO49" s="79">
        <f t="shared" si="594"/>
        <v>690</v>
      </c>
      <c r="BP49" s="79">
        <f t="shared" si="594"/>
        <v>0</v>
      </c>
      <c r="BQ49" s="79">
        <f t="shared" si="594"/>
        <v>0</v>
      </c>
      <c r="BR49" s="79">
        <f t="shared" si="594"/>
        <v>0</v>
      </c>
      <c r="BS49" s="79">
        <f t="shared" si="594"/>
        <v>0</v>
      </c>
      <c r="BT49" s="79">
        <f t="shared" si="594"/>
        <v>0</v>
      </c>
      <c r="BU49" s="79">
        <f t="shared" si="594"/>
        <v>0</v>
      </c>
      <c r="BV49" s="79">
        <f t="shared" si="594"/>
        <v>0</v>
      </c>
      <c r="BW49" s="79">
        <f t="shared" si="594"/>
        <v>0</v>
      </c>
      <c r="BX49" s="79">
        <f t="shared" si="594"/>
        <v>0</v>
      </c>
      <c r="BY49" s="79">
        <f t="shared" si="594"/>
        <v>0</v>
      </c>
      <c r="BZ49" s="79">
        <f t="shared" si="594"/>
        <v>0</v>
      </c>
      <c r="CA49" s="79">
        <f t="shared" si="594"/>
        <v>0</v>
      </c>
      <c r="CB49" s="79">
        <f t="shared" ref="CB49:CG49" si="595">CB48++CB45+CB37+CB28+CB19+CB11+CB47+CB46</f>
        <v>0</v>
      </c>
      <c r="CC49" s="79">
        <f t="shared" si="595"/>
        <v>0</v>
      </c>
      <c r="CD49" s="79">
        <f t="shared" si="595"/>
        <v>0</v>
      </c>
      <c r="CE49" s="79">
        <f t="shared" si="595"/>
        <v>0</v>
      </c>
      <c r="CF49" s="79">
        <f t="shared" si="595"/>
        <v>0</v>
      </c>
      <c r="CG49" s="79">
        <f t="shared" si="595"/>
        <v>0</v>
      </c>
      <c r="CH49" s="78">
        <f t="shared" si="93"/>
        <v>6155</v>
      </c>
      <c r="CI49" s="77">
        <f t="shared" ca="1" si="94"/>
        <v>18.210059171597631</v>
      </c>
      <c r="GM49" s="2" t="s">
        <v>17</v>
      </c>
      <c r="GN49" s="110" t="str">
        <f t="shared" si="95"/>
        <v>STH-A-FMCG-RSM-01</v>
      </c>
      <c r="GO49" s="4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6"/>
      <c r="HT49" s="4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6"/>
    </row>
    <row r="50" spans="1:258" hidden="1">
      <c r="A50" s="97" t="s">
        <v>25</v>
      </c>
      <c r="B50" s="98" t="s">
        <v>26</v>
      </c>
      <c r="C50" s="98" t="s">
        <v>159</v>
      </c>
      <c r="D50" s="99" t="s">
        <v>1126</v>
      </c>
      <c r="E50" s="98" t="s">
        <v>161</v>
      </c>
      <c r="F50" s="98" t="s">
        <v>162</v>
      </c>
      <c r="G50" s="98" t="s">
        <v>163</v>
      </c>
      <c r="H50" s="98" t="s">
        <v>1434</v>
      </c>
      <c r="I50" s="98" t="s">
        <v>1434</v>
      </c>
      <c r="J50" s="98" t="s">
        <v>864</v>
      </c>
      <c r="K50" s="98" t="s">
        <v>1127</v>
      </c>
      <c r="L50" s="98" t="s">
        <v>908</v>
      </c>
      <c r="M50" s="101" t="s">
        <v>1093</v>
      </c>
      <c r="N50" s="139">
        <v>46210</v>
      </c>
      <c r="O50" s="100">
        <v>1</v>
      </c>
      <c r="P50" s="69">
        <v>0</v>
      </c>
      <c r="Q50" s="69">
        <f t="shared" ref="Q50:Q57" si="596">IFERROR(IF(OR(AI50&gt;0),1,0),0)</f>
        <v>1</v>
      </c>
      <c r="R50" s="69">
        <f t="shared" ref="R50:R57" si="597">IFERROR(IF(OR(BA50&gt;0),1,0),0)</f>
        <v>1</v>
      </c>
      <c r="S50" s="69">
        <f t="shared" ref="S50:S57" si="598">IFERROR(IF(OR(BP50&gt;0),1,0),0)</f>
        <v>0</v>
      </c>
      <c r="T50" s="69">
        <f t="shared" ref="T50:T57" si="599">IFERROR(IF(OR(CH50&gt;0),1,0),0)</f>
        <v>1</v>
      </c>
      <c r="U50" s="69">
        <f t="shared" ref="U50:U57" si="600">IFERROR(IF(OR(BA50&gt;0,CH50&gt;0),1,0),0)</f>
        <v>1</v>
      </c>
      <c r="V50" s="70">
        <f t="shared" ref="V50:V57" si="601">GO50</f>
        <v>1</v>
      </c>
      <c r="W50" s="71">
        <f t="shared" ref="W50:W57" si="602">GP50</f>
        <v>1</v>
      </c>
      <c r="X50" s="71">
        <f t="shared" ref="X50:X57" si="603">GQ50</f>
        <v>1</v>
      </c>
      <c r="Y50" s="71">
        <f t="shared" ref="Y50:Y57" si="604">GR50</f>
        <v>0</v>
      </c>
      <c r="Z50" s="71">
        <f t="shared" ref="Z50:Z57" si="605">GS50</f>
        <v>1</v>
      </c>
      <c r="AA50" s="71">
        <f t="shared" ref="AA50:AA57" si="606">GT50</f>
        <v>1</v>
      </c>
      <c r="AB50" s="71">
        <f t="shared" ref="AB50:AB57" si="607">GU50</f>
        <v>1</v>
      </c>
      <c r="AC50" s="71">
        <f t="shared" ref="AC50:AC57" si="608">GV50</f>
        <v>1</v>
      </c>
      <c r="AD50" s="71">
        <f t="shared" ref="AD50:AD57" si="609">GW50</f>
        <v>1</v>
      </c>
      <c r="AE50" s="71">
        <f t="shared" ref="AE50:AE57" si="610">GX50</f>
        <v>1</v>
      </c>
      <c r="AF50" s="71">
        <f t="shared" ref="AF50:AF57" si="611">GY50</f>
        <v>0</v>
      </c>
      <c r="AG50" s="71">
        <f t="shared" ref="AG50:AG57" si="612">GZ50</f>
        <v>1</v>
      </c>
      <c r="AH50" s="71">
        <f t="shared" ref="AH50:AH57" si="613">HA50</f>
        <v>1</v>
      </c>
      <c r="AI50" s="71">
        <f t="shared" ref="AI50:AI57" si="614">HB50</f>
        <v>1</v>
      </c>
      <c r="AJ50" s="71">
        <f t="shared" ref="AJ50:AJ57" si="615">HC50</f>
        <v>0</v>
      </c>
      <c r="AK50" s="71">
        <f t="shared" ref="AK50:AK57" si="616">HD50</f>
        <v>0</v>
      </c>
      <c r="AL50" s="71">
        <f t="shared" ref="AL50:AL57" si="617">HE50</f>
        <v>0</v>
      </c>
      <c r="AM50" s="71">
        <f t="shared" ref="AM50:AM57" si="618">HF50</f>
        <v>0</v>
      </c>
      <c r="AN50" s="71">
        <f t="shared" ref="AN50:AN57" si="619">HG50</f>
        <v>0</v>
      </c>
      <c r="AO50" s="71">
        <f t="shared" ref="AO50:AO57" si="620">HH50</f>
        <v>0</v>
      </c>
      <c r="AP50" s="71">
        <f t="shared" ref="AP50:AP57" si="621">HI50</f>
        <v>0</v>
      </c>
      <c r="AQ50" s="71">
        <f t="shared" ref="AQ50:AQ57" si="622">HJ50</f>
        <v>0</v>
      </c>
      <c r="AR50" s="71">
        <f t="shared" ref="AR50:AR57" si="623">HK50</f>
        <v>0</v>
      </c>
      <c r="AS50" s="71">
        <f t="shared" ref="AS50:AS57" si="624">HL50</f>
        <v>0</v>
      </c>
      <c r="AT50" s="71">
        <f t="shared" ref="AT50:AT57" si="625">HM50</f>
        <v>0</v>
      </c>
      <c r="AU50" s="71">
        <f t="shared" ref="AU50:AU57" si="626">HN50</f>
        <v>0</v>
      </c>
      <c r="AV50" s="71">
        <f t="shared" ref="AV50:AV57" si="627">HO50</f>
        <v>0</v>
      </c>
      <c r="AW50" s="71">
        <f t="shared" ref="AW50:AW57" si="628">HP50</f>
        <v>0</v>
      </c>
      <c r="AX50" s="71">
        <f t="shared" ref="AX50:AX57" si="629">HQ50</f>
        <v>0</v>
      </c>
      <c r="AY50" s="71">
        <f t="shared" ref="AY50:AY57" si="630">HR50</f>
        <v>0</v>
      </c>
      <c r="AZ50" s="72">
        <f t="shared" ref="AZ50:AZ57" si="631">HS50</f>
        <v>0</v>
      </c>
      <c r="BA50" s="70">
        <f t="shared" si="60"/>
        <v>12</v>
      </c>
      <c r="BB50" s="69">
        <f t="shared" ca="1" si="61"/>
        <v>0.92307692307692313</v>
      </c>
      <c r="BC50" s="70">
        <f t="shared" ref="BC50:BC57" si="632">HT50</f>
        <v>0</v>
      </c>
      <c r="BD50" s="71">
        <f t="shared" ref="BD50:BD57" si="633">HU50</f>
        <v>4</v>
      </c>
      <c r="BE50" s="71">
        <f t="shared" ref="BE50:BE57" si="634">HV50</f>
        <v>4</v>
      </c>
      <c r="BF50" s="71">
        <f t="shared" ref="BF50:BF57" si="635">HW50</f>
        <v>0</v>
      </c>
      <c r="BG50" s="71">
        <f t="shared" ref="BG50:BG57" si="636">HX50</f>
        <v>28</v>
      </c>
      <c r="BH50" s="71">
        <f t="shared" ref="BH50:BH57" si="637">HY50</f>
        <v>27</v>
      </c>
      <c r="BI50" s="71">
        <f t="shared" ref="BI50:BI57" si="638">HZ50</f>
        <v>23</v>
      </c>
      <c r="BJ50" s="71">
        <f t="shared" ref="BJ50:BJ57" si="639">IA50</f>
        <v>19</v>
      </c>
      <c r="BK50" s="71">
        <f t="shared" ref="BK50:BK57" si="640">IB50</f>
        <v>39</v>
      </c>
      <c r="BL50" s="71">
        <f t="shared" ref="BL50:BL57" si="641">IC50</f>
        <v>43</v>
      </c>
      <c r="BM50" s="71">
        <f t="shared" ref="BM50:BM57" si="642">ID50</f>
        <v>0</v>
      </c>
      <c r="BN50" s="71">
        <f t="shared" ref="BN50:BN57" si="643">IE50</f>
        <v>39</v>
      </c>
      <c r="BO50" s="71">
        <f t="shared" ref="BO50:BO57" si="644">IF50</f>
        <v>43</v>
      </c>
      <c r="BP50" s="71">
        <f t="shared" ref="BP50:BP57" si="645">IG50</f>
        <v>0</v>
      </c>
      <c r="BQ50" s="71">
        <f t="shared" ref="BQ50:BQ57" si="646">IH50</f>
        <v>0</v>
      </c>
      <c r="BR50" s="71">
        <f t="shared" ref="BR50:BR57" si="647">II50</f>
        <v>0</v>
      </c>
      <c r="BS50" s="71">
        <f t="shared" ref="BS50:BS57" si="648">IJ50</f>
        <v>0</v>
      </c>
      <c r="BT50" s="71">
        <f t="shared" ref="BT50:BT57" si="649">IK50</f>
        <v>0</v>
      </c>
      <c r="BU50" s="71">
        <f t="shared" ref="BU50:BU57" si="650">IL50</f>
        <v>0</v>
      </c>
      <c r="BV50" s="71">
        <f t="shared" ref="BV50:BV57" si="651">IM50</f>
        <v>0</v>
      </c>
      <c r="BW50" s="71">
        <f t="shared" ref="BW50:BW57" si="652">IN50</f>
        <v>0</v>
      </c>
      <c r="BX50" s="71">
        <f t="shared" ref="BX50:BX57" si="653">IO50</f>
        <v>0</v>
      </c>
      <c r="BY50" s="71">
        <f t="shared" ref="BY50:BY57" si="654">IP50</f>
        <v>0</v>
      </c>
      <c r="BZ50" s="71">
        <f t="shared" ref="BZ50:BZ57" si="655">IQ50</f>
        <v>0</v>
      </c>
      <c r="CA50" s="71">
        <f t="shared" ref="CA50:CA57" si="656">IR50</f>
        <v>0</v>
      </c>
      <c r="CB50" s="71">
        <f t="shared" ref="CB50:CB57" si="657">IS50</f>
        <v>0</v>
      </c>
      <c r="CC50" s="71">
        <f t="shared" ref="CC50:CC57" si="658">IT50</f>
        <v>0</v>
      </c>
      <c r="CD50" s="71">
        <f t="shared" ref="CD50:CD57" si="659">IU50</f>
        <v>0</v>
      </c>
      <c r="CE50" s="71">
        <f t="shared" ref="CE50:CE57" si="660">IV50</f>
        <v>0</v>
      </c>
      <c r="CF50" s="71">
        <f t="shared" ref="CF50:CF57" si="661">IW50</f>
        <v>0</v>
      </c>
      <c r="CG50" s="71">
        <f t="shared" ref="CG50:CG57" si="662">IX50</f>
        <v>0</v>
      </c>
      <c r="CH50" s="70">
        <f t="shared" si="93"/>
        <v>269</v>
      </c>
      <c r="CI50" s="69">
        <f t="shared" ca="1" si="94"/>
        <v>20.692307692307693</v>
      </c>
      <c r="GM50" s="2" t="s">
        <v>16</v>
      </c>
      <c r="GN50" s="98" t="str">
        <f t="shared" si="95"/>
        <v>HYD01-FMCG01-SPO-01</v>
      </c>
      <c r="GO50" s="4">
        <v>1</v>
      </c>
      <c r="GP50" s="3">
        <v>1</v>
      </c>
      <c r="GQ50" s="3">
        <v>1</v>
      </c>
      <c r="GR50" s="3">
        <v>0</v>
      </c>
      <c r="GS50" s="3">
        <v>1</v>
      </c>
      <c r="GT50" s="3">
        <v>1</v>
      </c>
      <c r="GU50" s="3">
        <v>1</v>
      </c>
      <c r="GV50" s="3">
        <v>1</v>
      </c>
      <c r="GW50" s="3">
        <v>1</v>
      </c>
      <c r="GX50" s="3">
        <v>1</v>
      </c>
      <c r="GY50" s="3">
        <v>0</v>
      </c>
      <c r="GZ50" s="3">
        <v>1</v>
      </c>
      <c r="HA50" s="3">
        <v>1</v>
      </c>
      <c r="HB50" s="3">
        <v>1</v>
      </c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6"/>
      <c r="HT50" s="4">
        <v>0</v>
      </c>
      <c r="HU50" s="3">
        <v>4</v>
      </c>
      <c r="HV50" s="3">
        <v>4</v>
      </c>
      <c r="HW50" s="3">
        <v>0</v>
      </c>
      <c r="HX50" s="3">
        <v>28</v>
      </c>
      <c r="HY50" s="3">
        <v>27</v>
      </c>
      <c r="HZ50" s="3">
        <v>23</v>
      </c>
      <c r="IA50" s="3">
        <v>19</v>
      </c>
      <c r="IB50" s="3">
        <v>39</v>
      </c>
      <c r="IC50" s="3">
        <v>43</v>
      </c>
      <c r="ID50" s="3">
        <v>0</v>
      </c>
      <c r="IE50" s="3">
        <v>39</v>
      </c>
      <c r="IF50" s="3">
        <v>43</v>
      </c>
      <c r="IG50" s="3">
        <v>0</v>
      </c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6"/>
    </row>
    <row r="51" spans="1:258" hidden="1">
      <c r="A51" s="106" t="s">
        <v>25</v>
      </c>
      <c r="B51" s="101" t="s">
        <v>26</v>
      </c>
      <c r="C51" s="98" t="s">
        <v>159</v>
      </c>
      <c r="D51" s="107" t="s">
        <v>1126</v>
      </c>
      <c r="E51" s="101" t="s">
        <v>166</v>
      </c>
      <c r="F51" s="101" t="s">
        <v>167</v>
      </c>
      <c r="G51" s="98" t="s">
        <v>168</v>
      </c>
      <c r="H51" s="101" t="s">
        <v>1435</v>
      </c>
      <c r="I51" s="101" t="s">
        <v>1435</v>
      </c>
      <c r="J51" s="101" t="s">
        <v>864</v>
      </c>
      <c r="K51" s="101" t="s">
        <v>1127</v>
      </c>
      <c r="L51" s="101" t="s">
        <v>169</v>
      </c>
      <c r="M51" s="101" t="s">
        <v>1093</v>
      </c>
      <c r="N51" s="139">
        <v>45199</v>
      </c>
      <c r="O51" s="100">
        <v>1</v>
      </c>
      <c r="P51" s="69">
        <v>0</v>
      </c>
      <c r="Q51" s="69">
        <f t="shared" si="596"/>
        <v>1</v>
      </c>
      <c r="R51" s="69">
        <f t="shared" si="597"/>
        <v>1</v>
      </c>
      <c r="S51" s="69">
        <f t="shared" si="598"/>
        <v>0</v>
      </c>
      <c r="T51" s="69">
        <f t="shared" si="599"/>
        <v>1</v>
      </c>
      <c r="U51" s="69">
        <f t="shared" si="600"/>
        <v>1</v>
      </c>
      <c r="V51" s="70">
        <f t="shared" si="601"/>
        <v>1</v>
      </c>
      <c r="W51" s="71">
        <f t="shared" si="602"/>
        <v>1</v>
      </c>
      <c r="X51" s="71">
        <f t="shared" si="603"/>
        <v>1</v>
      </c>
      <c r="Y51" s="71">
        <f t="shared" si="604"/>
        <v>0</v>
      </c>
      <c r="Z51" s="71">
        <f t="shared" si="605"/>
        <v>1</v>
      </c>
      <c r="AA51" s="71">
        <f t="shared" si="606"/>
        <v>1</v>
      </c>
      <c r="AB51" s="71">
        <f t="shared" si="607"/>
        <v>1</v>
      </c>
      <c r="AC51" s="71">
        <f t="shared" si="608"/>
        <v>1</v>
      </c>
      <c r="AD51" s="71">
        <f t="shared" si="609"/>
        <v>1</v>
      </c>
      <c r="AE51" s="71">
        <f t="shared" si="610"/>
        <v>1</v>
      </c>
      <c r="AF51" s="71">
        <f t="shared" si="611"/>
        <v>0</v>
      </c>
      <c r="AG51" s="71">
        <f t="shared" si="612"/>
        <v>1</v>
      </c>
      <c r="AH51" s="71">
        <f t="shared" si="613"/>
        <v>1</v>
      </c>
      <c r="AI51" s="71">
        <f t="shared" si="614"/>
        <v>1</v>
      </c>
      <c r="AJ51" s="71">
        <f t="shared" si="615"/>
        <v>0</v>
      </c>
      <c r="AK51" s="71">
        <f t="shared" si="616"/>
        <v>0</v>
      </c>
      <c r="AL51" s="71">
        <f t="shared" si="617"/>
        <v>0</v>
      </c>
      <c r="AM51" s="71">
        <f t="shared" si="618"/>
        <v>0</v>
      </c>
      <c r="AN51" s="71">
        <f t="shared" si="619"/>
        <v>0</v>
      </c>
      <c r="AO51" s="71">
        <f t="shared" si="620"/>
        <v>0</v>
      </c>
      <c r="AP51" s="71">
        <f t="shared" si="621"/>
        <v>0</v>
      </c>
      <c r="AQ51" s="71">
        <f t="shared" si="622"/>
        <v>0</v>
      </c>
      <c r="AR51" s="71">
        <f t="shared" si="623"/>
        <v>0</v>
      </c>
      <c r="AS51" s="71">
        <f t="shared" si="624"/>
        <v>0</v>
      </c>
      <c r="AT51" s="71">
        <f t="shared" si="625"/>
        <v>0</v>
      </c>
      <c r="AU51" s="71">
        <f t="shared" si="626"/>
        <v>0</v>
      </c>
      <c r="AV51" s="71">
        <f t="shared" si="627"/>
        <v>0</v>
      </c>
      <c r="AW51" s="71">
        <f t="shared" si="628"/>
        <v>0</v>
      </c>
      <c r="AX51" s="71">
        <f t="shared" si="629"/>
        <v>0</v>
      </c>
      <c r="AY51" s="71">
        <f t="shared" si="630"/>
        <v>0</v>
      </c>
      <c r="AZ51" s="72">
        <f t="shared" si="631"/>
        <v>0</v>
      </c>
      <c r="BA51" s="70">
        <f t="shared" si="60"/>
        <v>12</v>
      </c>
      <c r="BB51" s="69">
        <f t="shared" ca="1" si="61"/>
        <v>0.92307692307692313</v>
      </c>
      <c r="BC51" s="70">
        <f t="shared" si="632"/>
        <v>22</v>
      </c>
      <c r="BD51" s="71">
        <f t="shared" si="633"/>
        <v>26</v>
      </c>
      <c r="BE51" s="71">
        <f t="shared" si="634"/>
        <v>9</v>
      </c>
      <c r="BF51" s="71">
        <f t="shared" si="635"/>
        <v>0</v>
      </c>
      <c r="BG51" s="71">
        <f t="shared" si="636"/>
        <v>39</v>
      </c>
      <c r="BH51" s="71">
        <f t="shared" si="637"/>
        <v>39</v>
      </c>
      <c r="BI51" s="71">
        <f t="shared" si="638"/>
        <v>34</v>
      </c>
      <c r="BJ51" s="71">
        <f t="shared" si="639"/>
        <v>21</v>
      </c>
      <c r="BK51" s="71">
        <f t="shared" si="640"/>
        <v>43</v>
      </c>
      <c r="BL51" s="71">
        <f t="shared" si="641"/>
        <v>26</v>
      </c>
      <c r="BM51" s="71">
        <f t="shared" si="642"/>
        <v>0</v>
      </c>
      <c r="BN51" s="71">
        <f t="shared" si="643"/>
        <v>37</v>
      </c>
      <c r="BO51" s="71">
        <f t="shared" si="644"/>
        <v>8</v>
      </c>
      <c r="BP51" s="71">
        <f t="shared" si="645"/>
        <v>0</v>
      </c>
      <c r="BQ51" s="71">
        <f t="shared" si="646"/>
        <v>0</v>
      </c>
      <c r="BR51" s="71">
        <f t="shared" si="647"/>
        <v>0</v>
      </c>
      <c r="BS51" s="71">
        <f t="shared" si="648"/>
        <v>0</v>
      </c>
      <c r="BT51" s="71">
        <f t="shared" si="649"/>
        <v>0</v>
      </c>
      <c r="BU51" s="71">
        <f t="shared" si="650"/>
        <v>0</v>
      </c>
      <c r="BV51" s="71">
        <f t="shared" si="651"/>
        <v>0</v>
      </c>
      <c r="BW51" s="71">
        <f t="shared" si="652"/>
        <v>0</v>
      </c>
      <c r="BX51" s="71">
        <f t="shared" si="653"/>
        <v>0</v>
      </c>
      <c r="BY51" s="71">
        <f t="shared" si="654"/>
        <v>0</v>
      </c>
      <c r="BZ51" s="71">
        <f t="shared" si="655"/>
        <v>0</v>
      </c>
      <c r="CA51" s="71">
        <f t="shared" si="656"/>
        <v>0</v>
      </c>
      <c r="CB51" s="71">
        <f t="shared" si="657"/>
        <v>0</v>
      </c>
      <c r="CC51" s="71">
        <f t="shared" si="658"/>
        <v>0</v>
      </c>
      <c r="CD51" s="71">
        <f t="shared" si="659"/>
        <v>0</v>
      </c>
      <c r="CE51" s="71">
        <f t="shared" si="660"/>
        <v>0</v>
      </c>
      <c r="CF51" s="71">
        <f t="shared" si="661"/>
        <v>0</v>
      </c>
      <c r="CG51" s="71">
        <f t="shared" si="662"/>
        <v>0</v>
      </c>
      <c r="CH51" s="70">
        <f t="shared" si="93"/>
        <v>304</v>
      </c>
      <c r="CI51" s="69">
        <f t="shared" ca="1" si="94"/>
        <v>23.384615384615383</v>
      </c>
      <c r="GM51" s="2" t="s">
        <v>16</v>
      </c>
      <c r="GN51" s="101" t="str">
        <f t="shared" si="95"/>
        <v>HYD01-FMCG01-SPO-02</v>
      </c>
      <c r="GO51" s="4">
        <v>1</v>
      </c>
      <c r="GP51" s="3">
        <v>1</v>
      </c>
      <c r="GQ51" s="3">
        <v>1</v>
      </c>
      <c r="GR51" s="3">
        <v>0</v>
      </c>
      <c r="GS51" s="3">
        <v>1</v>
      </c>
      <c r="GT51" s="3">
        <v>1</v>
      </c>
      <c r="GU51" s="3">
        <v>1</v>
      </c>
      <c r="GV51" s="3">
        <v>1</v>
      </c>
      <c r="GW51" s="3">
        <v>1</v>
      </c>
      <c r="GX51" s="3">
        <v>1</v>
      </c>
      <c r="GY51" s="3">
        <v>0</v>
      </c>
      <c r="GZ51" s="3">
        <v>1</v>
      </c>
      <c r="HA51" s="3">
        <v>1</v>
      </c>
      <c r="HB51" s="3">
        <v>1</v>
      </c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6"/>
      <c r="HT51" s="4">
        <v>22</v>
      </c>
      <c r="HU51" s="3">
        <v>26</v>
      </c>
      <c r="HV51" s="3">
        <v>9</v>
      </c>
      <c r="HW51" s="3">
        <v>0</v>
      </c>
      <c r="HX51" s="3">
        <v>39</v>
      </c>
      <c r="HY51" s="3">
        <v>39</v>
      </c>
      <c r="HZ51" s="3">
        <v>34</v>
      </c>
      <c r="IA51" s="3">
        <v>21</v>
      </c>
      <c r="IB51" s="3">
        <v>43</v>
      </c>
      <c r="IC51" s="3">
        <v>26</v>
      </c>
      <c r="ID51" s="3">
        <v>0</v>
      </c>
      <c r="IE51" s="3">
        <v>37</v>
      </c>
      <c r="IF51" s="3">
        <v>8</v>
      </c>
      <c r="IG51" s="3">
        <v>0</v>
      </c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6"/>
    </row>
    <row r="52" spans="1:258" hidden="1">
      <c r="A52" s="97" t="s">
        <v>25</v>
      </c>
      <c r="B52" s="98" t="s">
        <v>90</v>
      </c>
      <c r="C52" s="98" t="s">
        <v>159</v>
      </c>
      <c r="D52" s="99" t="s">
        <v>1126</v>
      </c>
      <c r="E52" s="98" t="s">
        <v>170</v>
      </c>
      <c r="F52" s="98" t="s">
        <v>171</v>
      </c>
      <c r="G52" s="98" t="s">
        <v>172</v>
      </c>
      <c r="H52" s="98" t="s">
        <v>1436</v>
      </c>
      <c r="I52" s="98" t="s">
        <v>1436</v>
      </c>
      <c r="J52" s="98" t="s">
        <v>864</v>
      </c>
      <c r="K52" s="98" t="s">
        <v>1127</v>
      </c>
      <c r="L52" s="98" t="s">
        <v>173</v>
      </c>
      <c r="M52" s="101" t="s">
        <v>1093</v>
      </c>
      <c r="N52" s="139">
        <v>45782</v>
      </c>
      <c r="O52" s="100">
        <v>1</v>
      </c>
      <c r="P52" s="69">
        <v>0</v>
      </c>
      <c r="Q52" s="69">
        <f t="shared" si="596"/>
        <v>1</v>
      </c>
      <c r="R52" s="69">
        <f t="shared" si="597"/>
        <v>1</v>
      </c>
      <c r="S52" s="69">
        <f t="shared" si="598"/>
        <v>1</v>
      </c>
      <c r="T52" s="69">
        <f t="shared" si="599"/>
        <v>1</v>
      </c>
      <c r="U52" s="69">
        <f t="shared" si="600"/>
        <v>1</v>
      </c>
      <c r="V52" s="70">
        <f t="shared" si="601"/>
        <v>1</v>
      </c>
      <c r="W52" s="71">
        <f t="shared" si="602"/>
        <v>1</v>
      </c>
      <c r="X52" s="71">
        <f t="shared" si="603"/>
        <v>1</v>
      </c>
      <c r="Y52" s="71">
        <f t="shared" si="604"/>
        <v>0</v>
      </c>
      <c r="Z52" s="71">
        <f t="shared" si="605"/>
        <v>1</v>
      </c>
      <c r="AA52" s="71">
        <f t="shared" si="606"/>
        <v>1</v>
      </c>
      <c r="AB52" s="71">
        <f t="shared" si="607"/>
        <v>1</v>
      </c>
      <c r="AC52" s="71">
        <f t="shared" si="608"/>
        <v>1</v>
      </c>
      <c r="AD52" s="71">
        <f t="shared" si="609"/>
        <v>1</v>
      </c>
      <c r="AE52" s="71">
        <f t="shared" si="610"/>
        <v>1</v>
      </c>
      <c r="AF52" s="71">
        <f t="shared" si="611"/>
        <v>0</v>
      </c>
      <c r="AG52" s="71">
        <f t="shared" si="612"/>
        <v>1</v>
      </c>
      <c r="AH52" s="71">
        <f t="shared" si="613"/>
        <v>1</v>
      </c>
      <c r="AI52" s="71">
        <f t="shared" si="614"/>
        <v>1</v>
      </c>
      <c r="AJ52" s="71">
        <f t="shared" si="615"/>
        <v>0</v>
      </c>
      <c r="AK52" s="71">
        <f t="shared" si="616"/>
        <v>0</v>
      </c>
      <c r="AL52" s="71">
        <f t="shared" si="617"/>
        <v>0</v>
      </c>
      <c r="AM52" s="71">
        <f t="shared" si="618"/>
        <v>0</v>
      </c>
      <c r="AN52" s="71">
        <f t="shared" si="619"/>
        <v>0</v>
      </c>
      <c r="AO52" s="71">
        <f t="shared" si="620"/>
        <v>0</v>
      </c>
      <c r="AP52" s="71">
        <f t="shared" si="621"/>
        <v>0</v>
      </c>
      <c r="AQ52" s="71">
        <f t="shared" si="622"/>
        <v>0</v>
      </c>
      <c r="AR52" s="71">
        <f t="shared" si="623"/>
        <v>0</v>
      </c>
      <c r="AS52" s="71">
        <f t="shared" si="624"/>
        <v>0</v>
      </c>
      <c r="AT52" s="71">
        <f t="shared" si="625"/>
        <v>0</v>
      </c>
      <c r="AU52" s="71">
        <f t="shared" si="626"/>
        <v>0</v>
      </c>
      <c r="AV52" s="71">
        <f t="shared" si="627"/>
        <v>0</v>
      </c>
      <c r="AW52" s="71">
        <f t="shared" si="628"/>
        <v>0</v>
      </c>
      <c r="AX52" s="71">
        <f t="shared" si="629"/>
        <v>0</v>
      </c>
      <c r="AY52" s="71">
        <f t="shared" si="630"/>
        <v>0</v>
      </c>
      <c r="AZ52" s="72">
        <f t="shared" si="631"/>
        <v>0</v>
      </c>
      <c r="BA52" s="70">
        <f t="shared" si="60"/>
        <v>12</v>
      </c>
      <c r="BB52" s="69">
        <f t="shared" ca="1" si="61"/>
        <v>0.92307692307692313</v>
      </c>
      <c r="BC52" s="70">
        <f t="shared" si="632"/>
        <v>30</v>
      </c>
      <c r="BD52" s="71">
        <f t="shared" si="633"/>
        <v>39</v>
      </c>
      <c r="BE52" s="71">
        <f t="shared" si="634"/>
        <v>39</v>
      </c>
      <c r="BF52" s="71">
        <f t="shared" si="635"/>
        <v>0</v>
      </c>
      <c r="BG52" s="71">
        <f t="shared" si="636"/>
        <v>8</v>
      </c>
      <c r="BH52" s="71">
        <f t="shared" si="637"/>
        <v>34</v>
      </c>
      <c r="BI52" s="71">
        <f t="shared" si="638"/>
        <v>28</v>
      </c>
      <c r="BJ52" s="71">
        <f t="shared" si="639"/>
        <v>42</v>
      </c>
      <c r="BK52" s="71">
        <f t="shared" si="640"/>
        <v>22</v>
      </c>
      <c r="BL52" s="71">
        <f t="shared" si="641"/>
        <v>40</v>
      </c>
      <c r="BM52" s="71">
        <f t="shared" si="642"/>
        <v>0</v>
      </c>
      <c r="BN52" s="71">
        <f t="shared" si="643"/>
        <v>40</v>
      </c>
      <c r="BO52" s="71">
        <f t="shared" si="644"/>
        <v>47</v>
      </c>
      <c r="BP52" s="71">
        <f t="shared" si="645"/>
        <v>12</v>
      </c>
      <c r="BQ52" s="71">
        <f t="shared" si="646"/>
        <v>0</v>
      </c>
      <c r="BR52" s="71">
        <f t="shared" si="647"/>
        <v>0</v>
      </c>
      <c r="BS52" s="71">
        <f t="shared" si="648"/>
        <v>0</v>
      </c>
      <c r="BT52" s="71">
        <f t="shared" si="649"/>
        <v>0</v>
      </c>
      <c r="BU52" s="71">
        <f t="shared" si="650"/>
        <v>0</v>
      </c>
      <c r="BV52" s="71">
        <f t="shared" si="651"/>
        <v>0</v>
      </c>
      <c r="BW52" s="71">
        <f t="shared" si="652"/>
        <v>0</v>
      </c>
      <c r="BX52" s="71">
        <f t="shared" si="653"/>
        <v>0</v>
      </c>
      <c r="BY52" s="71">
        <f t="shared" si="654"/>
        <v>0</v>
      </c>
      <c r="BZ52" s="71">
        <f t="shared" si="655"/>
        <v>0</v>
      </c>
      <c r="CA52" s="71">
        <f t="shared" si="656"/>
        <v>0</v>
      </c>
      <c r="CB52" s="71">
        <f t="shared" si="657"/>
        <v>0</v>
      </c>
      <c r="CC52" s="71">
        <f t="shared" si="658"/>
        <v>0</v>
      </c>
      <c r="CD52" s="71">
        <f t="shared" si="659"/>
        <v>0</v>
      </c>
      <c r="CE52" s="71">
        <f t="shared" si="660"/>
        <v>0</v>
      </c>
      <c r="CF52" s="71">
        <f t="shared" si="661"/>
        <v>0</v>
      </c>
      <c r="CG52" s="71">
        <f t="shared" si="662"/>
        <v>0</v>
      </c>
      <c r="CH52" s="70">
        <f t="shared" si="93"/>
        <v>381</v>
      </c>
      <c r="CI52" s="69">
        <f t="shared" ca="1" si="94"/>
        <v>29.307692307692307</v>
      </c>
      <c r="GM52" s="2" t="s">
        <v>16</v>
      </c>
      <c r="GN52" s="98" t="str">
        <f t="shared" si="95"/>
        <v>HYD01-FMCG02-SPO-01</v>
      </c>
      <c r="GO52" s="4">
        <v>1</v>
      </c>
      <c r="GP52" s="3">
        <v>1</v>
      </c>
      <c r="GQ52" s="3">
        <v>1</v>
      </c>
      <c r="GR52" s="3">
        <v>0</v>
      </c>
      <c r="GS52" s="3">
        <v>1</v>
      </c>
      <c r="GT52" s="3">
        <v>1</v>
      </c>
      <c r="GU52" s="3">
        <v>1</v>
      </c>
      <c r="GV52" s="3">
        <v>1</v>
      </c>
      <c r="GW52" s="3">
        <v>1</v>
      </c>
      <c r="GX52" s="3">
        <v>1</v>
      </c>
      <c r="GY52" s="3">
        <v>0</v>
      </c>
      <c r="GZ52" s="3">
        <v>1</v>
      </c>
      <c r="HA52" s="3">
        <v>1</v>
      </c>
      <c r="HB52" s="3">
        <v>1</v>
      </c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6"/>
      <c r="HT52" s="4">
        <v>30</v>
      </c>
      <c r="HU52" s="3">
        <v>39</v>
      </c>
      <c r="HV52" s="3">
        <v>39</v>
      </c>
      <c r="HW52" s="3">
        <v>0</v>
      </c>
      <c r="HX52" s="3">
        <v>8</v>
      </c>
      <c r="HY52" s="3">
        <v>34</v>
      </c>
      <c r="HZ52" s="3">
        <v>28</v>
      </c>
      <c r="IA52" s="3">
        <v>42</v>
      </c>
      <c r="IB52" s="3">
        <v>22</v>
      </c>
      <c r="IC52" s="3">
        <v>40</v>
      </c>
      <c r="ID52" s="3">
        <v>0</v>
      </c>
      <c r="IE52" s="3">
        <v>40</v>
      </c>
      <c r="IF52" s="3">
        <v>47</v>
      </c>
      <c r="IG52" s="3">
        <v>12</v>
      </c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6"/>
    </row>
    <row r="53" spans="1:258" hidden="1">
      <c r="A53" s="106" t="s">
        <v>25</v>
      </c>
      <c r="B53" s="101" t="s">
        <v>90</v>
      </c>
      <c r="C53" s="98" t="s">
        <v>159</v>
      </c>
      <c r="D53" s="107" t="s">
        <v>1126</v>
      </c>
      <c r="E53" s="101" t="s">
        <v>174</v>
      </c>
      <c r="F53" s="101" t="s">
        <v>175</v>
      </c>
      <c r="G53" s="98" t="s">
        <v>176</v>
      </c>
      <c r="H53" s="101" t="s">
        <v>1437</v>
      </c>
      <c r="I53" s="101" t="s">
        <v>1437</v>
      </c>
      <c r="J53" s="101" t="s">
        <v>864</v>
      </c>
      <c r="K53" s="101" t="s">
        <v>1127</v>
      </c>
      <c r="L53" s="101" t="s">
        <v>177</v>
      </c>
      <c r="M53" s="101" t="s">
        <v>1093</v>
      </c>
      <c r="N53" s="139">
        <v>45362</v>
      </c>
      <c r="O53" s="100">
        <v>1</v>
      </c>
      <c r="P53" s="69">
        <v>0</v>
      </c>
      <c r="Q53" s="69">
        <f t="shared" si="596"/>
        <v>1</v>
      </c>
      <c r="R53" s="69">
        <f t="shared" si="597"/>
        <v>1</v>
      </c>
      <c r="S53" s="69">
        <f t="shared" si="598"/>
        <v>0</v>
      </c>
      <c r="T53" s="69">
        <f t="shared" si="599"/>
        <v>1</v>
      </c>
      <c r="U53" s="69">
        <f t="shared" si="600"/>
        <v>1</v>
      </c>
      <c r="V53" s="70">
        <f t="shared" si="601"/>
        <v>1</v>
      </c>
      <c r="W53" s="71">
        <f t="shared" si="602"/>
        <v>1</v>
      </c>
      <c r="X53" s="71">
        <f t="shared" si="603"/>
        <v>1</v>
      </c>
      <c r="Y53" s="71">
        <f t="shared" si="604"/>
        <v>0</v>
      </c>
      <c r="Z53" s="71">
        <f t="shared" si="605"/>
        <v>1</v>
      </c>
      <c r="AA53" s="71">
        <f t="shared" si="606"/>
        <v>1</v>
      </c>
      <c r="AB53" s="71">
        <f t="shared" si="607"/>
        <v>1</v>
      </c>
      <c r="AC53" s="71">
        <f t="shared" si="608"/>
        <v>1</v>
      </c>
      <c r="AD53" s="71">
        <f t="shared" si="609"/>
        <v>1</v>
      </c>
      <c r="AE53" s="71">
        <f t="shared" si="610"/>
        <v>1</v>
      </c>
      <c r="AF53" s="71">
        <f t="shared" si="611"/>
        <v>0</v>
      </c>
      <c r="AG53" s="71">
        <f t="shared" si="612"/>
        <v>1</v>
      </c>
      <c r="AH53" s="71">
        <f t="shared" si="613"/>
        <v>1</v>
      </c>
      <c r="AI53" s="71">
        <f t="shared" si="614"/>
        <v>1</v>
      </c>
      <c r="AJ53" s="71">
        <f t="shared" si="615"/>
        <v>0</v>
      </c>
      <c r="AK53" s="71">
        <f t="shared" si="616"/>
        <v>0</v>
      </c>
      <c r="AL53" s="71">
        <f t="shared" si="617"/>
        <v>0</v>
      </c>
      <c r="AM53" s="71">
        <f t="shared" si="618"/>
        <v>0</v>
      </c>
      <c r="AN53" s="71">
        <f t="shared" si="619"/>
        <v>0</v>
      </c>
      <c r="AO53" s="71">
        <f t="shared" si="620"/>
        <v>0</v>
      </c>
      <c r="AP53" s="71">
        <f t="shared" si="621"/>
        <v>0</v>
      </c>
      <c r="AQ53" s="71">
        <f t="shared" si="622"/>
        <v>0</v>
      </c>
      <c r="AR53" s="71">
        <f t="shared" si="623"/>
        <v>0</v>
      </c>
      <c r="AS53" s="71">
        <f t="shared" si="624"/>
        <v>0</v>
      </c>
      <c r="AT53" s="71">
        <f t="shared" si="625"/>
        <v>0</v>
      </c>
      <c r="AU53" s="71">
        <f t="shared" si="626"/>
        <v>0</v>
      </c>
      <c r="AV53" s="71">
        <f t="shared" si="627"/>
        <v>0</v>
      </c>
      <c r="AW53" s="71">
        <f t="shared" si="628"/>
        <v>0</v>
      </c>
      <c r="AX53" s="71">
        <f t="shared" si="629"/>
        <v>0</v>
      </c>
      <c r="AY53" s="71">
        <f t="shared" si="630"/>
        <v>0</v>
      </c>
      <c r="AZ53" s="72">
        <f t="shared" si="631"/>
        <v>0</v>
      </c>
      <c r="BA53" s="70">
        <f t="shared" si="60"/>
        <v>12</v>
      </c>
      <c r="BB53" s="69">
        <f t="shared" ca="1" si="61"/>
        <v>0.92307692307692313</v>
      </c>
      <c r="BC53" s="70">
        <f t="shared" si="632"/>
        <v>34</v>
      </c>
      <c r="BD53" s="71">
        <f t="shared" si="633"/>
        <v>18</v>
      </c>
      <c r="BE53" s="71">
        <f t="shared" si="634"/>
        <v>0</v>
      </c>
      <c r="BF53" s="71">
        <f t="shared" si="635"/>
        <v>0</v>
      </c>
      <c r="BG53" s="71">
        <f t="shared" si="636"/>
        <v>22</v>
      </c>
      <c r="BH53" s="71">
        <f t="shared" si="637"/>
        <v>28</v>
      </c>
      <c r="BI53" s="71">
        <f t="shared" si="638"/>
        <v>24</v>
      </c>
      <c r="BJ53" s="71">
        <f t="shared" si="639"/>
        <v>16</v>
      </c>
      <c r="BK53" s="71">
        <f t="shared" si="640"/>
        <v>44</v>
      </c>
      <c r="BL53" s="71">
        <f t="shared" si="641"/>
        <v>26</v>
      </c>
      <c r="BM53" s="71">
        <f t="shared" si="642"/>
        <v>0</v>
      </c>
      <c r="BN53" s="71">
        <f t="shared" si="643"/>
        <v>30</v>
      </c>
      <c r="BO53" s="71">
        <f t="shared" si="644"/>
        <v>37</v>
      </c>
      <c r="BP53" s="71">
        <f t="shared" si="645"/>
        <v>0</v>
      </c>
      <c r="BQ53" s="71">
        <f t="shared" si="646"/>
        <v>0</v>
      </c>
      <c r="BR53" s="71">
        <f t="shared" si="647"/>
        <v>0</v>
      </c>
      <c r="BS53" s="71">
        <f t="shared" si="648"/>
        <v>0</v>
      </c>
      <c r="BT53" s="71">
        <f t="shared" si="649"/>
        <v>0</v>
      </c>
      <c r="BU53" s="71">
        <f t="shared" si="650"/>
        <v>0</v>
      </c>
      <c r="BV53" s="71">
        <f t="shared" si="651"/>
        <v>0</v>
      </c>
      <c r="BW53" s="71">
        <f t="shared" si="652"/>
        <v>0</v>
      </c>
      <c r="BX53" s="71">
        <f t="shared" si="653"/>
        <v>0</v>
      </c>
      <c r="BY53" s="71">
        <f t="shared" si="654"/>
        <v>0</v>
      </c>
      <c r="BZ53" s="71">
        <f t="shared" si="655"/>
        <v>0</v>
      </c>
      <c r="CA53" s="71">
        <f t="shared" si="656"/>
        <v>0</v>
      </c>
      <c r="CB53" s="71">
        <f t="shared" si="657"/>
        <v>0</v>
      </c>
      <c r="CC53" s="71">
        <f t="shared" si="658"/>
        <v>0</v>
      </c>
      <c r="CD53" s="71">
        <f t="shared" si="659"/>
        <v>0</v>
      </c>
      <c r="CE53" s="71">
        <f t="shared" si="660"/>
        <v>0</v>
      </c>
      <c r="CF53" s="71">
        <f t="shared" si="661"/>
        <v>0</v>
      </c>
      <c r="CG53" s="71">
        <f t="shared" si="662"/>
        <v>0</v>
      </c>
      <c r="CH53" s="70">
        <f t="shared" si="93"/>
        <v>279</v>
      </c>
      <c r="CI53" s="69">
        <f t="shared" ca="1" si="94"/>
        <v>21.46153846153846</v>
      </c>
      <c r="GM53" s="2" t="s">
        <v>16</v>
      </c>
      <c r="GN53" s="101" t="str">
        <f t="shared" si="95"/>
        <v>HYD01-FMCG02-SPO-02</v>
      </c>
      <c r="GO53" s="4">
        <v>1</v>
      </c>
      <c r="GP53" s="3">
        <v>1</v>
      </c>
      <c r="GQ53" s="3">
        <v>1</v>
      </c>
      <c r="GR53" s="3">
        <v>0</v>
      </c>
      <c r="GS53" s="3">
        <v>1</v>
      </c>
      <c r="GT53" s="3">
        <v>1</v>
      </c>
      <c r="GU53" s="3">
        <v>1</v>
      </c>
      <c r="GV53" s="3">
        <v>1</v>
      </c>
      <c r="GW53" s="3">
        <v>1</v>
      </c>
      <c r="GX53" s="3">
        <v>1</v>
      </c>
      <c r="GY53" s="3">
        <v>0</v>
      </c>
      <c r="GZ53" s="3">
        <v>1</v>
      </c>
      <c r="HA53" s="3">
        <v>1</v>
      </c>
      <c r="HB53" s="3">
        <v>1</v>
      </c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6"/>
      <c r="HT53" s="4">
        <v>34</v>
      </c>
      <c r="HU53" s="3">
        <v>18</v>
      </c>
      <c r="HV53" s="3">
        <v>0</v>
      </c>
      <c r="HW53" s="3">
        <v>0</v>
      </c>
      <c r="HX53" s="3">
        <v>22</v>
      </c>
      <c r="HY53" s="3">
        <v>28</v>
      </c>
      <c r="HZ53" s="3">
        <v>24</v>
      </c>
      <c r="IA53" s="3">
        <v>16</v>
      </c>
      <c r="IB53" s="3">
        <v>44</v>
      </c>
      <c r="IC53" s="3">
        <v>26</v>
      </c>
      <c r="ID53" s="3">
        <v>0</v>
      </c>
      <c r="IE53" s="3">
        <v>30</v>
      </c>
      <c r="IF53" s="3">
        <v>37</v>
      </c>
      <c r="IG53" s="3">
        <v>0</v>
      </c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6"/>
    </row>
    <row r="54" spans="1:258" hidden="1">
      <c r="A54" s="97" t="s">
        <v>25</v>
      </c>
      <c r="B54" s="98" t="s">
        <v>20</v>
      </c>
      <c r="C54" s="98" t="s">
        <v>159</v>
      </c>
      <c r="D54" s="99" t="s">
        <v>1126</v>
      </c>
      <c r="E54" s="98" t="s">
        <v>989</v>
      </c>
      <c r="F54" s="98" t="s">
        <v>930</v>
      </c>
      <c r="G54" s="98" t="s">
        <v>178</v>
      </c>
      <c r="H54" s="98" t="s">
        <v>1670</v>
      </c>
      <c r="I54" s="98" t="s">
        <v>1438</v>
      </c>
      <c r="J54" s="98" t="s">
        <v>864</v>
      </c>
      <c r="K54" s="98" t="s">
        <v>1127</v>
      </c>
      <c r="L54" s="98" t="s">
        <v>1671</v>
      </c>
      <c r="M54" s="101" t="s">
        <v>1093</v>
      </c>
      <c r="N54" s="139">
        <v>46240</v>
      </c>
      <c r="O54" s="100">
        <v>1</v>
      </c>
      <c r="P54" s="69">
        <v>0</v>
      </c>
      <c r="Q54" s="69">
        <f t="shared" si="596"/>
        <v>0</v>
      </c>
      <c r="R54" s="69">
        <f t="shared" si="597"/>
        <v>1</v>
      </c>
      <c r="S54" s="69">
        <f t="shared" si="598"/>
        <v>0</v>
      </c>
      <c r="T54" s="69">
        <f t="shared" si="599"/>
        <v>1</v>
      </c>
      <c r="U54" s="69">
        <f t="shared" si="600"/>
        <v>1</v>
      </c>
      <c r="V54" s="70">
        <f t="shared" si="601"/>
        <v>1</v>
      </c>
      <c r="W54" s="71">
        <f t="shared" si="602"/>
        <v>1</v>
      </c>
      <c r="X54" s="71">
        <f t="shared" si="603"/>
        <v>1</v>
      </c>
      <c r="Y54" s="71">
        <f t="shared" si="604"/>
        <v>0</v>
      </c>
      <c r="Z54" s="71">
        <f t="shared" si="605"/>
        <v>1</v>
      </c>
      <c r="AA54" s="71">
        <f t="shared" si="606"/>
        <v>1</v>
      </c>
      <c r="AB54" s="71">
        <f t="shared" si="607"/>
        <v>1</v>
      </c>
      <c r="AC54" s="71">
        <f t="shared" si="608"/>
        <v>1</v>
      </c>
      <c r="AD54" s="71">
        <f t="shared" si="609"/>
        <v>1</v>
      </c>
      <c r="AE54" s="71">
        <f t="shared" si="610"/>
        <v>1</v>
      </c>
      <c r="AF54" s="71">
        <f t="shared" si="611"/>
        <v>0</v>
      </c>
      <c r="AG54" s="71">
        <f t="shared" si="612"/>
        <v>1</v>
      </c>
      <c r="AH54" s="71">
        <f t="shared" si="613"/>
        <v>1</v>
      </c>
      <c r="AI54" s="71">
        <f t="shared" si="614"/>
        <v>0</v>
      </c>
      <c r="AJ54" s="71">
        <f t="shared" si="615"/>
        <v>0</v>
      </c>
      <c r="AK54" s="71">
        <f t="shared" si="616"/>
        <v>0</v>
      </c>
      <c r="AL54" s="71">
        <f t="shared" si="617"/>
        <v>0</v>
      </c>
      <c r="AM54" s="71">
        <f t="shared" si="618"/>
        <v>0</v>
      </c>
      <c r="AN54" s="71">
        <f t="shared" si="619"/>
        <v>0</v>
      </c>
      <c r="AO54" s="71">
        <f t="shared" si="620"/>
        <v>0</v>
      </c>
      <c r="AP54" s="71">
        <f t="shared" si="621"/>
        <v>0</v>
      </c>
      <c r="AQ54" s="71">
        <f t="shared" si="622"/>
        <v>0</v>
      </c>
      <c r="AR54" s="71">
        <f t="shared" si="623"/>
        <v>0</v>
      </c>
      <c r="AS54" s="71">
        <f t="shared" si="624"/>
        <v>0</v>
      </c>
      <c r="AT54" s="71">
        <f t="shared" si="625"/>
        <v>0</v>
      </c>
      <c r="AU54" s="71">
        <f t="shared" si="626"/>
        <v>0</v>
      </c>
      <c r="AV54" s="71">
        <f t="shared" si="627"/>
        <v>0</v>
      </c>
      <c r="AW54" s="71">
        <f t="shared" si="628"/>
        <v>0</v>
      </c>
      <c r="AX54" s="71">
        <f t="shared" si="629"/>
        <v>0</v>
      </c>
      <c r="AY54" s="71">
        <f t="shared" si="630"/>
        <v>0</v>
      </c>
      <c r="AZ54" s="72">
        <f t="shared" si="631"/>
        <v>0</v>
      </c>
      <c r="BA54" s="70">
        <f t="shared" si="60"/>
        <v>11</v>
      </c>
      <c r="BB54" s="69">
        <f t="shared" ca="1" si="61"/>
        <v>0.84615384615384615</v>
      </c>
      <c r="BC54" s="70">
        <f t="shared" si="632"/>
        <v>0</v>
      </c>
      <c r="BD54" s="71">
        <f t="shared" si="633"/>
        <v>36</v>
      </c>
      <c r="BE54" s="71">
        <f t="shared" si="634"/>
        <v>39</v>
      </c>
      <c r="BF54" s="71">
        <f t="shared" si="635"/>
        <v>0</v>
      </c>
      <c r="BG54" s="71">
        <f t="shared" si="636"/>
        <v>0</v>
      </c>
      <c r="BH54" s="71">
        <f t="shared" si="637"/>
        <v>34</v>
      </c>
      <c r="BI54" s="71">
        <f t="shared" si="638"/>
        <v>27</v>
      </c>
      <c r="BJ54" s="71">
        <f t="shared" si="639"/>
        <v>30</v>
      </c>
      <c r="BK54" s="71">
        <f t="shared" si="640"/>
        <v>41</v>
      </c>
      <c r="BL54" s="71">
        <f t="shared" si="641"/>
        <v>38</v>
      </c>
      <c r="BM54" s="71">
        <f t="shared" si="642"/>
        <v>0</v>
      </c>
      <c r="BN54" s="71">
        <f t="shared" si="643"/>
        <v>24</v>
      </c>
      <c r="BO54" s="71">
        <f t="shared" si="644"/>
        <v>12</v>
      </c>
      <c r="BP54" s="71">
        <f t="shared" si="645"/>
        <v>0</v>
      </c>
      <c r="BQ54" s="71">
        <f t="shared" si="646"/>
        <v>0</v>
      </c>
      <c r="BR54" s="71">
        <f t="shared" si="647"/>
        <v>0</v>
      </c>
      <c r="BS54" s="71">
        <f t="shared" si="648"/>
        <v>0</v>
      </c>
      <c r="BT54" s="71">
        <f t="shared" si="649"/>
        <v>0</v>
      </c>
      <c r="BU54" s="71">
        <f t="shared" si="650"/>
        <v>0</v>
      </c>
      <c r="BV54" s="71">
        <f t="shared" si="651"/>
        <v>0</v>
      </c>
      <c r="BW54" s="71">
        <f t="shared" si="652"/>
        <v>0</v>
      </c>
      <c r="BX54" s="71">
        <f t="shared" si="653"/>
        <v>0</v>
      </c>
      <c r="BY54" s="71">
        <f t="shared" si="654"/>
        <v>0</v>
      </c>
      <c r="BZ54" s="71">
        <f t="shared" si="655"/>
        <v>0</v>
      </c>
      <c r="CA54" s="71">
        <f t="shared" si="656"/>
        <v>0</v>
      </c>
      <c r="CB54" s="71">
        <f t="shared" si="657"/>
        <v>0</v>
      </c>
      <c r="CC54" s="71">
        <f t="shared" si="658"/>
        <v>0</v>
      </c>
      <c r="CD54" s="71">
        <f t="shared" si="659"/>
        <v>0</v>
      </c>
      <c r="CE54" s="71">
        <f t="shared" si="660"/>
        <v>0</v>
      </c>
      <c r="CF54" s="71">
        <f t="shared" si="661"/>
        <v>0</v>
      </c>
      <c r="CG54" s="71">
        <f t="shared" si="662"/>
        <v>0</v>
      </c>
      <c r="CH54" s="70">
        <f t="shared" si="93"/>
        <v>281</v>
      </c>
      <c r="CI54" s="69">
        <f t="shared" ca="1" si="94"/>
        <v>21.615384615384617</v>
      </c>
      <c r="GM54" s="2" t="s">
        <v>16</v>
      </c>
      <c r="GN54" s="98" t="str">
        <f t="shared" si="95"/>
        <v>HYD01-FMCG03-SPO-01</v>
      </c>
      <c r="GO54" s="4">
        <v>1</v>
      </c>
      <c r="GP54" s="3">
        <v>1</v>
      </c>
      <c r="GQ54" s="3">
        <v>1</v>
      </c>
      <c r="GR54" s="3">
        <v>0</v>
      </c>
      <c r="GS54" s="3">
        <v>1</v>
      </c>
      <c r="GT54" s="3">
        <v>1</v>
      </c>
      <c r="GU54" s="3">
        <v>1</v>
      </c>
      <c r="GV54" s="3">
        <v>1</v>
      </c>
      <c r="GW54" s="3">
        <v>1</v>
      </c>
      <c r="GX54" s="3">
        <v>1</v>
      </c>
      <c r="GY54" s="3">
        <v>0</v>
      </c>
      <c r="GZ54" s="3">
        <v>1</v>
      </c>
      <c r="HA54" s="3">
        <v>1</v>
      </c>
      <c r="HB54" s="3">
        <v>0</v>
      </c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6"/>
      <c r="HT54" s="4">
        <v>0</v>
      </c>
      <c r="HU54" s="3">
        <v>36</v>
      </c>
      <c r="HV54" s="3">
        <v>39</v>
      </c>
      <c r="HW54" s="3">
        <v>0</v>
      </c>
      <c r="HX54" s="3">
        <v>0</v>
      </c>
      <c r="HY54" s="3">
        <v>34</v>
      </c>
      <c r="HZ54" s="3">
        <v>27</v>
      </c>
      <c r="IA54" s="3">
        <v>30</v>
      </c>
      <c r="IB54" s="3">
        <v>41</v>
      </c>
      <c r="IC54" s="3">
        <v>38</v>
      </c>
      <c r="ID54" s="3">
        <v>0</v>
      </c>
      <c r="IE54" s="3">
        <v>24</v>
      </c>
      <c r="IF54" s="3">
        <v>12</v>
      </c>
      <c r="IG54" s="3">
        <v>0</v>
      </c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6"/>
    </row>
    <row r="55" spans="1:258" hidden="1">
      <c r="A55" s="97" t="s">
        <v>25</v>
      </c>
      <c r="B55" s="98" t="s">
        <v>20</v>
      </c>
      <c r="C55" s="98" t="s">
        <v>159</v>
      </c>
      <c r="D55" s="99" t="s">
        <v>1126</v>
      </c>
      <c r="E55" s="98" t="s">
        <v>990</v>
      </c>
      <c r="F55" s="98" t="s">
        <v>929</v>
      </c>
      <c r="G55" s="98" t="s">
        <v>928</v>
      </c>
      <c r="H55" s="98" t="s">
        <v>1709</v>
      </c>
      <c r="I55" s="98" t="s">
        <v>1676</v>
      </c>
      <c r="J55" s="98" t="s">
        <v>864</v>
      </c>
      <c r="K55" s="98" t="s">
        <v>1127</v>
      </c>
      <c r="L55" s="98" t="s">
        <v>1708</v>
      </c>
      <c r="M55" s="101" t="s">
        <v>1093</v>
      </c>
      <c r="N55" s="139" t="s">
        <v>1708</v>
      </c>
      <c r="O55" s="100">
        <v>1</v>
      </c>
      <c r="P55" s="69">
        <v>1</v>
      </c>
      <c r="Q55" s="69">
        <f t="shared" si="596"/>
        <v>0</v>
      </c>
      <c r="R55" s="69">
        <f t="shared" si="597"/>
        <v>0</v>
      </c>
      <c r="S55" s="69">
        <f t="shared" si="598"/>
        <v>0</v>
      </c>
      <c r="T55" s="69">
        <f t="shared" si="599"/>
        <v>0</v>
      </c>
      <c r="U55" s="69">
        <f t="shared" si="600"/>
        <v>0</v>
      </c>
      <c r="V55" s="70">
        <f t="shared" si="601"/>
        <v>0</v>
      </c>
      <c r="W55" s="71">
        <f t="shared" si="602"/>
        <v>0</v>
      </c>
      <c r="X55" s="71">
        <f t="shared" si="603"/>
        <v>0</v>
      </c>
      <c r="Y55" s="71">
        <f t="shared" si="604"/>
        <v>0</v>
      </c>
      <c r="Z55" s="71">
        <f t="shared" si="605"/>
        <v>0</v>
      </c>
      <c r="AA55" s="71">
        <f t="shared" si="606"/>
        <v>0</v>
      </c>
      <c r="AB55" s="71">
        <f t="shared" si="607"/>
        <v>0</v>
      </c>
      <c r="AC55" s="71">
        <f t="shared" si="608"/>
        <v>0</v>
      </c>
      <c r="AD55" s="71">
        <f t="shared" si="609"/>
        <v>0</v>
      </c>
      <c r="AE55" s="71">
        <f t="shared" si="610"/>
        <v>0</v>
      </c>
      <c r="AF55" s="71">
        <f t="shared" si="611"/>
        <v>0</v>
      </c>
      <c r="AG55" s="71">
        <f t="shared" si="612"/>
        <v>0</v>
      </c>
      <c r="AH55" s="71">
        <f t="shared" si="613"/>
        <v>0</v>
      </c>
      <c r="AI55" s="71">
        <f t="shared" si="614"/>
        <v>0</v>
      </c>
      <c r="AJ55" s="71">
        <f t="shared" si="615"/>
        <v>0</v>
      </c>
      <c r="AK55" s="71">
        <f t="shared" si="616"/>
        <v>0</v>
      </c>
      <c r="AL55" s="71">
        <f t="shared" si="617"/>
        <v>0</v>
      </c>
      <c r="AM55" s="71">
        <f t="shared" si="618"/>
        <v>0</v>
      </c>
      <c r="AN55" s="71">
        <f t="shared" si="619"/>
        <v>0</v>
      </c>
      <c r="AO55" s="71">
        <f t="shared" si="620"/>
        <v>0</v>
      </c>
      <c r="AP55" s="71">
        <f t="shared" si="621"/>
        <v>0</v>
      </c>
      <c r="AQ55" s="71">
        <f t="shared" si="622"/>
        <v>0</v>
      </c>
      <c r="AR55" s="71">
        <f t="shared" si="623"/>
        <v>0</v>
      </c>
      <c r="AS55" s="71">
        <f t="shared" si="624"/>
        <v>0</v>
      </c>
      <c r="AT55" s="71">
        <f t="shared" si="625"/>
        <v>0</v>
      </c>
      <c r="AU55" s="71">
        <f t="shared" si="626"/>
        <v>0</v>
      </c>
      <c r="AV55" s="71">
        <f t="shared" si="627"/>
        <v>0</v>
      </c>
      <c r="AW55" s="71">
        <f t="shared" si="628"/>
        <v>0</v>
      </c>
      <c r="AX55" s="71">
        <f t="shared" si="629"/>
        <v>0</v>
      </c>
      <c r="AY55" s="71">
        <f t="shared" si="630"/>
        <v>0</v>
      </c>
      <c r="AZ55" s="72">
        <f t="shared" si="631"/>
        <v>0</v>
      </c>
      <c r="BA55" s="70">
        <f t="shared" si="60"/>
        <v>0</v>
      </c>
      <c r="BB55" s="69">
        <f t="shared" ca="1" si="61"/>
        <v>0</v>
      </c>
      <c r="BC55" s="70">
        <f t="shared" si="632"/>
        <v>0</v>
      </c>
      <c r="BD55" s="71">
        <f t="shared" si="633"/>
        <v>0</v>
      </c>
      <c r="BE55" s="71">
        <f t="shared" si="634"/>
        <v>0</v>
      </c>
      <c r="BF55" s="71">
        <f t="shared" si="635"/>
        <v>0</v>
      </c>
      <c r="BG55" s="71">
        <f t="shared" si="636"/>
        <v>0</v>
      </c>
      <c r="BH55" s="71">
        <f t="shared" si="637"/>
        <v>0</v>
      </c>
      <c r="BI55" s="71">
        <f t="shared" si="638"/>
        <v>0</v>
      </c>
      <c r="BJ55" s="71">
        <f t="shared" si="639"/>
        <v>0</v>
      </c>
      <c r="BK55" s="71">
        <f t="shared" si="640"/>
        <v>0</v>
      </c>
      <c r="BL55" s="71">
        <f t="shared" si="641"/>
        <v>0</v>
      </c>
      <c r="BM55" s="71">
        <f t="shared" si="642"/>
        <v>0</v>
      </c>
      <c r="BN55" s="71">
        <f t="shared" si="643"/>
        <v>0</v>
      </c>
      <c r="BO55" s="71">
        <f t="shared" si="644"/>
        <v>0</v>
      </c>
      <c r="BP55" s="71">
        <f t="shared" si="645"/>
        <v>0</v>
      </c>
      <c r="BQ55" s="71">
        <f t="shared" si="646"/>
        <v>0</v>
      </c>
      <c r="BR55" s="71">
        <f t="shared" si="647"/>
        <v>0</v>
      </c>
      <c r="BS55" s="71">
        <f t="shared" si="648"/>
        <v>0</v>
      </c>
      <c r="BT55" s="71">
        <f t="shared" si="649"/>
        <v>0</v>
      </c>
      <c r="BU55" s="71">
        <f t="shared" si="650"/>
        <v>0</v>
      </c>
      <c r="BV55" s="71">
        <f t="shared" si="651"/>
        <v>0</v>
      </c>
      <c r="BW55" s="71">
        <f t="shared" si="652"/>
        <v>0</v>
      </c>
      <c r="BX55" s="71">
        <f t="shared" si="653"/>
        <v>0</v>
      </c>
      <c r="BY55" s="71">
        <f t="shared" si="654"/>
        <v>0</v>
      </c>
      <c r="BZ55" s="71">
        <f t="shared" si="655"/>
        <v>0</v>
      </c>
      <c r="CA55" s="71">
        <f t="shared" si="656"/>
        <v>0</v>
      </c>
      <c r="CB55" s="71">
        <f t="shared" si="657"/>
        <v>0</v>
      </c>
      <c r="CC55" s="71">
        <f t="shared" si="658"/>
        <v>0</v>
      </c>
      <c r="CD55" s="71">
        <f t="shared" si="659"/>
        <v>0</v>
      </c>
      <c r="CE55" s="71">
        <f t="shared" si="660"/>
        <v>0</v>
      </c>
      <c r="CF55" s="71">
        <f t="shared" si="661"/>
        <v>0</v>
      </c>
      <c r="CG55" s="71">
        <f t="shared" si="662"/>
        <v>0</v>
      </c>
      <c r="CH55" s="70">
        <f t="shared" si="93"/>
        <v>0</v>
      </c>
      <c r="CI55" s="69">
        <f t="shared" ca="1" si="94"/>
        <v>0</v>
      </c>
      <c r="GM55" s="2" t="s">
        <v>16</v>
      </c>
      <c r="GN55" s="98" t="str">
        <f t="shared" si="95"/>
        <v>HYD01-FMCG03-SPO-02</v>
      </c>
      <c r="GO55" s="4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6"/>
      <c r="HT55" s="4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6"/>
    </row>
    <row r="56" spans="1:258" hidden="1">
      <c r="A56" s="97" t="s">
        <v>1287</v>
      </c>
      <c r="B56" s="98" t="s">
        <v>20</v>
      </c>
      <c r="C56" s="98" t="s">
        <v>159</v>
      </c>
      <c r="D56" s="99" t="s">
        <v>1126</v>
      </c>
      <c r="E56" s="98" t="s">
        <v>1098</v>
      </c>
      <c r="F56" s="98" t="s">
        <v>180</v>
      </c>
      <c r="G56" s="98" t="s">
        <v>181</v>
      </c>
      <c r="H56" s="98" t="s">
        <v>1439</v>
      </c>
      <c r="I56" s="98" t="s">
        <v>1439</v>
      </c>
      <c r="J56" s="98" t="s">
        <v>864</v>
      </c>
      <c r="K56" s="98" t="s">
        <v>1099</v>
      </c>
      <c r="L56" s="98" t="s">
        <v>1099</v>
      </c>
      <c r="M56" s="98" t="s">
        <v>1099</v>
      </c>
      <c r="N56" s="108">
        <v>45474</v>
      </c>
      <c r="O56" s="100">
        <v>0</v>
      </c>
      <c r="P56" s="69">
        <v>0</v>
      </c>
      <c r="Q56" s="69">
        <f t="shared" si="596"/>
        <v>0</v>
      </c>
      <c r="R56" s="69">
        <f t="shared" si="597"/>
        <v>0</v>
      </c>
      <c r="S56" s="69">
        <f t="shared" si="598"/>
        <v>0</v>
      </c>
      <c r="T56" s="69">
        <f t="shared" si="599"/>
        <v>0</v>
      </c>
      <c r="U56" s="69">
        <f t="shared" si="600"/>
        <v>0</v>
      </c>
      <c r="V56" s="70">
        <f t="shared" si="601"/>
        <v>0</v>
      </c>
      <c r="W56" s="71">
        <f t="shared" si="602"/>
        <v>0</v>
      </c>
      <c r="X56" s="71">
        <f t="shared" si="603"/>
        <v>0</v>
      </c>
      <c r="Y56" s="71">
        <f t="shared" si="604"/>
        <v>0</v>
      </c>
      <c r="Z56" s="71">
        <f t="shared" si="605"/>
        <v>0</v>
      </c>
      <c r="AA56" s="71">
        <f t="shared" si="606"/>
        <v>0</v>
      </c>
      <c r="AB56" s="71">
        <f t="shared" si="607"/>
        <v>0</v>
      </c>
      <c r="AC56" s="71">
        <f t="shared" si="608"/>
        <v>0</v>
      </c>
      <c r="AD56" s="71">
        <f t="shared" si="609"/>
        <v>0</v>
      </c>
      <c r="AE56" s="71">
        <f t="shared" si="610"/>
        <v>0</v>
      </c>
      <c r="AF56" s="71">
        <f t="shared" si="611"/>
        <v>0</v>
      </c>
      <c r="AG56" s="71">
        <f t="shared" si="612"/>
        <v>0</v>
      </c>
      <c r="AH56" s="71">
        <f t="shared" si="613"/>
        <v>0</v>
      </c>
      <c r="AI56" s="71">
        <f t="shared" si="614"/>
        <v>0</v>
      </c>
      <c r="AJ56" s="71">
        <f t="shared" si="615"/>
        <v>0</v>
      </c>
      <c r="AK56" s="71">
        <f t="shared" si="616"/>
        <v>0</v>
      </c>
      <c r="AL56" s="71">
        <f t="shared" si="617"/>
        <v>0</v>
      </c>
      <c r="AM56" s="71">
        <f t="shared" si="618"/>
        <v>0</v>
      </c>
      <c r="AN56" s="71">
        <f t="shared" si="619"/>
        <v>0</v>
      </c>
      <c r="AO56" s="71">
        <f t="shared" si="620"/>
        <v>0</v>
      </c>
      <c r="AP56" s="71">
        <f t="shared" si="621"/>
        <v>0</v>
      </c>
      <c r="AQ56" s="71">
        <f t="shared" si="622"/>
        <v>0</v>
      </c>
      <c r="AR56" s="71">
        <f t="shared" si="623"/>
        <v>0</v>
      </c>
      <c r="AS56" s="71">
        <f t="shared" si="624"/>
        <v>0</v>
      </c>
      <c r="AT56" s="71">
        <f t="shared" si="625"/>
        <v>0</v>
      </c>
      <c r="AU56" s="71">
        <f t="shared" si="626"/>
        <v>0</v>
      </c>
      <c r="AV56" s="71">
        <f t="shared" si="627"/>
        <v>0</v>
      </c>
      <c r="AW56" s="71">
        <f t="shared" si="628"/>
        <v>0</v>
      </c>
      <c r="AX56" s="71">
        <f t="shared" si="629"/>
        <v>0</v>
      </c>
      <c r="AY56" s="71">
        <f t="shared" si="630"/>
        <v>0</v>
      </c>
      <c r="AZ56" s="72">
        <f t="shared" si="631"/>
        <v>0</v>
      </c>
      <c r="BA56" s="70">
        <f t="shared" si="60"/>
        <v>0</v>
      </c>
      <c r="BB56" s="69">
        <f t="shared" ca="1" si="61"/>
        <v>0</v>
      </c>
      <c r="BC56" s="70">
        <f t="shared" si="632"/>
        <v>0</v>
      </c>
      <c r="BD56" s="71">
        <f t="shared" si="633"/>
        <v>0</v>
      </c>
      <c r="BE56" s="71">
        <f t="shared" si="634"/>
        <v>0</v>
      </c>
      <c r="BF56" s="71">
        <f t="shared" si="635"/>
        <v>0</v>
      </c>
      <c r="BG56" s="71">
        <f t="shared" si="636"/>
        <v>0</v>
      </c>
      <c r="BH56" s="71">
        <f t="shared" si="637"/>
        <v>0</v>
      </c>
      <c r="BI56" s="71">
        <f t="shared" si="638"/>
        <v>0</v>
      </c>
      <c r="BJ56" s="71">
        <f t="shared" si="639"/>
        <v>0</v>
      </c>
      <c r="BK56" s="71">
        <f t="shared" si="640"/>
        <v>0</v>
      </c>
      <c r="BL56" s="71">
        <f t="shared" si="641"/>
        <v>0</v>
      </c>
      <c r="BM56" s="71">
        <f t="shared" si="642"/>
        <v>0</v>
      </c>
      <c r="BN56" s="71">
        <f t="shared" si="643"/>
        <v>0</v>
      </c>
      <c r="BO56" s="71">
        <f t="shared" si="644"/>
        <v>0</v>
      </c>
      <c r="BP56" s="71">
        <f t="shared" si="645"/>
        <v>0</v>
      </c>
      <c r="BQ56" s="71">
        <f t="shared" si="646"/>
        <v>0</v>
      </c>
      <c r="BR56" s="71">
        <f t="shared" si="647"/>
        <v>0</v>
      </c>
      <c r="BS56" s="71">
        <f t="shared" si="648"/>
        <v>0</v>
      </c>
      <c r="BT56" s="71">
        <f t="shared" si="649"/>
        <v>0</v>
      </c>
      <c r="BU56" s="71">
        <f t="shared" si="650"/>
        <v>0</v>
      </c>
      <c r="BV56" s="71">
        <f t="shared" si="651"/>
        <v>0</v>
      </c>
      <c r="BW56" s="71">
        <f t="shared" si="652"/>
        <v>0</v>
      </c>
      <c r="BX56" s="71">
        <f t="shared" si="653"/>
        <v>0</v>
      </c>
      <c r="BY56" s="71">
        <f t="shared" si="654"/>
        <v>0</v>
      </c>
      <c r="BZ56" s="71">
        <f t="shared" si="655"/>
        <v>0</v>
      </c>
      <c r="CA56" s="71">
        <f t="shared" si="656"/>
        <v>0</v>
      </c>
      <c r="CB56" s="71">
        <f t="shared" si="657"/>
        <v>0</v>
      </c>
      <c r="CC56" s="71">
        <f t="shared" si="658"/>
        <v>0</v>
      </c>
      <c r="CD56" s="71">
        <f t="shared" si="659"/>
        <v>0</v>
      </c>
      <c r="CE56" s="71">
        <f t="shared" si="660"/>
        <v>0</v>
      </c>
      <c r="CF56" s="71">
        <f t="shared" si="661"/>
        <v>0</v>
      </c>
      <c r="CG56" s="71">
        <f t="shared" si="662"/>
        <v>0</v>
      </c>
      <c r="CH56" s="70">
        <f t="shared" si="93"/>
        <v>0</v>
      </c>
      <c r="CI56" s="69">
        <f t="shared" ca="1" si="94"/>
        <v>0</v>
      </c>
      <c r="GM56" s="2" t="s">
        <v>16</v>
      </c>
      <c r="GN56" s="98" t="str">
        <f t="shared" si="95"/>
        <v>HYD01-FMCG-SPO-00</v>
      </c>
      <c r="GO56" s="4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6"/>
      <c r="HT56" s="4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0</v>
      </c>
      <c r="IF56" s="3">
        <v>0</v>
      </c>
      <c r="IG56" s="3">
        <v>0</v>
      </c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6"/>
    </row>
    <row r="57" spans="1:258" hidden="1">
      <c r="A57" s="97" t="s">
        <v>1380</v>
      </c>
      <c r="B57" s="98" t="s">
        <v>20</v>
      </c>
      <c r="C57" s="98" t="s">
        <v>159</v>
      </c>
      <c r="D57" s="99" t="s">
        <v>1126</v>
      </c>
      <c r="E57" s="98" t="s">
        <v>182</v>
      </c>
      <c r="F57" s="98" t="s">
        <v>183</v>
      </c>
      <c r="G57" s="98" t="s">
        <v>184</v>
      </c>
      <c r="H57" s="98" t="s">
        <v>1128</v>
      </c>
      <c r="I57" s="98" t="s">
        <v>1128</v>
      </c>
      <c r="J57" s="98" t="s">
        <v>864</v>
      </c>
      <c r="K57" s="98" t="s">
        <v>1127</v>
      </c>
      <c r="L57" s="98" t="s">
        <v>234</v>
      </c>
      <c r="M57" s="101" t="s">
        <v>52</v>
      </c>
      <c r="N57" s="108">
        <v>45992</v>
      </c>
      <c r="O57" s="100">
        <v>0</v>
      </c>
      <c r="P57" s="69">
        <v>0</v>
      </c>
      <c r="Q57" s="69">
        <f t="shared" si="596"/>
        <v>0</v>
      </c>
      <c r="R57" s="69">
        <f t="shared" si="597"/>
        <v>0</v>
      </c>
      <c r="S57" s="69">
        <f t="shared" si="598"/>
        <v>0</v>
      </c>
      <c r="T57" s="69">
        <f t="shared" si="599"/>
        <v>0</v>
      </c>
      <c r="U57" s="69">
        <f t="shared" si="600"/>
        <v>0</v>
      </c>
      <c r="V57" s="70">
        <f t="shared" si="601"/>
        <v>0</v>
      </c>
      <c r="W57" s="71">
        <f t="shared" si="602"/>
        <v>0</v>
      </c>
      <c r="X57" s="71">
        <f t="shared" si="603"/>
        <v>0</v>
      </c>
      <c r="Y57" s="71">
        <f t="shared" si="604"/>
        <v>0</v>
      </c>
      <c r="Z57" s="71">
        <f t="shared" si="605"/>
        <v>0</v>
      </c>
      <c r="AA57" s="71">
        <f t="shared" si="606"/>
        <v>0</v>
      </c>
      <c r="AB57" s="71">
        <f t="shared" si="607"/>
        <v>0</v>
      </c>
      <c r="AC57" s="71">
        <f t="shared" si="608"/>
        <v>0</v>
      </c>
      <c r="AD57" s="71">
        <f t="shared" si="609"/>
        <v>0</v>
      </c>
      <c r="AE57" s="71">
        <f t="shared" si="610"/>
        <v>0</v>
      </c>
      <c r="AF57" s="71">
        <f t="shared" si="611"/>
        <v>0</v>
      </c>
      <c r="AG57" s="71">
        <f t="shared" si="612"/>
        <v>0</v>
      </c>
      <c r="AH57" s="71">
        <f t="shared" si="613"/>
        <v>0</v>
      </c>
      <c r="AI57" s="71">
        <f t="shared" si="614"/>
        <v>0</v>
      </c>
      <c r="AJ57" s="71">
        <f t="shared" si="615"/>
        <v>0</v>
      </c>
      <c r="AK57" s="71">
        <f t="shared" si="616"/>
        <v>0</v>
      </c>
      <c r="AL57" s="71">
        <f t="shared" si="617"/>
        <v>0</v>
      </c>
      <c r="AM57" s="71">
        <f t="shared" si="618"/>
        <v>0</v>
      </c>
      <c r="AN57" s="71">
        <f t="shared" si="619"/>
        <v>0</v>
      </c>
      <c r="AO57" s="71">
        <f t="shared" si="620"/>
        <v>0</v>
      </c>
      <c r="AP57" s="71">
        <f t="shared" si="621"/>
        <v>0</v>
      </c>
      <c r="AQ57" s="71">
        <f t="shared" si="622"/>
        <v>0</v>
      </c>
      <c r="AR57" s="71">
        <f t="shared" si="623"/>
        <v>0</v>
      </c>
      <c r="AS57" s="71">
        <f t="shared" si="624"/>
        <v>0</v>
      </c>
      <c r="AT57" s="71">
        <f t="shared" si="625"/>
        <v>0</v>
      </c>
      <c r="AU57" s="71">
        <f t="shared" si="626"/>
        <v>0</v>
      </c>
      <c r="AV57" s="71">
        <f t="shared" si="627"/>
        <v>0</v>
      </c>
      <c r="AW57" s="71">
        <f t="shared" si="628"/>
        <v>0</v>
      </c>
      <c r="AX57" s="71">
        <f t="shared" si="629"/>
        <v>0</v>
      </c>
      <c r="AY57" s="71">
        <f t="shared" si="630"/>
        <v>0</v>
      </c>
      <c r="AZ57" s="72">
        <f t="shared" si="631"/>
        <v>0</v>
      </c>
      <c r="BA57" s="70">
        <f t="shared" si="60"/>
        <v>0</v>
      </c>
      <c r="BB57" s="69">
        <f t="shared" ca="1" si="61"/>
        <v>0</v>
      </c>
      <c r="BC57" s="70">
        <f t="shared" si="632"/>
        <v>0</v>
      </c>
      <c r="BD57" s="71">
        <f t="shared" si="633"/>
        <v>0</v>
      </c>
      <c r="BE57" s="71">
        <f t="shared" si="634"/>
        <v>0</v>
      </c>
      <c r="BF57" s="71">
        <f t="shared" si="635"/>
        <v>0</v>
      </c>
      <c r="BG57" s="71">
        <f t="shared" si="636"/>
        <v>0</v>
      </c>
      <c r="BH57" s="71">
        <f t="shared" si="637"/>
        <v>0</v>
      </c>
      <c r="BI57" s="71">
        <f t="shared" si="638"/>
        <v>0</v>
      </c>
      <c r="BJ57" s="71">
        <f t="shared" si="639"/>
        <v>0</v>
      </c>
      <c r="BK57" s="71">
        <f t="shared" si="640"/>
        <v>0</v>
      </c>
      <c r="BL57" s="71">
        <f t="shared" si="641"/>
        <v>0</v>
      </c>
      <c r="BM57" s="71">
        <f t="shared" si="642"/>
        <v>0</v>
      </c>
      <c r="BN57" s="71">
        <f t="shared" si="643"/>
        <v>0</v>
      </c>
      <c r="BO57" s="71">
        <f t="shared" si="644"/>
        <v>0</v>
      </c>
      <c r="BP57" s="71">
        <f t="shared" si="645"/>
        <v>0</v>
      </c>
      <c r="BQ57" s="71">
        <f t="shared" si="646"/>
        <v>0</v>
      </c>
      <c r="BR57" s="71">
        <f t="shared" si="647"/>
        <v>0</v>
      </c>
      <c r="BS57" s="71">
        <f t="shared" si="648"/>
        <v>0</v>
      </c>
      <c r="BT57" s="71">
        <f t="shared" si="649"/>
        <v>0</v>
      </c>
      <c r="BU57" s="71">
        <f t="shared" si="650"/>
        <v>0</v>
      </c>
      <c r="BV57" s="71">
        <f t="shared" si="651"/>
        <v>0</v>
      </c>
      <c r="BW57" s="71">
        <f t="shared" si="652"/>
        <v>0</v>
      </c>
      <c r="BX57" s="71">
        <f t="shared" si="653"/>
        <v>0</v>
      </c>
      <c r="BY57" s="71">
        <f t="shared" si="654"/>
        <v>0</v>
      </c>
      <c r="BZ57" s="71">
        <f t="shared" si="655"/>
        <v>0</v>
      </c>
      <c r="CA57" s="71">
        <f t="shared" si="656"/>
        <v>0</v>
      </c>
      <c r="CB57" s="71">
        <f t="shared" si="657"/>
        <v>0</v>
      </c>
      <c r="CC57" s="71">
        <f t="shared" si="658"/>
        <v>0</v>
      </c>
      <c r="CD57" s="71">
        <f t="shared" si="659"/>
        <v>0</v>
      </c>
      <c r="CE57" s="71">
        <f t="shared" si="660"/>
        <v>0</v>
      </c>
      <c r="CF57" s="71">
        <f t="shared" si="661"/>
        <v>0</v>
      </c>
      <c r="CG57" s="71">
        <f t="shared" si="662"/>
        <v>0</v>
      </c>
      <c r="CH57" s="70">
        <f t="shared" si="93"/>
        <v>0</v>
      </c>
      <c r="CI57" s="69">
        <f t="shared" ca="1" si="94"/>
        <v>0</v>
      </c>
      <c r="GM57" s="2" t="s">
        <v>16</v>
      </c>
      <c r="GN57" s="98" t="str">
        <f t="shared" si="95"/>
        <v>HYD01-FMCG-ASM-01</v>
      </c>
      <c r="GO57" s="4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6"/>
      <c r="HT57" s="4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6"/>
    </row>
    <row r="58" spans="1:258" hidden="1">
      <c r="A58" s="102" t="s">
        <v>53</v>
      </c>
      <c r="B58" s="103" t="s">
        <v>20</v>
      </c>
      <c r="C58" s="103" t="s">
        <v>159</v>
      </c>
      <c r="D58" s="104" t="s">
        <v>160</v>
      </c>
      <c r="E58" s="103" t="s">
        <v>182</v>
      </c>
      <c r="F58" s="103" t="s">
        <v>183</v>
      </c>
      <c r="G58" s="103" t="s">
        <v>184</v>
      </c>
      <c r="H58" s="103" t="s">
        <v>1128</v>
      </c>
      <c r="I58" s="103" t="s">
        <v>1128</v>
      </c>
      <c r="J58" s="103" t="s">
        <v>164</v>
      </c>
      <c r="K58" s="103" t="s">
        <v>31</v>
      </c>
      <c r="L58" s="103">
        <v>45992</v>
      </c>
      <c r="M58" s="103" t="s">
        <v>43</v>
      </c>
      <c r="N58" s="119">
        <v>45992</v>
      </c>
      <c r="O58" s="105">
        <f>O57+O56+O54+O53+O52+O51+O50+O55</f>
        <v>6</v>
      </c>
      <c r="P58" s="73">
        <f t="shared" ref="P58:CA58" si="663">P57+P56+P54+P53+P52+P51+P50+P55</f>
        <v>1</v>
      </c>
      <c r="Q58" s="73">
        <f t="shared" si="663"/>
        <v>4</v>
      </c>
      <c r="R58" s="73">
        <f t="shared" si="663"/>
        <v>5</v>
      </c>
      <c r="S58" s="73">
        <f t="shared" si="663"/>
        <v>1</v>
      </c>
      <c r="T58" s="73">
        <f t="shared" si="663"/>
        <v>5</v>
      </c>
      <c r="U58" s="73">
        <f t="shared" si="663"/>
        <v>5</v>
      </c>
      <c r="V58" s="74">
        <f t="shared" si="663"/>
        <v>5</v>
      </c>
      <c r="W58" s="75">
        <f t="shared" si="663"/>
        <v>5</v>
      </c>
      <c r="X58" s="75">
        <f t="shared" si="663"/>
        <v>5</v>
      </c>
      <c r="Y58" s="75">
        <f t="shared" si="663"/>
        <v>0</v>
      </c>
      <c r="Z58" s="75">
        <f t="shared" si="663"/>
        <v>5</v>
      </c>
      <c r="AA58" s="75">
        <f t="shared" si="663"/>
        <v>5</v>
      </c>
      <c r="AB58" s="75">
        <f t="shared" si="663"/>
        <v>5</v>
      </c>
      <c r="AC58" s="75">
        <f t="shared" si="663"/>
        <v>5</v>
      </c>
      <c r="AD58" s="75">
        <f t="shared" si="663"/>
        <v>5</v>
      </c>
      <c r="AE58" s="75">
        <f t="shared" si="663"/>
        <v>5</v>
      </c>
      <c r="AF58" s="75">
        <f t="shared" si="663"/>
        <v>0</v>
      </c>
      <c r="AG58" s="75">
        <f t="shared" si="663"/>
        <v>5</v>
      </c>
      <c r="AH58" s="75">
        <f t="shared" si="663"/>
        <v>5</v>
      </c>
      <c r="AI58" s="75">
        <f t="shared" si="663"/>
        <v>4</v>
      </c>
      <c r="AJ58" s="75">
        <f t="shared" si="663"/>
        <v>0</v>
      </c>
      <c r="AK58" s="75">
        <f t="shared" si="663"/>
        <v>0</v>
      </c>
      <c r="AL58" s="75">
        <f t="shared" si="663"/>
        <v>0</v>
      </c>
      <c r="AM58" s="75">
        <f t="shared" si="663"/>
        <v>0</v>
      </c>
      <c r="AN58" s="75">
        <f t="shared" si="663"/>
        <v>0</v>
      </c>
      <c r="AO58" s="75">
        <f t="shared" si="663"/>
        <v>0</v>
      </c>
      <c r="AP58" s="75">
        <f t="shared" si="663"/>
        <v>0</v>
      </c>
      <c r="AQ58" s="75">
        <f t="shared" si="663"/>
        <v>0</v>
      </c>
      <c r="AR58" s="75">
        <f t="shared" si="663"/>
        <v>0</v>
      </c>
      <c r="AS58" s="75">
        <f t="shared" si="663"/>
        <v>0</v>
      </c>
      <c r="AT58" s="75">
        <f t="shared" si="663"/>
        <v>0</v>
      </c>
      <c r="AU58" s="75">
        <f t="shared" si="663"/>
        <v>0</v>
      </c>
      <c r="AV58" s="75">
        <f t="shared" si="663"/>
        <v>0</v>
      </c>
      <c r="AW58" s="75">
        <f t="shared" si="663"/>
        <v>0</v>
      </c>
      <c r="AX58" s="75">
        <f t="shared" si="663"/>
        <v>0</v>
      </c>
      <c r="AY58" s="75">
        <f t="shared" si="663"/>
        <v>0</v>
      </c>
      <c r="AZ58" s="76">
        <f t="shared" si="663"/>
        <v>0</v>
      </c>
      <c r="BA58" s="74">
        <f t="shared" si="60"/>
        <v>59</v>
      </c>
      <c r="BB58" s="73">
        <f t="shared" ca="1" si="61"/>
        <v>0.90769230769230769</v>
      </c>
      <c r="BC58" s="74">
        <f t="shared" si="663"/>
        <v>86</v>
      </c>
      <c r="BD58" s="75">
        <f t="shared" si="663"/>
        <v>123</v>
      </c>
      <c r="BE58" s="75">
        <f t="shared" si="663"/>
        <v>91</v>
      </c>
      <c r="BF58" s="75">
        <f t="shared" si="663"/>
        <v>0</v>
      </c>
      <c r="BG58" s="75">
        <f t="shared" si="663"/>
        <v>97</v>
      </c>
      <c r="BH58" s="75">
        <f t="shared" si="663"/>
        <v>162</v>
      </c>
      <c r="BI58" s="75">
        <f t="shared" si="663"/>
        <v>136</v>
      </c>
      <c r="BJ58" s="75">
        <f t="shared" si="663"/>
        <v>128</v>
      </c>
      <c r="BK58" s="75">
        <f t="shared" si="663"/>
        <v>189</v>
      </c>
      <c r="BL58" s="75">
        <f t="shared" si="663"/>
        <v>173</v>
      </c>
      <c r="BM58" s="75">
        <f t="shared" si="663"/>
        <v>0</v>
      </c>
      <c r="BN58" s="75">
        <f t="shared" si="663"/>
        <v>170</v>
      </c>
      <c r="BO58" s="75">
        <f t="shared" si="663"/>
        <v>147</v>
      </c>
      <c r="BP58" s="75">
        <f t="shared" si="663"/>
        <v>12</v>
      </c>
      <c r="BQ58" s="75">
        <f t="shared" si="663"/>
        <v>0</v>
      </c>
      <c r="BR58" s="75">
        <f t="shared" si="663"/>
        <v>0</v>
      </c>
      <c r="BS58" s="75">
        <f t="shared" si="663"/>
        <v>0</v>
      </c>
      <c r="BT58" s="75">
        <f t="shared" si="663"/>
        <v>0</v>
      </c>
      <c r="BU58" s="75">
        <f t="shared" si="663"/>
        <v>0</v>
      </c>
      <c r="BV58" s="75">
        <f t="shared" si="663"/>
        <v>0</v>
      </c>
      <c r="BW58" s="75">
        <f t="shared" si="663"/>
        <v>0</v>
      </c>
      <c r="BX58" s="75">
        <f t="shared" si="663"/>
        <v>0</v>
      </c>
      <c r="BY58" s="75">
        <f t="shared" si="663"/>
        <v>0</v>
      </c>
      <c r="BZ58" s="75">
        <f t="shared" si="663"/>
        <v>0</v>
      </c>
      <c r="CA58" s="75">
        <f t="shared" si="663"/>
        <v>0</v>
      </c>
      <c r="CB58" s="75">
        <f t="shared" ref="CB58:CG58" si="664">CB57+CB56+CB54+CB53+CB52+CB51+CB50+CB55</f>
        <v>0</v>
      </c>
      <c r="CC58" s="75">
        <f t="shared" si="664"/>
        <v>0</v>
      </c>
      <c r="CD58" s="75">
        <f t="shared" si="664"/>
        <v>0</v>
      </c>
      <c r="CE58" s="75">
        <f t="shared" si="664"/>
        <v>0</v>
      </c>
      <c r="CF58" s="75">
        <f t="shared" si="664"/>
        <v>0</v>
      </c>
      <c r="CG58" s="75">
        <f t="shared" si="664"/>
        <v>0</v>
      </c>
      <c r="CH58" s="74">
        <f t="shared" si="93"/>
        <v>1514</v>
      </c>
      <c r="CI58" s="73">
        <f t="shared" ca="1" si="94"/>
        <v>23.292307692307695</v>
      </c>
      <c r="GM58" s="2" t="s">
        <v>17</v>
      </c>
      <c r="GN58" s="103" t="str">
        <f t="shared" si="95"/>
        <v>HYD01-FMCG-ASM-01</v>
      </c>
      <c r="GO58" s="4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6"/>
      <c r="HT58" s="4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6"/>
    </row>
    <row r="59" spans="1:258" hidden="1">
      <c r="A59" s="97" t="s">
        <v>25</v>
      </c>
      <c r="B59" s="98" t="s">
        <v>26</v>
      </c>
      <c r="C59" s="98" t="s">
        <v>159</v>
      </c>
      <c r="D59" s="99" t="s">
        <v>1134</v>
      </c>
      <c r="E59" s="98" t="s">
        <v>205</v>
      </c>
      <c r="F59" s="98" t="s">
        <v>206</v>
      </c>
      <c r="G59" s="98" t="s">
        <v>207</v>
      </c>
      <c r="H59" s="98" t="s">
        <v>1447</v>
      </c>
      <c r="I59" s="98" t="s">
        <v>1447</v>
      </c>
      <c r="J59" s="98" t="s">
        <v>1135</v>
      </c>
      <c r="K59" s="98" t="s">
        <v>1127</v>
      </c>
      <c r="L59" s="98" t="s">
        <v>1136</v>
      </c>
      <c r="M59" s="101" t="s">
        <v>1093</v>
      </c>
      <c r="N59" s="139">
        <v>46189</v>
      </c>
      <c r="O59" s="100">
        <v>1</v>
      </c>
      <c r="P59" s="69">
        <v>0</v>
      </c>
      <c r="Q59" s="69">
        <f t="shared" ref="Q59:Q64" si="665">IFERROR(IF(OR(AI59&gt;0),1,0),0)</f>
        <v>1</v>
      </c>
      <c r="R59" s="69">
        <f t="shared" ref="R59:R64" si="666">IFERROR(IF(OR(BA59&gt;0),1,0),0)</f>
        <v>1</v>
      </c>
      <c r="S59" s="69">
        <f t="shared" ref="S59:S64" si="667">IFERROR(IF(OR(BP59&gt;0),1,0),0)</f>
        <v>1</v>
      </c>
      <c r="T59" s="69">
        <f t="shared" ref="T59:T64" si="668">IFERROR(IF(OR(CH59&gt;0),1,0),0)</f>
        <v>1</v>
      </c>
      <c r="U59" s="69">
        <f t="shared" ref="U59:U64" si="669">IFERROR(IF(OR(BA59&gt;0,CH59&gt;0),1,0),0)</f>
        <v>1</v>
      </c>
      <c r="V59" s="70">
        <f t="shared" ref="V59:V64" si="670">GO59</f>
        <v>1</v>
      </c>
      <c r="W59" s="71">
        <f t="shared" ref="W59:W64" si="671">GP59</f>
        <v>1</v>
      </c>
      <c r="X59" s="71">
        <f t="shared" ref="X59:X64" si="672">GQ59</f>
        <v>1</v>
      </c>
      <c r="Y59" s="71">
        <f t="shared" ref="Y59:Y64" si="673">GR59</f>
        <v>0</v>
      </c>
      <c r="Z59" s="71">
        <f t="shared" ref="Z59:Z64" si="674">GS59</f>
        <v>1</v>
      </c>
      <c r="AA59" s="71">
        <f t="shared" ref="AA59:AA64" si="675">GT59</f>
        <v>1</v>
      </c>
      <c r="AB59" s="71">
        <f t="shared" ref="AB59:AB64" si="676">GU59</f>
        <v>1</v>
      </c>
      <c r="AC59" s="71">
        <f t="shared" ref="AC59:AC64" si="677">GV59</f>
        <v>1</v>
      </c>
      <c r="AD59" s="71">
        <f t="shared" ref="AD59:AD64" si="678">GW59</f>
        <v>1</v>
      </c>
      <c r="AE59" s="71">
        <f t="shared" ref="AE59:AE64" si="679">GX59</f>
        <v>1</v>
      </c>
      <c r="AF59" s="71">
        <f t="shared" ref="AF59:AF64" si="680">GY59</f>
        <v>0</v>
      </c>
      <c r="AG59" s="71">
        <f t="shared" ref="AG59:AG64" si="681">GZ59</f>
        <v>1</v>
      </c>
      <c r="AH59" s="71">
        <f t="shared" ref="AH59:AH64" si="682">HA59</f>
        <v>1</v>
      </c>
      <c r="AI59" s="71">
        <f t="shared" ref="AI59:AI64" si="683">HB59</f>
        <v>1</v>
      </c>
      <c r="AJ59" s="71">
        <f t="shared" ref="AJ59:AJ64" si="684">HC59</f>
        <v>0</v>
      </c>
      <c r="AK59" s="71">
        <f t="shared" ref="AK59:AK64" si="685">HD59</f>
        <v>0</v>
      </c>
      <c r="AL59" s="71">
        <f t="shared" ref="AL59:AL64" si="686">HE59</f>
        <v>0</v>
      </c>
      <c r="AM59" s="71">
        <f t="shared" ref="AM59:AM64" si="687">HF59</f>
        <v>0</v>
      </c>
      <c r="AN59" s="71">
        <f t="shared" ref="AN59:AN64" si="688">HG59</f>
        <v>0</v>
      </c>
      <c r="AO59" s="71">
        <f t="shared" ref="AO59:AO64" si="689">HH59</f>
        <v>0</v>
      </c>
      <c r="AP59" s="71">
        <f t="shared" ref="AP59:AP64" si="690">HI59</f>
        <v>0</v>
      </c>
      <c r="AQ59" s="71">
        <f t="shared" ref="AQ59:AQ64" si="691">HJ59</f>
        <v>0</v>
      </c>
      <c r="AR59" s="71">
        <f t="shared" ref="AR59:AR64" si="692">HK59</f>
        <v>0</v>
      </c>
      <c r="AS59" s="71">
        <f t="shared" ref="AS59:AS64" si="693">HL59</f>
        <v>0</v>
      </c>
      <c r="AT59" s="71">
        <f t="shared" ref="AT59:AT64" si="694">HM59</f>
        <v>0</v>
      </c>
      <c r="AU59" s="71">
        <f t="shared" ref="AU59:AU64" si="695">HN59</f>
        <v>0</v>
      </c>
      <c r="AV59" s="71">
        <f t="shared" ref="AV59:AV64" si="696">HO59</f>
        <v>0</v>
      </c>
      <c r="AW59" s="71">
        <f t="shared" ref="AW59:AW64" si="697">HP59</f>
        <v>0</v>
      </c>
      <c r="AX59" s="71">
        <f t="shared" ref="AX59:AX64" si="698">HQ59</f>
        <v>0</v>
      </c>
      <c r="AY59" s="71">
        <f t="shared" ref="AY59:AY64" si="699">HR59</f>
        <v>0</v>
      </c>
      <c r="AZ59" s="72">
        <f t="shared" ref="AZ59:AZ64" si="700">HS59</f>
        <v>0</v>
      </c>
      <c r="BA59" s="70">
        <f t="shared" si="60"/>
        <v>12</v>
      </c>
      <c r="BB59" s="69">
        <f t="shared" ca="1" si="61"/>
        <v>0.92307692307692313</v>
      </c>
      <c r="BC59" s="70">
        <f t="shared" ref="BC59:BC64" si="701">HT59</f>
        <v>17</v>
      </c>
      <c r="BD59" s="71">
        <f t="shared" ref="BD59:BD64" si="702">HU59</f>
        <v>22</v>
      </c>
      <c r="BE59" s="71">
        <f t="shared" ref="BE59:BE64" si="703">HV59</f>
        <v>18</v>
      </c>
      <c r="BF59" s="71">
        <f t="shared" ref="BF59:BF64" si="704">HW59</f>
        <v>0</v>
      </c>
      <c r="BG59" s="71">
        <f t="shared" ref="BG59:BG64" si="705">HX59</f>
        <v>26</v>
      </c>
      <c r="BH59" s="71">
        <f t="shared" ref="BH59:BH64" si="706">HY59</f>
        <v>21</v>
      </c>
      <c r="BI59" s="71">
        <f t="shared" ref="BI59:BI64" si="707">HZ59</f>
        <v>19</v>
      </c>
      <c r="BJ59" s="71">
        <f t="shared" ref="BJ59:BJ64" si="708">IA59</f>
        <v>25</v>
      </c>
      <c r="BK59" s="71">
        <f t="shared" ref="BK59:BK64" si="709">IB59</f>
        <v>42</v>
      </c>
      <c r="BL59" s="71">
        <f t="shared" ref="BL59:BL64" si="710">IC59</f>
        <v>44</v>
      </c>
      <c r="BM59" s="71">
        <f t="shared" ref="BM59:BM64" si="711">ID59</f>
        <v>0</v>
      </c>
      <c r="BN59" s="71">
        <f t="shared" ref="BN59:BN64" si="712">IE59</f>
        <v>41</v>
      </c>
      <c r="BO59" s="71">
        <f t="shared" ref="BO59:BO64" si="713">IF59</f>
        <v>40</v>
      </c>
      <c r="BP59" s="71">
        <f t="shared" ref="BP59:BP64" si="714">IG59</f>
        <v>6</v>
      </c>
      <c r="BQ59" s="71">
        <f t="shared" ref="BQ59:BQ64" si="715">IH59</f>
        <v>0</v>
      </c>
      <c r="BR59" s="71">
        <f t="shared" ref="BR59:BR64" si="716">II59</f>
        <v>0</v>
      </c>
      <c r="BS59" s="71">
        <f t="shared" ref="BS59:BS64" si="717">IJ59</f>
        <v>0</v>
      </c>
      <c r="BT59" s="71">
        <f t="shared" ref="BT59:BT64" si="718">IK59</f>
        <v>0</v>
      </c>
      <c r="BU59" s="71">
        <f t="shared" ref="BU59:BU64" si="719">IL59</f>
        <v>0</v>
      </c>
      <c r="BV59" s="71">
        <f t="shared" ref="BV59:BV64" si="720">IM59</f>
        <v>0</v>
      </c>
      <c r="BW59" s="71">
        <f t="shared" ref="BW59:BW64" si="721">IN59</f>
        <v>0</v>
      </c>
      <c r="BX59" s="71">
        <f t="shared" ref="BX59:BX64" si="722">IO59</f>
        <v>0</v>
      </c>
      <c r="BY59" s="71">
        <f t="shared" ref="BY59:BY64" si="723">IP59</f>
        <v>0</v>
      </c>
      <c r="BZ59" s="71">
        <f t="shared" ref="BZ59:BZ64" si="724">IQ59</f>
        <v>0</v>
      </c>
      <c r="CA59" s="71">
        <f t="shared" ref="CA59:CA64" si="725">IR59</f>
        <v>0</v>
      </c>
      <c r="CB59" s="71">
        <f t="shared" ref="CB59:CB64" si="726">IS59</f>
        <v>0</v>
      </c>
      <c r="CC59" s="71">
        <f t="shared" ref="CC59:CC64" si="727">IT59</f>
        <v>0</v>
      </c>
      <c r="CD59" s="71">
        <f t="shared" ref="CD59:CD64" si="728">IU59</f>
        <v>0</v>
      </c>
      <c r="CE59" s="71">
        <f t="shared" ref="CE59:CE64" si="729">IV59</f>
        <v>0</v>
      </c>
      <c r="CF59" s="71">
        <f t="shared" ref="CF59:CF64" si="730">IW59</f>
        <v>0</v>
      </c>
      <c r="CG59" s="71">
        <f t="shared" ref="CG59:CG64" si="731">IX59</f>
        <v>0</v>
      </c>
      <c r="CH59" s="70">
        <f t="shared" si="93"/>
        <v>321</v>
      </c>
      <c r="CI59" s="69">
        <f t="shared" ca="1" si="94"/>
        <v>24.692307692307693</v>
      </c>
      <c r="GM59" s="2" t="s">
        <v>16</v>
      </c>
      <c r="GN59" s="98" t="str">
        <f t="shared" ref="GN59:GN131" si="732">F59</f>
        <v>MPK01-FMCG01-SPO-01</v>
      </c>
      <c r="GO59" s="4">
        <v>1</v>
      </c>
      <c r="GP59" s="3">
        <v>1</v>
      </c>
      <c r="GQ59" s="3">
        <v>1</v>
      </c>
      <c r="GR59" s="3">
        <v>0</v>
      </c>
      <c r="GS59" s="3">
        <v>1</v>
      </c>
      <c r="GT59" s="3">
        <v>1</v>
      </c>
      <c r="GU59" s="3">
        <v>1</v>
      </c>
      <c r="GV59" s="3">
        <v>1</v>
      </c>
      <c r="GW59" s="3">
        <v>1</v>
      </c>
      <c r="GX59" s="3">
        <v>1</v>
      </c>
      <c r="GY59" s="3">
        <v>0</v>
      </c>
      <c r="GZ59" s="3">
        <v>1</v>
      </c>
      <c r="HA59" s="3">
        <v>1</v>
      </c>
      <c r="HB59" s="3">
        <v>1</v>
      </c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6"/>
      <c r="HT59" s="4">
        <v>17</v>
      </c>
      <c r="HU59" s="3">
        <v>22</v>
      </c>
      <c r="HV59" s="3">
        <v>18</v>
      </c>
      <c r="HW59" s="3">
        <v>0</v>
      </c>
      <c r="HX59" s="3">
        <v>26</v>
      </c>
      <c r="HY59" s="3">
        <v>21</v>
      </c>
      <c r="HZ59" s="3">
        <v>19</v>
      </c>
      <c r="IA59" s="3">
        <v>25</v>
      </c>
      <c r="IB59" s="3">
        <v>42</v>
      </c>
      <c r="IC59" s="3">
        <v>44</v>
      </c>
      <c r="ID59" s="3">
        <v>0</v>
      </c>
      <c r="IE59" s="3">
        <v>41</v>
      </c>
      <c r="IF59" s="3">
        <v>40</v>
      </c>
      <c r="IG59" s="3">
        <v>6</v>
      </c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6"/>
    </row>
    <row r="60" spans="1:258" hidden="1">
      <c r="A60" s="106" t="s">
        <v>25</v>
      </c>
      <c r="B60" s="101" t="s">
        <v>26</v>
      </c>
      <c r="C60" s="98" t="s">
        <v>159</v>
      </c>
      <c r="D60" s="107" t="s">
        <v>1134</v>
      </c>
      <c r="E60" s="101" t="s">
        <v>208</v>
      </c>
      <c r="F60" s="101" t="s">
        <v>209</v>
      </c>
      <c r="G60" s="98" t="s">
        <v>210</v>
      </c>
      <c r="H60" s="101" t="s">
        <v>1448</v>
      </c>
      <c r="I60" s="101" t="s">
        <v>1448</v>
      </c>
      <c r="J60" s="101" t="s">
        <v>865</v>
      </c>
      <c r="K60" s="101" t="s">
        <v>1127</v>
      </c>
      <c r="L60" s="101" t="s">
        <v>211</v>
      </c>
      <c r="M60" s="101" t="s">
        <v>1093</v>
      </c>
      <c r="N60" s="139">
        <v>45960</v>
      </c>
      <c r="O60" s="100">
        <v>1</v>
      </c>
      <c r="P60" s="69">
        <v>0</v>
      </c>
      <c r="Q60" s="69">
        <f t="shared" si="665"/>
        <v>1</v>
      </c>
      <c r="R60" s="69">
        <f t="shared" si="666"/>
        <v>1</v>
      </c>
      <c r="S60" s="69">
        <f t="shared" si="667"/>
        <v>1</v>
      </c>
      <c r="T60" s="69">
        <f t="shared" si="668"/>
        <v>1</v>
      </c>
      <c r="U60" s="69">
        <f t="shared" si="669"/>
        <v>1</v>
      </c>
      <c r="V60" s="70">
        <f t="shared" si="670"/>
        <v>1</v>
      </c>
      <c r="W60" s="71">
        <f t="shared" si="671"/>
        <v>1</v>
      </c>
      <c r="X60" s="71">
        <f t="shared" si="672"/>
        <v>1</v>
      </c>
      <c r="Y60" s="71">
        <f t="shared" si="673"/>
        <v>0</v>
      </c>
      <c r="Z60" s="71">
        <f t="shared" si="674"/>
        <v>1</v>
      </c>
      <c r="AA60" s="71">
        <f t="shared" si="675"/>
        <v>1</v>
      </c>
      <c r="AB60" s="71">
        <f t="shared" si="676"/>
        <v>1</v>
      </c>
      <c r="AC60" s="71">
        <f t="shared" si="677"/>
        <v>1</v>
      </c>
      <c r="AD60" s="71">
        <f t="shared" si="678"/>
        <v>1</v>
      </c>
      <c r="AE60" s="71">
        <f t="shared" si="679"/>
        <v>1</v>
      </c>
      <c r="AF60" s="71">
        <f t="shared" si="680"/>
        <v>0</v>
      </c>
      <c r="AG60" s="71">
        <f t="shared" si="681"/>
        <v>1</v>
      </c>
      <c r="AH60" s="71">
        <f t="shared" si="682"/>
        <v>1</v>
      </c>
      <c r="AI60" s="71">
        <f t="shared" si="683"/>
        <v>1</v>
      </c>
      <c r="AJ60" s="71">
        <f t="shared" si="684"/>
        <v>0</v>
      </c>
      <c r="AK60" s="71">
        <f t="shared" si="685"/>
        <v>0</v>
      </c>
      <c r="AL60" s="71">
        <f t="shared" si="686"/>
        <v>0</v>
      </c>
      <c r="AM60" s="71">
        <f t="shared" si="687"/>
        <v>0</v>
      </c>
      <c r="AN60" s="71">
        <f t="shared" si="688"/>
        <v>0</v>
      </c>
      <c r="AO60" s="71">
        <f t="shared" si="689"/>
        <v>0</v>
      </c>
      <c r="AP60" s="71">
        <f t="shared" si="690"/>
        <v>0</v>
      </c>
      <c r="AQ60" s="71">
        <f t="shared" si="691"/>
        <v>0</v>
      </c>
      <c r="AR60" s="71">
        <f t="shared" si="692"/>
        <v>0</v>
      </c>
      <c r="AS60" s="71">
        <f t="shared" si="693"/>
        <v>0</v>
      </c>
      <c r="AT60" s="71">
        <f t="shared" si="694"/>
        <v>0</v>
      </c>
      <c r="AU60" s="71">
        <f t="shared" si="695"/>
        <v>0</v>
      </c>
      <c r="AV60" s="71">
        <f t="shared" si="696"/>
        <v>0</v>
      </c>
      <c r="AW60" s="71">
        <f t="shared" si="697"/>
        <v>0</v>
      </c>
      <c r="AX60" s="71">
        <f t="shared" si="698"/>
        <v>0</v>
      </c>
      <c r="AY60" s="71">
        <f t="shared" si="699"/>
        <v>0</v>
      </c>
      <c r="AZ60" s="72">
        <f t="shared" si="700"/>
        <v>0</v>
      </c>
      <c r="BA60" s="70">
        <f t="shared" ref="BA60:BA132" si="733">SUM(V60:AZ60)</f>
        <v>12</v>
      </c>
      <c r="BB60" s="69">
        <f t="shared" ca="1" si="61"/>
        <v>0.92307692307692313</v>
      </c>
      <c r="BC60" s="70">
        <f t="shared" si="701"/>
        <v>22</v>
      </c>
      <c r="BD60" s="71">
        <f t="shared" si="702"/>
        <v>47</v>
      </c>
      <c r="BE60" s="71">
        <f t="shared" si="703"/>
        <v>58</v>
      </c>
      <c r="BF60" s="71">
        <f t="shared" si="704"/>
        <v>0</v>
      </c>
      <c r="BG60" s="71">
        <f t="shared" si="705"/>
        <v>29</v>
      </c>
      <c r="BH60" s="71">
        <f t="shared" si="706"/>
        <v>25</v>
      </c>
      <c r="BI60" s="71">
        <f t="shared" si="707"/>
        <v>21</v>
      </c>
      <c r="BJ60" s="71">
        <f t="shared" si="708"/>
        <v>23</v>
      </c>
      <c r="BK60" s="71">
        <f t="shared" si="709"/>
        <v>44</v>
      </c>
      <c r="BL60" s="71">
        <f t="shared" si="710"/>
        <v>42</v>
      </c>
      <c r="BM60" s="71">
        <f t="shared" si="711"/>
        <v>0</v>
      </c>
      <c r="BN60" s="71">
        <f t="shared" si="712"/>
        <v>45</v>
      </c>
      <c r="BO60" s="71">
        <f t="shared" si="713"/>
        <v>45</v>
      </c>
      <c r="BP60" s="71">
        <f t="shared" si="714"/>
        <v>3</v>
      </c>
      <c r="BQ60" s="71">
        <f t="shared" si="715"/>
        <v>0</v>
      </c>
      <c r="BR60" s="71">
        <f t="shared" si="716"/>
        <v>0</v>
      </c>
      <c r="BS60" s="71">
        <f t="shared" si="717"/>
        <v>0</v>
      </c>
      <c r="BT60" s="71">
        <f t="shared" si="718"/>
        <v>0</v>
      </c>
      <c r="BU60" s="71">
        <f t="shared" si="719"/>
        <v>0</v>
      </c>
      <c r="BV60" s="71">
        <f t="shared" si="720"/>
        <v>0</v>
      </c>
      <c r="BW60" s="71">
        <f t="shared" si="721"/>
        <v>0</v>
      </c>
      <c r="BX60" s="71">
        <f t="shared" si="722"/>
        <v>0</v>
      </c>
      <c r="BY60" s="71">
        <f t="shared" si="723"/>
        <v>0</v>
      </c>
      <c r="BZ60" s="71">
        <f t="shared" si="724"/>
        <v>0</v>
      </c>
      <c r="CA60" s="71">
        <f t="shared" si="725"/>
        <v>0</v>
      </c>
      <c r="CB60" s="71">
        <f t="shared" si="726"/>
        <v>0</v>
      </c>
      <c r="CC60" s="71">
        <f t="shared" si="727"/>
        <v>0</v>
      </c>
      <c r="CD60" s="71">
        <f t="shared" si="728"/>
        <v>0</v>
      </c>
      <c r="CE60" s="71">
        <f t="shared" si="729"/>
        <v>0</v>
      </c>
      <c r="CF60" s="71">
        <f t="shared" si="730"/>
        <v>0</v>
      </c>
      <c r="CG60" s="71">
        <f t="shared" si="731"/>
        <v>0</v>
      </c>
      <c r="CH60" s="70">
        <f t="shared" si="93"/>
        <v>404</v>
      </c>
      <c r="CI60" s="69">
        <f t="shared" ca="1" si="94"/>
        <v>31.076923076923077</v>
      </c>
      <c r="GM60" s="2" t="s">
        <v>16</v>
      </c>
      <c r="GN60" s="101" t="str">
        <f t="shared" si="732"/>
        <v>MPK01-FMCG01-SPO-02</v>
      </c>
      <c r="GO60" s="4">
        <v>1</v>
      </c>
      <c r="GP60" s="3">
        <v>1</v>
      </c>
      <c r="GQ60" s="3">
        <v>1</v>
      </c>
      <c r="GR60" s="3">
        <v>0</v>
      </c>
      <c r="GS60" s="3">
        <v>1</v>
      </c>
      <c r="GT60" s="3">
        <v>1</v>
      </c>
      <c r="GU60" s="3">
        <v>1</v>
      </c>
      <c r="GV60" s="3">
        <v>1</v>
      </c>
      <c r="GW60" s="3">
        <v>1</v>
      </c>
      <c r="GX60" s="3">
        <v>1</v>
      </c>
      <c r="GY60" s="3">
        <v>0</v>
      </c>
      <c r="GZ60" s="3">
        <v>1</v>
      </c>
      <c r="HA60" s="3">
        <v>1</v>
      </c>
      <c r="HB60" s="3">
        <v>1</v>
      </c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6"/>
      <c r="HT60" s="4">
        <v>22</v>
      </c>
      <c r="HU60" s="3">
        <v>47</v>
      </c>
      <c r="HV60" s="3">
        <v>58</v>
      </c>
      <c r="HW60" s="3">
        <v>0</v>
      </c>
      <c r="HX60" s="3">
        <v>29</v>
      </c>
      <c r="HY60" s="3">
        <v>25</v>
      </c>
      <c r="HZ60" s="3">
        <v>21</v>
      </c>
      <c r="IA60" s="3">
        <v>23</v>
      </c>
      <c r="IB60" s="3">
        <v>44</v>
      </c>
      <c r="IC60" s="3">
        <v>42</v>
      </c>
      <c r="ID60" s="3">
        <v>0</v>
      </c>
      <c r="IE60" s="3">
        <v>45</v>
      </c>
      <c r="IF60" s="3">
        <v>45</v>
      </c>
      <c r="IG60" s="3">
        <v>3</v>
      </c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6"/>
    </row>
    <row r="61" spans="1:258" hidden="1">
      <c r="A61" s="97" t="s">
        <v>25</v>
      </c>
      <c r="B61" s="98" t="s">
        <v>90</v>
      </c>
      <c r="C61" s="98" t="s">
        <v>159</v>
      </c>
      <c r="D61" s="99" t="s">
        <v>1134</v>
      </c>
      <c r="E61" s="98" t="s">
        <v>212</v>
      </c>
      <c r="F61" s="98" t="s">
        <v>213</v>
      </c>
      <c r="G61" s="98" t="s">
        <v>214</v>
      </c>
      <c r="H61" s="98" t="s">
        <v>1449</v>
      </c>
      <c r="I61" s="98" t="s">
        <v>1449</v>
      </c>
      <c r="J61" s="98" t="s">
        <v>1135</v>
      </c>
      <c r="K61" s="98" t="s">
        <v>1127</v>
      </c>
      <c r="L61" s="98" t="s">
        <v>215</v>
      </c>
      <c r="M61" s="101" t="s">
        <v>1093</v>
      </c>
      <c r="N61" s="139">
        <v>44695</v>
      </c>
      <c r="O61" s="100">
        <v>1</v>
      </c>
      <c r="P61" s="69">
        <v>0</v>
      </c>
      <c r="Q61" s="69">
        <f t="shared" si="665"/>
        <v>1</v>
      </c>
      <c r="R61" s="69">
        <f t="shared" si="666"/>
        <v>1</v>
      </c>
      <c r="S61" s="69">
        <f t="shared" si="667"/>
        <v>0</v>
      </c>
      <c r="T61" s="69">
        <f t="shared" si="668"/>
        <v>1</v>
      </c>
      <c r="U61" s="69">
        <f t="shared" si="669"/>
        <v>1</v>
      </c>
      <c r="V61" s="70">
        <f t="shared" si="670"/>
        <v>1</v>
      </c>
      <c r="W61" s="71">
        <f t="shared" si="671"/>
        <v>1</v>
      </c>
      <c r="X61" s="71">
        <f t="shared" si="672"/>
        <v>1</v>
      </c>
      <c r="Y61" s="71">
        <f t="shared" si="673"/>
        <v>0</v>
      </c>
      <c r="Z61" s="71">
        <f t="shared" si="674"/>
        <v>1</v>
      </c>
      <c r="AA61" s="71">
        <f t="shared" si="675"/>
        <v>1</v>
      </c>
      <c r="AB61" s="71">
        <f t="shared" si="676"/>
        <v>1</v>
      </c>
      <c r="AC61" s="71">
        <f t="shared" si="677"/>
        <v>1</v>
      </c>
      <c r="AD61" s="71">
        <f t="shared" si="678"/>
        <v>1</v>
      </c>
      <c r="AE61" s="71">
        <f t="shared" si="679"/>
        <v>1</v>
      </c>
      <c r="AF61" s="71">
        <f t="shared" si="680"/>
        <v>0</v>
      </c>
      <c r="AG61" s="71">
        <f t="shared" si="681"/>
        <v>1</v>
      </c>
      <c r="AH61" s="71">
        <f t="shared" si="682"/>
        <v>1</v>
      </c>
      <c r="AI61" s="71">
        <f t="shared" si="683"/>
        <v>1</v>
      </c>
      <c r="AJ61" s="71">
        <f t="shared" si="684"/>
        <v>0</v>
      </c>
      <c r="AK61" s="71">
        <f t="shared" si="685"/>
        <v>0</v>
      </c>
      <c r="AL61" s="71">
        <f t="shared" si="686"/>
        <v>0</v>
      </c>
      <c r="AM61" s="71">
        <f t="shared" si="687"/>
        <v>0</v>
      </c>
      <c r="AN61" s="71">
        <f t="shared" si="688"/>
        <v>0</v>
      </c>
      <c r="AO61" s="71">
        <f t="shared" si="689"/>
        <v>0</v>
      </c>
      <c r="AP61" s="71">
        <f t="shared" si="690"/>
        <v>0</v>
      </c>
      <c r="AQ61" s="71">
        <f t="shared" si="691"/>
        <v>0</v>
      </c>
      <c r="AR61" s="71">
        <f t="shared" si="692"/>
        <v>0</v>
      </c>
      <c r="AS61" s="71">
        <f t="shared" si="693"/>
        <v>0</v>
      </c>
      <c r="AT61" s="71">
        <f t="shared" si="694"/>
        <v>0</v>
      </c>
      <c r="AU61" s="71">
        <f t="shared" si="695"/>
        <v>0</v>
      </c>
      <c r="AV61" s="71">
        <f t="shared" si="696"/>
        <v>0</v>
      </c>
      <c r="AW61" s="71">
        <f t="shared" si="697"/>
        <v>0</v>
      </c>
      <c r="AX61" s="71">
        <f t="shared" si="698"/>
        <v>0</v>
      </c>
      <c r="AY61" s="71">
        <f t="shared" si="699"/>
        <v>0</v>
      </c>
      <c r="AZ61" s="72">
        <f t="shared" si="700"/>
        <v>0</v>
      </c>
      <c r="BA61" s="70">
        <f t="shared" si="733"/>
        <v>12</v>
      </c>
      <c r="BB61" s="69">
        <f t="shared" ca="1" si="61"/>
        <v>0.92307692307692313</v>
      </c>
      <c r="BC61" s="70">
        <f t="shared" si="701"/>
        <v>15</v>
      </c>
      <c r="BD61" s="71">
        <f t="shared" si="702"/>
        <v>12</v>
      </c>
      <c r="BE61" s="71">
        <f t="shared" si="703"/>
        <v>18</v>
      </c>
      <c r="BF61" s="71">
        <f t="shared" si="704"/>
        <v>0</v>
      </c>
      <c r="BG61" s="71">
        <f t="shared" si="705"/>
        <v>16</v>
      </c>
      <c r="BH61" s="71">
        <f t="shared" si="706"/>
        <v>27</v>
      </c>
      <c r="BI61" s="71">
        <f t="shared" si="707"/>
        <v>17</v>
      </c>
      <c r="BJ61" s="71">
        <f t="shared" si="708"/>
        <v>20</v>
      </c>
      <c r="BK61" s="71">
        <f t="shared" si="709"/>
        <v>43</v>
      </c>
      <c r="BL61" s="71">
        <f t="shared" si="710"/>
        <v>35</v>
      </c>
      <c r="BM61" s="71">
        <f t="shared" si="711"/>
        <v>0</v>
      </c>
      <c r="BN61" s="71">
        <f t="shared" si="712"/>
        <v>34</v>
      </c>
      <c r="BO61" s="71">
        <f t="shared" si="713"/>
        <v>35</v>
      </c>
      <c r="BP61" s="71">
        <f t="shared" si="714"/>
        <v>0</v>
      </c>
      <c r="BQ61" s="71">
        <f t="shared" si="715"/>
        <v>0</v>
      </c>
      <c r="BR61" s="71">
        <f t="shared" si="716"/>
        <v>0</v>
      </c>
      <c r="BS61" s="71">
        <f t="shared" si="717"/>
        <v>0</v>
      </c>
      <c r="BT61" s="71">
        <f t="shared" si="718"/>
        <v>0</v>
      </c>
      <c r="BU61" s="71">
        <f t="shared" si="719"/>
        <v>0</v>
      </c>
      <c r="BV61" s="71">
        <f t="shared" si="720"/>
        <v>0</v>
      </c>
      <c r="BW61" s="71">
        <f t="shared" si="721"/>
        <v>0</v>
      </c>
      <c r="BX61" s="71">
        <f t="shared" si="722"/>
        <v>0</v>
      </c>
      <c r="BY61" s="71">
        <f t="shared" si="723"/>
        <v>0</v>
      </c>
      <c r="BZ61" s="71">
        <f t="shared" si="724"/>
        <v>0</v>
      </c>
      <c r="CA61" s="71">
        <f t="shared" si="725"/>
        <v>0</v>
      </c>
      <c r="CB61" s="71">
        <f t="shared" si="726"/>
        <v>0</v>
      </c>
      <c r="CC61" s="71">
        <f t="shared" si="727"/>
        <v>0</v>
      </c>
      <c r="CD61" s="71">
        <f t="shared" si="728"/>
        <v>0</v>
      </c>
      <c r="CE61" s="71">
        <f t="shared" si="729"/>
        <v>0</v>
      </c>
      <c r="CF61" s="71">
        <f t="shared" si="730"/>
        <v>0</v>
      </c>
      <c r="CG61" s="71">
        <f t="shared" si="731"/>
        <v>0</v>
      </c>
      <c r="CH61" s="70">
        <f t="shared" si="93"/>
        <v>272</v>
      </c>
      <c r="CI61" s="69">
        <f t="shared" ca="1" si="94"/>
        <v>20.923076923076923</v>
      </c>
      <c r="GM61" s="2" t="s">
        <v>16</v>
      </c>
      <c r="GN61" s="98" t="str">
        <f t="shared" si="732"/>
        <v>MPK01-FMCG02-SPO-01</v>
      </c>
      <c r="GO61" s="4">
        <v>1</v>
      </c>
      <c r="GP61" s="3">
        <v>1</v>
      </c>
      <c r="GQ61" s="3">
        <v>1</v>
      </c>
      <c r="GR61" s="3">
        <v>0</v>
      </c>
      <c r="GS61" s="3">
        <v>1</v>
      </c>
      <c r="GT61" s="3">
        <v>1</v>
      </c>
      <c r="GU61" s="3">
        <v>1</v>
      </c>
      <c r="GV61" s="3">
        <v>1</v>
      </c>
      <c r="GW61" s="3">
        <v>1</v>
      </c>
      <c r="GX61" s="3">
        <v>1</v>
      </c>
      <c r="GY61" s="3">
        <v>0</v>
      </c>
      <c r="GZ61" s="3">
        <v>1</v>
      </c>
      <c r="HA61" s="3">
        <v>1</v>
      </c>
      <c r="HB61" s="3">
        <v>1</v>
      </c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6"/>
      <c r="HT61" s="4">
        <v>15</v>
      </c>
      <c r="HU61" s="3">
        <v>12</v>
      </c>
      <c r="HV61" s="3">
        <v>18</v>
      </c>
      <c r="HW61" s="3">
        <v>0</v>
      </c>
      <c r="HX61" s="3">
        <v>16</v>
      </c>
      <c r="HY61" s="3">
        <v>27</v>
      </c>
      <c r="HZ61" s="3">
        <v>17</v>
      </c>
      <c r="IA61" s="3">
        <v>20</v>
      </c>
      <c r="IB61" s="3">
        <v>43</v>
      </c>
      <c r="IC61" s="3">
        <v>35</v>
      </c>
      <c r="ID61" s="3">
        <v>0</v>
      </c>
      <c r="IE61" s="3">
        <v>34</v>
      </c>
      <c r="IF61" s="3">
        <v>35</v>
      </c>
      <c r="IG61" s="3">
        <v>0</v>
      </c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6"/>
    </row>
    <row r="62" spans="1:258" hidden="1">
      <c r="A62" s="97" t="s">
        <v>25</v>
      </c>
      <c r="B62" s="98" t="s">
        <v>90</v>
      </c>
      <c r="C62" s="98" t="s">
        <v>159</v>
      </c>
      <c r="D62" s="99" t="s">
        <v>1134</v>
      </c>
      <c r="E62" s="98" t="s">
        <v>216</v>
      </c>
      <c r="F62" s="98" t="s">
        <v>217</v>
      </c>
      <c r="G62" s="98" t="s">
        <v>218</v>
      </c>
      <c r="H62" s="98" t="s">
        <v>1693</v>
      </c>
      <c r="I62" s="98" t="s">
        <v>1688</v>
      </c>
      <c r="J62" s="98" t="s">
        <v>865</v>
      </c>
      <c r="K62" s="98" t="s">
        <v>1127</v>
      </c>
      <c r="L62" s="98" t="s">
        <v>950</v>
      </c>
      <c r="M62" s="101" t="s">
        <v>1093</v>
      </c>
      <c r="N62" s="139" t="s">
        <v>1708</v>
      </c>
      <c r="O62" s="100">
        <v>1</v>
      </c>
      <c r="P62" s="69">
        <v>1</v>
      </c>
      <c r="Q62" s="69">
        <f t="shared" si="665"/>
        <v>0</v>
      </c>
      <c r="R62" s="69">
        <f t="shared" si="666"/>
        <v>0</v>
      </c>
      <c r="S62" s="69">
        <f t="shared" si="667"/>
        <v>0</v>
      </c>
      <c r="T62" s="69">
        <f t="shared" si="668"/>
        <v>0</v>
      </c>
      <c r="U62" s="69">
        <f t="shared" si="669"/>
        <v>0</v>
      </c>
      <c r="V62" s="70">
        <f t="shared" si="670"/>
        <v>0</v>
      </c>
      <c r="W62" s="71">
        <f t="shared" si="671"/>
        <v>0</v>
      </c>
      <c r="X62" s="71">
        <f t="shared" si="672"/>
        <v>0</v>
      </c>
      <c r="Y62" s="71">
        <f t="shared" si="673"/>
        <v>0</v>
      </c>
      <c r="Z62" s="71">
        <f t="shared" si="674"/>
        <v>0</v>
      </c>
      <c r="AA62" s="71">
        <f t="shared" si="675"/>
        <v>0</v>
      </c>
      <c r="AB62" s="71">
        <f t="shared" si="676"/>
        <v>0</v>
      </c>
      <c r="AC62" s="71">
        <f t="shared" si="677"/>
        <v>0</v>
      </c>
      <c r="AD62" s="71">
        <f t="shared" si="678"/>
        <v>0</v>
      </c>
      <c r="AE62" s="71">
        <f t="shared" si="679"/>
        <v>0</v>
      </c>
      <c r="AF62" s="71">
        <f t="shared" si="680"/>
        <v>0</v>
      </c>
      <c r="AG62" s="71">
        <f t="shared" si="681"/>
        <v>0</v>
      </c>
      <c r="AH62" s="71">
        <f t="shared" si="682"/>
        <v>0</v>
      </c>
      <c r="AI62" s="71">
        <f t="shared" si="683"/>
        <v>0</v>
      </c>
      <c r="AJ62" s="71">
        <f t="shared" si="684"/>
        <v>0</v>
      </c>
      <c r="AK62" s="71">
        <f t="shared" si="685"/>
        <v>0</v>
      </c>
      <c r="AL62" s="71">
        <f t="shared" si="686"/>
        <v>0</v>
      </c>
      <c r="AM62" s="71">
        <f t="shared" si="687"/>
        <v>0</v>
      </c>
      <c r="AN62" s="71">
        <f t="shared" si="688"/>
        <v>0</v>
      </c>
      <c r="AO62" s="71">
        <f t="shared" si="689"/>
        <v>0</v>
      </c>
      <c r="AP62" s="71">
        <f t="shared" si="690"/>
        <v>0</v>
      </c>
      <c r="AQ62" s="71">
        <f t="shared" si="691"/>
        <v>0</v>
      </c>
      <c r="AR62" s="71">
        <f t="shared" si="692"/>
        <v>0</v>
      </c>
      <c r="AS62" s="71">
        <f t="shared" si="693"/>
        <v>0</v>
      </c>
      <c r="AT62" s="71">
        <f t="shared" si="694"/>
        <v>0</v>
      </c>
      <c r="AU62" s="71">
        <f t="shared" si="695"/>
        <v>0</v>
      </c>
      <c r="AV62" s="71">
        <f t="shared" si="696"/>
        <v>0</v>
      </c>
      <c r="AW62" s="71">
        <f t="shared" si="697"/>
        <v>0</v>
      </c>
      <c r="AX62" s="71">
        <f t="shared" si="698"/>
        <v>0</v>
      </c>
      <c r="AY62" s="71">
        <f t="shared" si="699"/>
        <v>0</v>
      </c>
      <c r="AZ62" s="72">
        <f t="shared" si="700"/>
        <v>0</v>
      </c>
      <c r="BA62" s="70">
        <f t="shared" si="733"/>
        <v>0</v>
      </c>
      <c r="BB62" s="69">
        <f t="shared" ca="1" si="61"/>
        <v>0</v>
      </c>
      <c r="BC62" s="70">
        <f t="shared" si="701"/>
        <v>0</v>
      </c>
      <c r="BD62" s="71">
        <f t="shared" si="702"/>
        <v>0</v>
      </c>
      <c r="BE62" s="71">
        <f t="shared" si="703"/>
        <v>0</v>
      </c>
      <c r="BF62" s="71">
        <f t="shared" si="704"/>
        <v>0</v>
      </c>
      <c r="BG62" s="71">
        <f t="shared" si="705"/>
        <v>0</v>
      </c>
      <c r="BH62" s="71">
        <f t="shared" si="706"/>
        <v>0</v>
      </c>
      <c r="BI62" s="71">
        <f t="shared" si="707"/>
        <v>0</v>
      </c>
      <c r="BJ62" s="71">
        <f t="shared" si="708"/>
        <v>0</v>
      </c>
      <c r="BK62" s="71">
        <f t="shared" si="709"/>
        <v>0</v>
      </c>
      <c r="BL62" s="71">
        <f t="shared" si="710"/>
        <v>0</v>
      </c>
      <c r="BM62" s="71">
        <f t="shared" si="711"/>
        <v>0</v>
      </c>
      <c r="BN62" s="71">
        <f t="shared" si="712"/>
        <v>0</v>
      </c>
      <c r="BO62" s="71">
        <f t="shared" si="713"/>
        <v>0</v>
      </c>
      <c r="BP62" s="71">
        <f t="shared" si="714"/>
        <v>0</v>
      </c>
      <c r="BQ62" s="71">
        <f t="shared" si="715"/>
        <v>0</v>
      </c>
      <c r="BR62" s="71">
        <f t="shared" si="716"/>
        <v>0</v>
      </c>
      <c r="BS62" s="71">
        <f t="shared" si="717"/>
        <v>0</v>
      </c>
      <c r="BT62" s="71">
        <f t="shared" si="718"/>
        <v>0</v>
      </c>
      <c r="BU62" s="71">
        <f t="shared" si="719"/>
        <v>0</v>
      </c>
      <c r="BV62" s="71">
        <f t="shared" si="720"/>
        <v>0</v>
      </c>
      <c r="BW62" s="71">
        <f t="shared" si="721"/>
        <v>0</v>
      </c>
      <c r="BX62" s="71">
        <f t="shared" si="722"/>
        <v>0</v>
      </c>
      <c r="BY62" s="71">
        <f t="shared" si="723"/>
        <v>0</v>
      </c>
      <c r="BZ62" s="71">
        <f t="shared" si="724"/>
        <v>0</v>
      </c>
      <c r="CA62" s="71">
        <f t="shared" si="725"/>
        <v>0</v>
      </c>
      <c r="CB62" s="71">
        <f t="shared" si="726"/>
        <v>0</v>
      </c>
      <c r="CC62" s="71">
        <f t="shared" si="727"/>
        <v>0</v>
      </c>
      <c r="CD62" s="71">
        <f t="shared" si="728"/>
        <v>0</v>
      </c>
      <c r="CE62" s="71">
        <f t="shared" si="729"/>
        <v>0</v>
      </c>
      <c r="CF62" s="71">
        <f t="shared" si="730"/>
        <v>0</v>
      </c>
      <c r="CG62" s="71">
        <f t="shared" si="731"/>
        <v>0</v>
      </c>
      <c r="CH62" s="70">
        <f t="shared" si="93"/>
        <v>0</v>
      </c>
      <c r="CI62" s="69">
        <f t="shared" ca="1" si="94"/>
        <v>0</v>
      </c>
      <c r="GM62" s="2" t="s">
        <v>16</v>
      </c>
      <c r="GN62" s="98" t="str">
        <f t="shared" si="732"/>
        <v>MPK01-FMCG02-SPO-02</v>
      </c>
      <c r="GO62" s="4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6"/>
      <c r="HT62" s="4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</v>
      </c>
      <c r="IG62" s="3">
        <v>0</v>
      </c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6"/>
    </row>
    <row r="63" spans="1:258" hidden="1">
      <c r="A63" s="97" t="s">
        <v>1287</v>
      </c>
      <c r="B63" s="98" t="s">
        <v>20</v>
      </c>
      <c r="C63" s="98" t="s">
        <v>159</v>
      </c>
      <c r="D63" s="99" t="s">
        <v>1134</v>
      </c>
      <c r="E63" s="98" t="s">
        <v>1098</v>
      </c>
      <c r="F63" s="98" t="s">
        <v>219</v>
      </c>
      <c r="G63" s="98" t="s">
        <v>220</v>
      </c>
      <c r="H63" s="98" t="s">
        <v>1450</v>
      </c>
      <c r="I63" s="98" t="s">
        <v>1450</v>
      </c>
      <c r="J63" s="98" t="s">
        <v>1137</v>
      </c>
      <c r="K63" s="98" t="s">
        <v>1099</v>
      </c>
      <c r="L63" s="98" t="s">
        <v>1099</v>
      </c>
      <c r="M63" s="98" t="s">
        <v>1099</v>
      </c>
      <c r="N63" s="108">
        <v>45474</v>
      </c>
      <c r="O63" s="100">
        <v>0</v>
      </c>
      <c r="P63" s="69">
        <v>0</v>
      </c>
      <c r="Q63" s="69">
        <f t="shared" si="665"/>
        <v>0</v>
      </c>
      <c r="R63" s="69">
        <f t="shared" si="666"/>
        <v>0</v>
      </c>
      <c r="S63" s="69">
        <f t="shared" si="667"/>
        <v>0</v>
      </c>
      <c r="T63" s="69">
        <f t="shared" si="668"/>
        <v>0</v>
      </c>
      <c r="U63" s="69">
        <f t="shared" si="669"/>
        <v>0</v>
      </c>
      <c r="V63" s="70">
        <f t="shared" si="670"/>
        <v>0</v>
      </c>
      <c r="W63" s="71">
        <f t="shared" si="671"/>
        <v>0</v>
      </c>
      <c r="X63" s="71">
        <f t="shared" si="672"/>
        <v>0</v>
      </c>
      <c r="Y63" s="71">
        <f t="shared" si="673"/>
        <v>0</v>
      </c>
      <c r="Z63" s="71">
        <f t="shared" si="674"/>
        <v>0</v>
      </c>
      <c r="AA63" s="71">
        <f t="shared" si="675"/>
        <v>0</v>
      </c>
      <c r="AB63" s="71">
        <f t="shared" si="676"/>
        <v>0</v>
      </c>
      <c r="AC63" s="71">
        <f t="shared" si="677"/>
        <v>0</v>
      </c>
      <c r="AD63" s="71">
        <f t="shared" si="678"/>
        <v>0</v>
      </c>
      <c r="AE63" s="71">
        <f t="shared" si="679"/>
        <v>0</v>
      </c>
      <c r="AF63" s="71">
        <f t="shared" si="680"/>
        <v>0</v>
      </c>
      <c r="AG63" s="71">
        <f t="shared" si="681"/>
        <v>0</v>
      </c>
      <c r="AH63" s="71">
        <f t="shared" si="682"/>
        <v>0</v>
      </c>
      <c r="AI63" s="71">
        <f t="shared" si="683"/>
        <v>0</v>
      </c>
      <c r="AJ63" s="71">
        <f t="shared" si="684"/>
        <v>0</v>
      </c>
      <c r="AK63" s="71">
        <f t="shared" si="685"/>
        <v>0</v>
      </c>
      <c r="AL63" s="71">
        <f t="shared" si="686"/>
        <v>0</v>
      </c>
      <c r="AM63" s="71">
        <f t="shared" si="687"/>
        <v>0</v>
      </c>
      <c r="AN63" s="71">
        <f t="shared" si="688"/>
        <v>0</v>
      </c>
      <c r="AO63" s="71">
        <f t="shared" si="689"/>
        <v>0</v>
      </c>
      <c r="AP63" s="71">
        <f t="shared" si="690"/>
        <v>0</v>
      </c>
      <c r="AQ63" s="71">
        <f t="shared" si="691"/>
        <v>0</v>
      </c>
      <c r="AR63" s="71">
        <f t="shared" si="692"/>
        <v>0</v>
      </c>
      <c r="AS63" s="71">
        <f t="shared" si="693"/>
        <v>0</v>
      </c>
      <c r="AT63" s="71">
        <f t="shared" si="694"/>
        <v>0</v>
      </c>
      <c r="AU63" s="71">
        <f t="shared" si="695"/>
        <v>0</v>
      </c>
      <c r="AV63" s="71">
        <f t="shared" si="696"/>
        <v>0</v>
      </c>
      <c r="AW63" s="71">
        <f t="shared" si="697"/>
        <v>0</v>
      </c>
      <c r="AX63" s="71">
        <f t="shared" si="698"/>
        <v>0</v>
      </c>
      <c r="AY63" s="71">
        <f t="shared" si="699"/>
        <v>0</v>
      </c>
      <c r="AZ63" s="72">
        <f t="shared" si="700"/>
        <v>0</v>
      </c>
      <c r="BA63" s="70">
        <f t="shared" si="733"/>
        <v>0</v>
      </c>
      <c r="BB63" s="69">
        <f t="shared" ca="1" si="61"/>
        <v>0</v>
      </c>
      <c r="BC63" s="70">
        <f t="shared" si="701"/>
        <v>0</v>
      </c>
      <c r="BD63" s="71">
        <f t="shared" si="702"/>
        <v>0</v>
      </c>
      <c r="BE63" s="71">
        <f t="shared" si="703"/>
        <v>0</v>
      </c>
      <c r="BF63" s="71">
        <f t="shared" si="704"/>
        <v>0</v>
      </c>
      <c r="BG63" s="71">
        <f t="shared" si="705"/>
        <v>0</v>
      </c>
      <c r="BH63" s="71">
        <f t="shared" si="706"/>
        <v>0</v>
      </c>
      <c r="BI63" s="71">
        <f t="shared" si="707"/>
        <v>0</v>
      </c>
      <c r="BJ63" s="71">
        <f t="shared" si="708"/>
        <v>0</v>
      </c>
      <c r="BK63" s="71">
        <f t="shared" si="709"/>
        <v>0</v>
      </c>
      <c r="BL63" s="71">
        <f t="shared" si="710"/>
        <v>0</v>
      </c>
      <c r="BM63" s="71">
        <f t="shared" si="711"/>
        <v>0</v>
      </c>
      <c r="BN63" s="71">
        <f t="shared" si="712"/>
        <v>0</v>
      </c>
      <c r="BO63" s="71">
        <f t="shared" si="713"/>
        <v>0</v>
      </c>
      <c r="BP63" s="71">
        <f t="shared" si="714"/>
        <v>0</v>
      </c>
      <c r="BQ63" s="71">
        <f t="shared" si="715"/>
        <v>0</v>
      </c>
      <c r="BR63" s="71">
        <f t="shared" si="716"/>
        <v>0</v>
      </c>
      <c r="BS63" s="71">
        <f t="shared" si="717"/>
        <v>0</v>
      </c>
      <c r="BT63" s="71">
        <f t="shared" si="718"/>
        <v>0</v>
      </c>
      <c r="BU63" s="71">
        <f t="shared" si="719"/>
        <v>0</v>
      </c>
      <c r="BV63" s="71">
        <f t="shared" si="720"/>
        <v>0</v>
      </c>
      <c r="BW63" s="71">
        <f t="shared" si="721"/>
        <v>0</v>
      </c>
      <c r="BX63" s="71">
        <f t="shared" si="722"/>
        <v>0</v>
      </c>
      <c r="BY63" s="71">
        <f t="shared" si="723"/>
        <v>0</v>
      </c>
      <c r="BZ63" s="71">
        <f t="shared" si="724"/>
        <v>0</v>
      </c>
      <c r="CA63" s="71">
        <f t="shared" si="725"/>
        <v>0</v>
      </c>
      <c r="CB63" s="71">
        <f t="shared" si="726"/>
        <v>0</v>
      </c>
      <c r="CC63" s="71">
        <f t="shared" si="727"/>
        <v>0</v>
      </c>
      <c r="CD63" s="71">
        <f t="shared" si="728"/>
        <v>0</v>
      </c>
      <c r="CE63" s="71">
        <f t="shared" si="729"/>
        <v>0</v>
      </c>
      <c r="CF63" s="71">
        <f t="shared" si="730"/>
        <v>0</v>
      </c>
      <c r="CG63" s="71">
        <f t="shared" si="731"/>
        <v>0</v>
      </c>
      <c r="CH63" s="70">
        <f t="shared" si="93"/>
        <v>0</v>
      </c>
      <c r="CI63" s="69">
        <f t="shared" ca="1" si="94"/>
        <v>0</v>
      </c>
      <c r="GM63" s="2" t="s">
        <v>16</v>
      </c>
      <c r="GN63" s="98" t="str">
        <f t="shared" si="732"/>
        <v>MPK01-FMCG-SPO-00</v>
      </c>
      <c r="GO63" s="4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6"/>
      <c r="HT63" s="4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6"/>
    </row>
    <row r="64" spans="1:258" hidden="1">
      <c r="A64" s="97" t="s">
        <v>1380</v>
      </c>
      <c r="B64" s="98" t="s">
        <v>20</v>
      </c>
      <c r="C64" s="98" t="s">
        <v>159</v>
      </c>
      <c r="D64" s="99" t="s">
        <v>1134</v>
      </c>
      <c r="E64" s="98" t="s">
        <v>221</v>
      </c>
      <c r="F64" s="98" t="s">
        <v>222</v>
      </c>
      <c r="G64" s="98" t="s">
        <v>223</v>
      </c>
      <c r="H64" s="98" t="s">
        <v>1138</v>
      </c>
      <c r="I64" s="98" t="s">
        <v>1138</v>
      </c>
      <c r="J64" s="98" t="s">
        <v>1137</v>
      </c>
      <c r="K64" s="98" t="s">
        <v>1127</v>
      </c>
      <c r="L64" s="98" t="s">
        <v>224</v>
      </c>
      <c r="M64" s="98" t="s">
        <v>52</v>
      </c>
      <c r="N64" s="108">
        <v>45941</v>
      </c>
      <c r="O64" s="100">
        <v>0</v>
      </c>
      <c r="P64" s="69">
        <v>0</v>
      </c>
      <c r="Q64" s="69">
        <f t="shared" si="665"/>
        <v>0</v>
      </c>
      <c r="R64" s="69">
        <f t="shared" si="666"/>
        <v>0</v>
      </c>
      <c r="S64" s="69">
        <f t="shared" si="667"/>
        <v>0</v>
      </c>
      <c r="T64" s="69">
        <f t="shared" si="668"/>
        <v>0</v>
      </c>
      <c r="U64" s="69">
        <f t="shared" si="669"/>
        <v>0</v>
      </c>
      <c r="V64" s="70">
        <f t="shared" si="670"/>
        <v>0</v>
      </c>
      <c r="W64" s="71">
        <f t="shared" si="671"/>
        <v>0</v>
      </c>
      <c r="X64" s="71">
        <f t="shared" si="672"/>
        <v>0</v>
      </c>
      <c r="Y64" s="71">
        <f t="shared" si="673"/>
        <v>0</v>
      </c>
      <c r="Z64" s="71">
        <f t="shared" si="674"/>
        <v>0</v>
      </c>
      <c r="AA64" s="71">
        <f t="shared" si="675"/>
        <v>0</v>
      </c>
      <c r="AB64" s="71">
        <f t="shared" si="676"/>
        <v>0</v>
      </c>
      <c r="AC64" s="71">
        <f t="shared" si="677"/>
        <v>0</v>
      </c>
      <c r="AD64" s="71">
        <f t="shared" si="678"/>
        <v>0</v>
      </c>
      <c r="AE64" s="71">
        <f t="shared" si="679"/>
        <v>0</v>
      </c>
      <c r="AF64" s="71">
        <f t="shared" si="680"/>
        <v>0</v>
      </c>
      <c r="AG64" s="71">
        <f t="shared" si="681"/>
        <v>0</v>
      </c>
      <c r="AH64" s="71">
        <f t="shared" si="682"/>
        <v>0</v>
      </c>
      <c r="AI64" s="71">
        <f t="shared" si="683"/>
        <v>0</v>
      </c>
      <c r="AJ64" s="71">
        <f t="shared" si="684"/>
        <v>0</v>
      </c>
      <c r="AK64" s="71">
        <f t="shared" si="685"/>
        <v>0</v>
      </c>
      <c r="AL64" s="71">
        <f t="shared" si="686"/>
        <v>0</v>
      </c>
      <c r="AM64" s="71">
        <f t="shared" si="687"/>
        <v>0</v>
      </c>
      <c r="AN64" s="71">
        <f t="shared" si="688"/>
        <v>0</v>
      </c>
      <c r="AO64" s="71">
        <f t="shared" si="689"/>
        <v>0</v>
      </c>
      <c r="AP64" s="71">
        <f t="shared" si="690"/>
        <v>0</v>
      </c>
      <c r="AQ64" s="71">
        <f t="shared" si="691"/>
        <v>0</v>
      </c>
      <c r="AR64" s="71">
        <f t="shared" si="692"/>
        <v>0</v>
      </c>
      <c r="AS64" s="71">
        <f t="shared" si="693"/>
        <v>0</v>
      </c>
      <c r="AT64" s="71">
        <f t="shared" si="694"/>
        <v>0</v>
      </c>
      <c r="AU64" s="71">
        <f t="shared" si="695"/>
        <v>0</v>
      </c>
      <c r="AV64" s="71">
        <f t="shared" si="696"/>
        <v>0</v>
      </c>
      <c r="AW64" s="71">
        <f t="shared" si="697"/>
        <v>0</v>
      </c>
      <c r="AX64" s="71">
        <f t="shared" si="698"/>
        <v>0</v>
      </c>
      <c r="AY64" s="71">
        <f t="shared" si="699"/>
        <v>0</v>
      </c>
      <c r="AZ64" s="72">
        <f t="shared" si="700"/>
        <v>0</v>
      </c>
      <c r="BA64" s="70">
        <f t="shared" si="733"/>
        <v>0</v>
      </c>
      <c r="BB64" s="69">
        <f t="shared" ca="1" si="61"/>
        <v>0</v>
      </c>
      <c r="BC64" s="70">
        <f t="shared" si="701"/>
        <v>0</v>
      </c>
      <c r="BD64" s="71">
        <f t="shared" si="702"/>
        <v>0</v>
      </c>
      <c r="BE64" s="71">
        <f t="shared" si="703"/>
        <v>0</v>
      </c>
      <c r="BF64" s="71">
        <f t="shared" si="704"/>
        <v>0</v>
      </c>
      <c r="BG64" s="71">
        <f t="shared" si="705"/>
        <v>0</v>
      </c>
      <c r="BH64" s="71">
        <f t="shared" si="706"/>
        <v>0</v>
      </c>
      <c r="BI64" s="71">
        <f t="shared" si="707"/>
        <v>0</v>
      </c>
      <c r="BJ64" s="71">
        <f t="shared" si="708"/>
        <v>0</v>
      </c>
      <c r="BK64" s="71">
        <f t="shared" si="709"/>
        <v>0</v>
      </c>
      <c r="BL64" s="71">
        <f t="shared" si="710"/>
        <v>0</v>
      </c>
      <c r="BM64" s="71">
        <f t="shared" si="711"/>
        <v>0</v>
      </c>
      <c r="BN64" s="71">
        <f t="shared" si="712"/>
        <v>0</v>
      </c>
      <c r="BO64" s="71">
        <f t="shared" si="713"/>
        <v>0</v>
      </c>
      <c r="BP64" s="71">
        <f t="shared" si="714"/>
        <v>0</v>
      </c>
      <c r="BQ64" s="71">
        <f t="shared" si="715"/>
        <v>0</v>
      </c>
      <c r="BR64" s="71">
        <f t="shared" si="716"/>
        <v>0</v>
      </c>
      <c r="BS64" s="71">
        <f t="shared" si="717"/>
        <v>0</v>
      </c>
      <c r="BT64" s="71">
        <f t="shared" si="718"/>
        <v>0</v>
      </c>
      <c r="BU64" s="71">
        <f t="shared" si="719"/>
        <v>0</v>
      </c>
      <c r="BV64" s="71">
        <f t="shared" si="720"/>
        <v>0</v>
      </c>
      <c r="BW64" s="71">
        <f t="shared" si="721"/>
        <v>0</v>
      </c>
      <c r="BX64" s="71">
        <f t="shared" si="722"/>
        <v>0</v>
      </c>
      <c r="BY64" s="71">
        <f t="shared" si="723"/>
        <v>0</v>
      </c>
      <c r="BZ64" s="71">
        <f t="shared" si="724"/>
        <v>0</v>
      </c>
      <c r="CA64" s="71">
        <f t="shared" si="725"/>
        <v>0</v>
      </c>
      <c r="CB64" s="71">
        <f t="shared" si="726"/>
        <v>0</v>
      </c>
      <c r="CC64" s="71">
        <f t="shared" si="727"/>
        <v>0</v>
      </c>
      <c r="CD64" s="71">
        <f t="shared" si="728"/>
        <v>0</v>
      </c>
      <c r="CE64" s="71">
        <f t="shared" si="729"/>
        <v>0</v>
      </c>
      <c r="CF64" s="71">
        <f t="shared" si="730"/>
        <v>0</v>
      </c>
      <c r="CG64" s="71">
        <f t="shared" si="731"/>
        <v>0</v>
      </c>
      <c r="CH64" s="70">
        <f t="shared" si="93"/>
        <v>0</v>
      </c>
      <c r="CI64" s="69">
        <f t="shared" ca="1" si="94"/>
        <v>0</v>
      </c>
      <c r="GM64" s="2" t="s">
        <v>16</v>
      </c>
      <c r="GN64" s="98" t="str">
        <f t="shared" si="732"/>
        <v>MPK01-FMCG-ASM-01</v>
      </c>
      <c r="GO64" s="4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6"/>
      <c r="HT64" s="4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0</v>
      </c>
      <c r="IE64" s="3">
        <v>0</v>
      </c>
      <c r="IF64" s="3">
        <v>0</v>
      </c>
      <c r="IG64" s="3">
        <v>0</v>
      </c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6"/>
    </row>
    <row r="65" spans="1:258" hidden="1">
      <c r="A65" s="102" t="s">
        <v>53</v>
      </c>
      <c r="B65" s="103" t="s">
        <v>20</v>
      </c>
      <c r="C65" s="103" t="s">
        <v>159</v>
      </c>
      <c r="D65" s="104" t="s">
        <v>1134</v>
      </c>
      <c r="E65" s="103" t="s">
        <v>221</v>
      </c>
      <c r="F65" s="103" t="s">
        <v>222</v>
      </c>
      <c r="G65" s="103" t="s">
        <v>223</v>
      </c>
      <c r="H65" s="103" t="s">
        <v>1138</v>
      </c>
      <c r="I65" s="103" t="s">
        <v>1138</v>
      </c>
      <c r="J65" s="103" t="s">
        <v>1137</v>
      </c>
      <c r="K65" s="103" t="s">
        <v>1127</v>
      </c>
      <c r="L65" s="103" t="s">
        <v>224</v>
      </c>
      <c r="M65" s="103" t="s">
        <v>52</v>
      </c>
      <c r="N65" s="119">
        <v>45941</v>
      </c>
      <c r="O65" s="105">
        <f>+O63+O62+O61+O60+O59</f>
        <v>4</v>
      </c>
      <c r="P65" s="73">
        <f t="shared" ref="P65:CA65" si="734">+P63+P62+P61+P60+P59</f>
        <v>1</v>
      </c>
      <c r="Q65" s="73">
        <f t="shared" si="734"/>
        <v>3</v>
      </c>
      <c r="R65" s="73">
        <f t="shared" si="734"/>
        <v>3</v>
      </c>
      <c r="S65" s="73">
        <f t="shared" si="734"/>
        <v>2</v>
      </c>
      <c r="T65" s="73">
        <f t="shared" si="734"/>
        <v>3</v>
      </c>
      <c r="U65" s="73">
        <f t="shared" si="734"/>
        <v>3</v>
      </c>
      <c r="V65" s="74">
        <f t="shared" si="734"/>
        <v>3</v>
      </c>
      <c r="W65" s="75">
        <f t="shared" si="734"/>
        <v>3</v>
      </c>
      <c r="X65" s="75">
        <f t="shared" si="734"/>
        <v>3</v>
      </c>
      <c r="Y65" s="75">
        <f t="shared" si="734"/>
        <v>0</v>
      </c>
      <c r="Z65" s="75">
        <f t="shared" si="734"/>
        <v>3</v>
      </c>
      <c r="AA65" s="75">
        <f t="shared" si="734"/>
        <v>3</v>
      </c>
      <c r="AB65" s="75">
        <f t="shared" si="734"/>
        <v>3</v>
      </c>
      <c r="AC65" s="75">
        <f t="shared" si="734"/>
        <v>3</v>
      </c>
      <c r="AD65" s="75">
        <f t="shared" si="734"/>
        <v>3</v>
      </c>
      <c r="AE65" s="75">
        <f t="shared" si="734"/>
        <v>3</v>
      </c>
      <c r="AF65" s="75">
        <f t="shared" si="734"/>
        <v>0</v>
      </c>
      <c r="AG65" s="75">
        <f t="shared" si="734"/>
        <v>3</v>
      </c>
      <c r="AH65" s="75">
        <f t="shared" si="734"/>
        <v>3</v>
      </c>
      <c r="AI65" s="75">
        <f t="shared" si="734"/>
        <v>3</v>
      </c>
      <c r="AJ65" s="75">
        <f t="shared" si="734"/>
        <v>0</v>
      </c>
      <c r="AK65" s="75">
        <f t="shared" si="734"/>
        <v>0</v>
      </c>
      <c r="AL65" s="75">
        <f t="shared" si="734"/>
        <v>0</v>
      </c>
      <c r="AM65" s="75">
        <f t="shared" si="734"/>
        <v>0</v>
      </c>
      <c r="AN65" s="75">
        <f t="shared" si="734"/>
        <v>0</v>
      </c>
      <c r="AO65" s="75">
        <f t="shared" si="734"/>
        <v>0</v>
      </c>
      <c r="AP65" s="75">
        <f t="shared" si="734"/>
        <v>0</v>
      </c>
      <c r="AQ65" s="75">
        <f t="shared" si="734"/>
        <v>0</v>
      </c>
      <c r="AR65" s="75">
        <f t="shared" si="734"/>
        <v>0</v>
      </c>
      <c r="AS65" s="75">
        <f t="shared" si="734"/>
        <v>0</v>
      </c>
      <c r="AT65" s="75">
        <f t="shared" si="734"/>
        <v>0</v>
      </c>
      <c r="AU65" s="75">
        <f t="shared" si="734"/>
        <v>0</v>
      </c>
      <c r="AV65" s="75">
        <f t="shared" si="734"/>
        <v>0</v>
      </c>
      <c r="AW65" s="75">
        <f t="shared" si="734"/>
        <v>0</v>
      </c>
      <c r="AX65" s="75">
        <f t="shared" si="734"/>
        <v>0</v>
      </c>
      <c r="AY65" s="75">
        <f t="shared" si="734"/>
        <v>0</v>
      </c>
      <c r="AZ65" s="76">
        <f t="shared" si="734"/>
        <v>0</v>
      </c>
      <c r="BA65" s="74">
        <f t="shared" si="733"/>
        <v>36</v>
      </c>
      <c r="BB65" s="73">
        <f t="shared" ca="1" si="61"/>
        <v>0.92307692307692302</v>
      </c>
      <c r="BC65" s="74">
        <f t="shared" si="734"/>
        <v>54</v>
      </c>
      <c r="BD65" s="75">
        <f t="shared" si="734"/>
        <v>81</v>
      </c>
      <c r="BE65" s="75">
        <f t="shared" si="734"/>
        <v>94</v>
      </c>
      <c r="BF65" s="75">
        <f t="shared" si="734"/>
        <v>0</v>
      </c>
      <c r="BG65" s="75">
        <f t="shared" si="734"/>
        <v>71</v>
      </c>
      <c r="BH65" s="75">
        <f t="shared" si="734"/>
        <v>73</v>
      </c>
      <c r="BI65" s="75">
        <f t="shared" si="734"/>
        <v>57</v>
      </c>
      <c r="BJ65" s="75">
        <f t="shared" si="734"/>
        <v>68</v>
      </c>
      <c r="BK65" s="75">
        <f t="shared" si="734"/>
        <v>129</v>
      </c>
      <c r="BL65" s="75">
        <f t="shared" si="734"/>
        <v>121</v>
      </c>
      <c r="BM65" s="75">
        <f t="shared" si="734"/>
        <v>0</v>
      </c>
      <c r="BN65" s="75">
        <f t="shared" si="734"/>
        <v>120</v>
      </c>
      <c r="BO65" s="75">
        <f t="shared" si="734"/>
        <v>120</v>
      </c>
      <c r="BP65" s="75">
        <f t="shared" si="734"/>
        <v>9</v>
      </c>
      <c r="BQ65" s="75">
        <f t="shared" si="734"/>
        <v>0</v>
      </c>
      <c r="BR65" s="75">
        <f t="shared" si="734"/>
        <v>0</v>
      </c>
      <c r="BS65" s="75">
        <f t="shared" si="734"/>
        <v>0</v>
      </c>
      <c r="BT65" s="75">
        <f t="shared" si="734"/>
        <v>0</v>
      </c>
      <c r="BU65" s="75">
        <f t="shared" si="734"/>
        <v>0</v>
      </c>
      <c r="BV65" s="75">
        <f t="shared" si="734"/>
        <v>0</v>
      </c>
      <c r="BW65" s="75">
        <f t="shared" si="734"/>
        <v>0</v>
      </c>
      <c r="BX65" s="75">
        <f t="shared" si="734"/>
        <v>0</v>
      </c>
      <c r="BY65" s="75">
        <f t="shared" si="734"/>
        <v>0</v>
      </c>
      <c r="BZ65" s="75">
        <f t="shared" si="734"/>
        <v>0</v>
      </c>
      <c r="CA65" s="75">
        <f t="shared" si="734"/>
        <v>0</v>
      </c>
      <c r="CB65" s="75">
        <f t="shared" ref="CB65:CG65" si="735">+CB63+CB62+CB61+CB60+CB59</f>
        <v>0</v>
      </c>
      <c r="CC65" s="75">
        <f t="shared" si="735"/>
        <v>0</v>
      </c>
      <c r="CD65" s="75">
        <f t="shared" si="735"/>
        <v>0</v>
      </c>
      <c r="CE65" s="75">
        <f t="shared" si="735"/>
        <v>0</v>
      </c>
      <c r="CF65" s="75">
        <f t="shared" si="735"/>
        <v>0</v>
      </c>
      <c r="CG65" s="75">
        <f t="shared" si="735"/>
        <v>0</v>
      </c>
      <c r="CH65" s="74">
        <f t="shared" si="93"/>
        <v>997</v>
      </c>
      <c r="CI65" s="73">
        <f t="shared" ca="1" si="94"/>
        <v>25.564102564102566</v>
      </c>
      <c r="GM65" s="2" t="s">
        <v>17</v>
      </c>
      <c r="GN65" s="103" t="str">
        <f t="shared" si="732"/>
        <v>MPK01-FMCG-ASM-01</v>
      </c>
      <c r="GO65" s="4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6"/>
      <c r="HT65" s="4">
        <v>0</v>
      </c>
      <c r="HU65" s="3">
        <v>0</v>
      </c>
      <c r="HV65" s="3">
        <v>0</v>
      </c>
      <c r="HW65" s="3">
        <v>0</v>
      </c>
      <c r="HX65" s="3">
        <v>0</v>
      </c>
      <c r="HY65" s="3">
        <v>0</v>
      </c>
      <c r="HZ65" s="3">
        <v>0</v>
      </c>
      <c r="IA65" s="3">
        <v>0</v>
      </c>
      <c r="IB65" s="3">
        <v>0</v>
      </c>
      <c r="IC65" s="3">
        <v>0</v>
      </c>
      <c r="ID65" s="3">
        <v>0</v>
      </c>
      <c r="IE65" s="3">
        <v>0</v>
      </c>
      <c r="IF65" s="3">
        <v>0</v>
      </c>
      <c r="IG65" s="3">
        <v>0</v>
      </c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6"/>
    </row>
    <row r="66" spans="1:258" hidden="1">
      <c r="A66" s="97" t="s">
        <v>149</v>
      </c>
      <c r="B66" s="98" t="s">
        <v>26</v>
      </c>
      <c r="C66" s="98" t="s">
        <v>159</v>
      </c>
      <c r="D66" s="99" t="s">
        <v>1139</v>
      </c>
      <c r="E66" s="98" t="s">
        <v>1140</v>
      </c>
      <c r="F66" s="98" t="s">
        <v>1141</v>
      </c>
      <c r="G66" s="98" t="s">
        <v>225</v>
      </c>
      <c r="H66" s="98" t="s">
        <v>1451</v>
      </c>
      <c r="I66" s="98" t="s">
        <v>1451</v>
      </c>
      <c r="J66" s="98" t="s">
        <v>1142</v>
      </c>
      <c r="K66" s="98" t="s">
        <v>1127</v>
      </c>
      <c r="L66" s="98" t="s">
        <v>226</v>
      </c>
      <c r="M66" s="101" t="s">
        <v>1093</v>
      </c>
      <c r="N66" s="108">
        <v>43831</v>
      </c>
      <c r="O66" s="100">
        <v>1</v>
      </c>
      <c r="P66" s="69">
        <v>0</v>
      </c>
      <c r="Q66" s="69">
        <f>IFERROR(IF(OR(AI66&gt;0),1,0),0)</f>
        <v>1</v>
      </c>
      <c r="R66" s="69">
        <f>IFERROR(IF(OR(BA66&gt;0),1,0),0)</f>
        <v>1</v>
      </c>
      <c r="S66" s="69">
        <f>IFERROR(IF(OR(BP66&gt;0),1,0),0)</f>
        <v>0</v>
      </c>
      <c r="T66" s="69">
        <f>IFERROR(IF(OR(CH66&gt;0),1,0),0)</f>
        <v>1</v>
      </c>
      <c r="U66" s="69">
        <f>IFERROR(IF(OR(BA66&gt;0,CH66&gt;0),1,0),0)</f>
        <v>1</v>
      </c>
      <c r="V66" s="70">
        <f t="shared" ref="V66" si="736">GO66</f>
        <v>1</v>
      </c>
      <c r="W66" s="71">
        <f t="shared" ref="W66" si="737">GP66</f>
        <v>1</v>
      </c>
      <c r="X66" s="71">
        <f t="shared" ref="X66" si="738">GQ66</f>
        <v>1</v>
      </c>
      <c r="Y66" s="71">
        <f t="shared" ref="Y66" si="739">GR66</f>
        <v>0</v>
      </c>
      <c r="Z66" s="71">
        <f t="shared" ref="Z66" si="740">GS66</f>
        <v>1</v>
      </c>
      <c r="AA66" s="71">
        <f t="shared" ref="AA66" si="741">GT66</f>
        <v>1</v>
      </c>
      <c r="AB66" s="71">
        <f t="shared" ref="AB66" si="742">GU66</f>
        <v>1</v>
      </c>
      <c r="AC66" s="71">
        <f t="shared" ref="AC66" si="743">GV66</f>
        <v>1</v>
      </c>
      <c r="AD66" s="71">
        <f t="shared" ref="AD66" si="744">GW66</f>
        <v>1</v>
      </c>
      <c r="AE66" s="71">
        <f t="shared" ref="AE66" si="745">GX66</f>
        <v>1</v>
      </c>
      <c r="AF66" s="71">
        <f t="shared" ref="AF66" si="746">GY66</f>
        <v>0</v>
      </c>
      <c r="AG66" s="71">
        <f t="shared" ref="AG66" si="747">GZ66</f>
        <v>1</v>
      </c>
      <c r="AH66" s="71">
        <f t="shared" ref="AH66" si="748">HA66</f>
        <v>1</v>
      </c>
      <c r="AI66" s="71">
        <f t="shared" ref="AI66" si="749">HB66</f>
        <v>1</v>
      </c>
      <c r="AJ66" s="71">
        <f t="shared" ref="AJ66" si="750">HC66</f>
        <v>0</v>
      </c>
      <c r="AK66" s="71">
        <f t="shared" ref="AK66" si="751">HD66</f>
        <v>0</v>
      </c>
      <c r="AL66" s="71">
        <f t="shared" ref="AL66" si="752">HE66</f>
        <v>0</v>
      </c>
      <c r="AM66" s="71">
        <f t="shared" ref="AM66" si="753">HF66</f>
        <v>0</v>
      </c>
      <c r="AN66" s="71">
        <f t="shared" ref="AN66" si="754">HG66</f>
        <v>0</v>
      </c>
      <c r="AO66" s="71">
        <f t="shared" ref="AO66" si="755">HH66</f>
        <v>0</v>
      </c>
      <c r="AP66" s="71">
        <f t="shared" ref="AP66" si="756">HI66</f>
        <v>0</v>
      </c>
      <c r="AQ66" s="71">
        <f t="shared" ref="AQ66" si="757">HJ66</f>
        <v>0</v>
      </c>
      <c r="AR66" s="71">
        <f t="shared" ref="AR66" si="758">HK66</f>
        <v>0</v>
      </c>
      <c r="AS66" s="71">
        <f t="shared" ref="AS66" si="759">HL66</f>
        <v>0</v>
      </c>
      <c r="AT66" s="71">
        <f t="shared" ref="AT66" si="760">HM66</f>
        <v>0</v>
      </c>
      <c r="AU66" s="71">
        <f t="shared" ref="AU66" si="761">HN66</f>
        <v>0</v>
      </c>
      <c r="AV66" s="71">
        <f t="shared" ref="AV66" si="762">HO66</f>
        <v>0</v>
      </c>
      <c r="AW66" s="71">
        <f t="shared" ref="AW66" si="763">HP66</f>
        <v>0</v>
      </c>
      <c r="AX66" s="71">
        <f t="shared" ref="AX66" si="764">HQ66</f>
        <v>0</v>
      </c>
      <c r="AY66" s="71">
        <f t="shared" ref="AY66" si="765">HR66</f>
        <v>0</v>
      </c>
      <c r="AZ66" s="72">
        <f t="shared" ref="AZ66" si="766">HS66</f>
        <v>0</v>
      </c>
      <c r="BA66" s="70">
        <f t="shared" si="733"/>
        <v>12</v>
      </c>
      <c r="BB66" s="69">
        <f t="shared" ca="1" si="61"/>
        <v>0.92307692307692313</v>
      </c>
      <c r="BC66" s="70">
        <f t="shared" ref="BC66" si="767">HT66</f>
        <v>0</v>
      </c>
      <c r="BD66" s="71">
        <f t="shared" ref="BD66" si="768">HU66</f>
        <v>1</v>
      </c>
      <c r="BE66" s="71">
        <f t="shared" ref="BE66" si="769">HV66</f>
        <v>0</v>
      </c>
      <c r="BF66" s="71">
        <f t="shared" ref="BF66" si="770">HW66</f>
        <v>0</v>
      </c>
      <c r="BG66" s="71">
        <f t="shared" ref="BG66" si="771">HX66</f>
        <v>0</v>
      </c>
      <c r="BH66" s="71">
        <f t="shared" ref="BH66" si="772">HY66</f>
        <v>1</v>
      </c>
      <c r="BI66" s="71">
        <f t="shared" ref="BI66" si="773">HZ66</f>
        <v>0</v>
      </c>
      <c r="BJ66" s="71">
        <f t="shared" ref="BJ66" si="774">IA66</f>
        <v>1</v>
      </c>
      <c r="BK66" s="71">
        <f t="shared" ref="BK66" si="775">IB66</f>
        <v>0</v>
      </c>
      <c r="BL66" s="71">
        <f t="shared" ref="BL66" si="776">IC66</f>
        <v>0</v>
      </c>
      <c r="BM66" s="71">
        <f t="shared" ref="BM66" si="777">ID66</f>
        <v>0</v>
      </c>
      <c r="BN66" s="71">
        <f t="shared" ref="BN66" si="778">IE66</f>
        <v>0</v>
      </c>
      <c r="BO66" s="71">
        <f t="shared" ref="BO66" si="779">IF66</f>
        <v>0</v>
      </c>
      <c r="BP66" s="71">
        <f t="shared" ref="BP66" si="780">IG66</f>
        <v>0</v>
      </c>
      <c r="BQ66" s="71">
        <f t="shared" ref="BQ66" si="781">IH66</f>
        <v>0</v>
      </c>
      <c r="BR66" s="71">
        <f t="shared" ref="BR66" si="782">II66</f>
        <v>0</v>
      </c>
      <c r="BS66" s="71">
        <f t="shared" ref="BS66" si="783">IJ66</f>
        <v>0</v>
      </c>
      <c r="BT66" s="71">
        <f t="shared" ref="BT66" si="784">IK66</f>
        <v>0</v>
      </c>
      <c r="BU66" s="71">
        <f t="shared" ref="BU66" si="785">IL66</f>
        <v>0</v>
      </c>
      <c r="BV66" s="71">
        <f t="shared" ref="BV66" si="786">IM66</f>
        <v>0</v>
      </c>
      <c r="BW66" s="71">
        <f t="shared" ref="BW66" si="787">IN66</f>
        <v>0</v>
      </c>
      <c r="BX66" s="71">
        <f t="shared" ref="BX66" si="788">IO66</f>
        <v>0</v>
      </c>
      <c r="BY66" s="71">
        <f t="shared" ref="BY66" si="789">IP66</f>
        <v>0</v>
      </c>
      <c r="BZ66" s="71">
        <f t="shared" ref="BZ66" si="790">IQ66</f>
        <v>0</v>
      </c>
      <c r="CA66" s="71">
        <f t="shared" ref="CA66" si="791">IR66</f>
        <v>0</v>
      </c>
      <c r="CB66" s="71">
        <f t="shared" ref="CB66" si="792">IS66</f>
        <v>0</v>
      </c>
      <c r="CC66" s="71">
        <f t="shared" ref="CC66" si="793">IT66</f>
        <v>0</v>
      </c>
      <c r="CD66" s="71">
        <f t="shared" ref="CD66" si="794">IU66</f>
        <v>0</v>
      </c>
      <c r="CE66" s="71">
        <f t="shared" ref="CE66" si="795">IV66</f>
        <v>0</v>
      </c>
      <c r="CF66" s="71">
        <f t="shared" ref="CF66" si="796">IW66</f>
        <v>0</v>
      </c>
      <c r="CG66" s="71">
        <f t="shared" ref="CG66" si="797">IX66</f>
        <v>0</v>
      </c>
      <c r="CH66" s="70">
        <f t="shared" si="93"/>
        <v>3</v>
      </c>
      <c r="CI66" s="69">
        <f t="shared" ca="1" si="94"/>
        <v>0.23076923076923078</v>
      </c>
      <c r="GM66" s="2" t="s">
        <v>16</v>
      </c>
      <c r="GN66" s="98" t="str">
        <f t="shared" si="732"/>
        <v>STH-B-FMCG01-TE-01</v>
      </c>
      <c r="GO66" s="4">
        <v>1</v>
      </c>
      <c r="GP66" s="3">
        <v>1</v>
      </c>
      <c r="GQ66" s="3">
        <v>1</v>
      </c>
      <c r="GR66" s="3">
        <v>0</v>
      </c>
      <c r="GS66" s="3">
        <v>1</v>
      </c>
      <c r="GT66" s="3">
        <v>1</v>
      </c>
      <c r="GU66" s="3">
        <v>1</v>
      </c>
      <c r="GV66" s="3">
        <v>1</v>
      </c>
      <c r="GW66" s="3">
        <v>1</v>
      </c>
      <c r="GX66" s="3">
        <v>1</v>
      </c>
      <c r="GY66" s="3">
        <v>0</v>
      </c>
      <c r="GZ66" s="3">
        <v>1</v>
      </c>
      <c r="HA66" s="3">
        <v>1</v>
      </c>
      <c r="HB66" s="3">
        <v>1</v>
      </c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6"/>
      <c r="HT66" s="4">
        <v>0</v>
      </c>
      <c r="HU66" s="3">
        <v>1</v>
      </c>
      <c r="HV66" s="3">
        <v>0</v>
      </c>
      <c r="HW66" s="3">
        <v>0</v>
      </c>
      <c r="HX66" s="3">
        <v>0</v>
      </c>
      <c r="HY66" s="3">
        <v>1</v>
      </c>
      <c r="HZ66" s="3">
        <v>0</v>
      </c>
      <c r="IA66" s="3">
        <v>1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6"/>
    </row>
    <row r="67" spans="1:258" hidden="1">
      <c r="A67" s="109" t="s">
        <v>158</v>
      </c>
      <c r="B67" s="110" t="s">
        <v>20</v>
      </c>
      <c r="C67" s="110" t="s">
        <v>159</v>
      </c>
      <c r="D67" s="111" t="s">
        <v>231</v>
      </c>
      <c r="E67" s="110" t="s">
        <v>232</v>
      </c>
      <c r="F67" s="110" t="s">
        <v>866</v>
      </c>
      <c r="G67" s="110" t="s">
        <v>233</v>
      </c>
      <c r="H67" s="110" t="s">
        <v>1452</v>
      </c>
      <c r="I67" s="110" t="s">
        <v>1452</v>
      </c>
      <c r="J67" s="110" t="s">
        <v>164</v>
      </c>
      <c r="K67" s="110" t="s">
        <v>31</v>
      </c>
      <c r="L67" s="110" t="s">
        <v>1099</v>
      </c>
      <c r="M67" s="110" t="s">
        <v>52</v>
      </c>
      <c r="N67" s="140" t="s">
        <v>47</v>
      </c>
      <c r="O67" s="112">
        <f>O65+O58+O66</f>
        <v>11</v>
      </c>
      <c r="P67" s="77">
        <f t="shared" ref="P67:CA67" si="798">P65+P58+P66</f>
        <v>2</v>
      </c>
      <c r="Q67" s="77">
        <f t="shared" si="798"/>
        <v>8</v>
      </c>
      <c r="R67" s="77">
        <f t="shared" si="798"/>
        <v>9</v>
      </c>
      <c r="S67" s="77">
        <f t="shared" si="798"/>
        <v>3</v>
      </c>
      <c r="T67" s="77">
        <f t="shared" si="798"/>
        <v>9</v>
      </c>
      <c r="U67" s="77">
        <f t="shared" si="798"/>
        <v>9</v>
      </c>
      <c r="V67" s="78">
        <f t="shared" si="798"/>
        <v>9</v>
      </c>
      <c r="W67" s="79">
        <f t="shared" si="798"/>
        <v>9</v>
      </c>
      <c r="X67" s="79">
        <f t="shared" si="798"/>
        <v>9</v>
      </c>
      <c r="Y67" s="79">
        <f t="shared" si="798"/>
        <v>0</v>
      </c>
      <c r="Z67" s="79">
        <f t="shared" si="798"/>
        <v>9</v>
      </c>
      <c r="AA67" s="79">
        <f t="shared" si="798"/>
        <v>9</v>
      </c>
      <c r="AB67" s="79">
        <f t="shared" si="798"/>
        <v>9</v>
      </c>
      <c r="AC67" s="79">
        <f t="shared" si="798"/>
        <v>9</v>
      </c>
      <c r="AD67" s="79">
        <f t="shared" si="798"/>
        <v>9</v>
      </c>
      <c r="AE67" s="79">
        <f t="shared" si="798"/>
        <v>9</v>
      </c>
      <c r="AF67" s="79">
        <f t="shared" si="798"/>
        <v>0</v>
      </c>
      <c r="AG67" s="79">
        <f t="shared" si="798"/>
        <v>9</v>
      </c>
      <c r="AH67" s="79">
        <f t="shared" si="798"/>
        <v>9</v>
      </c>
      <c r="AI67" s="79">
        <f t="shared" si="798"/>
        <v>8</v>
      </c>
      <c r="AJ67" s="79">
        <f t="shared" si="798"/>
        <v>0</v>
      </c>
      <c r="AK67" s="79">
        <f t="shared" si="798"/>
        <v>0</v>
      </c>
      <c r="AL67" s="79">
        <f t="shared" si="798"/>
        <v>0</v>
      </c>
      <c r="AM67" s="79">
        <f t="shared" si="798"/>
        <v>0</v>
      </c>
      <c r="AN67" s="79">
        <f t="shared" si="798"/>
        <v>0</v>
      </c>
      <c r="AO67" s="79">
        <f t="shared" si="798"/>
        <v>0</v>
      </c>
      <c r="AP67" s="79">
        <f t="shared" si="798"/>
        <v>0</v>
      </c>
      <c r="AQ67" s="79">
        <f t="shared" si="798"/>
        <v>0</v>
      </c>
      <c r="AR67" s="79">
        <f t="shared" si="798"/>
        <v>0</v>
      </c>
      <c r="AS67" s="79">
        <f t="shared" si="798"/>
        <v>0</v>
      </c>
      <c r="AT67" s="79">
        <f t="shared" si="798"/>
        <v>0</v>
      </c>
      <c r="AU67" s="79">
        <f t="shared" si="798"/>
        <v>0</v>
      </c>
      <c r="AV67" s="79">
        <f t="shared" si="798"/>
        <v>0</v>
      </c>
      <c r="AW67" s="79">
        <f t="shared" si="798"/>
        <v>0</v>
      </c>
      <c r="AX67" s="79">
        <f t="shared" si="798"/>
        <v>0</v>
      </c>
      <c r="AY67" s="79">
        <f t="shared" si="798"/>
        <v>0</v>
      </c>
      <c r="AZ67" s="80">
        <f t="shared" si="798"/>
        <v>0</v>
      </c>
      <c r="BA67" s="78">
        <f t="shared" si="798"/>
        <v>107</v>
      </c>
      <c r="BB67" s="77">
        <f t="shared" ca="1" si="61"/>
        <v>0.91452991452991439</v>
      </c>
      <c r="BC67" s="78">
        <f t="shared" si="798"/>
        <v>140</v>
      </c>
      <c r="BD67" s="79">
        <f t="shared" si="798"/>
        <v>205</v>
      </c>
      <c r="BE67" s="79">
        <f t="shared" si="798"/>
        <v>185</v>
      </c>
      <c r="BF67" s="79">
        <f t="shared" si="798"/>
        <v>0</v>
      </c>
      <c r="BG67" s="79">
        <f t="shared" si="798"/>
        <v>168</v>
      </c>
      <c r="BH67" s="79">
        <f t="shared" si="798"/>
        <v>236</v>
      </c>
      <c r="BI67" s="79">
        <f t="shared" si="798"/>
        <v>193</v>
      </c>
      <c r="BJ67" s="79">
        <f t="shared" si="798"/>
        <v>197</v>
      </c>
      <c r="BK67" s="79">
        <f t="shared" si="798"/>
        <v>318</v>
      </c>
      <c r="BL67" s="79">
        <f t="shared" si="798"/>
        <v>294</v>
      </c>
      <c r="BM67" s="79">
        <f t="shared" si="798"/>
        <v>0</v>
      </c>
      <c r="BN67" s="79">
        <f t="shared" si="798"/>
        <v>290</v>
      </c>
      <c r="BO67" s="79">
        <f t="shared" si="798"/>
        <v>267</v>
      </c>
      <c r="BP67" s="79">
        <f t="shared" si="798"/>
        <v>21</v>
      </c>
      <c r="BQ67" s="79">
        <f t="shared" si="798"/>
        <v>0</v>
      </c>
      <c r="BR67" s="79">
        <f t="shared" si="798"/>
        <v>0</v>
      </c>
      <c r="BS67" s="79">
        <f t="shared" si="798"/>
        <v>0</v>
      </c>
      <c r="BT67" s="79">
        <f t="shared" si="798"/>
        <v>0</v>
      </c>
      <c r="BU67" s="79">
        <f t="shared" si="798"/>
        <v>0</v>
      </c>
      <c r="BV67" s="79">
        <f t="shared" si="798"/>
        <v>0</v>
      </c>
      <c r="BW67" s="79">
        <f t="shared" si="798"/>
        <v>0</v>
      </c>
      <c r="BX67" s="79">
        <f t="shared" si="798"/>
        <v>0</v>
      </c>
      <c r="BY67" s="79">
        <f t="shared" si="798"/>
        <v>0</v>
      </c>
      <c r="BZ67" s="79">
        <f t="shared" si="798"/>
        <v>0</v>
      </c>
      <c r="CA67" s="79">
        <f t="shared" si="798"/>
        <v>0</v>
      </c>
      <c r="CB67" s="79">
        <f t="shared" ref="CB67:CG67" si="799">CB65+CB58+CB66</f>
        <v>0</v>
      </c>
      <c r="CC67" s="79">
        <f t="shared" si="799"/>
        <v>0</v>
      </c>
      <c r="CD67" s="79">
        <f t="shared" si="799"/>
        <v>0</v>
      </c>
      <c r="CE67" s="79">
        <f t="shared" si="799"/>
        <v>0</v>
      </c>
      <c r="CF67" s="79">
        <f t="shared" si="799"/>
        <v>0</v>
      </c>
      <c r="CG67" s="79">
        <f t="shared" si="799"/>
        <v>0</v>
      </c>
      <c r="CH67" s="78">
        <f t="shared" si="93"/>
        <v>2514</v>
      </c>
      <c r="CI67" s="77">
        <f t="shared" ca="1" si="94"/>
        <v>21.487179487179489</v>
      </c>
      <c r="GM67" s="2" t="s">
        <v>17</v>
      </c>
      <c r="GN67" s="110" t="str">
        <f t="shared" si="732"/>
        <v>STH-B-FMCG-RSM-01</v>
      </c>
      <c r="GO67" s="4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6"/>
      <c r="HT67" s="4">
        <v>0</v>
      </c>
      <c r="HU67" s="3">
        <v>0</v>
      </c>
      <c r="HV67" s="3">
        <v>0</v>
      </c>
      <c r="HW67" s="3">
        <v>0</v>
      </c>
      <c r="HX67" s="3">
        <v>0</v>
      </c>
      <c r="HY67" s="3">
        <v>0</v>
      </c>
      <c r="HZ67" s="3">
        <v>0</v>
      </c>
      <c r="IA67" s="3">
        <v>0</v>
      </c>
      <c r="IB67" s="3">
        <v>0</v>
      </c>
      <c r="IC67" s="3">
        <v>0</v>
      </c>
      <c r="ID67" s="3">
        <v>0</v>
      </c>
      <c r="IE67" s="3">
        <v>0</v>
      </c>
      <c r="IF67" s="3">
        <v>0</v>
      </c>
      <c r="IG67" s="3">
        <v>0</v>
      </c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6"/>
    </row>
    <row r="68" spans="1:258" hidden="1">
      <c r="A68" s="97" t="s">
        <v>25</v>
      </c>
      <c r="B68" s="98" t="s">
        <v>26</v>
      </c>
      <c r="C68" s="98" t="s">
        <v>227</v>
      </c>
      <c r="D68" s="99" t="s">
        <v>1129</v>
      </c>
      <c r="E68" s="98" t="s">
        <v>1011</v>
      </c>
      <c r="F68" s="98" t="s">
        <v>185</v>
      </c>
      <c r="G68" s="98" t="s">
        <v>186</v>
      </c>
      <c r="H68" s="98" t="s">
        <v>1700</v>
      </c>
      <c r="I68" s="98" t="s">
        <v>1440</v>
      </c>
      <c r="J68" s="98" t="s">
        <v>1130</v>
      </c>
      <c r="K68" s="98" t="s">
        <v>1127</v>
      </c>
      <c r="L68" s="98" t="s">
        <v>950</v>
      </c>
      <c r="M68" s="101" t="s">
        <v>1093</v>
      </c>
      <c r="N68" s="139" t="s">
        <v>1708</v>
      </c>
      <c r="O68" s="100">
        <v>1</v>
      </c>
      <c r="P68" s="69">
        <v>0</v>
      </c>
      <c r="Q68" s="69">
        <f t="shared" ref="Q68:Q75" si="800">IFERROR(IF(OR(AI68&gt;0),1,0),0)</f>
        <v>1</v>
      </c>
      <c r="R68" s="69">
        <f t="shared" ref="R68:R75" si="801">IFERROR(IF(OR(BA68&gt;0),1,0),0)</f>
        <v>1</v>
      </c>
      <c r="S68" s="69">
        <f t="shared" ref="S68:S75" si="802">IFERROR(IF(OR(BP68&gt;0),1,0),0)</f>
        <v>1</v>
      </c>
      <c r="T68" s="69">
        <f t="shared" ref="T68:T75" si="803">IFERROR(IF(OR(CH68&gt;0),1,0),0)</f>
        <v>1</v>
      </c>
      <c r="U68" s="69">
        <f t="shared" ref="U68:U75" si="804">IFERROR(IF(OR(BA68&gt;0,CH68&gt;0),1,0),0)</f>
        <v>1</v>
      </c>
      <c r="V68" s="70">
        <f t="shared" ref="V68:V75" si="805">GO68</f>
        <v>1</v>
      </c>
      <c r="W68" s="71">
        <f t="shared" ref="W68:W75" si="806">GP68</f>
        <v>1</v>
      </c>
      <c r="X68" s="71">
        <f t="shared" ref="X68:X75" si="807">GQ68</f>
        <v>1</v>
      </c>
      <c r="Y68" s="71">
        <f t="shared" ref="Y68:Y75" si="808">GR68</f>
        <v>0</v>
      </c>
      <c r="Z68" s="71">
        <f t="shared" ref="Z68:Z75" si="809">GS68</f>
        <v>1</v>
      </c>
      <c r="AA68" s="71">
        <f t="shared" ref="AA68:AA75" si="810">GT68</f>
        <v>1</v>
      </c>
      <c r="AB68" s="71">
        <f t="shared" ref="AB68:AB75" si="811">GU68</f>
        <v>1</v>
      </c>
      <c r="AC68" s="71">
        <f t="shared" ref="AC68:AC75" si="812">GV68</f>
        <v>1</v>
      </c>
      <c r="AD68" s="71">
        <f t="shared" ref="AD68:AD75" si="813">GW68</f>
        <v>1</v>
      </c>
      <c r="AE68" s="71">
        <f t="shared" ref="AE68:AE75" si="814">GX68</f>
        <v>1</v>
      </c>
      <c r="AF68" s="71">
        <f t="shared" ref="AF68:AF75" si="815">GY68</f>
        <v>0</v>
      </c>
      <c r="AG68" s="71">
        <f t="shared" ref="AG68:AG75" si="816">GZ68</f>
        <v>1</v>
      </c>
      <c r="AH68" s="71">
        <f t="shared" ref="AH68:AH75" si="817">HA68</f>
        <v>1</v>
      </c>
      <c r="AI68" s="71">
        <f t="shared" ref="AI68:AI75" si="818">HB68</f>
        <v>1</v>
      </c>
      <c r="AJ68" s="71">
        <f t="shared" ref="AJ68:AJ75" si="819">HC68</f>
        <v>0</v>
      </c>
      <c r="AK68" s="71">
        <f t="shared" ref="AK68:AK75" si="820">HD68</f>
        <v>0</v>
      </c>
      <c r="AL68" s="71">
        <f t="shared" ref="AL68:AL75" si="821">HE68</f>
        <v>0</v>
      </c>
      <c r="AM68" s="71">
        <f t="shared" ref="AM68:AM75" si="822">HF68</f>
        <v>0</v>
      </c>
      <c r="AN68" s="71">
        <f t="shared" ref="AN68:AN75" si="823">HG68</f>
        <v>0</v>
      </c>
      <c r="AO68" s="71">
        <f t="shared" ref="AO68:AO75" si="824">HH68</f>
        <v>0</v>
      </c>
      <c r="AP68" s="71">
        <f t="shared" ref="AP68:AP75" si="825">HI68</f>
        <v>0</v>
      </c>
      <c r="AQ68" s="71">
        <f t="shared" ref="AQ68:AQ75" si="826">HJ68</f>
        <v>0</v>
      </c>
      <c r="AR68" s="71">
        <f t="shared" ref="AR68:AR75" si="827">HK68</f>
        <v>0</v>
      </c>
      <c r="AS68" s="71">
        <f t="shared" ref="AS68:AS75" si="828">HL68</f>
        <v>0</v>
      </c>
      <c r="AT68" s="71">
        <f t="shared" ref="AT68:AT75" si="829">HM68</f>
        <v>0</v>
      </c>
      <c r="AU68" s="71">
        <f t="shared" ref="AU68:AU75" si="830">HN68</f>
        <v>0</v>
      </c>
      <c r="AV68" s="71">
        <f t="shared" ref="AV68:AV75" si="831">HO68</f>
        <v>0</v>
      </c>
      <c r="AW68" s="71">
        <f t="shared" ref="AW68:AW75" si="832">HP68</f>
        <v>0</v>
      </c>
      <c r="AX68" s="71">
        <f t="shared" ref="AX68:AX75" si="833">HQ68</f>
        <v>0</v>
      </c>
      <c r="AY68" s="71">
        <f t="shared" ref="AY68:AY75" si="834">HR68</f>
        <v>0</v>
      </c>
      <c r="AZ68" s="72">
        <f t="shared" ref="AZ68:AZ75" si="835">HS68</f>
        <v>0</v>
      </c>
      <c r="BA68" s="70">
        <f t="shared" ref="BA68:BA76" si="836">SUM(V68:AZ68)</f>
        <v>12</v>
      </c>
      <c r="BB68" s="69">
        <f t="shared" ca="1" si="61"/>
        <v>0.92307692307692313</v>
      </c>
      <c r="BC68" s="70">
        <f t="shared" ref="BC68:BC75" si="837">HT68</f>
        <v>23</v>
      </c>
      <c r="BD68" s="71">
        <f t="shared" ref="BD68:BD75" si="838">HU68</f>
        <v>4</v>
      </c>
      <c r="BE68" s="71">
        <f t="shared" ref="BE68:BE75" si="839">HV68</f>
        <v>0</v>
      </c>
      <c r="BF68" s="71">
        <f t="shared" ref="BF68:BF75" si="840">HW68</f>
        <v>0</v>
      </c>
      <c r="BG68" s="71">
        <f t="shared" ref="BG68:BG75" si="841">HX68</f>
        <v>12</v>
      </c>
      <c r="BH68" s="71">
        <f t="shared" ref="BH68:BH75" si="842">HY68</f>
        <v>4</v>
      </c>
      <c r="BI68" s="71">
        <f t="shared" ref="BI68:BI75" si="843">HZ68</f>
        <v>0</v>
      </c>
      <c r="BJ68" s="71">
        <f t="shared" ref="BJ68:BJ75" si="844">IA68</f>
        <v>0</v>
      </c>
      <c r="BK68" s="71">
        <f t="shared" ref="BK68:BK75" si="845">IB68</f>
        <v>0</v>
      </c>
      <c r="BL68" s="71">
        <f t="shared" ref="BL68:BL75" si="846">IC68</f>
        <v>6</v>
      </c>
      <c r="BM68" s="71">
        <f t="shared" ref="BM68:BM75" si="847">ID68</f>
        <v>0</v>
      </c>
      <c r="BN68" s="71">
        <f t="shared" ref="BN68:BN75" si="848">IE68</f>
        <v>11</v>
      </c>
      <c r="BO68" s="71">
        <f t="shared" ref="BO68:BO75" si="849">IF68</f>
        <v>0</v>
      </c>
      <c r="BP68" s="71">
        <f t="shared" ref="BP68:BP75" si="850">IG68</f>
        <v>3</v>
      </c>
      <c r="BQ68" s="71">
        <f t="shared" ref="BQ68:BQ75" si="851">IH68</f>
        <v>0</v>
      </c>
      <c r="BR68" s="71">
        <f t="shared" ref="BR68:BR75" si="852">II68</f>
        <v>0</v>
      </c>
      <c r="BS68" s="71">
        <f t="shared" ref="BS68:BS75" si="853">IJ68</f>
        <v>0</v>
      </c>
      <c r="BT68" s="71">
        <f t="shared" ref="BT68:BT75" si="854">IK68</f>
        <v>0</v>
      </c>
      <c r="BU68" s="71">
        <f t="shared" ref="BU68:BU75" si="855">IL68</f>
        <v>0</v>
      </c>
      <c r="BV68" s="71">
        <f t="shared" ref="BV68:BV75" si="856">IM68</f>
        <v>0</v>
      </c>
      <c r="BW68" s="71">
        <f t="shared" ref="BW68:BW75" si="857">IN68</f>
        <v>0</v>
      </c>
      <c r="BX68" s="71">
        <f t="shared" ref="BX68:BX75" si="858">IO68</f>
        <v>0</v>
      </c>
      <c r="BY68" s="71">
        <f t="shared" ref="BY68:BY75" si="859">IP68</f>
        <v>0</v>
      </c>
      <c r="BZ68" s="71">
        <f t="shared" ref="BZ68:BZ75" si="860">IQ68</f>
        <v>0</v>
      </c>
      <c r="CA68" s="71">
        <f t="shared" ref="CA68:CA75" si="861">IR68</f>
        <v>0</v>
      </c>
      <c r="CB68" s="71">
        <f t="shared" ref="CB68:CB75" si="862">IS68</f>
        <v>0</v>
      </c>
      <c r="CC68" s="71">
        <f t="shared" ref="CC68:CC75" si="863">IT68</f>
        <v>0</v>
      </c>
      <c r="CD68" s="71">
        <f t="shared" ref="CD68:CD75" si="864">IU68</f>
        <v>0</v>
      </c>
      <c r="CE68" s="71">
        <f t="shared" ref="CE68:CE75" si="865">IV68</f>
        <v>0</v>
      </c>
      <c r="CF68" s="71">
        <f t="shared" ref="CF68:CF75" si="866">IW68</f>
        <v>0</v>
      </c>
      <c r="CG68" s="71">
        <f t="shared" ref="CG68:CG75" si="867">IX68</f>
        <v>0</v>
      </c>
      <c r="CH68" s="70">
        <f t="shared" si="93"/>
        <v>63</v>
      </c>
      <c r="CI68" s="69">
        <f t="shared" ca="1" si="94"/>
        <v>4.8461538461538458</v>
      </c>
      <c r="GM68" s="2" t="s">
        <v>16</v>
      </c>
      <c r="GN68" s="98" t="str">
        <f t="shared" ref="GN68:GN76" si="868">F68</f>
        <v>NWB01-FMCG01-SPO-01</v>
      </c>
      <c r="GO68" s="4">
        <v>1</v>
      </c>
      <c r="GP68" s="3">
        <v>1</v>
      </c>
      <c r="GQ68" s="3">
        <v>1</v>
      </c>
      <c r="GR68" s="3">
        <v>0</v>
      </c>
      <c r="GS68" s="3">
        <v>1</v>
      </c>
      <c r="GT68" s="3">
        <v>1</v>
      </c>
      <c r="GU68" s="3">
        <v>1</v>
      </c>
      <c r="GV68" s="3">
        <v>1</v>
      </c>
      <c r="GW68" s="3">
        <v>1</v>
      </c>
      <c r="GX68" s="3">
        <v>1</v>
      </c>
      <c r="GY68" s="3">
        <v>0</v>
      </c>
      <c r="GZ68" s="3">
        <v>1</v>
      </c>
      <c r="HA68" s="3">
        <v>1</v>
      </c>
      <c r="HB68" s="3">
        <v>1</v>
      </c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6"/>
      <c r="HT68" s="4">
        <v>23</v>
      </c>
      <c r="HU68" s="3">
        <v>4</v>
      </c>
      <c r="HV68" s="3">
        <v>0</v>
      </c>
      <c r="HW68" s="3">
        <v>0</v>
      </c>
      <c r="HX68" s="3">
        <v>12</v>
      </c>
      <c r="HY68" s="3">
        <v>4</v>
      </c>
      <c r="HZ68" s="3">
        <v>0</v>
      </c>
      <c r="IA68" s="3">
        <v>0</v>
      </c>
      <c r="IB68" s="3">
        <v>0</v>
      </c>
      <c r="IC68" s="3">
        <v>6</v>
      </c>
      <c r="ID68" s="3">
        <v>0</v>
      </c>
      <c r="IE68" s="3">
        <v>11</v>
      </c>
      <c r="IF68" s="3">
        <v>0</v>
      </c>
      <c r="IG68" s="3">
        <v>3</v>
      </c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6"/>
    </row>
    <row r="69" spans="1:258" hidden="1">
      <c r="A69" s="106" t="s">
        <v>25</v>
      </c>
      <c r="B69" s="101" t="s">
        <v>90</v>
      </c>
      <c r="C69" s="98" t="s">
        <v>227</v>
      </c>
      <c r="D69" s="107" t="s">
        <v>1129</v>
      </c>
      <c r="E69" s="101" t="s">
        <v>1012</v>
      </c>
      <c r="F69" s="101" t="s">
        <v>187</v>
      </c>
      <c r="G69" s="98" t="s">
        <v>188</v>
      </c>
      <c r="H69" s="101" t="s">
        <v>1441</v>
      </c>
      <c r="I69" s="101" t="s">
        <v>1441</v>
      </c>
      <c r="J69" s="101" t="s">
        <v>1130</v>
      </c>
      <c r="K69" s="101" t="s">
        <v>1127</v>
      </c>
      <c r="L69" s="101" t="s">
        <v>189</v>
      </c>
      <c r="M69" s="101" t="s">
        <v>1093</v>
      </c>
      <c r="N69" s="139">
        <v>45793</v>
      </c>
      <c r="O69" s="100">
        <v>1</v>
      </c>
      <c r="P69" s="69">
        <v>0</v>
      </c>
      <c r="Q69" s="69">
        <f t="shared" si="800"/>
        <v>1</v>
      </c>
      <c r="R69" s="69">
        <f t="shared" si="801"/>
        <v>1</v>
      </c>
      <c r="S69" s="69">
        <f t="shared" si="802"/>
        <v>0</v>
      </c>
      <c r="T69" s="69">
        <f t="shared" si="803"/>
        <v>1</v>
      </c>
      <c r="U69" s="69">
        <f t="shared" si="804"/>
        <v>1</v>
      </c>
      <c r="V69" s="70">
        <f t="shared" si="805"/>
        <v>1</v>
      </c>
      <c r="W69" s="71">
        <f t="shared" si="806"/>
        <v>1</v>
      </c>
      <c r="X69" s="71">
        <f t="shared" si="807"/>
        <v>1</v>
      </c>
      <c r="Y69" s="71">
        <f t="shared" si="808"/>
        <v>0</v>
      </c>
      <c r="Z69" s="71">
        <f t="shared" si="809"/>
        <v>1</v>
      </c>
      <c r="AA69" s="71">
        <f t="shared" si="810"/>
        <v>1</v>
      </c>
      <c r="AB69" s="71">
        <f t="shared" si="811"/>
        <v>1</v>
      </c>
      <c r="AC69" s="71">
        <f t="shared" si="812"/>
        <v>1</v>
      </c>
      <c r="AD69" s="71">
        <f t="shared" si="813"/>
        <v>1</v>
      </c>
      <c r="AE69" s="71">
        <f t="shared" si="814"/>
        <v>1</v>
      </c>
      <c r="AF69" s="71">
        <f t="shared" si="815"/>
        <v>0</v>
      </c>
      <c r="AG69" s="71">
        <f t="shared" si="816"/>
        <v>1</v>
      </c>
      <c r="AH69" s="71">
        <f t="shared" si="817"/>
        <v>1</v>
      </c>
      <c r="AI69" s="71">
        <f t="shared" si="818"/>
        <v>1</v>
      </c>
      <c r="AJ69" s="71">
        <f t="shared" si="819"/>
        <v>0</v>
      </c>
      <c r="AK69" s="71">
        <f t="shared" si="820"/>
        <v>0</v>
      </c>
      <c r="AL69" s="71">
        <f t="shared" si="821"/>
        <v>0</v>
      </c>
      <c r="AM69" s="71">
        <f t="shared" si="822"/>
        <v>0</v>
      </c>
      <c r="AN69" s="71">
        <f t="shared" si="823"/>
        <v>0</v>
      </c>
      <c r="AO69" s="71">
        <f t="shared" si="824"/>
        <v>0</v>
      </c>
      <c r="AP69" s="71">
        <f t="shared" si="825"/>
        <v>0</v>
      </c>
      <c r="AQ69" s="71">
        <f t="shared" si="826"/>
        <v>0</v>
      </c>
      <c r="AR69" s="71">
        <f t="shared" si="827"/>
        <v>0</v>
      </c>
      <c r="AS69" s="71">
        <f t="shared" si="828"/>
        <v>0</v>
      </c>
      <c r="AT69" s="71">
        <f t="shared" si="829"/>
        <v>0</v>
      </c>
      <c r="AU69" s="71">
        <f t="shared" si="830"/>
        <v>0</v>
      </c>
      <c r="AV69" s="71">
        <f t="shared" si="831"/>
        <v>0</v>
      </c>
      <c r="AW69" s="71">
        <f t="shared" si="832"/>
        <v>0</v>
      </c>
      <c r="AX69" s="71">
        <f t="shared" si="833"/>
        <v>0</v>
      </c>
      <c r="AY69" s="71">
        <f t="shared" si="834"/>
        <v>0</v>
      </c>
      <c r="AZ69" s="72">
        <f t="shared" si="835"/>
        <v>0</v>
      </c>
      <c r="BA69" s="70">
        <f t="shared" si="836"/>
        <v>12</v>
      </c>
      <c r="BB69" s="69">
        <f t="shared" ref="BB69:BB132" ca="1" si="869">IFERROR(BA69/$CK$3/(O69-P69),0)</f>
        <v>0.92307692307692313</v>
      </c>
      <c r="BC69" s="70">
        <f t="shared" si="837"/>
        <v>0</v>
      </c>
      <c r="BD69" s="71">
        <f t="shared" si="838"/>
        <v>12</v>
      </c>
      <c r="BE69" s="71">
        <f t="shared" si="839"/>
        <v>0</v>
      </c>
      <c r="BF69" s="71">
        <f t="shared" si="840"/>
        <v>0</v>
      </c>
      <c r="BG69" s="71">
        <f t="shared" si="841"/>
        <v>21</v>
      </c>
      <c r="BH69" s="71">
        <f t="shared" si="842"/>
        <v>25</v>
      </c>
      <c r="BI69" s="71">
        <f t="shared" si="843"/>
        <v>22</v>
      </c>
      <c r="BJ69" s="71">
        <f t="shared" si="844"/>
        <v>4</v>
      </c>
      <c r="BK69" s="71">
        <f t="shared" si="845"/>
        <v>14</v>
      </c>
      <c r="BL69" s="71">
        <f t="shared" si="846"/>
        <v>21</v>
      </c>
      <c r="BM69" s="71">
        <f t="shared" si="847"/>
        <v>0</v>
      </c>
      <c r="BN69" s="71">
        <f t="shared" si="848"/>
        <v>37</v>
      </c>
      <c r="BO69" s="71">
        <f t="shared" si="849"/>
        <v>28</v>
      </c>
      <c r="BP69" s="71">
        <f t="shared" si="850"/>
        <v>0</v>
      </c>
      <c r="BQ69" s="71">
        <f t="shared" si="851"/>
        <v>0</v>
      </c>
      <c r="BR69" s="71">
        <f t="shared" si="852"/>
        <v>0</v>
      </c>
      <c r="BS69" s="71">
        <f t="shared" si="853"/>
        <v>0</v>
      </c>
      <c r="BT69" s="71">
        <f t="shared" si="854"/>
        <v>0</v>
      </c>
      <c r="BU69" s="71">
        <f t="shared" si="855"/>
        <v>0</v>
      </c>
      <c r="BV69" s="71">
        <f t="shared" si="856"/>
        <v>0</v>
      </c>
      <c r="BW69" s="71">
        <f t="shared" si="857"/>
        <v>0</v>
      </c>
      <c r="BX69" s="71">
        <f t="shared" si="858"/>
        <v>0</v>
      </c>
      <c r="BY69" s="71">
        <f t="shared" si="859"/>
        <v>0</v>
      </c>
      <c r="BZ69" s="71">
        <f t="shared" si="860"/>
        <v>0</v>
      </c>
      <c r="CA69" s="71">
        <f t="shared" si="861"/>
        <v>0</v>
      </c>
      <c r="CB69" s="71">
        <f t="shared" si="862"/>
        <v>0</v>
      </c>
      <c r="CC69" s="71">
        <f t="shared" si="863"/>
        <v>0</v>
      </c>
      <c r="CD69" s="71">
        <f t="shared" si="864"/>
        <v>0</v>
      </c>
      <c r="CE69" s="71">
        <f t="shared" si="865"/>
        <v>0</v>
      </c>
      <c r="CF69" s="71">
        <f t="shared" si="866"/>
        <v>0</v>
      </c>
      <c r="CG69" s="71">
        <f t="shared" si="867"/>
        <v>0</v>
      </c>
      <c r="CH69" s="70">
        <f t="shared" ref="CH69:CH132" si="870">SUM(BC69:CG69)</f>
        <v>184</v>
      </c>
      <c r="CI69" s="69">
        <f t="shared" ref="CI69:CI132" ca="1" si="871">IFERROR(CH69/$CK$3/(O69-P69),0)</f>
        <v>14.153846153846153</v>
      </c>
      <c r="GM69" s="2" t="s">
        <v>16</v>
      </c>
      <c r="GN69" s="101" t="str">
        <f t="shared" si="868"/>
        <v>NWB01-FMCG02-SPO-01</v>
      </c>
      <c r="GO69" s="4">
        <v>1</v>
      </c>
      <c r="GP69" s="3">
        <v>1</v>
      </c>
      <c r="GQ69" s="3">
        <v>1</v>
      </c>
      <c r="GR69" s="3">
        <v>0</v>
      </c>
      <c r="GS69" s="3">
        <v>1</v>
      </c>
      <c r="GT69" s="3">
        <v>1</v>
      </c>
      <c r="GU69" s="3">
        <v>1</v>
      </c>
      <c r="GV69" s="3">
        <v>1</v>
      </c>
      <c r="GW69" s="3">
        <v>1</v>
      </c>
      <c r="GX69" s="3">
        <v>1</v>
      </c>
      <c r="GY69" s="3">
        <v>0</v>
      </c>
      <c r="GZ69" s="3">
        <v>1</v>
      </c>
      <c r="HA69" s="3">
        <v>1</v>
      </c>
      <c r="HB69" s="3">
        <v>1</v>
      </c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6"/>
      <c r="HT69" s="4">
        <v>0</v>
      </c>
      <c r="HU69" s="3">
        <v>12</v>
      </c>
      <c r="HV69" s="3">
        <v>0</v>
      </c>
      <c r="HW69" s="3">
        <v>0</v>
      </c>
      <c r="HX69" s="3">
        <v>21</v>
      </c>
      <c r="HY69" s="3">
        <v>25</v>
      </c>
      <c r="HZ69" s="3">
        <v>22</v>
      </c>
      <c r="IA69" s="3">
        <v>4</v>
      </c>
      <c r="IB69" s="3">
        <v>14</v>
      </c>
      <c r="IC69" s="3">
        <v>21</v>
      </c>
      <c r="ID69" s="3">
        <v>0</v>
      </c>
      <c r="IE69" s="3">
        <v>37</v>
      </c>
      <c r="IF69" s="3">
        <v>28</v>
      </c>
      <c r="IG69" s="3">
        <v>0</v>
      </c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6"/>
    </row>
    <row r="70" spans="1:258" hidden="1">
      <c r="A70" s="97" t="s">
        <v>25</v>
      </c>
      <c r="B70" s="98" t="s">
        <v>20</v>
      </c>
      <c r="C70" s="98" t="s">
        <v>227</v>
      </c>
      <c r="D70" s="99" t="s">
        <v>1129</v>
      </c>
      <c r="E70" s="98" t="s">
        <v>1010</v>
      </c>
      <c r="F70" s="98" t="s">
        <v>946</v>
      </c>
      <c r="G70" s="98" t="s">
        <v>945</v>
      </c>
      <c r="H70" s="98" t="s">
        <v>1675</v>
      </c>
      <c r="I70" s="98" t="s">
        <v>1442</v>
      </c>
      <c r="J70" s="98" t="s">
        <v>1130</v>
      </c>
      <c r="K70" s="98" t="s">
        <v>1127</v>
      </c>
      <c r="L70" s="98" t="s">
        <v>1674</v>
      </c>
      <c r="M70" s="101" t="s">
        <v>1093</v>
      </c>
      <c r="N70" s="139">
        <v>46246</v>
      </c>
      <c r="O70" s="100">
        <v>1</v>
      </c>
      <c r="P70" s="69">
        <v>0</v>
      </c>
      <c r="Q70" s="69">
        <f t="shared" si="800"/>
        <v>1</v>
      </c>
      <c r="R70" s="69">
        <f t="shared" si="801"/>
        <v>1</v>
      </c>
      <c r="S70" s="69">
        <f t="shared" si="802"/>
        <v>0</v>
      </c>
      <c r="T70" s="69">
        <f t="shared" si="803"/>
        <v>1</v>
      </c>
      <c r="U70" s="69">
        <f t="shared" si="804"/>
        <v>1</v>
      </c>
      <c r="V70" s="70">
        <f t="shared" si="805"/>
        <v>1</v>
      </c>
      <c r="W70" s="71">
        <f t="shared" si="806"/>
        <v>1</v>
      </c>
      <c r="X70" s="71">
        <f t="shared" si="807"/>
        <v>1</v>
      </c>
      <c r="Y70" s="71">
        <f t="shared" si="808"/>
        <v>0</v>
      </c>
      <c r="Z70" s="71">
        <f t="shared" si="809"/>
        <v>1</v>
      </c>
      <c r="AA70" s="71">
        <f t="shared" si="810"/>
        <v>1</v>
      </c>
      <c r="AB70" s="71">
        <f t="shared" si="811"/>
        <v>1</v>
      </c>
      <c r="AC70" s="71">
        <f t="shared" si="812"/>
        <v>1</v>
      </c>
      <c r="AD70" s="71">
        <f t="shared" si="813"/>
        <v>1</v>
      </c>
      <c r="AE70" s="71">
        <f t="shared" si="814"/>
        <v>1</v>
      </c>
      <c r="AF70" s="71">
        <f t="shared" si="815"/>
        <v>0</v>
      </c>
      <c r="AG70" s="71">
        <f t="shared" si="816"/>
        <v>1</v>
      </c>
      <c r="AH70" s="71">
        <f t="shared" si="817"/>
        <v>1</v>
      </c>
      <c r="AI70" s="71">
        <f t="shared" si="818"/>
        <v>1</v>
      </c>
      <c r="AJ70" s="71">
        <f t="shared" si="819"/>
        <v>0</v>
      </c>
      <c r="AK70" s="71">
        <f t="shared" si="820"/>
        <v>0</v>
      </c>
      <c r="AL70" s="71">
        <f t="shared" si="821"/>
        <v>0</v>
      </c>
      <c r="AM70" s="71">
        <f t="shared" si="822"/>
        <v>0</v>
      </c>
      <c r="AN70" s="71">
        <f t="shared" si="823"/>
        <v>0</v>
      </c>
      <c r="AO70" s="71">
        <f t="shared" si="824"/>
        <v>0</v>
      </c>
      <c r="AP70" s="71">
        <f t="shared" si="825"/>
        <v>0</v>
      </c>
      <c r="AQ70" s="71">
        <f t="shared" si="826"/>
        <v>0</v>
      </c>
      <c r="AR70" s="71">
        <f t="shared" si="827"/>
        <v>0</v>
      </c>
      <c r="AS70" s="71">
        <f t="shared" si="828"/>
        <v>0</v>
      </c>
      <c r="AT70" s="71">
        <f t="shared" si="829"/>
        <v>0</v>
      </c>
      <c r="AU70" s="71">
        <f t="shared" si="830"/>
        <v>0</v>
      </c>
      <c r="AV70" s="71">
        <f t="shared" si="831"/>
        <v>0</v>
      </c>
      <c r="AW70" s="71">
        <f t="shared" si="832"/>
        <v>0</v>
      </c>
      <c r="AX70" s="71">
        <f t="shared" si="833"/>
        <v>0</v>
      </c>
      <c r="AY70" s="71">
        <f t="shared" si="834"/>
        <v>0</v>
      </c>
      <c r="AZ70" s="72">
        <f t="shared" si="835"/>
        <v>0</v>
      </c>
      <c r="BA70" s="70">
        <f t="shared" si="836"/>
        <v>12</v>
      </c>
      <c r="BB70" s="69">
        <f t="shared" ca="1" si="869"/>
        <v>0.92307692307692313</v>
      </c>
      <c r="BC70" s="70">
        <f t="shared" si="837"/>
        <v>0</v>
      </c>
      <c r="BD70" s="71">
        <f t="shared" si="838"/>
        <v>0</v>
      </c>
      <c r="BE70" s="71">
        <f t="shared" si="839"/>
        <v>1</v>
      </c>
      <c r="BF70" s="71">
        <f t="shared" si="840"/>
        <v>0</v>
      </c>
      <c r="BG70" s="71">
        <f t="shared" si="841"/>
        <v>0</v>
      </c>
      <c r="BH70" s="71">
        <f t="shared" si="842"/>
        <v>0</v>
      </c>
      <c r="BI70" s="71">
        <f t="shared" si="843"/>
        <v>0</v>
      </c>
      <c r="BJ70" s="71">
        <f t="shared" si="844"/>
        <v>0</v>
      </c>
      <c r="BK70" s="71">
        <f t="shared" si="845"/>
        <v>0</v>
      </c>
      <c r="BL70" s="71">
        <f t="shared" si="846"/>
        <v>0</v>
      </c>
      <c r="BM70" s="71">
        <f t="shared" si="847"/>
        <v>0</v>
      </c>
      <c r="BN70" s="71">
        <f t="shared" si="848"/>
        <v>0</v>
      </c>
      <c r="BO70" s="71">
        <f t="shared" si="849"/>
        <v>0</v>
      </c>
      <c r="BP70" s="71">
        <f t="shared" si="850"/>
        <v>0</v>
      </c>
      <c r="BQ70" s="71">
        <f t="shared" si="851"/>
        <v>0</v>
      </c>
      <c r="BR70" s="71">
        <f t="shared" si="852"/>
        <v>0</v>
      </c>
      <c r="BS70" s="71">
        <f t="shared" si="853"/>
        <v>0</v>
      </c>
      <c r="BT70" s="71">
        <f t="shared" si="854"/>
        <v>0</v>
      </c>
      <c r="BU70" s="71">
        <f t="shared" si="855"/>
        <v>0</v>
      </c>
      <c r="BV70" s="71">
        <f t="shared" si="856"/>
        <v>0</v>
      </c>
      <c r="BW70" s="71">
        <f t="shared" si="857"/>
        <v>0</v>
      </c>
      <c r="BX70" s="71">
        <f t="shared" si="858"/>
        <v>0</v>
      </c>
      <c r="BY70" s="71">
        <f t="shared" si="859"/>
        <v>0</v>
      </c>
      <c r="BZ70" s="71">
        <f t="shared" si="860"/>
        <v>0</v>
      </c>
      <c r="CA70" s="71">
        <f t="shared" si="861"/>
        <v>0</v>
      </c>
      <c r="CB70" s="71">
        <f t="shared" si="862"/>
        <v>0</v>
      </c>
      <c r="CC70" s="71">
        <f t="shared" si="863"/>
        <v>0</v>
      </c>
      <c r="CD70" s="71">
        <f t="shared" si="864"/>
        <v>0</v>
      </c>
      <c r="CE70" s="71">
        <f t="shared" si="865"/>
        <v>0</v>
      </c>
      <c r="CF70" s="71">
        <f t="shared" si="866"/>
        <v>0</v>
      </c>
      <c r="CG70" s="71">
        <f t="shared" si="867"/>
        <v>0</v>
      </c>
      <c r="CH70" s="70">
        <f t="shared" si="870"/>
        <v>1</v>
      </c>
      <c r="CI70" s="69">
        <f t="shared" ca="1" si="871"/>
        <v>7.6923076923076927E-2</v>
      </c>
      <c r="GM70" s="2" t="s">
        <v>16</v>
      </c>
      <c r="GN70" s="98" t="str">
        <f t="shared" si="868"/>
        <v>NWB01-FMCG03-SPO-01</v>
      </c>
      <c r="GO70" s="4">
        <v>1</v>
      </c>
      <c r="GP70" s="3">
        <v>1</v>
      </c>
      <c r="GQ70" s="3">
        <v>1</v>
      </c>
      <c r="GR70" s="3">
        <v>0</v>
      </c>
      <c r="GS70" s="3">
        <v>1</v>
      </c>
      <c r="GT70" s="3">
        <v>1</v>
      </c>
      <c r="GU70" s="3">
        <v>1</v>
      </c>
      <c r="GV70" s="3">
        <v>1</v>
      </c>
      <c r="GW70" s="3">
        <v>1</v>
      </c>
      <c r="GX70" s="3">
        <v>1</v>
      </c>
      <c r="GY70" s="3">
        <v>0</v>
      </c>
      <c r="GZ70" s="3">
        <v>1</v>
      </c>
      <c r="HA70" s="3">
        <v>1</v>
      </c>
      <c r="HB70" s="3">
        <v>1</v>
      </c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6"/>
      <c r="HT70" s="4">
        <v>0</v>
      </c>
      <c r="HU70" s="3">
        <v>0</v>
      </c>
      <c r="HV70" s="3">
        <v>1</v>
      </c>
      <c r="HW70" s="3">
        <v>0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3">
        <v>0</v>
      </c>
      <c r="ID70" s="3">
        <v>0</v>
      </c>
      <c r="IE70" s="3">
        <v>0</v>
      </c>
      <c r="IF70" s="3">
        <v>0</v>
      </c>
      <c r="IG70" s="3">
        <v>0</v>
      </c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6"/>
    </row>
    <row r="71" spans="1:258" hidden="1">
      <c r="A71" s="97" t="s">
        <v>25</v>
      </c>
      <c r="B71" s="98" t="s">
        <v>20</v>
      </c>
      <c r="C71" s="98" t="s">
        <v>227</v>
      </c>
      <c r="D71" s="99" t="s">
        <v>1129</v>
      </c>
      <c r="E71" s="98" t="s">
        <v>190</v>
      </c>
      <c r="F71" s="98" t="s">
        <v>191</v>
      </c>
      <c r="G71" s="98" t="s">
        <v>192</v>
      </c>
      <c r="H71" s="98" t="s">
        <v>1443</v>
      </c>
      <c r="I71" s="98" t="s">
        <v>1443</v>
      </c>
      <c r="J71" s="98" t="s">
        <v>1131</v>
      </c>
      <c r="K71" s="98" t="s">
        <v>1127</v>
      </c>
      <c r="L71" s="98" t="s">
        <v>193</v>
      </c>
      <c r="M71" s="101" t="s">
        <v>1093</v>
      </c>
      <c r="N71" s="139">
        <v>45558</v>
      </c>
      <c r="O71" s="100">
        <v>1</v>
      </c>
      <c r="P71" s="69">
        <v>0</v>
      </c>
      <c r="Q71" s="69">
        <f t="shared" si="800"/>
        <v>1</v>
      </c>
      <c r="R71" s="69">
        <f t="shared" si="801"/>
        <v>1</v>
      </c>
      <c r="S71" s="69">
        <f t="shared" si="802"/>
        <v>1</v>
      </c>
      <c r="T71" s="69">
        <f t="shared" si="803"/>
        <v>1</v>
      </c>
      <c r="U71" s="69">
        <f t="shared" si="804"/>
        <v>1</v>
      </c>
      <c r="V71" s="70">
        <f t="shared" si="805"/>
        <v>1</v>
      </c>
      <c r="W71" s="71">
        <f t="shared" si="806"/>
        <v>1</v>
      </c>
      <c r="X71" s="71">
        <f t="shared" si="807"/>
        <v>1</v>
      </c>
      <c r="Y71" s="71">
        <f t="shared" si="808"/>
        <v>0</v>
      </c>
      <c r="Z71" s="71">
        <f t="shared" si="809"/>
        <v>1</v>
      </c>
      <c r="AA71" s="71">
        <f t="shared" si="810"/>
        <v>1</v>
      </c>
      <c r="AB71" s="71">
        <f t="shared" si="811"/>
        <v>1</v>
      </c>
      <c r="AC71" s="71">
        <f t="shared" si="812"/>
        <v>1</v>
      </c>
      <c r="AD71" s="71">
        <f t="shared" si="813"/>
        <v>1</v>
      </c>
      <c r="AE71" s="71">
        <f t="shared" si="814"/>
        <v>1</v>
      </c>
      <c r="AF71" s="71">
        <f t="shared" si="815"/>
        <v>0</v>
      </c>
      <c r="AG71" s="71">
        <f t="shared" si="816"/>
        <v>1</v>
      </c>
      <c r="AH71" s="71">
        <f t="shared" si="817"/>
        <v>1</v>
      </c>
      <c r="AI71" s="71">
        <f t="shared" si="818"/>
        <v>1</v>
      </c>
      <c r="AJ71" s="71">
        <f t="shared" si="819"/>
        <v>0</v>
      </c>
      <c r="AK71" s="71">
        <f t="shared" si="820"/>
        <v>0</v>
      </c>
      <c r="AL71" s="71">
        <f t="shared" si="821"/>
        <v>0</v>
      </c>
      <c r="AM71" s="71">
        <f t="shared" si="822"/>
        <v>0</v>
      </c>
      <c r="AN71" s="71">
        <f t="shared" si="823"/>
        <v>0</v>
      </c>
      <c r="AO71" s="71">
        <f t="shared" si="824"/>
        <v>0</v>
      </c>
      <c r="AP71" s="71">
        <f t="shared" si="825"/>
        <v>0</v>
      </c>
      <c r="AQ71" s="71">
        <f t="shared" si="826"/>
        <v>0</v>
      </c>
      <c r="AR71" s="71">
        <f t="shared" si="827"/>
        <v>0</v>
      </c>
      <c r="AS71" s="71">
        <f t="shared" si="828"/>
        <v>0</v>
      </c>
      <c r="AT71" s="71">
        <f t="shared" si="829"/>
        <v>0</v>
      </c>
      <c r="AU71" s="71">
        <f t="shared" si="830"/>
        <v>0</v>
      </c>
      <c r="AV71" s="71">
        <f t="shared" si="831"/>
        <v>0</v>
      </c>
      <c r="AW71" s="71">
        <f t="shared" si="832"/>
        <v>0</v>
      </c>
      <c r="AX71" s="71">
        <f t="shared" si="833"/>
        <v>0</v>
      </c>
      <c r="AY71" s="71">
        <f t="shared" si="834"/>
        <v>0</v>
      </c>
      <c r="AZ71" s="72">
        <f t="shared" si="835"/>
        <v>0</v>
      </c>
      <c r="BA71" s="70">
        <f t="shared" si="836"/>
        <v>12</v>
      </c>
      <c r="BB71" s="69">
        <f t="shared" ca="1" si="869"/>
        <v>0.92307692307692313</v>
      </c>
      <c r="BC71" s="70">
        <f t="shared" si="837"/>
        <v>18</v>
      </c>
      <c r="BD71" s="71">
        <f t="shared" si="838"/>
        <v>16</v>
      </c>
      <c r="BE71" s="71">
        <f t="shared" si="839"/>
        <v>11</v>
      </c>
      <c r="BF71" s="71">
        <f t="shared" si="840"/>
        <v>0</v>
      </c>
      <c r="BG71" s="71">
        <f t="shared" si="841"/>
        <v>15</v>
      </c>
      <c r="BH71" s="71">
        <f t="shared" si="842"/>
        <v>17</v>
      </c>
      <c r="BI71" s="71">
        <f t="shared" si="843"/>
        <v>23</v>
      </c>
      <c r="BJ71" s="71">
        <f t="shared" si="844"/>
        <v>11</v>
      </c>
      <c r="BK71" s="71">
        <f t="shared" si="845"/>
        <v>6</v>
      </c>
      <c r="BL71" s="71">
        <f t="shared" si="846"/>
        <v>27</v>
      </c>
      <c r="BM71" s="71">
        <f t="shared" si="847"/>
        <v>0</v>
      </c>
      <c r="BN71" s="71">
        <f t="shared" si="848"/>
        <v>15</v>
      </c>
      <c r="BO71" s="71">
        <f t="shared" si="849"/>
        <v>12</v>
      </c>
      <c r="BP71" s="71">
        <f t="shared" si="850"/>
        <v>1</v>
      </c>
      <c r="BQ71" s="71">
        <f t="shared" si="851"/>
        <v>0</v>
      </c>
      <c r="BR71" s="71">
        <f t="shared" si="852"/>
        <v>0</v>
      </c>
      <c r="BS71" s="71">
        <f t="shared" si="853"/>
        <v>0</v>
      </c>
      <c r="BT71" s="71">
        <f t="shared" si="854"/>
        <v>0</v>
      </c>
      <c r="BU71" s="71">
        <f t="shared" si="855"/>
        <v>0</v>
      </c>
      <c r="BV71" s="71">
        <f t="shared" si="856"/>
        <v>0</v>
      </c>
      <c r="BW71" s="71">
        <f t="shared" si="857"/>
        <v>0</v>
      </c>
      <c r="BX71" s="71">
        <f t="shared" si="858"/>
        <v>0</v>
      </c>
      <c r="BY71" s="71">
        <f t="shared" si="859"/>
        <v>0</v>
      </c>
      <c r="BZ71" s="71">
        <f t="shared" si="860"/>
        <v>0</v>
      </c>
      <c r="CA71" s="71">
        <f t="shared" si="861"/>
        <v>0</v>
      </c>
      <c r="CB71" s="71">
        <f t="shared" si="862"/>
        <v>0</v>
      </c>
      <c r="CC71" s="71">
        <f t="shared" si="863"/>
        <v>0</v>
      </c>
      <c r="CD71" s="71">
        <f t="shared" si="864"/>
        <v>0</v>
      </c>
      <c r="CE71" s="71">
        <f t="shared" si="865"/>
        <v>0</v>
      </c>
      <c r="CF71" s="71">
        <f t="shared" si="866"/>
        <v>0</v>
      </c>
      <c r="CG71" s="71">
        <f t="shared" si="867"/>
        <v>0</v>
      </c>
      <c r="CH71" s="70">
        <f t="shared" si="870"/>
        <v>172</v>
      </c>
      <c r="CI71" s="69">
        <f t="shared" ca="1" si="871"/>
        <v>13.23076923076923</v>
      </c>
      <c r="GM71" s="2" t="s">
        <v>16</v>
      </c>
      <c r="GN71" s="98" t="str">
        <f t="shared" si="868"/>
        <v>NWB01-FMCG-SPO-01</v>
      </c>
      <c r="GO71" s="4">
        <v>1</v>
      </c>
      <c r="GP71" s="3">
        <v>1</v>
      </c>
      <c r="GQ71" s="3">
        <v>1</v>
      </c>
      <c r="GR71" s="3">
        <v>0</v>
      </c>
      <c r="GS71" s="3">
        <v>1</v>
      </c>
      <c r="GT71" s="3">
        <v>1</v>
      </c>
      <c r="GU71" s="3">
        <v>1</v>
      </c>
      <c r="GV71" s="3">
        <v>1</v>
      </c>
      <c r="GW71" s="3">
        <v>1</v>
      </c>
      <c r="GX71" s="3">
        <v>1</v>
      </c>
      <c r="GY71" s="3">
        <v>0</v>
      </c>
      <c r="GZ71" s="3">
        <v>1</v>
      </c>
      <c r="HA71" s="3">
        <v>1</v>
      </c>
      <c r="HB71" s="3">
        <v>1</v>
      </c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6"/>
      <c r="HT71" s="4">
        <v>18</v>
      </c>
      <c r="HU71" s="3">
        <v>16</v>
      </c>
      <c r="HV71" s="3">
        <v>11</v>
      </c>
      <c r="HW71" s="3">
        <v>0</v>
      </c>
      <c r="HX71" s="3">
        <v>15</v>
      </c>
      <c r="HY71" s="3">
        <v>17</v>
      </c>
      <c r="HZ71" s="3">
        <v>23</v>
      </c>
      <c r="IA71" s="3">
        <v>11</v>
      </c>
      <c r="IB71" s="3">
        <v>6</v>
      </c>
      <c r="IC71" s="3">
        <v>27</v>
      </c>
      <c r="ID71" s="3">
        <v>0</v>
      </c>
      <c r="IE71" s="3">
        <v>15</v>
      </c>
      <c r="IF71" s="3">
        <v>12</v>
      </c>
      <c r="IG71" s="3">
        <v>1</v>
      </c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6"/>
    </row>
    <row r="72" spans="1:258" hidden="1">
      <c r="A72" s="97" t="s">
        <v>25</v>
      </c>
      <c r="B72" s="98" t="s">
        <v>20</v>
      </c>
      <c r="C72" s="98" t="s">
        <v>227</v>
      </c>
      <c r="D72" s="99" t="s">
        <v>1129</v>
      </c>
      <c r="E72" s="98" t="s">
        <v>194</v>
      </c>
      <c r="F72" s="98" t="s">
        <v>195</v>
      </c>
      <c r="G72" s="98" t="s">
        <v>196</v>
      </c>
      <c r="H72" s="98" t="s">
        <v>1444</v>
      </c>
      <c r="I72" s="98" t="s">
        <v>1444</v>
      </c>
      <c r="J72" s="98" t="s">
        <v>1132</v>
      </c>
      <c r="K72" s="98" t="s">
        <v>1127</v>
      </c>
      <c r="L72" s="98" t="s">
        <v>197</v>
      </c>
      <c r="M72" s="101" t="s">
        <v>1093</v>
      </c>
      <c r="N72" s="108">
        <v>45488</v>
      </c>
      <c r="O72" s="100">
        <v>1</v>
      </c>
      <c r="P72" s="69">
        <v>0</v>
      </c>
      <c r="Q72" s="69">
        <f t="shared" si="800"/>
        <v>1</v>
      </c>
      <c r="R72" s="69">
        <f t="shared" si="801"/>
        <v>1</v>
      </c>
      <c r="S72" s="69">
        <f t="shared" si="802"/>
        <v>0</v>
      </c>
      <c r="T72" s="69">
        <f t="shared" si="803"/>
        <v>1</v>
      </c>
      <c r="U72" s="69">
        <f t="shared" si="804"/>
        <v>1</v>
      </c>
      <c r="V72" s="70">
        <f t="shared" si="805"/>
        <v>1</v>
      </c>
      <c r="W72" s="71">
        <f t="shared" si="806"/>
        <v>1</v>
      </c>
      <c r="X72" s="71">
        <f t="shared" si="807"/>
        <v>1</v>
      </c>
      <c r="Y72" s="71">
        <f t="shared" si="808"/>
        <v>0</v>
      </c>
      <c r="Z72" s="71">
        <f t="shared" si="809"/>
        <v>1</v>
      </c>
      <c r="AA72" s="71">
        <f t="shared" si="810"/>
        <v>1</v>
      </c>
      <c r="AB72" s="71">
        <f t="shared" si="811"/>
        <v>1</v>
      </c>
      <c r="AC72" s="71">
        <f t="shared" si="812"/>
        <v>1</v>
      </c>
      <c r="AD72" s="71">
        <f t="shared" si="813"/>
        <v>1</v>
      </c>
      <c r="AE72" s="71">
        <f t="shared" si="814"/>
        <v>1</v>
      </c>
      <c r="AF72" s="71">
        <f t="shared" si="815"/>
        <v>0</v>
      </c>
      <c r="AG72" s="71">
        <f t="shared" si="816"/>
        <v>1</v>
      </c>
      <c r="AH72" s="71">
        <f t="shared" si="817"/>
        <v>1</v>
      </c>
      <c r="AI72" s="71">
        <f t="shared" si="818"/>
        <v>1</v>
      </c>
      <c r="AJ72" s="71">
        <f t="shared" si="819"/>
        <v>0</v>
      </c>
      <c r="AK72" s="71">
        <f t="shared" si="820"/>
        <v>0</v>
      </c>
      <c r="AL72" s="71">
        <f t="shared" si="821"/>
        <v>0</v>
      </c>
      <c r="AM72" s="71">
        <f t="shared" si="822"/>
        <v>0</v>
      </c>
      <c r="AN72" s="71">
        <f t="shared" si="823"/>
        <v>0</v>
      </c>
      <c r="AO72" s="71">
        <f t="shared" si="824"/>
        <v>0</v>
      </c>
      <c r="AP72" s="71">
        <f t="shared" si="825"/>
        <v>0</v>
      </c>
      <c r="AQ72" s="71">
        <f t="shared" si="826"/>
        <v>0</v>
      </c>
      <c r="AR72" s="71">
        <f t="shared" si="827"/>
        <v>0</v>
      </c>
      <c r="AS72" s="71">
        <f t="shared" si="828"/>
        <v>0</v>
      </c>
      <c r="AT72" s="71">
        <f t="shared" si="829"/>
        <v>0</v>
      </c>
      <c r="AU72" s="71">
        <f t="shared" si="830"/>
        <v>0</v>
      </c>
      <c r="AV72" s="71">
        <f t="shared" si="831"/>
        <v>0</v>
      </c>
      <c r="AW72" s="71">
        <f t="shared" si="832"/>
        <v>0</v>
      </c>
      <c r="AX72" s="71">
        <f t="shared" si="833"/>
        <v>0</v>
      </c>
      <c r="AY72" s="71">
        <f t="shared" si="834"/>
        <v>0</v>
      </c>
      <c r="AZ72" s="72">
        <f t="shared" si="835"/>
        <v>0</v>
      </c>
      <c r="BA72" s="70">
        <f t="shared" si="836"/>
        <v>12</v>
      </c>
      <c r="BB72" s="69">
        <f t="shared" ca="1" si="869"/>
        <v>0.92307692307692313</v>
      </c>
      <c r="BC72" s="70">
        <f t="shared" si="837"/>
        <v>1</v>
      </c>
      <c r="BD72" s="71">
        <f t="shared" si="838"/>
        <v>0</v>
      </c>
      <c r="BE72" s="71">
        <f t="shared" si="839"/>
        <v>1</v>
      </c>
      <c r="BF72" s="71">
        <f t="shared" si="840"/>
        <v>0</v>
      </c>
      <c r="BG72" s="71">
        <f t="shared" si="841"/>
        <v>0</v>
      </c>
      <c r="BH72" s="71">
        <f t="shared" si="842"/>
        <v>1</v>
      </c>
      <c r="BI72" s="71">
        <f t="shared" si="843"/>
        <v>0</v>
      </c>
      <c r="BJ72" s="71">
        <f t="shared" si="844"/>
        <v>1</v>
      </c>
      <c r="BK72" s="71">
        <f t="shared" si="845"/>
        <v>0</v>
      </c>
      <c r="BL72" s="71">
        <f t="shared" si="846"/>
        <v>0</v>
      </c>
      <c r="BM72" s="71">
        <f t="shared" si="847"/>
        <v>0</v>
      </c>
      <c r="BN72" s="71">
        <f t="shared" si="848"/>
        <v>0</v>
      </c>
      <c r="BO72" s="71">
        <f t="shared" si="849"/>
        <v>0</v>
      </c>
      <c r="BP72" s="71">
        <f t="shared" si="850"/>
        <v>0</v>
      </c>
      <c r="BQ72" s="71">
        <f t="shared" si="851"/>
        <v>0</v>
      </c>
      <c r="BR72" s="71">
        <f t="shared" si="852"/>
        <v>0</v>
      </c>
      <c r="BS72" s="71">
        <f t="shared" si="853"/>
        <v>0</v>
      </c>
      <c r="BT72" s="71">
        <f t="shared" si="854"/>
        <v>0</v>
      </c>
      <c r="BU72" s="71">
        <f t="shared" si="855"/>
        <v>0</v>
      </c>
      <c r="BV72" s="71">
        <f t="shared" si="856"/>
        <v>0</v>
      </c>
      <c r="BW72" s="71">
        <f t="shared" si="857"/>
        <v>0</v>
      </c>
      <c r="BX72" s="71">
        <f t="shared" si="858"/>
        <v>0</v>
      </c>
      <c r="BY72" s="71">
        <f t="shared" si="859"/>
        <v>0</v>
      </c>
      <c r="BZ72" s="71">
        <f t="shared" si="860"/>
        <v>0</v>
      </c>
      <c r="CA72" s="71">
        <f t="shared" si="861"/>
        <v>0</v>
      </c>
      <c r="CB72" s="71">
        <f t="shared" si="862"/>
        <v>0</v>
      </c>
      <c r="CC72" s="71">
        <f t="shared" si="863"/>
        <v>0</v>
      </c>
      <c r="CD72" s="71">
        <f t="shared" si="864"/>
        <v>0</v>
      </c>
      <c r="CE72" s="71">
        <f t="shared" si="865"/>
        <v>0</v>
      </c>
      <c r="CF72" s="71">
        <f t="shared" si="866"/>
        <v>0</v>
      </c>
      <c r="CG72" s="71">
        <f t="shared" si="867"/>
        <v>0</v>
      </c>
      <c r="CH72" s="70">
        <f t="shared" si="870"/>
        <v>4</v>
      </c>
      <c r="CI72" s="69">
        <f t="shared" ca="1" si="871"/>
        <v>0.30769230769230771</v>
      </c>
      <c r="GM72" s="2" t="s">
        <v>16</v>
      </c>
      <c r="GN72" s="98" t="str">
        <f t="shared" si="868"/>
        <v>NWB01-FMCG-SPO-02</v>
      </c>
      <c r="GO72" s="4">
        <v>1</v>
      </c>
      <c r="GP72" s="3">
        <v>1</v>
      </c>
      <c r="GQ72" s="3">
        <v>1</v>
      </c>
      <c r="GR72" s="3">
        <v>0</v>
      </c>
      <c r="GS72" s="3">
        <v>1</v>
      </c>
      <c r="GT72" s="3">
        <v>1</v>
      </c>
      <c r="GU72" s="3">
        <v>1</v>
      </c>
      <c r="GV72" s="3">
        <v>1</v>
      </c>
      <c r="GW72" s="3">
        <v>1</v>
      </c>
      <c r="GX72" s="3">
        <v>1</v>
      </c>
      <c r="GY72" s="3">
        <v>0</v>
      </c>
      <c r="GZ72" s="3">
        <v>1</v>
      </c>
      <c r="HA72" s="3">
        <v>1</v>
      </c>
      <c r="HB72" s="3">
        <v>1</v>
      </c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6"/>
      <c r="HT72" s="4">
        <v>1</v>
      </c>
      <c r="HU72" s="3">
        <v>0</v>
      </c>
      <c r="HV72" s="3">
        <v>1</v>
      </c>
      <c r="HW72" s="3">
        <v>0</v>
      </c>
      <c r="HX72" s="3">
        <v>0</v>
      </c>
      <c r="HY72" s="3">
        <v>1</v>
      </c>
      <c r="HZ72" s="3">
        <v>0</v>
      </c>
      <c r="IA72" s="3">
        <v>1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6"/>
    </row>
    <row r="73" spans="1:258" hidden="1">
      <c r="A73" s="97" t="s">
        <v>25</v>
      </c>
      <c r="B73" s="98" t="s">
        <v>20</v>
      </c>
      <c r="C73" s="98" t="s">
        <v>227</v>
      </c>
      <c r="D73" s="99" t="s">
        <v>1129</v>
      </c>
      <c r="E73" s="98" t="s">
        <v>198</v>
      </c>
      <c r="F73" s="98" t="s">
        <v>199</v>
      </c>
      <c r="G73" s="98" t="s">
        <v>200</v>
      </c>
      <c r="H73" s="98" t="s">
        <v>1445</v>
      </c>
      <c r="I73" s="98" t="s">
        <v>1445</v>
      </c>
      <c r="J73" s="98" t="s">
        <v>893</v>
      </c>
      <c r="K73" s="98" t="s">
        <v>1127</v>
      </c>
      <c r="L73" s="98" t="s">
        <v>201</v>
      </c>
      <c r="M73" s="101" t="s">
        <v>1093</v>
      </c>
      <c r="N73" s="139">
        <v>45880</v>
      </c>
      <c r="O73" s="100">
        <v>1</v>
      </c>
      <c r="P73" s="69">
        <v>0</v>
      </c>
      <c r="Q73" s="69">
        <f t="shared" si="800"/>
        <v>1</v>
      </c>
      <c r="R73" s="69">
        <f t="shared" si="801"/>
        <v>1</v>
      </c>
      <c r="S73" s="69">
        <f t="shared" si="802"/>
        <v>1</v>
      </c>
      <c r="T73" s="69">
        <f t="shared" si="803"/>
        <v>1</v>
      </c>
      <c r="U73" s="69">
        <f t="shared" si="804"/>
        <v>1</v>
      </c>
      <c r="V73" s="70">
        <f t="shared" si="805"/>
        <v>1</v>
      </c>
      <c r="W73" s="71">
        <f t="shared" si="806"/>
        <v>1</v>
      </c>
      <c r="X73" s="71">
        <f t="shared" si="807"/>
        <v>1</v>
      </c>
      <c r="Y73" s="71">
        <f t="shared" si="808"/>
        <v>0</v>
      </c>
      <c r="Z73" s="71">
        <f t="shared" si="809"/>
        <v>1</v>
      </c>
      <c r="AA73" s="71">
        <f t="shared" si="810"/>
        <v>1</v>
      </c>
      <c r="AB73" s="71">
        <f t="shared" si="811"/>
        <v>1</v>
      </c>
      <c r="AC73" s="71">
        <f t="shared" si="812"/>
        <v>1</v>
      </c>
      <c r="AD73" s="71">
        <f t="shared" si="813"/>
        <v>1</v>
      </c>
      <c r="AE73" s="71">
        <f t="shared" si="814"/>
        <v>1</v>
      </c>
      <c r="AF73" s="71">
        <f t="shared" si="815"/>
        <v>0</v>
      </c>
      <c r="AG73" s="71">
        <f t="shared" si="816"/>
        <v>1</v>
      </c>
      <c r="AH73" s="71">
        <f t="shared" si="817"/>
        <v>1</v>
      </c>
      <c r="AI73" s="71">
        <f t="shared" si="818"/>
        <v>1</v>
      </c>
      <c r="AJ73" s="71">
        <f t="shared" si="819"/>
        <v>0</v>
      </c>
      <c r="AK73" s="71">
        <f t="shared" si="820"/>
        <v>0</v>
      </c>
      <c r="AL73" s="71">
        <f t="shared" si="821"/>
        <v>0</v>
      </c>
      <c r="AM73" s="71">
        <f t="shared" si="822"/>
        <v>0</v>
      </c>
      <c r="AN73" s="71">
        <f t="shared" si="823"/>
        <v>0</v>
      </c>
      <c r="AO73" s="71">
        <f t="shared" si="824"/>
        <v>0</v>
      </c>
      <c r="AP73" s="71">
        <f t="shared" si="825"/>
        <v>0</v>
      </c>
      <c r="AQ73" s="71">
        <f t="shared" si="826"/>
        <v>0</v>
      </c>
      <c r="AR73" s="71">
        <f t="shared" si="827"/>
        <v>0</v>
      </c>
      <c r="AS73" s="71">
        <f t="shared" si="828"/>
        <v>0</v>
      </c>
      <c r="AT73" s="71">
        <f t="shared" si="829"/>
        <v>0</v>
      </c>
      <c r="AU73" s="71">
        <f t="shared" si="830"/>
        <v>0</v>
      </c>
      <c r="AV73" s="71">
        <f t="shared" si="831"/>
        <v>0</v>
      </c>
      <c r="AW73" s="71">
        <f t="shared" si="832"/>
        <v>0</v>
      </c>
      <c r="AX73" s="71">
        <f t="shared" si="833"/>
        <v>0</v>
      </c>
      <c r="AY73" s="71">
        <f t="shared" si="834"/>
        <v>0</v>
      </c>
      <c r="AZ73" s="72">
        <f t="shared" si="835"/>
        <v>0</v>
      </c>
      <c r="BA73" s="70">
        <f t="shared" si="836"/>
        <v>12</v>
      </c>
      <c r="BB73" s="69">
        <f t="shared" ca="1" si="869"/>
        <v>0.92307692307692313</v>
      </c>
      <c r="BC73" s="70">
        <f t="shared" si="837"/>
        <v>0</v>
      </c>
      <c r="BD73" s="71">
        <f t="shared" si="838"/>
        <v>26</v>
      </c>
      <c r="BE73" s="71">
        <f t="shared" si="839"/>
        <v>0</v>
      </c>
      <c r="BF73" s="71">
        <f t="shared" si="840"/>
        <v>0</v>
      </c>
      <c r="BG73" s="71">
        <f t="shared" si="841"/>
        <v>5</v>
      </c>
      <c r="BH73" s="71">
        <f t="shared" si="842"/>
        <v>2</v>
      </c>
      <c r="BI73" s="71">
        <f t="shared" si="843"/>
        <v>3</v>
      </c>
      <c r="BJ73" s="71">
        <f t="shared" si="844"/>
        <v>9</v>
      </c>
      <c r="BK73" s="71">
        <f t="shared" si="845"/>
        <v>0</v>
      </c>
      <c r="BL73" s="71">
        <f t="shared" si="846"/>
        <v>0</v>
      </c>
      <c r="BM73" s="71">
        <f t="shared" si="847"/>
        <v>0</v>
      </c>
      <c r="BN73" s="71">
        <f t="shared" si="848"/>
        <v>8</v>
      </c>
      <c r="BO73" s="71">
        <f t="shared" si="849"/>
        <v>16</v>
      </c>
      <c r="BP73" s="71">
        <f t="shared" si="850"/>
        <v>1</v>
      </c>
      <c r="BQ73" s="71">
        <f t="shared" si="851"/>
        <v>0</v>
      </c>
      <c r="BR73" s="71">
        <f t="shared" si="852"/>
        <v>0</v>
      </c>
      <c r="BS73" s="71">
        <f t="shared" si="853"/>
        <v>0</v>
      </c>
      <c r="BT73" s="71">
        <f t="shared" si="854"/>
        <v>0</v>
      </c>
      <c r="BU73" s="71">
        <f t="shared" si="855"/>
        <v>0</v>
      </c>
      <c r="BV73" s="71">
        <f t="shared" si="856"/>
        <v>0</v>
      </c>
      <c r="BW73" s="71">
        <f t="shared" si="857"/>
        <v>0</v>
      </c>
      <c r="BX73" s="71">
        <f t="shared" si="858"/>
        <v>0</v>
      </c>
      <c r="BY73" s="71">
        <f t="shared" si="859"/>
        <v>0</v>
      </c>
      <c r="BZ73" s="71">
        <f t="shared" si="860"/>
        <v>0</v>
      </c>
      <c r="CA73" s="71">
        <f t="shared" si="861"/>
        <v>0</v>
      </c>
      <c r="CB73" s="71">
        <f t="shared" si="862"/>
        <v>0</v>
      </c>
      <c r="CC73" s="71">
        <f t="shared" si="863"/>
        <v>0</v>
      </c>
      <c r="CD73" s="71">
        <f t="shared" si="864"/>
        <v>0</v>
      </c>
      <c r="CE73" s="71">
        <f t="shared" si="865"/>
        <v>0</v>
      </c>
      <c r="CF73" s="71">
        <f t="shared" si="866"/>
        <v>0</v>
      </c>
      <c r="CG73" s="71">
        <f t="shared" si="867"/>
        <v>0</v>
      </c>
      <c r="CH73" s="70">
        <f t="shared" si="870"/>
        <v>70</v>
      </c>
      <c r="CI73" s="69">
        <f t="shared" ca="1" si="871"/>
        <v>5.384615384615385</v>
      </c>
      <c r="GM73" s="2" t="s">
        <v>16</v>
      </c>
      <c r="GN73" s="98" t="str">
        <f t="shared" si="868"/>
        <v>NWB01-FMCG-SPO-03</v>
      </c>
      <c r="GO73" s="4">
        <v>1</v>
      </c>
      <c r="GP73" s="3">
        <v>1</v>
      </c>
      <c r="GQ73" s="3">
        <v>1</v>
      </c>
      <c r="GR73" s="3">
        <v>0</v>
      </c>
      <c r="GS73" s="3">
        <v>1</v>
      </c>
      <c r="GT73" s="3">
        <v>1</v>
      </c>
      <c r="GU73" s="3">
        <v>1</v>
      </c>
      <c r="GV73" s="3">
        <v>1</v>
      </c>
      <c r="GW73" s="3">
        <v>1</v>
      </c>
      <c r="GX73" s="3">
        <v>1</v>
      </c>
      <c r="GY73" s="3">
        <v>0</v>
      </c>
      <c r="GZ73" s="3">
        <v>1</v>
      </c>
      <c r="HA73" s="3">
        <v>1</v>
      </c>
      <c r="HB73" s="3">
        <v>1</v>
      </c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6"/>
      <c r="HT73" s="4">
        <v>0</v>
      </c>
      <c r="HU73" s="3">
        <v>26</v>
      </c>
      <c r="HV73" s="3">
        <v>0</v>
      </c>
      <c r="HW73" s="3">
        <v>0</v>
      </c>
      <c r="HX73" s="3">
        <v>5</v>
      </c>
      <c r="HY73" s="3">
        <v>2</v>
      </c>
      <c r="HZ73" s="3">
        <v>3</v>
      </c>
      <c r="IA73" s="3">
        <v>9</v>
      </c>
      <c r="IB73" s="3">
        <v>0</v>
      </c>
      <c r="IC73" s="3">
        <v>0</v>
      </c>
      <c r="ID73" s="3">
        <v>0</v>
      </c>
      <c r="IE73" s="3">
        <v>8</v>
      </c>
      <c r="IF73" s="3">
        <v>16</v>
      </c>
      <c r="IG73" s="3">
        <v>1</v>
      </c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6"/>
    </row>
    <row r="74" spans="1:258" hidden="1">
      <c r="A74" s="97" t="s">
        <v>1287</v>
      </c>
      <c r="B74" s="98" t="s">
        <v>20</v>
      </c>
      <c r="C74" s="98" t="s">
        <v>227</v>
      </c>
      <c r="D74" s="99" t="s">
        <v>1129</v>
      </c>
      <c r="E74" s="98" t="s">
        <v>1098</v>
      </c>
      <c r="F74" s="98" t="s">
        <v>895</v>
      </c>
      <c r="G74" s="98" t="s">
        <v>894</v>
      </c>
      <c r="H74" s="98" t="s">
        <v>1446</v>
      </c>
      <c r="I74" s="98" t="s">
        <v>1446</v>
      </c>
      <c r="J74" s="98" t="s">
        <v>1130</v>
      </c>
      <c r="K74" s="98" t="s">
        <v>1099</v>
      </c>
      <c r="L74" s="98" t="s">
        <v>1099</v>
      </c>
      <c r="M74" s="101" t="s">
        <v>1099</v>
      </c>
      <c r="N74" s="108">
        <v>45474</v>
      </c>
      <c r="O74" s="100">
        <v>0</v>
      </c>
      <c r="P74" s="69">
        <v>0</v>
      </c>
      <c r="Q74" s="69">
        <f t="shared" si="800"/>
        <v>0</v>
      </c>
      <c r="R74" s="69">
        <f t="shared" si="801"/>
        <v>0</v>
      </c>
      <c r="S74" s="69">
        <f t="shared" si="802"/>
        <v>0</v>
      </c>
      <c r="T74" s="69">
        <f t="shared" si="803"/>
        <v>0</v>
      </c>
      <c r="U74" s="69">
        <f t="shared" si="804"/>
        <v>0</v>
      </c>
      <c r="V74" s="70">
        <f t="shared" si="805"/>
        <v>0</v>
      </c>
      <c r="W74" s="71">
        <f t="shared" si="806"/>
        <v>0</v>
      </c>
      <c r="X74" s="71">
        <f t="shared" si="807"/>
        <v>0</v>
      </c>
      <c r="Y74" s="71">
        <f t="shared" si="808"/>
        <v>0</v>
      </c>
      <c r="Z74" s="71">
        <f t="shared" si="809"/>
        <v>0</v>
      </c>
      <c r="AA74" s="71">
        <f t="shared" si="810"/>
        <v>0</v>
      </c>
      <c r="AB74" s="71">
        <f t="shared" si="811"/>
        <v>0</v>
      </c>
      <c r="AC74" s="71">
        <f t="shared" si="812"/>
        <v>0</v>
      </c>
      <c r="AD74" s="71">
        <f t="shared" si="813"/>
        <v>0</v>
      </c>
      <c r="AE74" s="71">
        <f t="shared" si="814"/>
        <v>0</v>
      </c>
      <c r="AF74" s="71">
        <f t="shared" si="815"/>
        <v>0</v>
      </c>
      <c r="AG74" s="71">
        <f t="shared" si="816"/>
        <v>0</v>
      </c>
      <c r="AH74" s="71">
        <f t="shared" si="817"/>
        <v>0</v>
      </c>
      <c r="AI74" s="71">
        <f t="shared" si="818"/>
        <v>0</v>
      </c>
      <c r="AJ74" s="71">
        <f t="shared" si="819"/>
        <v>0</v>
      </c>
      <c r="AK74" s="71">
        <f t="shared" si="820"/>
        <v>0</v>
      </c>
      <c r="AL74" s="71">
        <f t="shared" si="821"/>
        <v>0</v>
      </c>
      <c r="AM74" s="71">
        <f t="shared" si="822"/>
        <v>0</v>
      </c>
      <c r="AN74" s="71">
        <f t="shared" si="823"/>
        <v>0</v>
      </c>
      <c r="AO74" s="71">
        <f t="shared" si="824"/>
        <v>0</v>
      </c>
      <c r="AP74" s="71">
        <f t="shared" si="825"/>
        <v>0</v>
      </c>
      <c r="AQ74" s="71">
        <f t="shared" si="826"/>
        <v>0</v>
      </c>
      <c r="AR74" s="71">
        <f t="shared" si="827"/>
        <v>0</v>
      </c>
      <c r="AS74" s="71">
        <f t="shared" si="828"/>
        <v>0</v>
      </c>
      <c r="AT74" s="71">
        <f t="shared" si="829"/>
        <v>0</v>
      </c>
      <c r="AU74" s="71">
        <f t="shared" si="830"/>
        <v>0</v>
      </c>
      <c r="AV74" s="71">
        <f t="shared" si="831"/>
        <v>0</v>
      </c>
      <c r="AW74" s="71">
        <f t="shared" si="832"/>
        <v>0</v>
      </c>
      <c r="AX74" s="71">
        <f t="shared" si="833"/>
        <v>0</v>
      </c>
      <c r="AY74" s="71">
        <f t="shared" si="834"/>
        <v>0</v>
      </c>
      <c r="AZ74" s="72">
        <f t="shared" si="835"/>
        <v>0</v>
      </c>
      <c r="BA74" s="70">
        <f t="shared" si="836"/>
        <v>0</v>
      </c>
      <c r="BB74" s="69">
        <f t="shared" ca="1" si="869"/>
        <v>0</v>
      </c>
      <c r="BC74" s="70">
        <f t="shared" si="837"/>
        <v>0</v>
      </c>
      <c r="BD74" s="71">
        <f t="shared" si="838"/>
        <v>0</v>
      </c>
      <c r="BE74" s="71">
        <f t="shared" si="839"/>
        <v>0</v>
      </c>
      <c r="BF74" s="71">
        <f t="shared" si="840"/>
        <v>0</v>
      </c>
      <c r="BG74" s="71">
        <f t="shared" si="841"/>
        <v>0</v>
      </c>
      <c r="BH74" s="71">
        <f t="shared" si="842"/>
        <v>0</v>
      </c>
      <c r="BI74" s="71">
        <f t="shared" si="843"/>
        <v>0</v>
      </c>
      <c r="BJ74" s="71">
        <f t="shared" si="844"/>
        <v>0</v>
      </c>
      <c r="BK74" s="71">
        <f t="shared" si="845"/>
        <v>0</v>
      </c>
      <c r="BL74" s="71">
        <f t="shared" si="846"/>
        <v>0</v>
      </c>
      <c r="BM74" s="71">
        <f t="shared" si="847"/>
        <v>0</v>
      </c>
      <c r="BN74" s="71">
        <f t="shared" si="848"/>
        <v>0</v>
      </c>
      <c r="BO74" s="71">
        <f t="shared" si="849"/>
        <v>0</v>
      </c>
      <c r="BP74" s="71">
        <f t="shared" si="850"/>
        <v>0</v>
      </c>
      <c r="BQ74" s="71">
        <f t="shared" si="851"/>
        <v>0</v>
      </c>
      <c r="BR74" s="71">
        <f t="shared" si="852"/>
        <v>0</v>
      </c>
      <c r="BS74" s="71">
        <f t="shared" si="853"/>
        <v>0</v>
      </c>
      <c r="BT74" s="71">
        <f t="shared" si="854"/>
        <v>0</v>
      </c>
      <c r="BU74" s="71">
        <f t="shared" si="855"/>
        <v>0</v>
      </c>
      <c r="BV74" s="71">
        <f t="shared" si="856"/>
        <v>0</v>
      </c>
      <c r="BW74" s="71">
        <f t="shared" si="857"/>
        <v>0</v>
      </c>
      <c r="BX74" s="71">
        <f t="shared" si="858"/>
        <v>0</v>
      </c>
      <c r="BY74" s="71">
        <f t="shared" si="859"/>
        <v>0</v>
      </c>
      <c r="BZ74" s="71">
        <f t="shared" si="860"/>
        <v>0</v>
      </c>
      <c r="CA74" s="71">
        <f t="shared" si="861"/>
        <v>0</v>
      </c>
      <c r="CB74" s="71">
        <f t="shared" si="862"/>
        <v>0</v>
      </c>
      <c r="CC74" s="71">
        <f t="shared" si="863"/>
        <v>0</v>
      </c>
      <c r="CD74" s="71">
        <f t="shared" si="864"/>
        <v>0</v>
      </c>
      <c r="CE74" s="71">
        <f t="shared" si="865"/>
        <v>0</v>
      </c>
      <c r="CF74" s="71">
        <f t="shared" si="866"/>
        <v>0</v>
      </c>
      <c r="CG74" s="71">
        <f t="shared" si="867"/>
        <v>0</v>
      </c>
      <c r="CH74" s="70">
        <f t="shared" si="870"/>
        <v>0</v>
      </c>
      <c r="CI74" s="69">
        <f t="shared" ca="1" si="871"/>
        <v>0</v>
      </c>
      <c r="GM74" s="2" t="s">
        <v>16</v>
      </c>
      <c r="GN74" s="98" t="str">
        <f t="shared" si="868"/>
        <v>NWB01-FMCG-SPO-00</v>
      </c>
      <c r="GO74" s="4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6"/>
      <c r="HT74" s="4">
        <v>0</v>
      </c>
      <c r="HU74" s="3">
        <v>0</v>
      </c>
      <c r="HV74" s="3">
        <v>0</v>
      </c>
      <c r="HW74" s="3">
        <v>0</v>
      </c>
      <c r="HX74" s="3">
        <v>0</v>
      </c>
      <c r="HY74" s="3">
        <v>0</v>
      </c>
      <c r="HZ74" s="3">
        <v>0</v>
      </c>
      <c r="IA74" s="3">
        <v>0</v>
      </c>
      <c r="IB74" s="3">
        <v>0</v>
      </c>
      <c r="IC74" s="3">
        <v>0</v>
      </c>
      <c r="ID74" s="3">
        <v>0</v>
      </c>
      <c r="IE74" s="3">
        <v>0</v>
      </c>
      <c r="IF74" s="3">
        <v>0</v>
      </c>
      <c r="IG74" s="3">
        <v>0</v>
      </c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6"/>
    </row>
    <row r="75" spans="1:258" hidden="1">
      <c r="A75" s="97" t="s">
        <v>1380</v>
      </c>
      <c r="B75" s="98" t="s">
        <v>20</v>
      </c>
      <c r="C75" s="98" t="s">
        <v>227</v>
      </c>
      <c r="D75" s="99" t="s">
        <v>1129</v>
      </c>
      <c r="E75" s="98" t="s">
        <v>202</v>
      </c>
      <c r="F75" s="98" t="s">
        <v>203</v>
      </c>
      <c r="G75" s="98" t="s">
        <v>204</v>
      </c>
      <c r="H75" s="98" t="s">
        <v>1133</v>
      </c>
      <c r="I75" s="98" t="s">
        <v>1133</v>
      </c>
      <c r="J75" s="98" t="s">
        <v>1130</v>
      </c>
      <c r="K75" s="98" t="s">
        <v>1127</v>
      </c>
      <c r="L75" s="98" t="s">
        <v>1730</v>
      </c>
      <c r="M75" s="101" t="s">
        <v>52</v>
      </c>
      <c r="N75" s="108">
        <v>46284</v>
      </c>
      <c r="O75" s="100">
        <v>0</v>
      </c>
      <c r="P75" s="69">
        <v>0</v>
      </c>
      <c r="Q75" s="69">
        <f t="shared" si="800"/>
        <v>0</v>
      </c>
      <c r="R75" s="69">
        <f t="shared" si="801"/>
        <v>0</v>
      </c>
      <c r="S75" s="69">
        <f t="shared" si="802"/>
        <v>0</v>
      </c>
      <c r="T75" s="69">
        <f t="shared" si="803"/>
        <v>0</v>
      </c>
      <c r="U75" s="69">
        <f t="shared" si="804"/>
        <v>0</v>
      </c>
      <c r="V75" s="70">
        <f t="shared" si="805"/>
        <v>0</v>
      </c>
      <c r="W75" s="71">
        <f t="shared" si="806"/>
        <v>0</v>
      </c>
      <c r="X75" s="71">
        <f t="shared" si="807"/>
        <v>0</v>
      </c>
      <c r="Y75" s="71">
        <f t="shared" si="808"/>
        <v>0</v>
      </c>
      <c r="Z75" s="71">
        <f t="shared" si="809"/>
        <v>0</v>
      </c>
      <c r="AA75" s="71">
        <f t="shared" si="810"/>
        <v>0</v>
      </c>
      <c r="AB75" s="71">
        <f t="shared" si="811"/>
        <v>0</v>
      </c>
      <c r="AC75" s="71">
        <f t="shared" si="812"/>
        <v>0</v>
      </c>
      <c r="AD75" s="71">
        <f t="shared" si="813"/>
        <v>0</v>
      </c>
      <c r="AE75" s="71">
        <f t="shared" si="814"/>
        <v>0</v>
      </c>
      <c r="AF75" s="71">
        <f t="shared" si="815"/>
        <v>0</v>
      </c>
      <c r="AG75" s="71">
        <f t="shared" si="816"/>
        <v>0</v>
      </c>
      <c r="AH75" s="71">
        <f t="shared" si="817"/>
        <v>0</v>
      </c>
      <c r="AI75" s="71">
        <f t="shared" si="818"/>
        <v>0</v>
      </c>
      <c r="AJ75" s="71">
        <f t="shared" si="819"/>
        <v>0</v>
      </c>
      <c r="AK75" s="71">
        <f t="shared" si="820"/>
        <v>0</v>
      </c>
      <c r="AL75" s="71">
        <f t="shared" si="821"/>
        <v>0</v>
      </c>
      <c r="AM75" s="71">
        <f t="shared" si="822"/>
        <v>0</v>
      </c>
      <c r="AN75" s="71">
        <f t="shared" si="823"/>
        <v>0</v>
      </c>
      <c r="AO75" s="71">
        <f t="shared" si="824"/>
        <v>0</v>
      </c>
      <c r="AP75" s="71">
        <f t="shared" si="825"/>
        <v>0</v>
      </c>
      <c r="AQ75" s="71">
        <f t="shared" si="826"/>
        <v>0</v>
      </c>
      <c r="AR75" s="71">
        <f t="shared" si="827"/>
        <v>0</v>
      </c>
      <c r="AS75" s="71">
        <f t="shared" si="828"/>
        <v>0</v>
      </c>
      <c r="AT75" s="71">
        <f t="shared" si="829"/>
        <v>0</v>
      </c>
      <c r="AU75" s="71">
        <f t="shared" si="830"/>
        <v>0</v>
      </c>
      <c r="AV75" s="71">
        <f t="shared" si="831"/>
        <v>0</v>
      </c>
      <c r="AW75" s="71">
        <f t="shared" si="832"/>
        <v>0</v>
      </c>
      <c r="AX75" s="71">
        <f t="shared" si="833"/>
        <v>0</v>
      </c>
      <c r="AY75" s="71">
        <f t="shared" si="834"/>
        <v>0</v>
      </c>
      <c r="AZ75" s="72">
        <f t="shared" si="835"/>
        <v>0</v>
      </c>
      <c r="BA75" s="70">
        <f t="shared" si="836"/>
        <v>0</v>
      </c>
      <c r="BB75" s="69">
        <f t="shared" ca="1" si="869"/>
        <v>0</v>
      </c>
      <c r="BC75" s="70">
        <f t="shared" si="837"/>
        <v>0</v>
      </c>
      <c r="BD75" s="71">
        <f t="shared" si="838"/>
        <v>0</v>
      </c>
      <c r="BE75" s="71">
        <f t="shared" si="839"/>
        <v>0</v>
      </c>
      <c r="BF75" s="71">
        <f t="shared" si="840"/>
        <v>0</v>
      </c>
      <c r="BG75" s="71">
        <f t="shared" si="841"/>
        <v>0</v>
      </c>
      <c r="BH75" s="71">
        <f t="shared" si="842"/>
        <v>0</v>
      </c>
      <c r="BI75" s="71">
        <f t="shared" si="843"/>
        <v>0</v>
      </c>
      <c r="BJ75" s="71">
        <f t="shared" si="844"/>
        <v>0</v>
      </c>
      <c r="BK75" s="71">
        <f t="shared" si="845"/>
        <v>0</v>
      </c>
      <c r="BL75" s="71">
        <f t="shared" si="846"/>
        <v>0</v>
      </c>
      <c r="BM75" s="71">
        <f t="shared" si="847"/>
        <v>0</v>
      </c>
      <c r="BN75" s="71">
        <f t="shared" si="848"/>
        <v>0</v>
      </c>
      <c r="BO75" s="71">
        <f t="shared" si="849"/>
        <v>0</v>
      </c>
      <c r="BP75" s="71">
        <f t="shared" si="850"/>
        <v>0</v>
      </c>
      <c r="BQ75" s="71">
        <f t="shared" si="851"/>
        <v>0</v>
      </c>
      <c r="BR75" s="71">
        <f t="shared" si="852"/>
        <v>0</v>
      </c>
      <c r="BS75" s="71">
        <f t="shared" si="853"/>
        <v>0</v>
      </c>
      <c r="BT75" s="71">
        <f t="shared" si="854"/>
        <v>0</v>
      </c>
      <c r="BU75" s="71">
        <f t="shared" si="855"/>
        <v>0</v>
      </c>
      <c r="BV75" s="71">
        <f t="shared" si="856"/>
        <v>0</v>
      </c>
      <c r="BW75" s="71">
        <f t="shared" si="857"/>
        <v>0</v>
      </c>
      <c r="BX75" s="71">
        <f t="shared" si="858"/>
        <v>0</v>
      </c>
      <c r="BY75" s="71">
        <f t="shared" si="859"/>
        <v>0</v>
      </c>
      <c r="BZ75" s="71">
        <f t="shared" si="860"/>
        <v>0</v>
      </c>
      <c r="CA75" s="71">
        <f t="shared" si="861"/>
        <v>0</v>
      </c>
      <c r="CB75" s="71">
        <f t="shared" si="862"/>
        <v>0</v>
      </c>
      <c r="CC75" s="71">
        <f t="shared" si="863"/>
        <v>0</v>
      </c>
      <c r="CD75" s="71">
        <f t="shared" si="864"/>
        <v>0</v>
      </c>
      <c r="CE75" s="71">
        <f t="shared" si="865"/>
        <v>0</v>
      </c>
      <c r="CF75" s="71">
        <f t="shared" si="866"/>
        <v>0</v>
      </c>
      <c r="CG75" s="71">
        <f t="shared" si="867"/>
        <v>0</v>
      </c>
      <c r="CH75" s="70">
        <f t="shared" si="870"/>
        <v>0</v>
      </c>
      <c r="CI75" s="69">
        <f t="shared" ca="1" si="871"/>
        <v>0</v>
      </c>
      <c r="GM75" s="2" t="s">
        <v>16</v>
      </c>
      <c r="GN75" s="98" t="str">
        <f t="shared" si="868"/>
        <v>NWB01-FMCG-ASM-01</v>
      </c>
      <c r="GO75" s="4">
        <v>0</v>
      </c>
      <c r="GP75" s="3">
        <v>0</v>
      </c>
      <c r="GQ75" s="3">
        <v>0</v>
      </c>
      <c r="GR75" s="3">
        <v>0</v>
      </c>
      <c r="GS75" s="3">
        <v>0</v>
      </c>
      <c r="GT75" s="3">
        <v>0</v>
      </c>
      <c r="GU75" s="3">
        <v>0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v>0</v>
      </c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6"/>
      <c r="HT75" s="4">
        <v>0</v>
      </c>
      <c r="HU75" s="3">
        <v>0</v>
      </c>
      <c r="HV75" s="3">
        <v>0</v>
      </c>
      <c r="HW75" s="3">
        <v>0</v>
      </c>
      <c r="HX75" s="3">
        <v>0</v>
      </c>
      <c r="HY75" s="3">
        <v>0</v>
      </c>
      <c r="HZ75" s="3">
        <v>0</v>
      </c>
      <c r="IA75" s="3">
        <v>0</v>
      </c>
      <c r="IB75" s="3">
        <v>0</v>
      </c>
      <c r="IC75" s="3">
        <v>0</v>
      </c>
      <c r="ID75" s="3">
        <v>0</v>
      </c>
      <c r="IE75" s="3">
        <v>0</v>
      </c>
      <c r="IF75" s="3">
        <v>0</v>
      </c>
      <c r="IG75" s="3">
        <v>0</v>
      </c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6"/>
    </row>
    <row r="76" spans="1:258" hidden="1">
      <c r="A76" s="102" t="s">
        <v>53</v>
      </c>
      <c r="B76" s="103" t="s">
        <v>20</v>
      </c>
      <c r="C76" s="103" t="s">
        <v>227</v>
      </c>
      <c r="D76" s="104" t="s">
        <v>1129</v>
      </c>
      <c r="E76" s="103" t="s">
        <v>202</v>
      </c>
      <c r="F76" s="103" t="s">
        <v>203</v>
      </c>
      <c r="G76" s="103" t="s">
        <v>204</v>
      </c>
      <c r="H76" s="103" t="s">
        <v>1133</v>
      </c>
      <c r="I76" s="103" t="s">
        <v>1133</v>
      </c>
      <c r="J76" s="103" t="s">
        <v>1130</v>
      </c>
      <c r="K76" s="103" t="s">
        <v>1127</v>
      </c>
      <c r="L76" s="103" t="s">
        <v>1730</v>
      </c>
      <c r="M76" s="103" t="s">
        <v>52</v>
      </c>
      <c r="N76" s="119">
        <v>46284</v>
      </c>
      <c r="O76" s="105">
        <f>O73+O72+O71+O70+O69+O68</f>
        <v>6</v>
      </c>
      <c r="P76" s="73">
        <f t="shared" ref="P76:CA76" si="872">P73+P72+P71+P70+P69+P68</f>
        <v>0</v>
      </c>
      <c r="Q76" s="73">
        <f t="shared" si="872"/>
        <v>6</v>
      </c>
      <c r="R76" s="73">
        <f t="shared" si="872"/>
        <v>6</v>
      </c>
      <c r="S76" s="73">
        <f t="shared" si="872"/>
        <v>3</v>
      </c>
      <c r="T76" s="73">
        <f t="shared" si="872"/>
        <v>6</v>
      </c>
      <c r="U76" s="73">
        <f t="shared" si="872"/>
        <v>6</v>
      </c>
      <c r="V76" s="74">
        <f t="shared" si="872"/>
        <v>6</v>
      </c>
      <c r="W76" s="75">
        <f t="shared" si="872"/>
        <v>6</v>
      </c>
      <c r="X76" s="75">
        <f t="shared" si="872"/>
        <v>6</v>
      </c>
      <c r="Y76" s="75">
        <f t="shared" si="872"/>
        <v>0</v>
      </c>
      <c r="Z76" s="75">
        <f t="shared" si="872"/>
        <v>6</v>
      </c>
      <c r="AA76" s="75">
        <f t="shared" si="872"/>
        <v>6</v>
      </c>
      <c r="AB76" s="75">
        <f t="shared" si="872"/>
        <v>6</v>
      </c>
      <c r="AC76" s="75">
        <f t="shared" si="872"/>
        <v>6</v>
      </c>
      <c r="AD76" s="75">
        <f t="shared" si="872"/>
        <v>6</v>
      </c>
      <c r="AE76" s="75">
        <f t="shared" si="872"/>
        <v>6</v>
      </c>
      <c r="AF76" s="75">
        <f t="shared" si="872"/>
        <v>0</v>
      </c>
      <c r="AG76" s="75">
        <f t="shared" si="872"/>
        <v>6</v>
      </c>
      <c r="AH76" s="75">
        <f t="shared" si="872"/>
        <v>6</v>
      </c>
      <c r="AI76" s="75">
        <f t="shared" si="872"/>
        <v>6</v>
      </c>
      <c r="AJ76" s="75">
        <f t="shared" si="872"/>
        <v>0</v>
      </c>
      <c r="AK76" s="75">
        <f t="shared" si="872"/>
        <v>0</v>
      </c>
      <c r="AL76" s="75">
        <f t="shared" si="872"/>
        <v>0</v>
      </c>
      <c r="AM76" s="75">
        <f t="shared" si="872"/>
        <v>0</v>
      </c>
      <c r="AN76" s="75">
        <f t="shared" si="872"/>
        <v>0</v>
      </c>
      <c r="AO76" s="75">
        <f t="shared" si="872"/>
        <v>0</v>
      </c>
      <c r="AP76" s="75">
        <f t="shared" si="872"/>
        <v>0</v>
      </c>
      <c r="AQ76" s="75">
        <f t="shared" si="872"/>
        <v>0</v>
      </c>
      <c r="AR76" s="75">
        <f t="shared" si="872"/>
        <v>0</v>
      </c>
      <c r="AS76" s="75">
        <f t="shared" si="872"/>
        <v>0</v>
      </c>
      <c r="AT76" s="75">
        <f t="shared" si="872"/>
        <v>0</v>
      </c>
      <c r="AU76" s="75">
        <f t="shared" si="872"/>
        <v>0</v>
      </c>
      <c r="AV76" s="75">
        <f t="shared" si="872"/>
        <v>0</v>
      </c>
      <c r="AW76" s="75">
        <f t="shared" si="872"/>
        <v>0</v>
      </c>
      <c r="AX76" s="75">
        <f t="shared" si="872"/>
        <v>0</v>
      </c>
      <c r="AY76" s="75">
        <f t="shared" si="872"/>
        <v>0</v>
      </c>
      <c r="AZ76" s="76">
        <f t="shared" si="872"/>
        <v>0</v>
      </c>
      <c r="BA76" s="74">
        <f t="shared" si="836"/>
        <v>72</v>
      </c>
      <c r="BB76" s="73">
        <f t="shared" ca="1" si="869"/>
        <v>0.92307692307692302</v>
      </c>
      <c r="BC76" s="74">
        <f t="shared" si="872"/>
        <v>42</v>
      </c>
      <c r="BD76" s="75">
        <f t="shared" si="872"/>
        <v>58</v>
      </c>
      <c r="BE76" s="75">
        <f t="shared" si="872"/>
        <v>13</v>
      </c>
      <c r="BF76" s="75">
        <f t="shared" si="872"/>
        <v>0</v>
      </c>
      <c r="BG76" s="75">
        <f t="shared" si="872"/>
        <v>53</v>
      </c>
      <c r="BH76" s="75">
        <f t="shared" si="872"/>
        <v>49</v>
      </c>
      <c r="BI76" s="75">
        <f t="shared" si="872"/>
        <v>48</v>
      </c>
      <c r="BJ76" s="75">
        <f t="shared" si="872"/>
        <v>25</v>
      </c>
      <c r="BK76" s="75">
        <f t="shared" si="872"/>
        <v>20</v>
      </c>
      <c r="BL76" s="75">
        <f t="shared" si="872"/>
        <v>54</v>
      </c>
      <c r="BM76" s="75">
        <f t="shared" si="872"/>
        <v>0</v>
      </c>
      <c r="BN76" s="75">
        <f t="shared" si="872"/>
        <v>71</v>
      </c>
      <c r="BO76" s="75">
        <f t="shared" si="872"/>
        <v>56</v>
      </c>
      <c r="BP76" s="75">
        <f t="shared" si="872"/>
        <v>5</v>
      </c>
      <c r="BQ76" s="75">
        <f t="shared" si="872"/>
        <v>0</v>
      </c>
      <c r="BR76" s="75">
        <f t="shared" si="872"/>
        <v>0</v>
      </c>
      <c r="BS76" s="75">
        <f t="shared" si="872"/>
        <v>0</v>
      </c>
      <c r="BT76" s="75">
        <f t="shared" si="872"/>
        <v>0</v>
      </c>
      <c r="BU76" s="75">
        <f t="shared" si="872"/>
        <v>0</v>
      </c>
      <c r="BV76" s="75">
        <f t="shared" si="872"/>
        <v>0</v>
      </c>
      <c r="BW76" s="75">
        <f t="shared" si="872"/>
        <v>0</v>
      </c>
      <c r="BX76" s="75">
        <f t="shared" si="872"/>
        <v>0</v>
      </c>
      <c r="BY76" s="75">
        <f t="shared" si="872"/>
        <v>0</v>
      </c>
      <c r="BZ76" s="75">
        <f t="shared" si="872"/>
        <v>0</v>
      </c>
      <c r="CA76" s="75">
        <f t="shared" si="872"/>
        <v>0</v>
      </c>
      <c r="CB76" s="75">
        <f t="shared" ref="CB76:CG76" si="873">CB73+CB72+CB71+CB70+CB69+CB68</f>
        <v>0</v>
      </c>
      <c r="CC76" s="75">
        <f t="shared" si="873"/>
        <v>0</v>
      </c>
      <c r="CD76" s="75">
        <f t="shared" si="873"/>
        <v>0</v>
      </c>
      <c r="CE76" s="75">
        <f t="shared" si="873"/>
        <v>0</v>
      </c>
      <c r="CF76" s="75">
        <f t="shared" si="873"/>
        <v>0</v>
      </c>
      <c r="CG76" s="75">
        <f t="shared" si="873"/>
        <v>0</v>
      </c>
      <c r="CH76" s="74">
        <f t="shared" si="870"/>
        <v>494</v>
      </c>
      <c r="CI76" s="73">
        <f t="shared" ca="1" si="871"/>
        <v>6.333333333333333</v>
      </c>
      <c r="GM76" s="2" t="s">
        <v>17</v>
      </c>
      <c r="GN76" s="103" t="str">
        <f t="shared" si="868"/>
        <v>NWB01-FMCG-ASM-01</v>
      </c>
      <c r="GO76" s="4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6"/>
      <c r="HT76" s="4">
        <v>0</v>
      </c>
      <c r="HU76" s="3">
        <v>0</v>
      </c>
      <c r="HV76" s="3">
        <v>0</v>
      </c>
      <c r="HW76" s="3">
        <v>0</v>
      </c>
      <c r="HX76" s="3">
        <v>0</v>
      </c>
      <c r="HY76" s="3">
        <v>0</v>
      </c>
      <c r="HZ76" s="3">
        <v>0</v>
      </c>
      <c r="IA76" s="3">
        <v>0</v>
      </c>
      <c r="IB76" s="3">
        <v>0</v>
      </c>
      <c r="IC76" s="3">
        <v>0</v>
      </c>
      <c r="ID76" s="3">
        <v>0</v>
      </c>
      <c r="IE76" s="3">
        <v>0</v>
      </c>
      <c r="IF76" s="3">
        <v>0</v>
      </c>
      <c r="IG76" s="3">
        <v>0</v>
      </c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6"/>
    </row>
    <row r="77" spans="1:258" hidden="1">
      <c r="A77" s="97" t="s">
        <v>25</v>
      </c>
      <c r="B77" s="98" t="s">
        <v>26</v>
      </c>
      <c r="C77" s="98" t="s">
        <v>227</v>
      </c>
      <c r="D77" s="99" t="s">
        <v>1143</v>
      </c>
      <c r="E77" s="98" t="s">
        <v>235</v>
      </c>
      <c r="F77" s="98" t="s">
        <v>236</v>
      </c>
      <c r="G77" s="98" t="s">
        <v>237</v>
      </c>
      <c r="H77" s="98" t="s">
        <v>1453</v>
      </c>
      <c r="I77" s="98" t="s">
        <v>1453</v>
      </c>
      <c r="J77" s="98" t="s">
        <v>891</v>
      </c>
      <c r="K77" s="98" t="s">
        <v>1127</v>
      </c>
      <c r="L77" s="98" t="s">
        <v>238</v>
      </c>
      <c r="M77" s="101" t="s">
        <v>1093</v>
      </c>
      <c r="N77" s="139">
        <v>45241</v>
      </c>
      <c r="O77" s="100">
        <v>1</v>
      </c>
      <c r="P77" s="69">
        <v>0</v>
      </c>
      <c r="Q77" s="69">
        <f t="shared" ref="Q77:Q83" si="874">IFERROR(IF(OR(AI77&gt;0),1,0),0)</f>
        <v>1</v>
      </c>
      <c r="R77" s="69">
        <f t="shared" ref="R77:R83" si="875">IFERROR(IF(OR(BA77&gt;0),1,0),0)</f>
        <v>1</v>
      </c>
      <c r="S77" s="69">
        <f t="shared" ref="S77:S83" si="876">IFERROR(IF(OR(BP77&gt;0),1,0),0)</f>
        <v>0</v>
      </c>
      <c r="T77" s="69">
        <f t="shared" ref="T77:T83" si="877">IFERROR(IF(OR(CH77&gt;0),1,0),0)</f>
        <v>1</v>
      </c>
      <c r="U77" s="69">
        <f t="shared" ref="U77:U83" si="878">IFERROR(IF(OR(BA77&gt;0,CH77&gt;0),1,0),0)</f>
        <v>1</v>
      </c>
      <c r="V77" s="70">
        <f t="shared" ref="V77:V83" si="879">GO77</f>
        <v>0</v>
      </c>
      <c r="W77" s="71">
        <f t="shared" ref="W77:W83" si="880">GP77</f>
        <v>0</v>
      </c>
      <c r="X77" s="71">
        <f t="shared" ref="X77:X83" si="881">GQ77</f>
        <v>1</v>
      </c>
      <c r="Y77" s="71">
        <f t="shared" ref="Y77:Y83" si="882">GR77</f>
        <v>0</v>
      </c>
      <c r="Z77" s="71">
        <f t="shared" ref="Z77:Z83" si="883">GS77</f>
        <v>1</v>
      </c>
      <c r="AA77" s="71">
        <f t="shared" ref="AA77:AA83" si="884">GT77</f>
        <v>0</v>
      </c>
      <c r="AB77" s="71">
        <f t="shared" ref="AB77:AB83" si="885">GU77</f>
        <v>1</v>
      </c>
      <c r="AC77" s="71">
        <f t="shared" ref="AC77:AC83" si="886">GV77</f>
        <v>1</v>
      </c>
      <c r="AD77" s="71">
        <f t="shared" ref="AD77:AD83" si="887">GW77</f>
        <v>1</v>
      </c>
      <c r="AE77" s="71">
        <f t="shared" ref="AE77:AE83" si="888">GX77</f>
        <v>1</v>
      </c>
      <c r="AF77" s="71">
        <f t="shared" ref="AF77:AF83" si="889">GY77</f>
        <v>0</v>
      </c>
      <c r="AG77" s="71">
        <f t="shared" ref="AG77:AG83" si="890">GZ77</f>
        <v>1</v>
      </c>
      <c r="AH77" s="71">
        <f t="shared" ref="AH77:AH83" si="891">HA77</f>
        <v>0</v>
      </c>
      <c r="AI77" s="71">
        <f t="shared" ref="AI77:AI83" si="892">HB77</f>
        <v>1</v>
      </c>
      <c r="AJ77" s="71">
        <f t="shared" ref="AJ77:AJ83" si="893">HC77</f>
        <v>0</v>
      </c>
      <c r="AK77" s="71">
        <f t="shared" ref="AK77:AK83" si="894">HD77</f>
        <v>0</v>
      </c>
      <c r="AL77" s="71">
        <f t="shared" ref="AL77:AL83" si="895">HE77</f>
        <v>0</v>
      </c>
      <c r="AM77" s="71">
        <f t="shared" ref="AM77:AM83" si="896">HF77</f>
        <v>0</v>
      </c>
      <c r="AN77" s="71">
        <f t="shared" ref="AN77:AN83" si="897">HG77</f>
        <v>0</v>
      </c>
      <c r="AO77" s="71">
        <f t="shared" ref="AO77:AO83" si="898">HH77</f>
        <v>0</v>
      </c>
      <c r="AP77" s="71">
        <f t="shared" ref="AP77:AP83" si="899">HI77</f>
        <v>0</v>
      </c>
      <c r="AQ77" s="71">
        <f t="shared" ref="AQ77:AQ83" si="900">HJ77</f>
        <v>0</v>
      </c>
      <c r="AR77" s="71">
        <f t="shared" ref="AR77:AR83" si="901">HK77</f>
        <v>0</v>
      </c>
      <c r="AS77" s="71">
        <f t="shared" ref="AS77:AS83" si="902">HL77</f>
        <v>0</v>
      </c>
      <c r="AT77" s="71">
        <f t="shared" ref="AT77:AT83" si="903">HM77</f>
        <v>0</v>
      </c>
      <c r="AU77" s="71">
        <f t="shared" ref="AU77:AU83" si="904">HN77</f>
        <v>0</v>
      </c>
      <c r="AV77" s="71">
        <f t="shared" ref="AV77:AV83" si="905">HO77</f>
        <v>0</v>
      </c>
      <c r="AW77" s="71">
        <f t="shared" ref="AW77:AW83" si="906">HP77</f>
        <v>0</v>
      </c>
      <c r="AX77" s="71">
        <f t="shared" ref="AX77:AX83" si="907">HQ77</f>
        <v>0</v>
      </c>
      <c r="AY77" s="71">
        <f t="shared" ref="AY77:AY83" si="908">HR77</f>
        <v>0</v>
      </c>
      <c r="AZ77" s="72">
        <f t="shared" ref="AZ77:AZ83" si="909">HS77</f>
        <v>0</v>
      </c>
      <c r="BA77" s="70">
        <f t="shared" si="733"/>
        <v>8</v>
      </c>
      <c r="BB77" s="69">
        <f t="shared" ca="1" si="869"/>
        <v>0.61538461538461542</v>
      </c>
      <c r="BC77" s="70">
        <f t="shared" ref="BC77:BC83" si="910">HT77</f>
        <v>0</v>
      </c>
      <c r="BD77" s="71">
        <f t="shared" ref="BD77:BD83" si="911">HU77</f>
        <v>0</v>
      </c>
      <c r="BE77" s="71">
        <f t="shared" ref="BE77:BE83" si="912">HV77</f>
        <v>0</v>
      </c>
      <c r="BF77" s="71">
        <f t="shared" ref="BF77:BF83" si="913">HW77</f>
        <v>0</v>
      </c>
      <c r="BG77" s="71">
        <f t="shared" ref="BG77:BG83" si="914">HX77</f>
        <v>31</v>
      </c>
      <c r="BH77" s="71">
        <f t="shared" ref="BH77:BH83" si="915">HY77</f>
        <v>0</v>
      </c>
      <c r="BI77" s="71">
        <f t="shared" ref="BI77:BI83" si="916">HZ77</f>
        <v>9</v>
      </c>
      <c r="BJ77" s="71">
        <f t="shared" ref="BJ77:BJ83" si="917">IA77</f>
        <v>25</v>
      </c>
      <c r="BK77" s="71">
        <f t="shared" ref="BK77:BK83" si="918">IB77</f>
        <v>20</v>
      </c>
      <c r="BL77" s="71">
        <f t="shared" ref="BL77:BL83" si="919">IC77</f>
        <v>20</v>
      </c>
      <c r="BM77" s="71">
        <f t="shared" ref="BM77:BM83" si="920">ID77</f>
        <v>0</v>
      </c>
      <c r="BN77" s="71">
        <f t="shared" ref="BN77:BN83" si="921">IE77</f>
        <v>0</v>
      </c>
      <c r="BO77" s="71">
        <f t="shared" ref="BO77:BO83" si="922">IF77</f>
        <v>28</v>
      </c>
      <c r="BP77" s="71">
        <f t="shared" ref="BP77:BP83" si="923">IG77</f>
        <v>0</v>
      </c>
      <c r="BQ77" s="71">
        <f t="shared" ref="BQ77:BQ83" si="924">IH77</f>
        <v>0</v>
      </c>
      <c r="BR77" s="71">
        <f t="shared" ref="BR77:BR83" si="925">II77</f>
        <v>0</v>
      </c>
      <c r="BS77" s="71">
        <f t="shared" ref="BS77:BS83" si="926">IJ77</f>
        <v>0</v>
      </c>
      <c r="BT77" s="71">
        <f t="shared" ref="BT77:BT83" si="927">IK77</f>
        <v>0</v>
      </c>
      <c r="BU77" s="71">
        <f t="shared" ref="BU77:BU83" si="928">IL77</f>
        <v>0</v>
      </c>
      <c r="BV77" s="71">
        <f t="shared" ref="BV77:BV83" si="929">IM77</f>
        <v>0</v>
      </c>
      <c r="BW77" s="71">
        <f t="shared" ref="BW77:BW83" si="930">IN77</f>
        <v>0</v>
      </c>
      <c r="BX77" s="71">
        <f t="shared" ref="BX77:BX83" si="931">IO77</f>
        <v>0</v>
      </c>
      <c r="BY77" s="71">
        <f t="shared" ref="BY77:BY83" si="932">IP77</f>
        <v>0</v>
      </c>
      <c r="BZ77" s="71">
        <f t="shared" ref="BZ77:BZ83" si="933">IQ77</f>
        <v>0</v>
      </c>
      <c r="CA77" s="71">
        <f t="shared" ref="CA77:CA83" si="934">IR77</f>
        <v>0</v>
      </c>
      <c r="CB77" s="71">
        <f t="shared" ref="CB77:CB83" si="935">IS77</f>
        <v>0</v>
      </c>
      <c r="CC77" s="71">
        <f t="shared" ref="CC77:CC83" si="936">IT77</f>
        <v>0</v>
      </c>
      <c r="CD77" s="71">
        <f t="shared" ref="CD77:CD83" si="937">IU77</f>
        <v>0</v>
      </c>
      <c r="CE77" s="71">
        <f t="shared" ref="CE77:CE83" si="938">IV77</f>
        <v>0</v>
      </c>
      <c r="CF77" s="71">
        <f t="shared" ref="CF77:CF83" si="939">IW77</f>
        <v>0</v>
      </c>
      <c r="CG77" s="71">
        <f t="shared" ref="CG77:CG83" si="940">IX77</f>
        <v>0</v>
      </c>
      <c r="CH77" s="70">
        <f t="shared" si="870"/>
        <v>133</v>
      </c>
      <c r="CI77" s="69">
        <f t="shared" ca="1" si="871"/>
        <v>10.23076923076923</v>
      </c>
      <c r="GM77" s="2" t="s">
        <v>16</v>
      </c>
      <c r="GN77" s="98" t="str">
        <f t="shared" si="732"/>
        <v>QTA01-FMCG01-SPO-01</v>
      </c>
      <c r="GO77" s="4">
        <v>0</v>
      </c>
      <c r="GP77" s="3">
        <v>0</v>
      </c>
      <c r="GQ77" s="3">
        <v>1</v>
      </c>
      <c r="GR77" s="3">
        <v>0</v>
      </c>
      <c r="GS77" s="3">
        <v>1</v>
      </c>
      <c r="GT77" s="3">
        <v>0</v>
      </c>
      <c r="GU77" s="3">
        <v>1</v>
      </c>
      <c r="GV77" s="3">
        <v>1</v>
      </c>
      <c r="GW77" s="3">
        <v>1</v>
      </c>
      <c r="GX77" s="3">
        <v>1</v>
      </c>
      <c r="GY77" s="3">
        <v>0</v>
      </c>
      <c r="GZ77" s="3">
        <v>1</v>
      </c>
      <c r="HA77" s="3">
        <v>0</v>
      </c>
      <c r="HB77" s="3">
        <v>1</v>
      </c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6"/>
      <c r="HT77" s="4">
        <v>0</v>
      </c>
      <c r="HU77" s="3">
        <v>0</v>
      </c>
      <c r="HV77" s="3">
        <v>0</v>
      </c>
      <c r="HW77" s="3">
        <v>0</v>
      </c>
      <c r="HX77" s="3">
        <v>31</v>
      </c>
      <c r="HY77" s="3">
        <v>0</v>
      </c>
      <c r="HZ77" s="3">
        <v>9</v>
      </c>
      <c r="IA77" s="3">
        <v>25</v>
      </c>
      <c r="IB77" s="3">
        <v>20</v>
      </c>
      <c r="IC77" s="3">
        <v>20</v>
      </c>
      <c r="ID77" s="3">
        <v>0</v>
      </c>
      <c r="IE77" s="3">
        <v>0</v>
      </c>
      <c r="IF77" s="3">
        <v>28</v>
      </c>
      <c r="IG77" s="3">
        <v>0</v>
      </c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6"/>
    </row>
    <row r="78" spans="1:258" hidden="1">
      <c r="A78" s="106" t="s">
        <v>25</v>
      </c>
      <c r="B78" s="101" t="s">
        <v>26</v>
      </c>
      <c r="C78" s="98" t="s">
        <v>227</v>
      </c>
      <c r="D78" s="107" t="s">
        <v>1143</v>
      </c>
      <c r="E78" s="101" t="s">
        <v>239</v>
      </c>
      <c r="F78" s="101" t="s">
        <v>240</v>
      </c>
      <c r="G78" s="98" t="s">
        <v>241</v>
      </c>
      <c r="H78" s="101" t="s">
        <v>1454</v>
      </c>
      <c r="I78" s="101" t="s">
        <v>1454</v>
      </c>
      <c r="J78" s="101" t="s">
        <v>891</v>
      </c>
      <c r="K78" s="101" t="s">
        <v>1127</v>
      </c>
      <c r="L78" s="101" t="s">
        <v>242</v>
      </c>
      <c r="M78" s="101" t="s">
        <v>1093</v>
      </c>
      <c r="N78" s="139">
        <v>43739</v>
      </c>
      <c r="O78" s="100">
        <v>1</v>
      </c>
      <c r="P78" s="69">
        <v>0</v>
      </c>
      <c r="Q78" s="69">
        <f t="shared" si="874"/>
        <v>1</v>
      </c>
      <c r="R78" s="69">
        <f t="shared" si="875"/>
        <v>1</v>
      </c>
      <c r="S78" s="69">
        <f t="shared" si="876"/>
        <v>0</v>
      </c>
      <c r="T78" s="69">
        <f t="shared" si="877"/>
        <v>1</v>
      </c>
      <c r="U78" s="69">
        <f t="shared" si="878"/>
        <v>1</v>
      </c>
      <c r="V78" s="70">
        <f t="shared" si="879"/>
        <v>1</v>
      </c>
      <c r="W78" s="71">
        <f t="shared" si="880"/>
        <v>1</v>
      </c>
      <c r="X78" s="71">
        <f t="shared" si="881"/>
        <v>1</v>
      </c>
      <c r="Y78" s="71">
        <f t="shared" si="882"/>
        <v>0</v>
      </c>
      <c r="Z78" s="71">
        <f t="shared" si="883"/>
        <v>1</v>
      </c>
      <c r="AA78" s="71">
        <f t="shared" si="884"/>
        <v>1</v>
      </c>
      <c r="AB78" s="71">
        <f t="shared" si="885"/>
        <v>1</v>
      </c>
      <c r="AC78" s="71">
        <f t="shared" si="886"/>
        <v>1</v>
      </c>
      <c r="AD78" s="71">
        <f t="shared" si="887"/>
        <v>1</v>
      </c>
      <c r="AE78" s="71">
        <f t="shared" si="888"/>
        <v>1</v>
      </c>
      <c r="AF78" s="71">
        <f t="shared" si="889"/>
        <v>0</v>
      </c>
      <c r="AG78" s="71">
        <f t="shared" si="890"/>
        <v>1</v>
      </c>
      <c r="AH78" s="71">
        <f t="shared" si="891"/>
        <v>1</v>
      </c>
      <c r="AI78" s="71">
        <f t="shared" si="892"/>
        <v>1</v>
      </c>
      <c r="AJ78" s="71">
        <f t="shared" si="893"/>
        <v>0</v>
      </c>
      <c r="AK78" s="71">
        <f t="shared" si="894"/>
        <v>0</v>
      </c>
      <c r="AL78" s="71">
        <f t="shared" si="895"/>
        <v>0</v>
      </c>
      <c r="AM78" s="71">
        <f t="shared" si="896"/>
        <v>0</v>
      </c>
      <c r="AN78" s="71">
        <f t="shared" si="897"/>
        <v>0</v>
      </c>
      <c r="AO78" s="71">
        <f t="shared" si="898"/>
        <v>0</v>
      </c>
      <c r="AP78" s="71">
        <f t="shared" si="899"/>
        <v>0</v>
      </c>
      <c r="AQ78" s="71">
        <f t="shared" si="900"/>
        <v>0</v>
      </c>
      <c r="AR78" s="71">
        <f t="shared" si="901"/>
        <v>0</v>
      </c>
      <c r="AS78" s="71">
        <f t="shared" si="902"/>
        <v>0</v>
      </c>
      <c r="AT78" s="71">
        <f t="shared" si="903"/>
        <v>0</v>
      </c>
      <c r="AU78" s="71">
        <f t="shared" si="904"/>
        <v>0</v>
      </c>
      <c r="AV78" s="71">
        <f t="shared" si="905"/>
        <v>0</v>
      </c>
      <c r="AW78" s="71">
        <f t="shared" si="906"/>
        <v>0</v>
      </c>
      <c r="AX78" s="71">
        <f t="shared" si="907"/>
        <v>0</v>
      </c>
      <c r="AY78" s="71">
        <f t="shared" si="908"/>
        <v>0</v>
      </c>
      <c r="AZ78" s="72">
        <f t="shared" si="909"/>
        <v>0</v>
      </c>
      <c r="BA78" s="70">
        <f t="shared" si="733"/>
        <v>12</v>
      </c>
      <c r="BB78" s="69">
        <f t="shared" ca="1" si="869"/>
        <v>0.92307692307692313</v>
      </c>
      <c r="BC78" s="70">
        <f t="shared" si="910"/>
        <v>0</v>
      </c>
      <c r="BD78" s="71">
        <f t="shared" si="911"/>
        <v>36</v>
      </c>
      <c r="BE78" s="71">
        <f t="shared" si="912"/>
        <v>36</v>
      </c>
      <c r="BF78" s="71">
        <f t="shared" si="913"/>
        <v>0</v>
      </c>
      <c r="BG78" s="71">
        <f t="shared" si="914"/>
        <v>29</v>
      </c>
      <c r="BH78" s="71">
        <f t="shared" si="915"/>
        <v>36</v>
      </c>
      <c r="BI78" s="71">
        <f t="shared" si="916"/>
        <v>39</v>
      </c>
      <c r="BJ78" s="71">
        <f t="shared" si="917"/>
        <v>52</v>
      </c>
      <c r="BK78" s="71">
        <f t="shared" si="918"/>
        <v>0</v>
      </c>
      <c r="BL78" s="71">
        <f t="shared" si="919"/>
        <v>29</v>
      </c>
      <c r="BM78" s="71">
        <f t="shared" si="920"/>
        <v>0</v>
      </c>
      <c r="BN78" s="71">
        <f t="shared" si="921"/>
        <v>36</v>
      </c>
      <c r="BO78" s="71">
        <f t="shared" si="922"/>
        <v>0</v>
      </c>
      <c r="BP78" s="71">
        <f t="shared" si="923"/>
        <v>0</v>
      </c>
      <c r="BQ78" s="71">
        <f t="shared" si="924"/>
        <v>0</v>
      </c>
      <c r="BR78" s="71">
        <f t="shared" si="925"/>
        <v>0</v>
      </c>
      <c r="BS78" s="71">
        <f t="shared" si="926"/>
        <v>0</v>
      </c>
      <c r="BT78" s="71">
        <f t="shared" si="927"/>
        <v>0</v>
      </c>
      <c r="BU78" s="71">
        <f t="shared" si="928"/>
        <v>0</v>
      </c>
      <c r="BV78" s="71">
        <f t="shared" si="929"/>
        <v>0</v>
      </c>
      <c r="BW78" s="71">
        <f t="shared" si="930"/>
        <v>0</v>
      </c>
      <c r="BX78" s="71">
        <f t="shared" si="931"/>
        <v>0</v>
      </c>
      <c r="BY78" s="71">
        <f t="shared" si="932"/>
        <v>0</v>
      </c>
      <c r="BZ78" s="71">
        <f t="shared" si="933"/>
        <v>0</v>
      </c>
      <c r="CA78" s="71">
        <f t="shared" si="934"/>
        <v>0</v>
      </c>
      <c r="CB78" s="71">
        <f t="shared" si="935"/>
        <v>0</v>
      </c>
      <c r="CC78" s="71">
        <f t="shared" si="936"/>
        <v>0</v>
      </c>
      <c r="CD78" s="71">
        <f t="shared" si="937"/>
        <v>0</v>
      </c>
      <c r="CE78" s="71">
        <f t="shared" si="938"/>
        <v>0</v>
      </c>
      <c r="CF78" s="71">
        <f t="shared" si="939"/>
        <v>0</v>
      </c>
      <c r="CG78" s="71">
        <f t="shared" si="940"/>
        <v>0</v>
      </c>
      <c r="CH78" s="70">
        <f t="shared" si="870"/>
        <v>293</v>
      </c>
      <c r="CI78" s="69">
        <f t="shared" ca="1" si="871"/>
        <v>22.53846153846154</v>
      </c>
      <c r="GM78" s="2" t="s">
        <v>16</v>
      </c>
      <c r="GN78" s="101" t="str">
        <f t="shared" si="732"/>
        <v>QTA01-FMCG01-SPO-02</v>
      </c>
      <c r="GO78" s="4">
        <v>1</v>
      </c>
      <c r="GP78" s="3">
        <v>1</v>
      </c>
      <c r="GQ78" s="3">
        <v>1</v>
      </c>
      <c r="GR78" s="3">
        <v>0</v>
      </c>
      <c r="GS78" s="3">
        <v>1</v>
      </c>
      <c r="GT78" s="3">
        <v>1</v>
      </c>
      <c r="GU78" s="3">
        <v>1</v>
      </c>
      <c r="GV78" s="3">
        <v>1</v>
      </c>
      <c r="GW78" s="3">
        <v>1</v>
      </c>
      <c r="GX78" s="3">
        <v>1</v>
      </c>
      <c r="GY78" s="3">
        <v>0</v>
      </c>
      <c r="GZ78" s="3">
        <v>1</v>
      </c>
      <c r="HA78" s="3">
        <v>1</v>
      </c>
      <c r="HB78" s="3">
        <v>1</v>
      </c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6"/>
      <c r="HT78" s="4">
        <v>0</v>
      </c>
      <c r="HU78" s="3">
        <v>36</v>
      </c>
      <c r="HV78" s="3">
        <v>36</v>
      </c>
      <c r="HW78" s="3">
        <v>0</v>
      </c>
      <c r="HX78" s="3">
        <v>29</v>
      </c>
      <c r="HY78" s="3">
        <v>36</v>
      </c>
      <c r="HZ78" s="3">
        <v>39</v>
      </c>
      <c r="IA78" s="3">
        <v>52</v>
      </c>
      <c r="IB78" s="3">
        <v>0</v>
      </c>
      <c r="IC78" s="3">
        <v>29</v>
      </c>
      <c r="ID78" s="3">
        <v>0</v>
      </c>
      <c r="IE78" s="3">
        <v>36</v>
      </c>
      <c r="IF78" s="3">
        <v>0</v>
      </c>
      <c r="IG78" s="3">
        <v>0</v>
      </c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6"/>
    </row>
    <row r="79" spans="1:258" hidden="1">
      <c r="A79" s="97" t="s">
        <v>25</v>
      </c>
      <c r="B79" s="98" t="s">
        <v>90</v>
      </c>
      <c r="C79" s="98" t="s">
        <v>227</v>
      </c>
      <c r="D79" s="99" t="s">
        <v>1143</v>
      </c>
      <c r="E79" s="98" t="s">
        <v>243</v>
      </c>
      <c r="F79" s="98" t="s">
        <v>244</v>
      </c>
      <c r="G79" s="98" t="s">
        <v>892</v>
      </c>
      <c r="H79" s="98" t="s">
        <v>1654</v>
      </c>
      <c r="I79" s="98" t="s">
        <v>1654</v>
      </c>
      <c r="J79" s="98" t="s">
        <v>891</v>
      </c>
      <c r="K79" s="98" t="s">
        <v>1127</v>
      </c>
      <c r="L79" s="98" t="s">
        <v>1655</v>
      </c>
      <c r="M79" s="101" t="s">
        <v>1093</v>
      </c>
      <c r="N79" s="139">
        <v>46241</v>
      </c>
      <c r="O79" s="100">
        <v>1</v>
      </c>
      <c r="P79" s="69">
        <v>0</v>
      </c>
      <c r="Q79" s="69">
        <f t="shared" si="874"/>
        <v>1</v>
      </c>
      <c r="R79" s="69">
        <f t="shared" si="875"/>
        <v>1</v>
      </c>
      <c r="S79" s="69">
        <f t="shared" si="876"/>
        <v>0</v>
      </c>
      <c r="T79" s="69">
        <f t="shared" si="877"/>
        <v>1</v>
      </c>
      <c r="U79" s="69">
        <f t="shared" si="878"/>
        <v>1</v>
      </c>
      <c r="V79" s="70">
        <f t="shared" si="879"/>
        <v>1</v>
      </c>
      <c r="W79" s="71">
        <f t="shared" si="880"/>
        <v>1</v>
      </c>
      <c r="X79" s="71">
        <f t="shared" si="881"/>
        <v>1</v>
      </c>
      <c r="Y79" s="71">
        <f t="shared" si="882"/>
        <v>0</v>
      </c>
      <c r="Z79" s="71">
        <f t="shared" si="883"/>
        <v>1</v>
      </c>
      <c r="AA79" s="71">
        <f t="shared" si="884"/>
        <v>1</v>
      </c>
      <c r="AB79" s="71">
        <f t="shared" si="885"/>
        <v>1</v>
      </c>
      <c r="AC79" s="71">
        <f t="shared" si="886"/>
        <v>1</v>
      </c>
      <c r="AD79" s="71">
        <f t="shared" si="887"/>
        <v>1</v>
      </c>
      <c r="AE79" s="71">
        <f t="shared" si="888"/>
        <v>1</v>
      </c>
      <c r="AF79" s="71">
        <f t="shared" si="889"/>
        <v>0</v>
      </c>
      <c r="AG79" s="71">
        <f t="shared" si="890"/>
        <v>1</v>
      </c>
      <c r="AH79" s="71">
        <f t="shared" si="891"/>
        <v>1</v>
      </c>
      <c r="AI79" s="71">
        <f t="shared" si="892"/>
        <v>1</v>
      </c>
      <c r="AJ79" s="71">
        <f t="shared" si="893"/>
        <v>0</v>
      </c>
      <c r="AK79" s="71">
        <f t="shared" si="894"/>
        <v>0</v>
      </c>
      <c r="AL79" s="71">
        <f t="shared" si="895"/>
        <v>0</v>
      </c>
      <c r="AM79" s="71">
        <f t="shared" si="896"/>
        <v>0</v>
      </c>
      <c r="AN79" s="71">
        <f t="shared" si="897"/>
        <v>0</v>
      </c>
      <c r="AO79" s="71">
        <f t="shared" si="898"/>
        <v>0</v>
      </c>
      <c r="AP79" s="71">
        <f t="shared" si="899"/>
        <v>0</v>
      </c>
      <c r="AQ79" s="71">
        <f t="shared" si="900"/>
        <v>0</v>
      </c>
      <c r="AR79" s="71">
        <f t="shared" si="901"/>
        <v>0</v>
      </c>
      <c r="AS79" s="71">
        <f t="shared" si="902"/>
        <v>0</v>
      </c>
      <c r="AT79" s="71">
        <f t="shared" si="903"/>
        <v>0</v>
      </c>
      <c r="AU79" s="71">
        <f t="shared" si="904"/>
        <v>0</v>
      </c>
      <c r="AV79" s="71">
        <f t="shared" si="905"/>
        <v>0</v>
      </c>
      <c r="AW79" s="71">
        <f t="shared" si="906"/>
        <v>0</v>
      </c>
      <c r="AX79" s="71">
        <f t="shared" si="907"/>
        <v>0</v>
      </c>
      <c r="AY79" s="71">
        <f t="shared" si="908"/>
        <v>0</v>
      </c>
      <c r="AZ79" s="72">
        <f t="shared" si="909"/>
        <v>0</v>
      </c>
      <c r="BA79" s="70">
        <f t="shared" si="733"/>
        <v>12</v>
      </c>
      <c r="BB79" s="69">
        <f t="shared" ca="1" si="869"/>
        <v>0.92307692307692313</v>
      </c>
      <c r="BC79" s="70">
        <f t="shared" si="910"/>
        <v>20</v>
      </c>
      <c r="BD79" s="71">
        <f t="shared" si="911"/>
        <v>26</v>
      </c>
      <c r="BE79" s="71">
        <f t="shared" si="912"/>
        <v>27</v>
      </c>
      <c r="BF79" s="71">
        <f t="shared" si="913"/>
        <v>0</v>
      </c>
      <c r="BG79" s="71">
        <f t="shared" si="914"/>
        <v>27</v>
      </c>
      <c r="BH79" s="71">
        <f t="shared" si="915"/>
        <v>34</v>
      </c>
      <c r="BI79" s="71">
        <f t="shared" si="916"/>
        <v>21</v>
      </c>
      <c r="BJ79" s="71">
        <f t="shared" si="917"/>
        <v>32</v>
      </c>
      <c r="BK79" s="71">
        <f t="shared" si="918"/>
        <v>21</v>
      </c>
      <c r="BL79" s="71">
        <f t="shared" si="919"/>
        <v>20</v>
      </c>
      <c r="BM79" s="71">
        <f t="shared" si="920"/>
        <v>0</v>
      </c>
      <c r="BN79" s="71">
        <f t="shared" si="921"/>
        <v>20</v>
      </c>
      <c r="BO79" s="71">
        <f t="shared" si="922"/>
        <v>17</v>
      </c>
      <c r="BP79" s="71">
        <f t="shared" si="923"/>
        <v>0</v>
      </c>
      <c r="BQ79" s="71">
        <f t="shared" si="924"/>
        <v>0</v>
      </c>
      <c r="BR79" s="71">
        <f t="shared" si="925"/>
        <v>0</v>
      </c>
      <c r="BS79" s="71">
        <f t="shared" si="926"/>
        <v>0</v>
      </c>
      <c r="BT79" s="71">
        <f t="shared" si="927"/>
        <v>0</v>
      </c>
      <c r="BU79" s="71">
        <f t="shared" si="928"/>
        <v>0</v>
      </c>
      <c r="BV79" s="71">
        <f t="shared" si="929"/>
        <v>0</v>
      </c>
      <c r="BW79" s="71">
        <f t="shared" si="930"/>
        <v>0</v>
      </c>
      <c r="BX79" s="71">
        <f t="shared" si="931"/>
        <v>0</v>
      </c>
      <c r="BY79" s="71">
        <f t="shared" si="932"/>
        <v>0</v>
      </c>
      <c r="BZ79" s="71">
        <f t="shared" si="933"/>
        <v>0</v>
      </c>
      <c r="CA79" s="71">
        <f t="shared" si="934"/>
        <v>0</v>
      </c>
      <c r="CB79" s="71">
        <f t="shared" si="935"/>
        <v>0</v>
      </c>
      <c r="CC79" s="71">
        <f t="shared" si="936"/>
        <v>0</v>
      </c>
      <c r="CD79" s="71">
        <f t="shared" si="937"/>
        <v>0</v>
      </c>
      <c r="CE79" s="71">
        <f t="shared" si="938"/>
        <v>0</v>
      </c>
      <c r="CF79" s="71">
        <f t="shared" si="939"/>
        <v>0</v>
      </c>
      <c r="CG79" s="71">
        <f t="shared" si="940"/>
        <v>0</v>
      </c>
      <c r="CH79" s="70">
        <f t="shared" si="870"/>
        <v>265</v>
      </c>
      <c r="CI79" s="69">
        <f t="shared" ca="1" si="871"/>
        <v>20.384615384615383</v>
      </c>
      <c r="GM79" s="2" t="s">
        <v>16</v>
      </c>
      <c r="GN79" s="98" t="str">
        <f t="shared" si="732"/>
        <v>QTA01-FMCG02-SPO-01</v>
      </c>
      <c r="GO79" s="4">
        <v>1</v>
      </c>
      <c r="GP79" s="3">
        <v>1</v>
      </c>
      <c r="GQ79" s="3">
        <v>1</v>
      </c>
      <c r="GR79" s="3">
        <v>0</v>
      </c>
      <c r="GS79" s="3">
        <v>1</v>
      </c>
      <c r="GT79" s="3">
        <v>1</v>
      </c>
      <c r="GU79" s="3">
        <v>1</v>
      </c>
      <c r="GV79" s="3">
        <v>1</v>
      </c>
      <c r="GW79" s="3">
        <v>1</v>
      </c>
      <c r="GX79" s="3">
        <v>1</v>
      </c>
      <c r="GY79" s="3">
        <v>0</v>
      </c>
      <c r="GZ79" s="3">
        <v>1</v>
      </c>
      <c r="HA79" s="3">
        <v>1</v>
      </c>
      <c r="HB79" s="3">
        <v>1</v>
      </c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6"/>
      <c r="HT79" s="4">
        <v>20</v>
      </c>
      <c r="HU79" s="3">
        <v>26</v>
      </c>
      <c r="HV79" s="3">
        <v>27</v>
      </c>
      <c r="HW79" s="3">
        <v>0</v>
      </c>
      <c r="HX79" s="3">
        <v>27</v>
      </c>
      <c r="HY79" s="3">
        <v>34</v>
      </c>
      <c r="HZ79" s="3">
        <v>21</v>
      </c>
      <c r="IA79" s="3">
        <v>32</v>
      </c>
      <c r="IB79" s="3">
        <v>21</v>
      </c>
      <c r="IC79" s="3">
        <v>20</v>
      </c>
      <c r="ID79" s="3">
        <v>0</v>
      </c>
      <c r="IE79" s="3">
        <v>20</v>
      </c>
      <c r="IF79" s="3">
        <v>17</v>
      </c>
      <c r="IG79" s="3">
        <v>0</v>
      </c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6"/>
    </row>
    <row r="80" spans="1:258" hidden="1">
      <c r="A80" s="97" t="s">
        <v>25</v>
      </c>
      <c r="B80" s="98" t="s">
        <v>90</v>
      </c>
      <c r="C80" s="98" t="s">
        <v>227</v>
      </c>
      <c r="D80" s="99" t="s">
        <v>1143</v>
      </c>
      <c r="E80" s="98" t="s">
        <v>247</v>
      </c>
      <c r="F80" s="98" t="s">
        <v>248</v>
      </c>
      <c r="G80" s="98" t="s">
        <v>249</v>
      </c>
      <c r="H80" s="98" t="s">
        <v>1455</v>
      </c>
      <c r="I80" s="98" t="s">
        <v>1455</v>
      </c>
      <c r="J80" s="98" t="s">
        <v>891</v>
      </c>
      <c r="K80" s="98" t="s">
        <v>1127</v>
      </c>
      <c r="L80" s="98" t="s">
        <v>250</v>
      </c>
      <c r="M80" s="101" t="s">
        <v>1093</v>
      </c>
      <c r="N80" s="139">
        <v>46119</v>
      </c>
      <c r="O80" s="100">
        <v>1</v>
      </c>
      <c r="P80" s="69">
        <v>0</v>
      </c>
      <c r="Q80" s="69">
        <f t="shared" si="874"/>
        <v>1</v>
      </c>
      <c r="R80" s="69">
        <f t="shared" si="875"/>
        <v>1</v>
      </c>
      <c r="S80" s="69">
        <f t="shared" si="876"/>
        <v>0</v>
      </c>
      <c r="T80" s="69">
        <f t="shared" si="877"/>
        <v>1</v>
      </c>
      <c r="U80" s="69">
        <f t="shared" si="878"/>
        <v>1</v>
      </c>
      <c r="V80" s="70">
        <f t="shared" si="879"/>
        <v>1</v>
      </c>
      <c r="W80" s="71">
        <f t="shared" si="880"/>
        <v>1</v>
      </c>
      <c r="X80" s="71">
        <f t="shared" si="881"/>
        <v>1</v>
      </c>
      <c r="Y80" s="71">
        <f t="shared" si="882"/>
        <v>0</v>
      </c>
      <c r="Z80" s="71">
        <f t="shared" si="883"/>
        <v>1</v>
      </c>
      <c r="AA80" s="71">
        <f t="shared" si="884"/>
        <v>1</v>
      </c>
      <c r="AB80" s="71">
        <f t="shared" si="885"/>
        <v>1</v>
      </c>
      <c r="AC80" s="71">
        <f t="shared" si="886"/>
        <v>1</v>
      </c>
      <c r="AD80" s="71">
        <f t="shared" si="887"/>
        <v>1</v>
      </c>
      <c r="AE80" s="71">
        <f t="shared" si="888"/>
        <v>1</v>
      </c>
      <c r="AF80" s="71">
        <f t="shared" si="889"/>
        <v>0</v>
      </c>
      <c r="AG80" s="71">
        <f t="shared" si="890"/>
        <v>1</v>
      </c>
      <c r="AH80" s="71">
        <f t="shared" si="891"/>
        <v>1</v>
      </c>
      <c r="AI80" s="71">
        <f t="shared" si="892"/>
        <v>1</v>
      </c>
      <c r="AJ80" s="71">
        <f t="shared" si="893"/>
        <v>0</v>
      </c>
      <c r="AK80" s="71">
        <f t="shared" si="894"/>
        <v>0</v>
      </c>
      <c r="AL80" s="71">
        <f t="shared" si="895"/>
        <v>0</v>
      </c>
      <c r="AM80" s="71">
        <f t="shared" si="896"/>
        <v>0</v>
      </c>
      <c r="AN80" s="71">
        <f t="shared" si="897"/>
        <v>0</v>
      </c>
      <c r="AO80" s="71">
        <f t="shared" si="898"/>
        <v>0</v>
      </c>
      <c r="AP80" s="71">
        <f t="shared" si="899"/>
        <v>0</v>
      </c>
      <c r="AQ80" s="71">
        <f t="shared" si="900"/>
        <v>0</v>
      </c>
      <c r="AR80" s="71">
        <f t="shared" si="901"/>
        <v>0</v>
      </c>
      <c r="AS80" s="71">
        <f t="shared" si="902"/>
        <v>0</v>
      </c>
      <c r="AT80" s="71">
        <f t="shared" si="903"/>
        <v>0</v>
      </c>
      <c r="AU80" s="71">
        <f t="shared" si="904"/>
        <v>0</v>
      </c>
      <c r="AV80" s="71">
        <f t="shared" si="905"/>
        <v>0</v>
      </c>
      <c r="AW80" s="71">
        <f t="shared" si="906"/>
        <v>0</v>
      </c>
      <c r="AX80" s="71">
        <f t="shared" si="907"/>
        <v>0</v>
      </c>
      <c r="AY80" s="71">
        <f t="shared" si="908"/>
        <v>0</v>
      </c>
      <c r="AZ80" s="72">
        <f t="shared" si="909"/>
        <v>0</v>
      </c>
      <c r="BA80" s="70">
        <f t="shared" si="733"/>
        <v>12</v>
      </c>
      <c r="BB80" s="69">
        <f t="shared" ca="1" si="869"/>
        <v>0.92307692307692313</v>
      </c>
      <c r="BC80" s="70">
        <f t="shared" si="910"/>
        <v>0</v>
      </c>
      <c r="BD80" s="71">
        <f t="shared" si="911"/>
        <v>0</v>
      </c>
      <c r="BE80" s="71">
        <f t="shared" si="912"/>
        <v>16</v>
      </c>
      <c r="BF80" s="71">
        <f t="shared" si="913"/>
        <v>0</v>
      </c>
      <c r="BG80" s="71">
        <f t="shared" si="914"/>
        <v>29</v>
      </c>
      <c r="BH80" s="71">
        <f t="shared" si="915"/>
        <v>19</v>
      </c>
      <c r="BI80" s="71">
        <f t="shared" si="916"/>
        <v>35</v>
      </c>
      <c r="BJ80" s="71">
        <f t="shared" si="917"/>
        <v>41</v>
      </c>
      <c r="BK80" s="71">
        <f t="shared" si="918"/>
        <v>28</v>
      </c>
      <c r="BL80" s="71">
        <f t="shared" si="919"/>
        <v>20</v>
      </c>
      <c r="BM80" s="71">
        <f t="shared" si="920"/>
        <v>0</v>
      </c>
      <c r="BN80" s="71">
        <f t="shared" si="921"/>
        <v>0</v>
      </c>
      <c r="BO80" s="71">
        <f t="shared" si="922"/>
        <v>41</v>
      </c>
      <c r="BP80" s="71">
        <f t="shared" si="923"/>
        <v>0</v>
      </c>
      <c r="BQ80" s="71">
        <f t="shared" si="924"/>
        <v>0</v>
      </c>
      <c r="BR80" s="71">
        <f t="shared" si="925"/>
        <v>0</v>
      </c>
      <c r="BS80" s="71">
        <f t="shared" si="926"/>
        <v>0</v>
      </c>
      <c r="BT80" s="71">
        <f t="shared" si="927"/>
        <v>0</v>
      </c>
      <c r="BU80" s="71">
        <f t="shared" si="928"/>
        <v>0</v>
      </c>
      <c r="BV80" s="71">
        <f t="shared" si="929"/>
        <v>0</v>
      </c>
      <c r="BW80" s="71">
        <f t="shared" si="930"/>
        <v>0</v>
      </c>
      <c r="BX80" s="71">
        <f t="shared" si="931"/>
        <v>0</v>
      </c>
      <c r="BY80" s="71">
        <f t="shared" si="932"/>
        <v>0</v>
      </c>
      <c r="BZ80" s="71">
        <f t="shared" si="933"/>
        <v>0</v>
      </c>
      <c r="CA80" s="71">
        <f t="shared" si="934"/>
        <v>0</v>
      </c>
      <c r="CB80" s="71">
        <f t="shared" si="935"/>
        <v>0</v>
      </c>
      <c r="CC80" s="71">
        <f t="shared" si="936"/>
        <v>0</v>
      </c>
      <c r="CD80" s="71">
        <f t="shared" si="937"/>
        <v>0</v>
      </c>
      <c r="CE80" s="71">
        <f t="shared" si="938"/>
        <v>0</v>
      </c>
      <c r="CF80" s="71">
        <f t="shared" si="939"/>
        <v>0</v>
      </c>
      <c r="CG80" s="71">
        <f t="shared" si="940"/>
        <v>0</v>
      </c>
      <c r="CH80" s="70">
        <f t="shared" si="870"/>
        <v>229</v>
      </c>
      <c r="CI80" s="69">
        <f t="shared" ca="1" si="871"/>
        <v>17.615384615384617</v>
      </c>
      <c r="GM80" s="2" t="s">
        <v>16</v>
      </c>
      <c r="GN80" s="98" t="str">
        <f t="shared" si="732"/>
        <v>QTA01-FMCG02-SPO-02</v>
      </c>
      <c r="GO80" s="4">
        <v>1</v>
      </c>
      <c r="GP80" s="3">
        <v>1</v>
      </c>
      <c r="GQ80" s="3">
        <v>1</v>
      </c>
      <c r="GR80" s="3">
        <v>0</v>
      </c>
      <c r="GS80" s="3">
        <v>1</v>
      </c>
      <c r="GT80" s="3">
        <v>1</v>
      </c>
      <c r="GU80" s="3">
        <v>1</v>
      </c>
      <c r="GV80" s="3">
        <v>1</v>
      </c>
      <c r="GW80" s="3">
        <v>1</v>
      </c>
      <c r="GX80" s="3">
        <v>1</v>
      </c>
      <c r="GY80" s="3">
        <v>0</v>
      </c>
      <c r="GZ80" s="3">
        <v>1</v>
      </c>
      <c r="HA80" s="3">
        <v>1</v>
      </c>
      <c r="HB80" s="3">
        <v>1</v>
      </c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6"/>
      <c r="HT80" s="4">
        <v>0</v>
      </c>
      <c r="HU80" s="3">
        <v>0</v>
      </c>
      <c r="HV80" s="3">
        <v>16</v>
      </c>
      <c r="HW80" s="3">
        <v>0</v>
      </c>
      <c r="HX80" s="3">
        <v>29</v>
      </c>
      <c r="HY80" s="3">
        <v>19</v>
      </c>
      <c r="HZ80" s="3">
        <v>35</v>
      </c>
      <c r="IA80" s="3">
        <v>41</v>
      </c>
      <c r="IB80" s="3">
        <v>28</v>
      </c>
      <c r="IC80" s="3">
        <v>20</v>
      </c>
      <c r="ID80" s="3">
        <v>0</v>
      </c>
      <c r="IE80" s="3">
        <v>0</v>
      </c>
      <c r="IF80" s="3">
        <v>41</v>
      </c>
      <c r="IG80" s="3">
        <v>0</v>
      </c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6"/>
    </row>
    <row r="81" spans="1:258" hidden="1">
      <c r="A81" s="97" t="s">
        <v>25</v>
      </c>
      <c r="B81" s="98" t="s">
        <v>20</v>
      </c>
      <c r="C81" s="98" t="s">
        <v>227</v>
      </c>
      <c r="D81" s="99" t="s">
        <v>1143</v>
      </c>
      <c r="E81" s="98" t="s">
        <v>1016</v>
      </c>
      <c r="F81" s="98" t="s">
        <v>944</v>
      </c>
      <c r="G81" s="98" t="s">
        <v>245</v>
      </c>
      <c r="H81" s="98" t="s">
        <v>1456</v>
      </c>
      <c r="I81" s="98" t="s">
        <v>1456</v>
      </c>
      <c r="J81" s="98" t="s">
        <v>891</v>
      </c>
      <c r="K81" s="98" t="s">
        <v>1127</v>
      </c>
      <c r="L81" s="98" t="s">
        <v>246</v>
      </c>
      <c r="M81" s="98" t="s">
        <v>1093</v>
      </c>
      <c r="N81" s="108">
        <v>46144</v>
      </c>
      <c r="O81" s="100">
        <v>1</v>
      </c>
      <c r="P81" s="69">
        <v>0</v>
      </c>
      <c r="Q81" s="69">
        <f t="shared" si="874"/>
        <v>1</v>
      </c>
      <c r="R81" s="69">
        <f t="shared" si="875"/>
        <v>1</v>
      </c>
      <c r="S81" s="69">
        <f t="shared" si="876"/>
        <v>0</v>
      </c>
      <c r="T81" s="69">
        <f t="shared" si="877"/>
        <v>1</v>
      </c>
      <c r="U81" s="69">
        <f t="shared" si="878"/>
        <v>1</v>
      </c>
      <c r="V81" s="70">
        <f t="shared" si="879"/>
        <v>1</v>
      </c>
      <c r="W81" s="71">
        <f t="shared" si="880"/>
        <v>1</v>
      </c>
      <c r="X81" s="71">
        <f t="shared" si="881"/>
        <v>1</v>
      </c>
      <c r="Y81" s="71">
        <f t="shared" si="882"/>
        <v>0</v>
      </c>
      <c r="Z81" s="71">
        <f t="shared" si="883"/>
        <v>1</v>
      </c>
      <c r="AA81" s="71">
        <f t="shared" si="884"/>
        <v>1</v>
      </c>
      <c r="AB81" s="71">
        <f t="shared" si="885"/>
        <v>1</v>
      </c>
      <c r="AC81" s="71">
        <f t="shared" si="886"/>
        <v>1</v>
      </c>
      <c r="AD81" s="71">
        <f t="shared" si="887"/>
        <v>1</v>
      </c>
      <c r="AE81" s="71">
        <f t="shared" si="888"/>
        <v>1</v>
      </c>
      <c r="AF81" s="71">
        <f t="shared" si="889"/>
        <v>0</v>
      </c>
      <c r="AG81" s="71">
        <f t="shared" si="890"/>
        <v>1</v>
      </c>
      <c r="AH81" s="71">
        <f t="shared" si="891"/>
        <v>1</v>
      </c>
      <c r="AI81" s="71">
        <f t="shared" si="892"/>
        <v>1</v>
      </c>
      <c r="AJ81" s="71">
        <f t="shared" si="893"/>
        <v>0</v>
      </c>
      <c r="AK81" s="71">
        <f t="shared" si="894"/>
        <v>0</v>
      </c>
      <c r="AL81" s="71">
        <f t="shared" si="895"/>
        <v>0</v>
      </c>
      <c r="AM81" s="71">
        <f t="shared" si="896"/>
        <v>0</v>
      </c>
      <c r="AN81" s="71">
        <f t="shared" si="897"/>
        <v>0</v>
      </c>
      <c r="AO81" s="71">
        <f t="shared" si="898"/>
        <v>0</v>
      </c>
      <c r="AP81" s="71">
        <f t="shared" si="899"/>
        <v>0</v>
      </c>
      <c r="AQ81" s="71">
        <f t="shared" si="900"/>
        <v>0</v>
      </c>
      <c r="AR81" s="71">
        <f t="shared" si="901"/>
        <v>0</v>
      </c>
      <c r="AS81" s="71">
        <f t="shared" si="902"/>
        <v>0</v>
      </c>
      <c r="AT81" s="71">
        <f t="shared" si="903"/>
        <v>0</v>
      </c>
      <c r="AU81" s="71">
        <f t="shared" si="904"/>
        <v>0</v>
      </c>
      <c r="AV81" s="71">
        <f t="shared" si="905"/>
        <v>0</v>
      </c>
      <c r="AW81" s="71">
        <f t="shared" si="906"/>
        <v>0</v>
      </c>
      <c r="AX81" s="71">
        <f t="shared" si="907"/>
        <v>0</v>
      </c>
      <c r="AY81" s="71">
        <f t="shared" si="908"/>
        <v>0</v>
      </c>
      <c r="AZ81" s="72">
        <f t="shared" si="909"/>
        <v>0</v>
      </c>
      <c r="BA81" s="70">
        <f t="shared" si="733"/>
        <v>12</v>
      </c>
      <c r="BB81" s="69">
        <f t="shared" ca="1" si="869"/>
        <v>0.92307692307692313</v>
      </c>
      <c r="BC81" s="70">
        <f t="shared" si="910"/>
        <v>19</v>
      </c>
      <c r="BD81" s="71">
        <f t="shared" si="911"/>
        <v>32</v>
      </c>
      <c r="BE81" s="71">
        <f t="shared" si="912"/>
        <v>31</v>
      </c>
      <c r="BF81" s="71">
        <f t="shared" si="913"/>
        <v>0</v>
      </c>
      <c r="BG81" s="71">
        <f t="shared" si="914"/>
        <v>36</v>
      </c>
      <c r="BH81" s="71">
        <f t="shared" si="915"/>
        <v>32</v>
      </c>
      <c r="BI81" s="71">
        <f t="shared" si="916"/>
        <v>35</v>
      </c>
      <c r="BJ81" s="71">
        <f t="shared" si="917"/>
        <v>41</v>
      </c>
      <c r="BK81" s="71">
        <f t="shared" si="918"/>
        <v>32</v>
      </c>
      <c r="BL81" s="71">
        <f t="shared" si="919"/>
        <v>12</v>
      </c>
      <c r="BM81" s="71">
        <f t="shared" si="920"/>
        <v>0</v>
      </c>
      <c r="BN81" s="71">
        <f t="shared" si="921"/>
        <v>19</v>
      </c>
      <c r="BO81" s="71">
        <f t="shared" si="922"/>
        <v>27</v>
      </c>
      <c r="BP81" s="71">
        <f t="shared" si="923"/>
        <v>0</v>
      </c>
      <c r="BQ81" s="71">
        <f t="shared" si="924"/>
        <v>0</v>
      </c>
      <c r="BR81" s="71">
        <f t="shared" si="925"/>
        <v>0</v>
      </c>
      <c r="BS81" s="71">
        <f t="shared" si="926"/>
        <v>0</v>
      </c>
      <c r="BT81" s="71">
        <f t="shared" si="927"/>
        <v>0</v>
      </c>
      <c r="BU81" s="71">
        <f t="shared" si="928"/>
        <v>0</v>
      </c>
      <c r="BV81" s="71">
        <f t="shared" si="929"/>
        <v>0</v>
      </c>
      <c r="BW81" s="71">
        <f t="shared" si="930"/>
        <v>0</v>
      </c>
      <c r="BX81" s="71">
        <f t="shared" si="931"/>
        <v>0</v>
      </c>
      <c r="BY81" s="71">
        <f t="shared" si="932"/>
        <v>0</v>
      </c>
      <c r="BZ81" s="71">
        <f t="shared" si="933"/>
        <v>0</v>
      </c>
      <c r="CA81" s="71">
        <f t="shared" si="934"/>
        <v>0</v>
      </c>
      <c r="CB81" s="71">
        <f t="shared" si="935"/>
        <v>0</v>
      </c>
      <c r="CC81" s="71">
        <f t="shared" si="936"/>
        <v>0</v>
      </c>
      <c r="CD81" s="71">
        <f t="shared" si="937"/>
        <v>0</v>
      </c>
      <c r="CE81" s="71">
        <f t="shared" si="938"/>
        <v>0</v>
      </c>
      <c r="CF81" s="71">
        <f t="shared" si="939"/>
        <v>0</v>
      </c>
      <c r="CG81" s="71">
        <f t="shared" si="940"/>
        <v>0</v>
      </c>
      <c r="CH81" s="70">
        <f t="shared" si="870"/>
        <v>316</v>
      </c>
      <c r="CI81" s="69">
        <f t="shared" ca="1" si="871"/>
        <v>24.307692307692307</v>
      </c>
      <c r="GM81" s="2" t="s">
        <v>16</v>
      </c>
      <c r="GN81" s="98" t="str">
        <f t="shared" si="732"/>
        <v>QTA01-FMCG03-SPO-01</v>
      </c>
      <c r="GO81" s="4">
        <v>1</v>
      </c>
      <c r="GP81" s="3">
        <v>1</v>
      </c>
      <c r="GQ81" s="3">
        <v>1</v>
      </c>
      <c r="GR81" s="3">
        <v>0</v>
      </c>
      <c r="GS81" s="3">
        <v>1</v>
      </c>
      <c r="GT81" s="3">
        <v>1</v>
      </c>
      <c r="GU81" s="3">
        <v>1</v>
      </c>
      <c r="GV81" s="3">
        <v>1</v>
      </c>
      <c r="GW81" s="3">
        <v>1</v>
      </c>
      <c r="GX81" s="3">
        <v>1</v>
      </c>
      <c r="GY81" s="3">
        <v>0</v>
      </c>
      <c r="GZ81" s="3">
        <v>1</v>
      </c>
      <c r="HA81" s="3">
        <v>1</v>
      </c>
      <c r="HB81" s="3">
        <v>1</v>
      </c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6"/>
      <c r="HT81" s="4">
        <v>19</v>
      </c>
      <c r="HU81" s="3">
        <v>32</v>
      </c>
      <c r="HV81" s="3">
        <v>31</v>
      </c>
      <c r="HW81" s="3">
        <v>0</v>
      </c>
      <c r="HX81" s="3">
        <v>36</v>
      </c>
      <c r="HY81" s="3">
        <v>32</v>
      </c>
      <c r="HZ81" s="3">
        <v>35</v>
      </c>
      <c r="IA81" s="3">
        <v>41</v>
      </c>
      <c r="IB81" s="3">
        <v>32</v>
      </c>
      <c r="IC81" s="3">
        <v>12</v>
      </c>
      <c r="ID81" s="3">
        <v>0</v>
      </c>
      <c r="IE81" s="3">
        <v>19</v>
      </c>
      <c r="IF81" s="3">
        <v>27</v>
      </c>
      <c r="IG81" s="3">
        <v>0</v>
      </c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6"/>
    </row>
    <row r="82" spans="1:258" hidden="1">
      <c r="A82" s="97" t="s">
        <v>1287</v>
      </c>
      <c r="B82" s="98" t="s">
        <v>20</v>
      </c>
      <c r="C82" s="98" t="s">
        <v>227</v>
      </c>
      <c r="D82" s="99" t="s">
        <v>1143</v>
      </c>
      <c r="E82" s="98" t="s">
        <v>1098</v>
      </c>
      <c r="F82" s="98" t="s">
        <v>251</v>
      </c>
      <c r="G82" s="98" t="s">
        <v>252</v>
      </c>
      <c r="H82" s="98" t="s">
        <v>1457</v>
      </c>
      <c r="I82" s="98" t="s">
        <v>1457</v>
      </c>
      <c r="J82" s="98" t="s">
        <v>891</v>
      </c>
      <c r="K82" s="98" t="s">
        <v>1099</v>
      </c>
      <c r="L82" s="98" t="s">
        <v>1099</v>
      </c>
      <c r="M82" s="101" t="s">
        <v>1099</v>
      </c>
      <c r="N82" s="108">
        <v>45474</v>
      </c>
      <c r="O82" s="100">
        <v>0</v>
      </c>
      <c r="P82" s="69">
        <v>0</v>
      </c>
      <c r="Q82" s="69">
        <f t="shared" si="874"/>
        <v>0</v>
      </c>
      <c r="R82" s="69">
        <f t="shared" si="875"/>
        <v>0</v>
      </c>
      <c r="S82" s="69">
        <f t="shared" si="876"/>
        <v>0</v>
      </c>
      <c r="T82" s="69">
        <f t="shared" si="877"/>
        <v>0</v>
      </c>
      <c r="U82" s="69">
        <f t="shared" si="878"/>
        <v>0</v>
      </c>
      <c r="V82" s="70">
        <f t="shared" si="879"/>
        <v>0</v>
      </c>
      <c r="W82" s="71">
        <f t="shared" si="880"/>
        <v>0</v>
      </c>
      <c r="X82" s="71">
        <f t="shared" si="881"/>
        <v>0</v>
      </c>
      <c r="Y82" s="71">
        <f t="shared" si="882"/>
        <v>0</v>
      </c>
      <c r="Z82" s="71">
        <f t="shared" si="883"/>
        <v>0</v>
      </c>
      <c r="AA82" s="71">
        <f t="shared" si="884"/>
        <v>0</v>
      </c>
      <c r="AB82" s="71">
        <f t="shared" si="885"/>
        <v>0</v>
      </c>
      <c r="AC82" s="71">
        <f t="shared" si="886"/>
        <v>0</v>
      </c>
      <c r="AD82" s="71">
        <f t="shared" si="887"/>
        <v>0</v>
      </c>
      <c r="AE82" s="71">
        <f t="shared" si="888"/>
        <v>0</v>
      </c>
      <c r="AF82" s="71">
        <f t="shared" si="889"/>
        <v>0</v>
      </c>
      <c r="AG82" s="71">
        <f t="shared" si="890"/>
        <v>0</v>
      </c>
      <c r="AH82" s="71">
        <f t="shared" si="891"/>
        <v>0</v>
      </c>
      <c r="AI82" s="71">
        <f t="shared" si="892"/>
        <v>0</v>
      </c>
      <c r="AJ82" s="71">
        <f t="shared" si="893"/>
        <v>0</v>
      </c>
      <c r="AK82" s="71">
        <f t="shared" si="894"/>
        <v>0</v>
      </c>
      <c r="AL82" s="71">
        <f t="shared" si="895"/>
        <v>0</v>
      </c>
      <c r="AM82" s="71">
        <f t="shared" si="896"/>
        <v>0</v>
      </c>
      <c r="AN82" s="71">
        <f t="shared" si="897"/>
        <v>0</v>
      </c>
      <c r="AO82" s="71">
        <f t="shared" si="898"/>
        <v>0</v>
      </c>
      <c r="AP82" s="71">
        <f t="shared" si="899"/>
        <v>0</v>
      </c>
      <c r="AQ82" s="71">
        <f t="shared" si="900"/>
        <v>0</v>
      </c>
      <c r="AR82" s="71">
        <f t="shared" si="901"/>
        <v>0</v>
      </c>
      <c r="AS82" s="71">
        <f t="shared" si="902"/>
        <v>0</v>
      </c>
      <c r="AT82" s="71">
        <f t="shared" si="903"/>
        <v>0</v>
      </c>
      <c r="AU82" s="71">
        <f t="shared" si="904"/>
        <v>0</v>
      </c>
      <c r="AV82" s="71">
        <f t="shared" si="905"/>
        <v>0</v>
      </c>
      <c r="AW82" s="71">
        <f t="shared" si="906"/>
        <v>0</v>
      </c>
      <c r="AX82" s="71">
        <f t="shared" si="907"/>
        <v>0</v>
      </c>
      <c r="AY82" s="71">
        <f t="shared" si="908"/>
        <v>0</v>
      </c>
      <c r="AZ82" s="72">
        <f t="shared" si="909"/>
        <v>0</v>
      </c>
      <c r="BA82" s="70">
        <f t="shared" si="733"/>
        <v>0</v>
      </c>
      <c r="BB82" s="69">
        <f t="shared" ca="1" si="869"/>
        <v>0</v>
      </c>
      <c r="BC82" s="70">
        <f t="shared" si="910"/>
        <v>0</v>
      </c>
      <c r="BD82" s="71">
        <f t="shared" si="911"/>
        <v>0</v>
      </c>
      <c r="BE82" s="71">
        <f t="shared" si="912"/>
        <v>0</v>
      </c>
      <c r="BF82" s="71">
        <f t="shared" si="913"/>
        <v>0</v>
      </c>
      <c r="BG82" s="71">
        <f t="shared" si="914"/>
        <v>0</v>
      </c>
      <c r="BH82" s="71">
        <f t="shared" si="915"/>
        <v>0</v>
      </c>
      <c r="BI82" s="71">
        <f t="shared" si="916"/>
        <v>0</v>
      </c>
      <c r="BJ82" s="71">
        <f t="shared" si="917"/>
        <v>0</v>
      </c>
      <c r="BK82" s="71">
        <f t="shared" si="918"/>
        <v>0</v>
      </c>
      <c r="BL82" s="71">
        <f t="shared" si="919"/>
        <v>0</v>
      </c>
      <c r="BM82" s="71">
        <f t="shared" si="920"/>
        <v>0</v>
      </c>
      <c r="BN82" s="71">
        <f t="shared" si="921"/>
        <v>0</v>
      </c>
      <c r="BO82" s="71">
        <f t="shared" si="922"/>
        <v>0</v>
      </c>
      <c r="BP82" s="71">
        <f t="shared" si="923"/>
        <v>0</v>
      </c>
      <c r="BQ82" s="71">
        <f t="shared" si="924"/>
        <v>0</v>
      </c>
      <c r="BR82" s="71">
        <f t="shared" si="925"/>
        <v>0</v>
      </c>
      <c r="BS82" s="71">
        <f t="shared" si="926"/>
        <v>0</v>
      </c>
      <c r="BT82" s="71">
        <f t="shared" si="927"/>
        <v>0</v>
      </c>
      <c r="BU82" s="71">
        <f t="shared" si="928"/>
        <v>0</v>
      </c>
      <c r="BV82" s="71">
        <f t="shared" si="929"/>
        <v>0</v>
      </c>
      <c r="BW82" s="71">
        <f t="shared" si="930"/>
        <v>0</v>
      </c>
      <c r="BX82" s="71">
        <f t="shared" si="931"/>
        <v>0</v>
      </c>
      <c r="BY82" s="71">
        <f t="shared" si="932"/>
        <v>0</v>
      </c>
      <c r="BZ82" s="71">
        <f t="shared" si="933"/>
        <v>0</v>
      </c>
      <c r="CA82" s="71">
        <f t="shared" si="934"/>
        <v>0</v>
      </c>
      <c r="CB82" s="71">
        <f t="shared" si="935"/>
        <v>0</v>
      </c>
      <c r="CC82" s="71">
        <f t="shared" si="936"/>
        <v>0</v>
      </c>
      <c r="CD82" s="71">
        <f t="shared" si="937"/>
        <v>0</v>
      </c>
      <c r="CE82" s="71">
        <f t="shared" si="938"/>
        <v>0</v>
      </c>
      <c r="CF82" s="71">
        <f t="shared" si="939"/>
        <v>0</v>
      </c>
      <c r="CG82" s="71">
        <f t="shared" si="940"/>
        <v>0</v>
      </c>
      <c r="CH82" s="70">
        <f t="shared" si="870"/>
        <v>0</v>
      </c>
      <c r="CI82" s="69">
        <f t="shared" ca="1" si="871"/>
        <v>0</v>
      </c>
      <c r="GM82" s="2" t="s">
        <v>16</v>
      </c>
      <c r="GN82" s="98" t="str">
        <f t="shared" si="732"/>
        <v>QTA01-FMCG-SPO-00</v>
      </c>
      <c r="GO82" s="4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6"/>
      <c r="HT82" s="4">
        <v>0</v>
      </c>
      <c r="HU82" s="3">
        <v>0</v>
      </c>
      <c r="HV82" s="3">
        <v>0</v>
      </c>
      <c r="HW82" s="3">
        <v>0</v>
      </c>
      <c r="HX82" s="3">
        <v>0</v>
      </c>
      <c r="HY82" s="3">
        <v>0</v>
      </c>
      <c r="HZ82" s="3">
        <v>0</v>
      </c>
      <c r="IA82" s="3">
        <v>0</v>
      </c>
      <c r="IB82" s="3">
        <v>0</v>
      </c>
      <c r="IC82" s="3">
        <v>0</v>
      </c>
      <c r="ID82" s="3">
        <v>0</v>
      </c>
      <c r="IE82" s="3">
        <v>0</v>
      </c>
      <c r="IF82" s="3">
        <v>0</v>
      </c>
      <c r="IG82" s="3">
        <v>0</v>
      </c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6"/>
    </row>
    <row r="83" spans="1:258" hidden="1">
      <c r="A83" s="97" t="s">
        <v>1380</v>
      </c>
      <c r="B83" s="98" t="s">
        <v>20</v>
      </c>
      <c r="C83" s="98" t="s">
        <v>227</v>
      </c>
      <c r="D83" s="99" t="s">
        <v>1143</v>
      </c>
      <c r="E83" s="98" t="s">
        <v>253</v>
      </c>
      <c r="F83" s="98" t="s">
        <v>254</v>
      </c>
      <c r="G83" s="98" t="s">
        <v>255</v>
      </c>
      <c r="H83" s="98" t="s">
        <v>1145</v>
      </c>
      <c r="I83" s="98" t="s">
        <v>1145</v>
      </c>
      <c r="J83" s="98" t="s">
        <v>891</v>
      </c>
      <c r="K83" s="98" t="s">
        <v>1127</v>
      </c>
      <c r="L83" s="98" t="s">
        <v>256</v>
      </c>
      <c r="M83" s="101" t="s">
        <v>52</v>
      </c>
      <c r="N83" s="108">
        <v>45941</v>
      </c>
      <c r="O83" s="100">
        <v>0</v>
      </c>
      <c r="P83" s="69">
        <v>0</v>
      </c>
      <c r="Q83" s="69">
        <f t="shared" si="874"/>
        <v>0</v>
      </c>
      <c r="R83" s="69">
        <f t="shared" si="875"/>
        <v>0</v>
      </c>
      <c r="S83" s="69">
        <f t="shared" si="876"/>
        <v>0</v>
      </c>
      <c r="T83" s="69">
        <f t="shared" si="877"/>
        <v>0</v>
      </c>
      <c r="U83" s="69">
        <f t="shared" si="878"/>
        <v>0</v>
      </c>
      <c r="V83" s="70">
        <f t="shared" si="879"/>
        <v>0</v>
      </c>
      <c r="W83" s="71">
        <f t="shared" si="880"/>
        <v>0</v>
      </c>
      <c r="X83" s="71">
        <f t="shared" si="881"/>
        <v>0</v>
      </c>
      <c r="Y83" s="71">
        <f t="shared" si="882"/>
        <v>0</v>
      </c>
      <c r="Z83" s="71">
        <f t="shared" si="883"/>
        <v>0</v>
      </c>
      <c r="AA83" s="71">
        <f t="shared" si="884"/>
        <v>0</v>
      </c>
      <c r="AB83" s="71">
        <f t="shared" si="885"/>
        <v>0</v>
      </c>
      <c r="AC83" s="71">
        <f t="shared" si="886"/>
        <v>0</v>
      </c>
      <c r="AD83" s="71">
        <f t="shared" si="887"/>
        <v>0</v>
      </c>
      <c r="AE83" s="71">
        <f t="shared" si="888"/>
        <v>0</v>
      </c>
      <c r="AF83" s="71">
        <f t="shared" si="889"/>
        <v>0</v>
      </c>
      <c r="AG83" s="71">
        <f t="shared" si="890"/>
        <v>0</v>
      </c>
      <c r="AH83" s="71">
        <f t="shared" si="891"/>
        <v>0</v>
      </c>
      <c r="AI83" s="71">
        <f t="shared" si="892"/>
        <v>0</v>
      </c>
      <c r="AJ83" s="71">
        <f t="shared" si="893"/>
        <v>0</v>
      </c>
      <c r="AK83" s="71">
        <f t="shared" si="894"/>
        <v>0</v>
      </c>
      <c r="AL83" s="71">
        <f t="shared" si="895"/>
        <v>0</v>
      </c>
      <c r="AM83" s="71">
        <f t="shared" si="896"/>
        <v>0</v>
      </c>
      <c r="AN83" s="71">
        <f t="shared" si="897"/>
        <v>0</v>
      </c>
      <c r="AO83" s="71">
        <f t="shared" si="898"/>
        <v>0</v>
      </c>
      <c r="AP83" s="71">
        <f t="shared" si="899"/>
        <v>0</v>
      </c>
      <c r="AQ83" s="71">
        <f t="shared" si="900"/>
        <v>0</v>
      </c>
      <c r="AR83" s="71">
        <f t="shared" si="901"/>
        <v>0</v>
      </c>
      <c r="AS83" s="71">
        <f t="shared" si="902"/>
        <v>0</v>
      </c>
      <c r="AT83" s="71">
        <f t="shared" si="903"/>
        <v>0</v>
      </c>
      <c r="AU83" s="71">
        <f t="shared" si="904"/>
        <v>0</v>
      </c>
      <c r="AV83" s="71">
        <f t="shared" si="905"/>
        <v>0</v>
      </c>
      <c r="AW83" s="71">
        <f t="shared" si="906"/>
        <v>0</v>
      </c>
      <c r="AX83" s="71">
        <f t="shared" si="907"/>
        <v>0</v>
      </c>
      <c r="AY83" s="71">
        <f t="shared" si="908"/>
        <v>0</v>
      </c>
      <c r="AZ83" s="72">
        <f t="shared" si="909"/>
        <v>0</v>
      </c>
      <c r="BA83" s="70">
        <f t="shared" si="733"/>
        <v>0</v>
      </c>
      <c r="BB83" s="69">
        <f t="shared" ca="1" si="869"/>
        <v>0</v>
      </c>
      <c r="BC83" s="70">
        <f t="shared" si="910"/>
        <v>0</v>
      </c>
      <c r="BD83" s="71">
        <f t="shared" si="911"/>
        <v>0</v>
      </c>
      <c r="BE83" s="71">
        <f t="shared" si="912"/>
        <v>0</v>
      </c>
      <c r="BF83" s="71">
        <f t="shared" si="913"/>
        <v>0</v>
      </c>
      <c r="BG83" s="71">
        <f t="shared" si="914"/>
        <v>0</v>
      </c>
      <c r="BH83" s="71">
        <f t="shared" si="915"/>
        <v>0</v>
      </c>
      <c r="BI83" s="71">
        <f t="shared" si="916"/>
        <v>0</v>
      </c>
      <c r="BJ83" s="71">
        <f t="shared" si="917"/>
        <v>0</v>
      </c>
      <c r="BK83" s="71">
        <f t="shared" si="918"/>
        <v>0</v>
      </c>
      <c r="BL83" s="71">
        <f t="shared" si="919"/>
        <v>0</v>
      </c>
      <c r="BM83" s="71">
        <f t="shared" si="920"/>
        <v>0</v>
      </c>
      <c r="BN83" s="71">
        <f t="shared" si="921"/>
        <v>0</v>
      </c>
      <c r="BO83" s="71">
        <f t="shared" si="922"/>
        <v>0</v>
      </c>
      <c r="BP83" s="71">
        <f t="shared" si="923"/>
        <v>0</v>
      </c>
      <c r="BQ83" s="71">
        <f t="shared" si="924"/>
        <v>0</v>
      </c>
      <c r="BR83" s="71">
        <f t="shared" si="925"/>
        <v>0</v>
      </c>
      <c r="BS83" s="71">
        <f t="shared" si="926"/>
        <v>0</v>
      </c>
      <c r="BT83" s="71">
        <f t="shared" si="927"/>
        <v>0</v>
      </c>
      <c r="BU83" s="71">
        <f t="shared" si="928"/>
        <v>0</v>
      </c>
      <c r="BV83" s="71">
        <f t="shared" si="929"/>
        <v>0</v>
      </c>
      <c r="BW83" s="71">
        <f t="shared" si="930"/>
        <v>0</v>
      </c>
      <c r="BX83" s="71">
        <f t="shared" si="931"/>
        <v>0</v>
      </c>
      <c r="BY83" s="71">
        <f t="shared" si="932"/>
        <v>0</v>
      </c>
      <c r="BZ83" s="71">
        <f t="shared" si="933"/>
        <v>0</v>
      </c>
      <c r="CA83" s="71">
        <f t="shared" si="934"/>
        <v>0</v>
      </c>
      <c r="CB83" s="71">
        <f t="shared" si="935"/>
        <v>0</v>
      </c>
      <c r="CC83" s="71">
        <f t="shared" si="936"/>
        <v>0</v>
      </c>
      <c r="CD83" s="71">
        <f t="shared" si="937"/>
        <v>0</v>
      </c>
      <c r="CE83" s="71">
        <f t="shared" si="938"/>
        <v>0</v>
      </c>
      <c r="CF83" s="71">
        <f t="shared" si="939"/>
        <v>0</v>
      </c>
      <c r="CG83" s="71">
        <f t="shared" si="940"/>
        <v>0</v>
      </c>
      <c r="CH83" s="70">
        <f t="shared" si="870"/>
        <v>0</v>
      </c>
      <c r="CI83" s="69">
        <f t="shared" ca="1" si="871"/>
        <v>0</v>
      </c>
      <c r="GM83" s="2" t="s">
        <v>16</v>
      </c>
      <c r="GN83" s="98" t="str">
        <f t="shared" si="732"/>
        <v>QTA01-FMCG-ASM-01</v>
      </c>
      <c r="GO83" s="4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6"/>
      <c r="HT83" s="4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0</v>
      </c>
      <c r="IE83" s="3">
        <v>0</v>
      </c>
      <c r="IF83" s="3">
        <v>0</v>
      </c>
      <c r="IG83" s="3">
        <v>0</v>
      </c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6"/>
    </row>
    <row r="84" spans="1:258" hidden="1">
      <c r="A84" s="102" t="s">
        <v>53</v>
      </c>
      <c r="B84" s="103" t="s">
        <v>20</v>
      </c>
      <c r="C84" s="103" t="s">
        <v>227</v>
      </c>
      <c r="D84" s="104" t="s">
        <v>1143</v>
      </c>
      <c r="E84" s="103" t="s">
        <v>253</v>
      </c>
      <c r="F84" s="103" t="s">
        <v>254</v>
      </c>
      <c r="G84" s="103" t="s">
        <v>255</v>
      </c>
      <c r="H84" s="103" t="s">
        <v>1145</v>
      </c>
      <c r="I84" s="103" t="s">
        <v>1145</v>
      </c>
      <c r="J84" s="103" t="s">
        <v>891</v>
      </c>
      <c r="K84" s="103" t="s">
        <v>1127</v>
      </c>
      <c r="L84" s="103" t="s">
        <v>256</v>
      </c>
      <c r="M84" s="103" t="s">
        <v>52</v>
      </c>
      <c r="N84" s="119">
        <v>45941</v>
      </c>
      <c r="O84" s="105">
        <f>O82+O81+O80+O79+O78+O77+O83</f>
        <v>5</v>
      </c>
      <c r="P84" s="73">
        <f t="shared" ref="P84:CA84" si="941">P82+P81+P80+P79+P78+P77+P83</f>
        <v>0</v>
      </c>
      <c r="Q84" s="73">
        <f t="shared" si="941"/>
        <v>5</v>
      </c>
      <c r="R84" s="73">
        <f t="shared" si="941"/>
        <v>5</v>
      </c>
      <c r="S84" s="73">
        <f t="shared" si="941"/>
        <v>0</v>
      </c>
      <c r="T84" s="73">
        <f t="shared" si="941"/>
        <v>5</v>
      </c>
      <c r="U84" s="73">
        <f t="shared" si="941"/>
        <v>5</v>
      </c>
      <c r="V84" s="74">
        <f t="shared" si="941"/>
        <v>4</v>
      </c>
      <c r="W84" s="75">
        <f t="shared" si="941"/>
        <v>4</v>
      </c>
      <c r="X84" s="75">
        <f t="shared" si="941"/>
        <v>5</v>
      </c>
      <c r="Y84" s="75">
        <f t="shared" si="941"/>
        <v>0</v>
      </c>
      <c r="Z84" s="75">
        <f t="shared" si="941"/>
        <v>5</v>
      </c>
      <c r="AA84" s="75">
        <f t="shared" si="941"/>
        <v>4</v>
      </c>
      <c r="AB84" s="75">
        <f t="shared" si="941"/>
        <v>5</v>
      </c>
      <c r="AC84" s="75">
        <f t="shared" si="941"/>
        <v>5</v>
      </c>
      <c r="AD84" s="75">
        <f t="shared" si="941"/>
        <v>5</v>
      </c>
      <c r="AE84" s="75">
        <f t="shared" si="941"/>
        <v>5</v>
      </c>
      <c r="AF84" s="75">
        <f t="shared" si="941"/>
        <v>0</v>
      </c>
      <c r="AG84" s="75">
        <f t="shared" si="941"/>
        <v>5</v>
      </c>
      <c r="AH84" s="75">
        <f t="shared" si="941"/>
        <v>4</v>
      </c>
      <c r="AI84" s="75">
        <f t="shared" si="941"/>
        <v>5</v>
      </c>
      <c r="AJ84" s="75">
        <f t="shared" si="941"/>
        <v>0</v>
      </c>
      <c r="AK84" s="75">
        <f t="shared" si="941"/>
        <v>0</v>
      </c>
      <c r="AL84" s="75">
        <f t="shared" si="941"/>
        <v>0</v>
      </c>
      <c r="AM84" s="75">
        <f t="shared" si="941"/>
        <v>0</v>
      </c>
      <c r="AN84" s="75">
        <f t="shared" si="941"/>
        <v>0</v>
      </c>
      <c r="AO84" s="75">
        <f t="shared" si="941"/>
        <v>0</v>
      </c>
      <c r="AP84" s="75">
        <f t="shared" si="941"/>
        <v>0</v>
      </c>
      <c r="AQ84" s="75">
        <f t="shared" si="941"/>
        <v>0</v>
      </c>
      <c r="AR84" s="75">
        <f t="shared" si="941"/>
        <v>0</v>
      </c>
      <c r="AS84" s="75">
        <f t="shared" si="941"/>
        <v>0</v>
      </c>
      <c r="AT84" s="75">
        <f t="shared" si="941"/>
        <v>0</v>
      </c>
      <c r="AU84" s="75">
        <f t="shared" si="941"/>
        <v>0</v>
      </c>
      <c r="AV84" s="75">
        <f t="shared" si="941"/>
        <v>0</v>
      </c>
      <c r="AW84" s="75">
        <f t="shared" si="941"/>
        <v>0</v>
      </c>
      <c r="AX84" s="75">
        <f t="shared" si="941"/>
        <v>0</v>
      </c>
      <c r="AY84" s="75">
        <f t="shared" si="941"/>
        <v>0</v>
      </c>
      <c r="AZ84" s="76">
        <f t="shared" si="941"/>
        <v>0</v>
      </c>
      <c r="BA84" s="74">
        <f t="shared" si="733"/>
        <v>56</v>
      </c>
      <c r="BB84" s="73">
        <f t="shared" ca="1" si="869"/>
        <v>0.86153846153846148</v>
      </c>
      <c r="BC84" s="74">
        <f t="shared" si="941"/>
        <v>39</v>
      </c>
      <c r="BD84" s="75">
        <f t="shared" si="941"/>
        <v>94</v>
      </c>
      <c r="BE84" s="75">
        <f t="shared" si="941"/>
        <v>110</v>
      </c>
      <c r="BF84" s="75">
        <f t="shared" si="941"/>
        <v>0</v>
      </c>
      <c r="BG84" s="75">
        <f t="shared" si="941"/>
        <v>152</v>
      </c>
      <c r="BH84" s="75">
        <f t="shared" si="941"/>
        <v>121</v>
      </c>
      <c r="BI84" s="75">
        <f t="shared" si="941"/>
        <v>139</v>
      </c>
      <c r="BJ84" s="75">
        <f t="shared" si="941"/>
        <v>191</v>
      </c>
      <c r="BK84" s="75">
        <f t="shared" si="941"/>
        <v>101</v>
      </c>
      <c r="BL84" s="75">
        <f t="shared" si="941"/>
        <v>101</v>
      </c>
      <c r="BM84" s="75">
        <f t="shared" si="941"/>
        <v>0</v>
      </c>
      <c r="BN84" s="75">
        <f t="shared" si="941"/>
        <v>75</v>
      </c>
      <c r="BO84" s="75">
        <f t="shared" si="941"/>
        <v>113</v>
      </c>
      <c r="BP84" s="75">
        <f t="shared" si="941"/>
        <v>0</v>
      </c>
      <c r="BQ84" s="75">
        <f t="shared" si="941"/>
        <v>0</v>
      </c>
      <c r="BR84" s="75">
        <f t="shared" si="941"/>
        <v>0</v>
      </c>
      <c r="BS84" s="75">
        <f t="shared" si="941"/>
        <v>0</v>
      </c>
      <c r="BT84" s="75">
        <f t="shared" si="941"/>
        <v>0</v>
      </c>
      <c r="BU84" s="75">
        <f t="shared" si="941"/>
        <v>0</v>
      </c>
      <c r="BV84" s="75">
        <f t="shared" si="941"/>
        <v>0</v>
      </c>
      <c r="BW84" s="75">
        <f t="shared" si="941"/>
        <v>0</v>
      </c>
      <c r="BX84" s="75">
        <f t="shared" si="941"/>
        <v>0</v>
      </c>
      <c r="BY84" s="75">
        <f t="shared" si="941"/>
        <v>0</v>
      </c>
      <c r="BZ84" s="75">
        <f t="shared" si="941"/>
        <v>0</v>
      </c>
      <c r="CA84" s="75">
        <f t="shared" si="941"/>
        <v>0</v>
      </c>
      <c r="CB84" s="75">
        <f t="shared" ref="CB84:CG84" si="942">CB82+CB81+CB80+CB79+CB78+CB77+CB83</f>
        <v>0</v>
      </c>
      <c r="CC84" s="75">
        <f t="shared" si="942"/>
        <v>0</v>
      </c>
      <c r="CD84" s="75">
        <f t="shared" si="942"/>
        <v>0</v>
      </c>
      <c r="CE84" s="75">
        <f t="shared" si="942"/>
        <v>0</v>
      </c>
      <c r="CF84" s="75">
        <f t="shared" si="942"/>
        <v>0</v>
      </c>
      <c r="CG84" s="75">
        <f t="shared" si="942"/>
        <v>0</v>
      </c>
      <c r="CH84" s="74">
        <f t="shared" si="870"/>
        <v>1236</v>
      </c>
      <c r="CI84" s="73">
        <f t="shared" ca="1" si="871"/>
        <v>19.015384615384615</v>
      </c>
      <c r="GM84" s="2" t="s">
        <v>17</v>
      </c>
      <c r="GN84" s="103" t="str">
        <f t="shared" si="732"/>
        <v>QTA01-FMCG-ASM-01</v>
      </c>
      <c r="GO84" s="4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6"/>
      <c r="HT84" s="4">
        <v>0</v>
      </c>
      <c r="HU84" s="3">
        <v>0</v>
      </c>
      <c r="HV84" s="3">
        <v>0</v>
      </c>
      <c r="HW84" s="3">
        <v>0</v>
      </c>
      <c r="HX84" s="3">
        <v>0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0</v>
      </c>
      <c r="IG84" s="3">
        <v>0</v>
      </c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6"/>
    </row>
    <row r="85" spans="1:258" hidden="1">
      <c r="A85" s="97" t="s">
        <v>25</v>
      </c>
      <c r="B85" s="98" t="s">
        <v>26</v>
      </c>
      <c r="C85" s="98" t="s">
        <v>227</v>
      </c>
      <c r="D85" s="99" t="s">
        <v>1146</v>
      </c>
      <c r="E85" s="98" t="s">
        <v>257</v>
      </c>
      <c r="F85" s="98" t="s">
        <v>258</v>
      </c>
      <c r="G85" s="98" t="s">
        <v>259</v>
      </c>
      <c r="H85" s="98" t="s">
        <v>1458</v>
      </c>
      <c r="I85" s="98" t="s">
        <v>1458</v>
      </c>
      <c r="J85" s="98" t="s">
        <v>896</v>
      </c>
      <c r="K85" s="98" t="s">
        <v>1127</v>
      </c>
      <c r="L85" s="98" t="s">
        <v>260</v>
      </c>
      <c r="M85" s="101" t="s">
        <v>1093</v>
      </c>
      <c r="N85" s="139">
        <v>45244</v>
      </c>
      <c r="O85" s="100">
        <v>1</v>
      </c>
      <c r="P85" s="69">
        <v>0</v>
      </c>
      <c r="Q85" s="69">
        <f t="shared" ref="Q85:Q91" si="943">IFERROR(IF(OR(AI85&gt;0),1,0),0)</f>
        <v>1</v>
      </c>
      <c r="R85" s="69">
        <f t="shared" ref="R85:R91" si="944">IFERROR(IF(OR(BA85&gt;0),1,0),0)</f>
        <v>1</v>
      </c>
      <c r="S85" s="69">
        <f t="shared" ref="S85:S91" si="945">IFERROR(IF(OR(BP85&gt;0),1,0),0)</f>
        <v>0</v>
      </c>
      <c r="T85" s="69">
        <f t="shared" ref="T85:T91" si="946">IFERROR(IF(OR(CH85&gt;0),1,0),0)</f>
        <v>1</v>
      </c>
      <c r="U85" s="69">
        <f t="shared" ref="U85:U91" si="947">IFERROR(IF(OR(BA85&gt;0,CH85&gt;0),1,0),0)</f>
        <v>1</v>
      </c>
      <c r="V85" s="70">
        <f t="shared" ref="V85:V91" si="948">GO85</f>
        <v>1</v>
      </c>
      <c r="W85" s="71">
        <f t="shared" ref="W85:W91" si="949">GP85</f>
        <v>1</v>
      </c>
      <c r="X85" s="71">
        <f t="shared" ref="X85:X91" si="950">GQ85</f>
        <v>1</v>
      </c>
      <c r="Y85" s="71">
        <f t="shared" ref="Y85:Y91" si="951">GR85</f>
        <v>0</v>
      </c>
      <c r="Z85" s="71">
        <f t="shared" ref="Z85:Z91" si="952">GS85</f>
        <v>1</v>
      </c>
      <c r="AA85" s="71">
        <f t="shared" ref="AA85:AA91" si="953">GT85</f>
        <v>1</v>
      </c>
      <c r="AB85" s="71">
        <f t="shared" ref="AB85:AB91" si="954">GU85</f>
        <v>1</v>
      </c>
      <c r="AC85" s="71">
        <f t="shared" ref="AC85:AC91" si="955">GV85</f>
        <v>1</v>
      </c>
      <c r="AD85" s="71">
        <f t="shared" ref="AD85:AD91" si="956">GW85</f>
        <v>1</v>
      </c>
      <c r="AE85" s="71">
        <f t="shared" ref="AE85:AE91" si="957">GX85</f>
        <v>1</v>
      </c>
      <c r="AF85" s="71">
        <f t="shared" ref="AF85:AF91" si="958">GY85</f>
        <v>0</v>
      </c>
      <c r="AG85" s="71">
        <f t="shared" ref="AG85:AG91" si="959">GZ85</f>
        <v>1</v>
      </c>
      <c r="AH85" s="71">
        <f t="shared" ref="AH85:AH91" si="960">HA85</f>
        <v>1</v>
      </c>
      <c r="AI85" s="71">
        <f t="shared" ref="AI85:AI91" si="961">HB85</f>
        <v>1</v>
      </c>
      <c r="AJ85" s="71">
        <f t="shared" ref="AJ85:AJ91" si="962">HC85</f>
        <v>0</v>
      </c>
      <c r="AK85" s="71">
        <f t="shared" ref="AK85:AK91" si="963">HD85</f>
        <v>0</v>
      </c>
      <c r="AL85" s="71">
        <f t="shared" ref="AL85:AL91" si="964">HE85</f>
        <v>0</v>
      </c>
      <c r="AM85" s="71">
        <f t="shared" ref="AM85:AM91" si="965">HF85</f>
        <v>0</v>
      </c>
      <c r="AN85" s="71">
        <f t="shared" ref="AN85:AN91" si="966">HG85</f>
        <v>0</v>
      </c>
      <c r="AO85" s="71">
        <f t="shared" ref="AO85:AO91" si="967">HH85</f>
        <v>0</v>
      </c>
      <c r="AP85" s="71">
        <f t="shared" ref="AP85:AP91" si="968">HI85</f>
        <v>0</v>
      </c>
      <c r="AQ85" s="71">
        <f t="shared" ref="AQ85:AQ91" si="969">HJ85</f>
        <v>0</v>
      </c>
      <c r="AR85" s="71">
        <f t="shared" ref="AR85:AR91" si="970">HK85</f>
        <v>0</v>
      </c>
      <c r="AS85" s="71">
        <f t="shared" ref="AS85:AS91" si="971">HL85</f>
        <v>0</v>
      </c>
      <c r="AT85" s="71">
        <f t="shared" ref="AT85:AT91" si="972">HM85</f>
        <v>0</v>
      </c>
      <c r="AU85" s="71">
        <f t="shared" ref="AU85:AU91" si="973">HN85</f>
        <v>0</v>
      </c>
      <c r="AV85" s="71">
        <f t="shared" ref="AV85:AV91" si="974">HO85</f>
        <v>0</v>
      </c>
      <c r="AW85" s="71">
        <f t="shared" ref="AW85:AW91" si="975">HP85</f>
        <v>0</v>
      </c>
      <c r="AX85" s="71">
        <f t="shared" ref="AX85:AX91" si="976">HQ85</f>
        <v>0</v>
      </c>
      <c r="AY85" s="71">
        <f t="shared" ref="AY85:AY91" si="977">HR85</f>
        <v>0</v>
      </c>
      <c r="AZ85" s="72">
        <f t="shared" ref="AZ85:AZ91" si="978">HS85</f>
        <v>0</v>
      </c>
      <c r="BA85" s="70">
        <f t="shared" si="733"/>
        <v>12</v>
      </c>
      <c r="BB85" s="69">
        <f t="shared" ca="1" si="869"/>
        <v>0.92307692307692313</v>
      </c>
      <c r="BC85" s="70">
        <f t="shared" ref="BC85:BC91" si="979">HT85</f>
        <v>30</v>
      </c>
      <c r="BD85" s="71">
        <f t="shared" ref="BD85:BD91" si="980">HU85</f>
        <v>17</v>
      </c>
      <c r="BE85" s="71">
        <f t="shared" ref="BE85:BE91" si="981">HV85</f>
        <v>26</v>
      </c>
      <c r="BF85" s="71">
        <f t="shared" ref="BF85:BF91" si="982">HW85</f>
        <v>0</v>
      </c>
      <c r="BG85" s="71">
        <f t="shared" ref="BG85:BG91" si="983">HX85</f>
        <v>0</v>
      </c>
      <c r="BH85" s="71">
        <f t="shared" ref="BH85:BH91" si="984">HY85</f>
        <v>29</v>
      </c>
      <c r="BI85" s="71">
        <f t="shared" ref="BI85:BI91" si="985">HZ85</f>
        <v>30</v>
      </c>
      <c r="BJ85" s="71">
        <f t="shared" ref="BJ85:BJ91" si="986">IA85</f>
        <v>26</v>
      </c>
      <c r="BK85" s="71">
        <f t="shared" ref="BK85:BK91" si="987">IB85</f>
        <v>13</v>
      </c>
      <c r="BL85" s="71">
        <f t="shared" ref="BL85:BL91" si="988">IC85</f>
        <v>53</v>
      </c>
      <c r="BM85" s="71">
        <f t="shared" ref="BM85:BM91" si="989">ID85</f>
        <v>0</v>
      </c>
      <c r="BN85" s="71">
        <f t="shared" ref="BN85:BN91" si="990">IE85</f>
        <v>36</v>
      </c>
      <c r="BO85" s="71">
        <f t="shared" ref="BO85:BO91" si="991">IF85</f>
        <v>11</v>
      </c>
      <c r="BP85" s="71">
        <f t="shared" ref="BP85:BP91" si="992">IG85</f>
        <v>0</v>
      </c>
      <c r="BQ85" s="71">
        <f t="shared" ref="BQ85:BQ91" si="993">IH85</f>
        <v>0</v>
      </c>
      <c r="BR85" s="71">
        <f t="shared" ref="BR85:BR91" si="994">II85</f>
        <v>0</v>
      </c>
      <c r="BS85" s="71">
        <f t="shared" ref="BS85:BS91" si="995">IJ85</f>
        <v>0</v>
      </c>
      <c r="BT85" s="71">
        <f t="shared" ref="BT85:BT91" si="996">IK85</f>
        <v>0</v>
      </c>
      <c r="BU85" s="71">
        <f t="shared" ref="BU85:BU91" si="997">IL85</f>
        <v>0</v>
      </c>
      <c r="BV85" s="71">
        <f t="shared" ref="BV85:BV91" si="998">IM85</f>
        <v>0</v>
      </c>
      <c r="BW85" s="71">
        <f t="shared" ref="BW85:BW91" si="999">IN85</f>
        <v>0</v>
      </c>
      <c r="BX85" s="71">
        <f t="shared" ref="BX85:BX91" si="1000">IO85</f>
        <v>0</v>
      </c>
      <c r="BY85" s="71">
        <f t="shared" ref="BY85:BY91" si="1001">IP85</f>
        <v>0</v>
      </c>
      <c r="BZ85" s="71">
        <f t="shared" ref="BZ85:BZ91" si="1002">IQ85</f>
        <v>0</v>
      </c>
      <c r="CA85" s="71">
        <f t="shared" ref="CA85:CA91" si="1003">IR85</f>
        <v>0</v>
      </c>
      <c r="CB85" s="71">
        <f t="shared" ref="CB85:CB91" si="1004">IS85</f>
        <v>0</v>
      </c>
      <c r="CC85" s="71">
        <f t="shared" ref="CC85:CC91" si="1005">IT85</f>
        <v>0</v>
      </c>
      <c r="CD85" s="71">
        <f t="shared" ref="CD85:CD91" si="1006">IU85</f>
        <v>0</v>
      </c>
      <c r="CE85" s="71">
        <f t="shared" ref="CE85:CE91" si="1007">IV85</f>
        <v>0</v>
      </c>
      <c r="CF85" s="71">
        <f t="shared" ref="CF85:CF91" si="1008">IW85</f>
        <v>0</v>
      </c>
      <c r="CG85" s="71">
        <f t="shared" ref="CG85:CG91" si="1009">IX85</f>
        <v>0</v>
      </c>
      <c r="CH85" s="70">
        <f t="shared" si="870"/>
        <v>271</v>
      </c>
      <c r="CI85" s="69">
        <f t="shared" ca="1" si="871"/>
        <v>20.846153846153847</v>
      </c>
      <c r="GM85" s="2" t="s">
        <v>16</v>
      </c>
      <c r="GN85" s="98" t="str">
        <f t="shared" si="732"/>
        <v>SUK01-FMCG01-SPO-01</v>
      </c>
      <c r="GO85" s="4">
        <v>1</v>
      </c>
      <c r="GP85" s="3">
        <v>1</v>
      </c>
      <c r="GQ85" s="3">
        <v>1</v>
      </c>
      <c r="GR85" s="3">
        <v>0</v>
      </c>
      <c r="GS85" s="3">
        <v>1</v>
      </c>
      <c r="GT85" s="3">
        <v>1</v>
      </c>
      <c r="GU85" s="3">
        <v>1</v>
      </c>
      <c r="GV85" s="3">
        <v>1</v>
      </c>
      <c r="GW85" s="3">
        <v>1</v>
      </c>
      <c r="GX85" s="3">
        <v>1</v>
      </c>
      <c r="GY85" s="3">
        <v>0</v>
      </c>
      <c r="GZ85" s="3">
        <v>1</v>
      </c>
      <c r="HA85" s="3">
        <v>1</v>
      </c>
      <c r="HB85" s="3">
        <v>1</v>
      </c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6"/>
      <c r="HT85" s="4">
        <v>30</v>
      </c>
      <c r="HU85" s="3">
        <v>17</v>
      </c>
      <c r="HV85" s="3">
        <v>26</v>
      </c>
      <c r="HW85" s="3">
        <v>0</v>
      </c>
      <c r="HX85" s="3">
        <v>0</v>
      </c>
      <c r="HY85" s="3">
        <v>29</v>
      </c>
      <c r="HZ85" s="3">
        <v>30</v>
      </c>
      <c r="IA85" s="3">
        <v>26</v>
      </c>
      <c r="IB85" s="3">
        <v>13</v>
      </c>
      <c r="IC85" s="3">
        <v>53</v>
      </c>
      <c r="ID85" s="3">
        <v>0</v>
      </c>
      <c r="IE85" s="3">
        <v>36</v>
      </c>
      <c r="IF85" s="3">
        <v>11</v>
      </c>
      <c r="IG85" s="3">
        <v>0</v>
      </c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6"/>
    </row>
    <row r="86" spans="1:258" hidden="1">
      <c r="A86" s="106" t="s">
        <v>25</v>
      </c>
      <c r="B86" s="101" t="s">
        <v>26</v>
      </c>
      <c r="C86" s="98" t="s">
        <v>227</v>
      </c>
      <c r="D86" s="107" t="s">
        <v>1146</v>
      </c>
      <c r="E86" s="101" t="s">
        <v>261</v>
      </c>
      <c r="F86" s="101" t="s">
        <v>262</v>
      </c>
      <c r="G86" s="98" t="s">
        <v>263</v>
      </c>
      <c r="H86" s="101" t="s">
        <v>1459</v>
      </c>
      <c r="I86" s="101" t="s">
        <v>1459</v>
      </c>
      <c r="J86" s="101" t="s">
        <v>896</v>
      </c>
      <c r="K86" s="101" t="s">
        <v>1127</v>
      </c>
      <c r="L86" s="101" t="s">
        <v>264</v>
      </c>
      <c r="M86" s="101" t="s">
        <v>1093</v>
      </c>
      <c r="N86" s="139">
        <v>44757</v>
      </c>
      <c r="O86" s="100">
        <v>1</v>
      </c>
      <c r="P86" s="69">
        <v>0</v>
      </c>
      <c r="Q86" s="69">
        <f t="shared" si="943"/>
        <v>1</v>
      </c>
      <c r="R86" s="69">
        <f t="shared" si="944"/>
        <v>1</v>
      </c>
      <c r="S86" s="69">
        <f t="shared" si="945"/>
        <v>0</v>
      </c>
      <c r="T86" s="69">
        <f t="shared" si="946"/>
        <v>1</v>
      </c>
      <c r="U86" s="69">
        <f t="shared" si="947"/>
        <v>1</v>
      </c>
      <c r="V86" s="70">
        <f t="shared" si="948"/>
        <v>1</v>
      </c>
      <c r="W86" s="71">
        <f t="shared" si="949"/>
        <v>1</v>
      </c>
      <c r="X86" s="71">
        <f t="shared" si="950"/>
        <v>1</v>
      </c>
      <c r="Y86" s="71">
        <f t="shared" si="951"/>
        <v>0</v>
      </c>
      <c r="Z86" s="71">
        <f t="shared" si="952"/>
        <v>1</v>
      </c>
      <c r="AA86" s="71">
        <f t="shared" si="953"/>
        <v>1</v>
      </c>
      <c r="AB86" s="71">
        <f t="shared" si="954"/>
        <v>1</v>
      </c>
      <c r="AC86" s="71">
        <f t="shared" si="955"/>
        <v>1</v>
      </c>
      <c r="AD86" s="71">
        <f t="shared" si="956"/>
        <v>1</v>
      </c>
      <c r="AE86" s="71">
        <f t="shared" si="957"/>
        <v>1</v>
      </c>
      <c r="AF86" s="71">
        <f t="shared" si="958"/>
        <v>0</v>
      </c>
      <c r="AG86" s="71">
        <f t="shared" si="959"/>
        <v>1</v>
      </c>
      <c r="AH86" s="71">
        <f t="shared" si="960"/>
        <v>1</v>
      </c>
      <c r="AI86" s="71">
        <f t="shared" si="961"/>
        <v>1</v>
      </c>
      <c r="AJ86" s="71">
        <f t="shared" si="962"/>
        <v>0</v>
      </c>
      <c r="AK86" s="71">
        <f t="shared" si="963"/>
        <v>0</v>
      </c>
      <c r="AL86" s="71">
        <f t="shared" si="964"/>
        <v>0</v>
      </c>
      <c r="AM86" s="71">
        <f t="shared" si="965"/>
        <v>0</v>
      </c>
      <c r="AN86" s="71">
        <f t="shared" si="966"/>
        <v>0</v>
      </c>
      <c r="AO86" s="71">
        <f t="shared" si="967"/>
        <v>0</v>
      </c>
      <c r="AP86" s="71">
        <f t="shared" si="968"/>
        <v>0</v>
      </c>
      <c r="AQ86" s="71">
        <f t="shared" si="969"/>
        <v>0</v>
      </c>
      <c r="AR86" s="71">
        <f t="shared" si="970"/>
        <v>0</v>
      </c>
      <c r="AS86" s="71">
        <f t="shared" si="971"/>
        <v>0</v>
      </c>
      <c r="AT86" s="71">
        <f t="shared" si="972"/>
        <v>0</v>
      </c>
      <c r="AU86" s="71">
        <f t="shared" si="973"/>
        <v>0</v>
      </c>
      <c r="AV86" s="71">
        <f t="shared" si="974"/>
        <v>0</v>
      </c>
      <c r="AW86" s="71">
        <f t="shared" si="975"/>
        <v>0</v>
      </c>
      <c r="AX86" s="71">
        <f t="shared" si="976"/>
        <v>0</v>
      </c>
      <c r="AY86" s="71">
        <f t="shared" si="977"/>
        <v>0</v>
      </c>
      <c r="AZ86" s="72">
        <f t="shared" si="978"/>
        <v>0</v>
      </c>
      <c r="BA86" s="70">
        <f t="shared" si="733"/>
        <v>12</v>
      </c>
      <c r="BB86" s="69">
        <f t="shared" ca="1" si="869"/>
        <v>0.92307692307692313</v>
      </c>
      <c r="BC86" s="70">
        <f t="shared" si="979"/>
        <v>52</v>
      </c>
      <c r="BD86" s="71">
        <f t="shared" si="980"/>
        <v>22</v>
      </c>
      <c r="BE86" s="71">
        <f t="shared" si="981"/>
        <v>38</v>
      </c>
      <c r="BF86" s="71">
        <f t="shared" si="982"/>
        <v>0</v>
      </c>
      <c r="BG86" s="71">
        <f t="shared" si="983"/>
        <v>53</v>
      </c>
      <c r="BH86" s="71">
        <f t="shared" si="984"/>
        <v>8</v>
      </c>
      <c r="BI86" s="71">
        <f t="shared" si="985"/>
        <v>0</v>
      </c>
      <c r="BJ86" s="71">
        <f t="shared" si="986"/>
        <v>26</v>
      </c>
      <c r="BK86" s="71">
        <f t="shared" si="987"/>
        <v>42</v>
      </c>
      <c r="BL86" s="71">
        <f t="shared" si="988"/>
        <v>18</v>
      </c>
      <c r="BM86" s="71">
        <f t="shared" si="989"/>
        <v>0</v>
      </c>
      <c r="BN86" s="71">
        <f t="shared" si="990"/>
        <v>53</v>
      </c>
      <c r="BO86" s="71">
        <f t="shared" si="991"/>
        <v>8</v>
      </c>
      <c r="BP86" s="71">
        <f t="shared" si="992"/>
        <v>0</v>
      </c>
      <c r="BQ86" s="71">
        <f t="shared" si="993"/>
        <v>0</v>
      </c>
      <c r="BR86" s="71">
        <f t="shared" si="994"/>
        <v>0</v>
      </c>
      <c r="BS86" s="71">
        <f t="shared" si="995"/>
        <v>0</v>
      </c>
      <c r="BT86" s="71">
        <f t="shared" si="996"/>
        <v>0</v>
      </c>
      <c r="BU86" s="71">
        <f t="shared" si="997"/>
        <v>0</v>
      </c>
      <c r="BV86" s="71">
        <f t="shared" si="998"/>
        <v>0</v>
      </c>
      <c r="BW86" s="71">
        <f t="shared" si="999"/>
        <v>0</v>
      </c>
      <c r="BX86" s="71">
        <f t="shared" si="1000"/>
        <v>0</v>
      </c>
      <c r="BY86" s="71">
        <f t="shared" si="1001"/>
        <v>0</v>
      </c>
      <c r="BZ86" s="71">
        <f t="shared" si="1002"/>
        <v>0</v>
      </c>
      <c r="CA86" s="71">
        <f t="shared" si="1003"/>
        <v>0</v>
      </c>
      <c r="CB86" s="71">
        <f t="shared" si="1004"/>
        <v>0</v>
      </c>
      <c r="CC86" s="71">
        <f t="shared" si="1005"/>
        <v>0</v>
      </c>
      <c r="CD86" s="71">
        <f t="shared" si="1006"/>
        <v>0</v>
      </c>
      <c r="CE86" s="71">
        <f t="shared" si="1007"/>
        <v>0</v>
      </c>
      <c r="CF86" s="71">
        <f t="shared" si="1008"/>
        <v>0</v>
      </c>
      <c r="CG86" s="71">
        <f t="shared" si="1009"/>
        <v>0</v>
      </c>
      <c r="CH86" s="70">
        <f t="shared" si="870"/>
        <v>320</v>
      </c>
      <c r="CI86" s="69">
        <f t="shared" ca="1" si="871"/>
        <v>24.615384615384617</v>
      </c>
      <c r="GM86" s="2" t="s">
        <v>16</v>
      </c>
      <c r="GN86" s="101" t="str">
        <f t="shared" si="732"/>
        <v>SUK01-FMCG01-SPO-02</v>
      </c>
      <c r="GO86" s="4">
        <v>1</v>
      </c>
      <c r="GP86" s="3">
        <v>1</v>
      </c>
      <c r="GQ86" s="3">
        <v>1</v>
      </c>
      <c r="GR86" s="3">
        <v>0</v>
      </c>
      <c r="GS86" s="3">
        <v>1</v>
      </c>
      <c r="GT86" s="3">
        <v>1</v>
      </c>
      <c r="GU86" s="3">
        <v>1</v>
      </c>
      <c r="GV86" s="3">
        <v>1</v>
      </c>
      <c r="GW86" s="3">
        <v>1</v>
      </c>
      <c r="GX86" s="3">
        <v>1</v>
      </c>
      <c r="GY86" s="3">
        <v>0</v>
      </c>
      <c r="GZ86" s="3">
        <v>1</v>
      </c>
      <c r="HA86" s="3">
        <v>1</v>
      </c>
      <c r="HB86" s="3">
        <v>1</v>
      </c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6"/>
      <c r="HT86" s="4">
        <v>52</v>
      </c>
      <c r="HU86" s="3">
        <v>22</v>
      </c>
      <c r="HV86" s="3">
        <v>38</v>
      </c>
      <c r="HW86" s="3">
        <v>0</v>
      </c>
      <c r="HX86" s="3">
        <v>53</v>
      </c>
      <c r="HY86" s="3">
        <v>8</v>
      </c>
      <c r="HZ86" s="3">
        <v>0</v>
      </c>
      <c r="IA86" s="3">
        <v>26</v>
      </c>
      <c r="IB86" s="3">
        <v>42</v>
      </c>
      <c r="IC86" s="3">
        <v>18</v>
      </c>
      <c r="ID86" s="3">
        <v>0</v>
      </c>
      <c r="IE86" s="3">
        <v>53</v>
      </c>
      <c r="IF86" s="3">
        <v>8</v>
      </c>
      <c r="IG86" s="3">
        <v>0</v>
      </c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6"/>
    </row>
    <row r="87" spans="1:258" hidden="1">
      <c r="A87" s="97" t="s">
        <v>25</v>
      </c>
      <c r="B87" s="98" t="s">
        <v>90</v>
      </c>
      <c r="C87" s="98" t="s">
        <v>227</v>
      </c>
      <c r="D87" s="99" t="s">
        <v>1146</v>
      </c>
      <c r="E87" s="98" t="s">
        <v>265</v>
      </c>
      <c r="F87" s="98" t="s">
        <v>266</v>
      </c>
      <c r="G87" s="98" t="s">
        <v>267</v>
      </c>
      <c r="H87" s="98" t="s">
        <v>1460</v>
      </c>
      <c r="I87" s="98" t="s">
        <v>1460</v>
      </c>
      <c r="J87" s="98" t="s">
        <v>896</v>
      </c>
      <c r="K87" s="98" t="s">
        <v>1127</v>
      </c>
      <c r="L87" s="98" t="s">
        <v>268</v>
      </c>
      <c r="M87" s="101" t="s">
        <v>1093</v>
      </c>
      <c r="N87" s="139">
        <v>45573</v>
      </c>
      <c r="O87" s="100">
        <v>1</v>
      </c>
      <c r="P87" s="69">
        <v>0</v>
      </c>
      <c r="Q87" s="69">
        <f t="shared" si="943"/>
        <v>1</v>
      </c>
      <c r="R87" s="69">
        <f t="shared" si="944"/>
        <v>1</v>
      </c>
      <c r="S87" s="69">
        <f t="shared" si="945"/>
        <v>0</v>
      </c>
      <c r="T87" s="69">
        <f t="shared" si="946"/>
        <v>1</v>
      </c>
      <c r="U87" s="69">
        <f t="shared" si="947"/>
        <v>1</v>
      </c>
      <c r="V87" s="70">
        <f t="shared" si="948"/>
        <v>1</v>
      </c>
      <c r="W87" s="71">
        <f t="shared" si="949"/>
        <v>1</v>
      </c>
      <c r="X87" s="71">
        <f t="shared" si="950"/>
        <v>1</v>
      </c>
      <c r="Y87" s="71">
        <f t="shared" si="951"/>
        <v>0</v>
      </c>
      <c r="Z87" s="71">
        <f t="shared" si="952"/>
        <v>1</v>
      </c>
      <c r="AA87" s="71">
        <f t="shared" si="953"/>
        <v>1</v>
      </c>
      <c r="AB87" s="71">
        <f t="shared" si="954"/>
        <v>1</v>
      </c>
      <c r="AC87" s="71">
        <f t="shared" si="955"/>
        <v>1</v>
      </c>
      <c r="AD87" s="71">
        <f t="shared" si="956"/>
        <v>1</v>
      </c>
      <c r="AE87" s="71">
        <f t="shared" si="957"/>
        <v>1</v>
      </c>
      <c r="AF87" s="71">
        <f t="shared" si="958"/>
        <v>0</v>
      </c>
      <c r="AG87" s="71">
        <f t="shared" si="959"/>
        <v>1</v>
      </c>
      <c r="AH87" s="71">
        <f t="shared" si="960"/>
        <v>1</v>
      </c>
      <c r="AI87" s="71">
        <f t="shared" si="961"/>
        <v>1</v>
      </c>
      <c r="AJ87" s="71">
        <f t="shared" si="962"/>
        <v>0</v>
      </c>
      <c r="AK87" s="71">
        <f t="shared" si="963"/>
        <v>0</v>
      </c>
      <c r="AL87" s="71">
        <f t="shared" si="964"/>
        <v>0</v>
      </c>
      <c r="AM87" s="71">
        <f t="shared" si="965"/>
        <v>0</v>
      </c>
      <c r="AN87" s="71">
        <f t="shared" si="966"/>
        <v>0</v>
      </c>
      <c r="AO87" s="71">
        <f t="shared" si="967"/>
        <v>0</v>
      </c>
      <c r="AP87" s="71">
        <f t="shared" si="968"/>
        <v>0</v>
      </c>
      <c r="AQ87" s="71">
        <f t="shared" si="969"/>
        <v>0</v>
      </c>
      <c r="AR87" s="71">
        <f t="shared" si="970"/>
        <v>0</v>
      </c>
      <c r="AS87" s="71">
        <f t="shared" si="971"/>
        <v>0</v>
      </c>
      <c r="AT87" s="71">
        <f t="shared" si="972"/>
        <v>0</v>
      </c>
      <c r="AU87" s="71">
        <f t="shared" si="973"/>
        <v>0</v>
      </c>
      <c r="AV87" s="71">
        <f t="shared" si="974"/>
        <v>0</v>
      </c>
      <c r="AW87" s="71">
        <f t="shared" si="975"/>
        <v>0</v>
      </c>
      <c r="AX87" s="71">
        <f t="shared" si="976"/>
        <v>0</v>
      </c>
      <c r="AY87" s="71">
        <f t="shared" si="977"/>
        <v>0</v>
      </c>
      <c r="AZ87" s="72">
        <f t="shared" si="978"/>
        <v>0</v>
      </c>
      <c r="BA87" s="70">
        <f t="shared" si="733"/>
        <v>12</v>
      </c>
      <c r="BB87" s="69">
        <f t="shared" ca="1" si="869"/>
        <v>0.92307692307692313</v>
      </c>
      <c r="BC87" s="70">
        <f t="shared" si="979"/>
        <v>13</v>
      </c>
      <c r="BD87" s="71">
        <f t="shared" si="980"/>
        <v>28</v>
      </c>
      <c r="BE87" s="71">
        <f t="shared" si="981"/>
        <v>25</v>
      </c>
      <c r="BF87" s="71">
        <f t="shared" si="982"/>
        <v>0</v>
      </c>
      <c r="BG87" s="71">
        <f t="shared" si="983"/>
        <v>25</v>
      </c>
      <c r="BH87" s="71">
        <f t="shared" si="984"/>
        <v>28</v>
      </c>
      <c r="BI87" s="71">
        <f t="shared" si="985"/>
        <v>21</v>
      </c>
      <c r="BJ87" s="71">
        <f t="shared" si="986"/>
        <v>18</v>
      </c>
      <c r="BK87" s="71">
        <f t="shared" si="987"/>
        <v>12</v>
      </c>
      <c r="BL87" s="71">
        <f t="shared" si="988"/>
        <v>35</v>
      </c>
      <c r="BM87" s="71">
        <f t="shared" si="989"/>
        <v>0</v>
      </c>
      <c r="BN87" s="71">
        <f t="shared" si="990"/>
        <v>38</v>
      </c>
      <c r="BO87" s="71">
        <f t="shared" si="991"/>
        <v>35</v>
      </c>
      <c r="BP87" s="71">
        <f t="shared" si="992"/>
        <v>0</v>
      </c>
      <c r="BQ87" s="71">
        <f t="shared" si="993"/>
        <v>0</v>
      </c>
      <c r="BR87" s="71">
        <f t="shared" si="994"/>
        <v>0</v>
      </c>
      <c r="BS87" s="71">
        <f t="shared" si="995"/>
        <v>0</v>
      </c>
      <c r="BT87" s="71">
        <f t="shared" si="996"/>
        <v>0</v>
      </c>
      <c r="BU87" s="71">
        <f t="shared" si="997"/>
        <v>0</v>
      </c>
      <c r="BV87" s="71">
        <f t="shared" si="998"/>
        <v>0</v>
      </c>
      <c r="BW87" s="71">
        <f t="shared" si="999"/>
        <v>0</v>
      </c>
      <c r="BX87" s="71">
        <f t="shared" si="1000"/>
        <v>0</v>
      </c>
      <c r="BY87" s="71">
        <f t="shared" si="1001"/>
        <v>0</v>
      </c>
      <c r="BZ87" s="71">
        <f t="shared" si="1002"/>
        <v>0</v>
      </c>
      <c r="CA87" s="71">
        <f t="shared" si="1003"/>
        <v>0</v>
      </c>
      <c r="CB87" s="71">
        <f t="shared" si="1004"/>
        <v>0</v>
      </c>
      <c r="CC87" s="71">
        <f t="shared" si="1005"/>
        <v>0</v>
      </c>
      <c r="CD87" s="71">
        <f t="shared" si="1006"/>
        <v>0</v>
      </c>
      <c r="CE87" s="71">
        <f t="shared" si="1007"/>
        <v>0</v>
      </c>
      <c r="CF87" s="71">
        <f t="shared" si="1008"/>
        <v>0</v>
      </c>
      <c r="CG87" s="71">
        <f t="shared" si="1009"/>
        <v>0</v>
      </c>
      <c r="CH87" s="70">
        <f t="shared" si="870"/>
        <v>278</v>
      </c>
      <c r="CI87" s="69">
        <f t="shared" ca="1" si="871"/>
        <v>21.384615384615383</v>
      </c>
      <c r="GM87" s="2" t="s">
        <v>16</v>
      </c>
      <c r="GN87" s="98" t="str">
        <f t="shared" si="732"/>
        <v>SUK01-FMCG02-SPO-01</v>
      </c>
      <c r="GO87" s="4">
        <v>1</v>
      </c>
      <c r="GP87" s="3">
        <v>1</v>
      </c>
      <c r="GQ87" s="3">
        <v>1</v>
      </c>
      <c r="GR87" s="3">
        <v>0</v>
      </c>
      <c r="GS87" s="3">
        <v>1</v>
      </c>
      <c r="GT87" s="3">
        <v>1</v>
      </c>
      <c r="GU87" s="3">
        <v>1</v>
      </c>
      <c r="GV87" s="3">
        <v>1</v>
      </c>
      <c r="GW87" s="3">
        <v>1</v>
      </c>
      <c r="GX87" s="3">
        <v>1</v>
      </c>
      <c r="GY87" s="3">
        <v>0</v>
      </c>
      <c r="GZ87" s="3">
        <v>1</v>
      </c>
      <c r="HA87" s="3">
        <v>1</v>
      </c>
      <c r="HB87" s="3">
        <v>1</v>
      </c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6"/>
      <c r="HT87" s="4">
        <v>13</v>
      </c>
      <c r="HU87" s="3">
        <v>28</v>
      </c>
      <c r="HV87" s="3">
        <v>25</v>
      </c>
      <c r="HW87" s="3">
        <v>0</v>
      </c>
      <c r="HX87" s="3">
        <v>25</v>
      </c>
      <c r="HY87" s="3">
        <v>28</v>
      </c>
      <c r="HZ87" s="3">
        <v>21</v>
      </c>
      <c r="IA87" s="3">
        <v>18</v>
      </c>
      <c r="IB87" s="3">
        <v>12</v>
      </c>
      <c r="IC87" s="3">
        <v>35</v>
      </c>
      <c r="ID87" s="3">
        <v>0</v>
      </c>
      <c r="IE87" s="3">
        <v>38</v>
      </c>
      <c r="IF87" s="3">
        <v>35</v>
      </c>
      <c r="IG87" s="3">
        <v>0</v>
      </c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6"/>
    </row>
    <row r="88" spans="1:258" hidden="1">
      <c r="A88" s="97" t="s">
        <v>25</v>
      </c>
      <c r="B88" s="98" t="s">
        <v>90</v>
      </c>
      <c r="C88" s="98" t="s">
        <v>227</v>
      </c>
      <c r="D88" s="99" t="s">
        <v>1146</v>
      </c>
      <c r="E88" s="98" t="s">
        <v>269</v>
      </c>
      <c r="F88" s="98" t="s">
        <v>270</v>
      </c>
      <c r="G88" s="98" t="s">
        <v>271</v>
      </c>
      <c r="H88" s="98" t="s">
        <v>1461</v>
      </c>
      <c r="I88" s="98" t="s">
        <v>1461</v>
      </c>
      <c r="J88" s="98" t="s">
        <v>896</v>
      </c>
      <c r="K88" s="98" t="s">
        <v>1127</v>
      </c>
      <c r="L88" s="98" t="s">
        <v>272</v>
      </c>
      <c r="M88" s="101" t="s">
        <v>1093</v>
      </c>
      <c r="N88" s="139">
        <v>44958</v>
      </c>
      <c r="O88" s="100">
        <v>1</v>
      </c>
      <c r="P88" s="69">
        <v>0</v>
      </c>
      <c r="Q88" s="69">
        <f t="shared" si="943"/>
        <v>1</v>
      </c>
      <c r="R88" s="69">
        <f t="shared" si="944"/>
        <v>1</v>
      </c>
      <c r="S88" s="69">
        <f t="shared" si="945"/>
        <v>0</v>
      </c>
      <c r="T88" s="69">
        <f t="shared" si="946"/>
        <v>1</v>
      </c>
      <c r="U88" s="69">
        <f t="shared" si="947"/>
        <v>1</v>
      </c>
      <c r="V88" s="70">
        <f t="shared" si="948"/>
        <v>1</v>
      </c>
      <c r="W88" s="71">
        <f t="shared" si="949"/>
        <v>1</v>
      </c>
      <c r="X88" s="71">
        <f t="shared" si="950"/>
        <v>1</v>
      </c>
      <c r="Y88" s="71">
        <f t="shared" si="951"/>
        <v>0</v>
      </c>
      <c r="Z88" s="71">
        <f t="shared" si="952"/>
        <v>1</v>
      </c>
      <c r="AA88" s="71">
        <f t="shared" si="953"/>
        <v>1</v>
      </c>
      <c r="AB88" s="71">
        <f t="shared" si="954"/>
        <v>1</v>
      </c>
      <c r="AC88" s="71">
        <f t="shared" si="955"/>
        <v>1</v>
      </c>
      <c r="AD88" s="71">
        <f t="shared" si="956"/>
        <v>1</v>
      </c>
      <c r="AE88" s="71">
        <f t="shared" si="957"/>
        <v>1</v>
      </c>
      <c r="AF88" s="71">
        <f t="shared" si="958"/>
        <v>0</v>
      </c>
      <c r="AG88" s="71">
        <f t="shared" si="959"/>
        <v>1</v>
      </c>
      <c r="AH88" s="71">
        <f t="shared" si="960"/>
        <v>1</v>
      </c>
      <c r="AI88" s="71">
        <f t="shared" si="961"/>
        <v>1</v>
      </c>
      <c r="AJ88" s="71">
        <f t="shared" si="962"/>
        <v>0</v>
      </c>
      <c r="AK88" s="71">
        <f t="shared" si="963"/>
        <v>0</v>
      </c>
      <c r="AL88" s="71">
        <f t="shared" si="964"/>
        <v>0</v>
      </c>
      <c r="AM88" s="71">
        <f t="shared" si="965"/>
        <v>0</v>
      </c>
      <c r="AN88" s="71">
        <f t="shared" si="966"/>
        <v>0</v>
      </c>
      <c r="AO88" s="71">
        <f t="shared" si="967"/>
        <v>0</v>
      </c>
      <c r="AP88" s="71">
        <f t="shared" si="968"/>
        <v>0</v>
      </c>
      <c r="AQ88" s="71">
        <f t="shared" si="969"/>
        <v>0</v>
      </c>
      <c r="AR88" s="71">
        <f t="shared" si="970"/>
        <v>0</v>
      </c>
      <c r="AS88" s="71">
        <f t="shared" si="971"/>
        <v>0</v>
      </c>
      <c r="AT88" s="71">
        <f t="shared" si="972"/>
        <v>0</v>
      </c>
      <c r="AU88" s="71">
        <f t="shared" si="973"/>
        <v>0</v>
      </c>
      <c r="AV88" s="71">
        <f t="shared" si="974"/>
        <v>0</v>
      </c>
      <c r="AW88" s="71">
        <f t="shared" si="975"/>
        <v>0</v>
      </c>
      <c r="AX88" s="71">
        <f t="shared" si="976"/>
        <v>0</v>
      </c>
      <c r="AY88" s="71">
        <f t="shared" si="977"/>
        <v>0</v>
      </c>
      <c r="AZ88" s="72">
        <f t="shared" si="978"/>
        <v>0</v>
      </c>
      <c r="BA88" s="70">
        <f t="shared" si="733"/>
        <v>12</v>
      </c>
      <c r="BB88" s="69">
        <f t="shared" ca="1" si="869"/>
        <v>0.92307692307692313</v>
      </c>
      <c r="BC88" s="70">
        <f t="shared" si="979"/>
        <v>15</v>
      </c>
      <c r="BD88" s="71">
        <f t="shared" si="980"/>
        <v>19</v>
      </c>
      <c r="BE88" s="71">
        <f t="shared" si="981"/>
        <v>18</v>
      </c>
      <c r="BF88" s="71">
        <f t="shared" si="982"/>
        <v>0</v>
      </c>
      <c r="BG88" s="71">
        <f t="shared" si="983"/>
        <v>38</v>
      </c>
      <c r="BH88" s="71">
        <f t="shared" si="984"/>
        <v>26</v>
      </c>
      <c r="BI88" s="71">
        <f t="shared" si="985"/>
        <v>24</v>
      </c>
      <c r="BJ88" s="71">
        <f t="shared" si="986"/>
        <v>20</v>
      </c>
      <c r="BK88" s="71">
        <f t="shared" si="987"/>
        <v>21</v>
      </c>
      <c r="BL88" s="71">
        <f t="shared" si="988"/>
        <v>29</v>
      </c>
      <c r="BM88" s="71">
        <f t="shared" si="989"/>
        <v>0</v>
      </c>
      <c r="BN88" s="71">
        <f t="shared" si="990"/>
        <v>20</v>
      </c>
      <c r="BO88" s="71">
        <f t="shared" si="991"/>
        <v>26</v>
      </c>
      <c r="BP88" s="71">
        <f t="shared" si="992"/>
        <v>0</v>
      </c>
      <c r="BQ88" s="71">
        <f t="shared" si="993"/>
        <v>0</v>
      </c>
      <c r="BR88" s="71">
        <f t="shared" si="994"/>
        <v>0</v>
      </c>
      <c r="BS88" s="71">
        <f t="shared" si="995"/>
        <v>0</v>
      </c>
      <c r="BT88" s="71">
        <f t="shared" si="996"/>
        <v>0</v>
      </c>
      <c r="BU88" s="71">
        <f t="shared" si="997"/>
        <v>0</v>
      </c>
      <c r="BV88" s="71">
        <f t="shared" si="998"/>
        <v>0</v>
      </c>
      <c r="BW88" s="71">
        <f t="shared" si="999"/>
        <v>0</v>
      </c>
      <c r="BX88" s="71">
        <f t="shared" si="1000"/>
        <v>0</v>
      </c>
      <c r="BY88" s="71">
        <f t="shared" si="1001"/>
        <v>0</v>
      </c>
      <c r="BZ88" s="71">
        <f t="shared" si="1002"/>
        <v>0</v>
      </c>
      <c r="CA88" s="71">
        <f t="shared" si="1003"/>
        <v>0</v>
      </c>
      <c r="CB88" s="71">
        <f t="shared" si="1004"/>
        <v>0</v>
      </c>
      <c r="CC88" s="71">
        <f t="shared" si="1005"/>
        <v>0</v>
      </c>
      <c r="CD88" s="71">
        <f t="shared" si="1006"/>
        <v>0</v>
      </c>
      <c r="CE88" s="71">
        <f t="shared" si="1007"/>
        <v>0</v>
      </c>
      <c r="CF88" s="71">
        <f t="shared" si="1008"/>
        <v>0</v>
      </c>
      <c r="CG88" s="71">
        <f t="shared" si="1009"/>
        <v>0</v>
      </c>
      <c r="CH88" s="70">
        <f t="shared" si="870"/>
        <v>256</v>
      </c>
      <c r="CI88" s="69">
        <f t="shared" ca="1" si="871"/>
        <v>19.692307692307693</v>
      </c>
      <c r="GM88" s="2" t="s">
        <v>16</v>
      </c>
      <c r="GN88" s="98" t="str">
        <f t="shared" si="732"/>
        <v>SUK01-FMCG02-SPO-02</v>
      </c>
      <c r="GO88" s="4">
        <v>1</v>
      </c>
      <c r="GP88" s="3">
        <v>1</v>
      </c>
      <c r="GQ88" s="3">
        <v>1</v>
      </c>
      <c r="GR88" s="3">
        <v>0</v>
      </c>
      <c r="GS88" s="3">
        <v>1</v>
      </c>
      <c r="GT88" s="3">
        <v>1</v>
      </c>
      <c r="GU88" s="3">
        <v>1</v>
      </c>
      <c r="GV88" s="3">
        <v>1</v>
      </c>
      <c r="GW88" s="3">
        <v>1</v>
      </c>
      <c r="GX88" s="3">
        <v>1</v>
      </c>
      <c r="GY88" s="3">
        <v>0</v>
      </c>
      <c r="GZ88" s="3">
        <v>1</v>
      </c>
      <c r="HA88" s="3">
        <v>1</v>
      </c>
      <c r="HB88" s="3">
        <v>1</v>
      </c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6"/>
      <c r="HT88" s="4">
        <v>15</v>
      </c>
      <c r="HU88" s="3">
        <v>19</v>
      </c>
      <c r="HV88" s="3">
        <v>18</v>
      </c>
      <c r="HW88" s="3">
        <v>0</v>
      </c>
      <c r="HX88" s="3">
        <v>38</v>
      </c>
      <c r="HY88" s="3">
        <v>26</v>
      </c>
      <c r="HZ88" s="3">
        <v>24</v>
      </c>
      <c r="IA88" s="3">
        <v>20</v>
      </c>
      <c r="IB88" s="3">
        <v>21</v>
      </c>
      <c r="IC88" s="3">
        <v>29</v>
      </c>
      <c r="ID88" s="3">
        <v>0</v>
      </c>
      <c r="IE88" s="3">
        <v>20</v>
      </c>
      <c r="IF88" s="3">
        <v>26</v>
      </c>
      <c r="IG88" s="3">
        <v>0</v>
      </c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6"/>
    </row>
    <row r="89" spans="1:258" hidden="1">
      <c r="A89" s="97" t="s">
        <v>25</v>
      </c>
      <c r="B89" s="98" t="s">
        <v>90</v>
      </c>
      <c r="C89" s="98" t="s">
        <v>227</v>
      </c>
      <c r="D89" s="99" t="s">
        <v>1146</v>
      </c>
      <c r="E89" s="98" t="s">
        <v>1029</v>
      </c>
      <c r="F89" s="98" t="s">
        <v>1044</v>
      </c>
      <c r="G89" s="98" t="s">
        <v>947</v>
      </c>
      <c r="H89" s="98" t="s">
        <v>1668</v>
      </c>
      <c r="I89" s="98" t="s">
        <v>1462</v>
      </c>
      <c r="J89" s="98" t="s">
        <v>896</v>
      </c>
      <c r="K89" s="98" t="s">
        <v>1127</v>
      </c>
      <c r="L89" s="98" t="s">
        <v>1669</v>
      </c>
      <c r="M89" s="101" t="s">
        <v>1093</v>
      </c>
      <c r="N89" s="139">
        <v>46241</v>
      </c>
      <c r="O89" s="100">
        <v>1</v>
      </c>
      <c r="P89" s="69">
        <v>0</v>
      </c>
      <c r="Q89" s="69">
        <f t="shared" si="943"/>
        <v>0</v>
      </c>
      <c r="R89" s="69">
        <f t="shared" si="944"/>
        <v>1</v>
      </c>
      <c r="S89" s="69">
        <f t="shared" si="945"/>
        <v>0</v>
      </c>
      <c r="T89" s="69">
        <f t="shared" si="946"/>
        <v>1</v>
      </c>
      <c r="U89" s="69">
        <f t="shared" si="947"/>
        <v>1</v>
      </c>
      <c r="V89" s="70">
        <f t="shared" si="948"/>
        <v>1</v>
      </c>
      <c r="W89" s="71">
        <f t="shared" si="949"/>
        <v>0</v>
      </c>
      <c r="X89" s="71">
        <f t="shared" si="950"/>
        <v>0</v>
      </c>
      <c r="Y89" s="71">
        <f t="shared" si="951"/>
        <v>0</v>
      </c>
      <c r="Z89" s="71">
        <f t="shared" si="952"/>
        <v>0</v>
      </c>
      <c r="AA89" s="71">
        <f t="shared" si="953"/>
        <v>0</v>
      </c>
      <c r="AB89" s="71">
        <f t="shared" si="954"/>
        <v>0</v>
      </c>
      <c r="AC89" s="71">
        <f t="shared" si="955"/>
        <v>0</v>
      </c>
      <c r="AD89" s="71">
        <f t="shared" si="956"/>
        <v>0</v>
      </c>
      <c r="AE89" s="71">
        <f t="shared" si="957"/>
        <v>0</v>
      </c>
      <c r="AF89" s="71">
        <f t="shared" si="958"/>
        <v>0</v>
      </c>
      <c r="AG89" s="71">
        <f t="shared" si="959"/>
        <v>0</v>
      </c>
      <c r="AH89" s="71">
        <f t="shared" si="960"/>
        <v>0</v>
      </c>
      <c r="AI89" s="71">
        <f t="shared" si="961"/>
        <v>0</v>
      </c>
      <c r="AJ89" s="71">
        <f t="shared" si="962"/>
        <v>0</v>
      </c>
      <c r="AK89" s="71">
        <f t="shared" si="963"/>
        <v>0</v>
      </c>
      <c r="AL89" s="71">
        <f t="shared" si="964"/>
        <v>0</v>
      </c>
      <c r="AM89" s="71">
        <f t="shared" si="965"/>
        <v>0</v>
      </c>
      <c r="AN89" s="71">
        <f t="shared" si="966"/>
        <v>0</v>
      </c>
      <c r="AO89" s="71">
        <f t="shared" si="967"/>
        <v>0</v>
      </c>
      <c r="AP89" s="71">
        <f t="shared" si="968"/>
        <v>0</v>
      </c>
      <c r="AQ89" s="71">
        <f t="shared" si="969"/>
        <v>0</v>
      </c>
      <c r="AR89" s="71">
        <f t="shared" si="970"/>
        <v>0</v>
      </c>
      <c r="AS89" s="71">
        <f t="shared" si="971"/>
        <v>0</v>
      </c>
      <c r="AT89" s="71">
        <f t="shared" si="972"/>
        <v>0</v>
      </c>
      <c r="AU89" s="71">
        <f t="shared" si="973"/>
        <v>0</v>
      </c>
      <c r="AV89" s="71">
        <f t="shared" si="974"/>
        <v>0</v>
      </c>
      <c r="AW89" s="71">
        <f t="shared" si="975"/>
        <v>0</v>
      </c>
      <c r="AX89" s="71">
        <f t="shared" si="976"/>
        <v>0</v>
      </c>
      <c r="AY89" s="71">
        <f t="shared" si="977"/>
        <v>0</v>
      </c>
      <c r="AZ89" s="72">
        <f t="shared" si="978"/>
        <v>0</v>
      </c>
      <c r="BA89" s="70">
        <f t="shared" si="733"/>
        <v>1</v>
      </c>
      <c r="BB89" s="69">
        <f t="shared" ca="1" si="869"/>
        <v>7.6923076923076927E-2</v>
      </c>
      <c r="BC89" s="70">
        <f t="shared" si="979"/>
        <v>3</v>
      </c>
      <c r="BD89" s="71">
        <f t="shared" si="980"/>
        <v>0</v>
      </c>
      <c r="BE89" s="71">
        <f t="shared" si="981"/>
        <v>0</v>
      </c>
      <c r="BF89" s="71">
        <f t="shared" si="982"/>
        <v>0</v>
      </c>
      <c r="BG89" s="71">
        <f t="shared" si="983"/>
        <v>0</v>
      </c>
      <c r="BH89" s="71">
        <f t="shared" si="984"/>
        <v>0</v>
      </c>
      <c r="BI89" s="71">
        <f t="shared" si="985"/>
        <v>0</v>
      </c>
      <c r="BJ89" s="71">
        <f t="shared" si="986"/>
        <v>0</v>
      </c>
      <c r="BK89" s="71">
        <f t="shared" si="987"/>
        <v>0</v>
      </c>
      <c r="BL89" s="71">
        <f t="shared" si="988"/>
        <v>0</v>
      </c>
      <c r="BM89" s="71">
        <f t="shared" si="989"/>
        <v>0</v>
      </c>
      <c r="BN89" s="71">
        <f t="shared" si="990"/>
        <v>0</v>
      </c>
      <c r="BO89" s="71">
        <f t="shared" si="991"/>
        <v>0</v>
      </c>
      <c r="BP89" s="71">
        <f t="shared" si="992"/>
        <v>0</v>
      </c>
      <c r="BQ89" s="71">
        <f t="shared" si="993"/>
        <v>0</v>
      </c>
      <c r="BR89" s="71">
        <f t="shared" si="994"/>
        <v>0</v>
      </c>
      <c r="BS89" s="71">
        <f t="shared" si="995"/>
        <v>0</v>
      </c>
      <c r="BT89" s="71">
        <f t="shared" si="996"/>
        <v>0</v>
      </c>
      <c r="BU89" s="71">
        <f t="shared" si="997"/>
        <v>0</v>
      </c>
      <c r="BV89" s="71">
        <f t="shared" si="998"/>
        <v>0</v>
      </c>
      <c r="BW89" s="71">
        <f t="shared" si="999"/>
        <v>0</v>
      </c>
      <c r="BX89" s="71">
        <f t="shared" si="1000"/>
        <v>0</v>
      </c>
      <c r="BY89" s="71">
        <f t="shared" si="1001"/>
        <v>0</v>
      </c>
      <c r="BZ89" s="71">
        <f t="shared" si="1002"/>
        <v>0</v>
      </c>
      <c r="CA89" s="71">
        <f t="shared" si="1003"/>
        <v>0</v>
      </c>
      <c r="CB89" s="71">
        <f t="shared" si="1004"/>
        <v>0</v>
      </c>
      <c r="CC89" s="71">
        <f t="shared" si="1005"/>
        <v>0</v>
      </c>
      <c r="CD89" s="71">
        <f t="shared" si="1006"/>
        <v>0</v>
      </c>
      <c r="CE89" s="71">
        <f t="shared" si="1007"/>
        <v>0</v>
      </c>
      <c r="CF89" s="71">
        <f t="shared" si="1008"/>
        <v>0</v>
      </c>
      <c r="CG89" s="71">
        <f t="shared" si="1009"/>
        <v>0</v>
      </c>
      <c r="CH89" s="70">
        <f t="shared" si="870"/>
        <v>3</v>
      </c>
      <c r="CI89" s="69">
        <f t="shared" ca="1" si="871"/>
        <v>0.23076923076923078</v>
      </c>
      <c r="GM89" s="2" t="s">
        <v>16</v>
      </c>
      <c r="GN89" s="98" t="str">
        <f t="shared" si="732"/>
        <v>SUK01-FMCG03-SPO-01</v>
      </c>
      <c r="GO89" s="4">
        <v>1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6"/>
      <c r="HT89" s="4">
        <v>3</v>
      </c>
      <c r="HU89" s="3">
        <v>0</v>
      </c>
      <c r="HV89" s="3">
        <v>0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3">
        <v>0</v>
      </c>
      <c r="ID89" s="3">
        <v>0</v>
      </c>
      <c r="IE89" s="3">
        <v>0</v>
      </c>
      <c r="IF89" s="3">
        <v>0</v>
      </c>
      <c r="IG89" s="3">
        <v>0</v>
      </c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6"/>
    </row>
    <row r="90" spans="1:258" hidden="1">
      <c r="A90" s="97" t="s">
        <v>1287</v>
      </c>
      <c r="B90" s="98" t="s">
        <v>20</v>
      </c>
      <c r="C90" s="98" t="s">
        <v>227</v>
      </c>
      <c r="D90" s="99" t="s">
        <v>1146</v>
      </c>
      <c r="E90" s="98" t="s">
        <v>1098</v>
      </c>
      <c r="F90" s="98" t="s">
        <v>898</v>
      </c>
      <c r="G90" s="98" t="s">
        <v>897</v>
      </c>
      <c r="H90" s="98" t="s">
        <v>1463</v>
      </c>
      <c r="I90" s="98" t="s">
        <v>1463</v>
      </c>
      <c r="J90" s="98" t="s">
        <v>896</v>
      </c>
      <c r="K90" s="98" t="s">
        <v>1099</v>
      </c>
      <c r="L90" s="98" t="s">
        <v>1099</v>
      </c>
      <c r="M90" s="101" t="s">
        <v>1099</v>
      </c>
      <c r="N90" s="108">
        <v>45474</v>
      </c>
      <c r="O90" s="100">
        <v>0</v>
      </c>
      <c r="P90" s="69">
        <v>0</v>
      </c>
      <c r="Q90" s="69">
        <f t="shared" si="943"/>
        <v>0</v>
      </c>
      <c r="R90" s="69">
        <f t="shared" si="944"/>
        <v>0</v>
      </c>
      <c r="S90" s="69">
        <f t="shared" si="945"/>
        <v>0</v>
      </c>
      <c r="T90" s="69">
        <f t="shared" si="946"/>
        <v>0</v>
      </c>
      <c r="U90" s="69">
        <f t="shared" si="947"/>
        <v>0</v>
      </c>
      <c r="V90" s="70">
        <f t="shared" si="948"/>
        <v>0</v>
      </c>
      <c r="W90" s="71">
        <f t="shared" si="949"/>
        <v>0</v>
      </c>
      <c r="X90" s="71">
        <f t="shared" si="950"/>
        <v>0</v>
      </c>
      <c r="Y90" s="71">
        <f t="shared" si="951"/>
        <v>0</v>
      </c>
      <c r="Z90" s="71">
        <f t="shared" si="952"/>
        <v>0</v>
      </c>
      <c r="AA90" s="71">
        <f t="shared" si="953"/>
        <v>0</v>
      </c>
      <c r="AB90" s="71">
        <f t="shared" si="954"/>
        <v>0</v>
      </c>
      <c r="AC90" s="71">
        <f t="shared" si="955"/>
        <v>0</v>
      </c>
      <c r="AD90" s="71">
        <f t="shared" si="956"/>
        <v>0</v>
      </c>
      <c r="AE90" s="71">
        <f t="shared" si="957"/>
        <v>0</v>
      </c>
      <c r="AF90" s="71">
        <f t="shared" si="958"/>
        <v>0</v>
      </c>
      <c r="AG90" s="71">
        <f t="shared" si="959"/>
        <v>0</v>
      </c>
      <c r="AH90" s="71">
        <f t="shared" si="960"/>
        <v>0</v>
      </c>
      <c r="AI90" s="71">
        <f t="shared" si="961"/>
        <v>0</v>
      </c>
      <c r="AJ90" s="71">
        <f t="shared" si="962"/>
        <v>0</v>
      </c>
      <c r="AK90" s="71">
        <f t="shared" si="963"/>
        <v>0</v>
      </c>
      <c r="AL90" s="71">
        <f t="shared" si="964"/>
        <v>0</v>
      </c>
      <c r="AM90" s="71">
        <f t="shared" si="965"/>
        <v>0</v>
      </c>
      <c r="AN90" s="71">
        <f t="shared" si="966"/>
        <v>0</v>
      </c>
      <c r="AO90" s="71">
        <f t="shared" si="967"/>
        <v>0</v>
      </c>
      <c r="AP90" s="71">
        <f t="shared" si="968"/>
        <v>0</v>
      </c>
      <c r="AQ90" s="71">
        <f t="shared" si="969"/>
        <v>0</v>
      </c>
      <c r="AR90" s="71">
        <f t="shared" si="970"/>
        <v>0</v>
      </c>
      <c r="AS90" s="71">
        <f t="shared" si="971"/>
        <v>0</v>
      </c>
      <c r="AT90" s="71">
        <f t="shared" si="972"/>
        <v>0</v>
      </c>
      <c r="AU90" s="71">
        <f t="shared" si="973"/>
        <v>0</v>
      </c>
      <c r="AV90" s="71">
        <f t="shared" si="974"/>
        <v>0</v>
      </c>
      <c r="AW90" s="71">
        <f t="shared" si="975"/>
        <v>0</v>
      </c>
      <c r="AX90" s="71">
        <f t="shared" si="976"/>
        <v>0</v>
      </c>
      <c r="AY90" s="71">
        <f t="shared" si="977"/>
        <v>0</v>
      </c>
      <c r="AZ90" s="72">
        <f t="shared" si="978"/>
        <v>0</v>
      </c>
      <c r="BA90" s="70">
        <f t="shared" si="733"/>
        <v>0</v>
      </c>
      <c r="BB90" s="69">
        <f t="shared" ca="1" si="869"/>
        <v>0</v>
      </c>
      <c r="BC90" s="70">
        <f t="shared" si="979"/>
        <v>0</v>
      </c>
      <c r="BD90" s="71">
        <f t="shared" si="980"/>
        <v>0</v>
      </c>
      <c r="BE90" s="71">
        <f t="shared" si="981"/>
        <v>0</v>
      </c>
      <c r="BF90" s="71">
        <f t="shared" si="982"/>
        <v>0</v>
      </c>
      <c r="BG90" s="71">
        <f t="shared" si="983"/>
        <v>0</v>
      </c>
      <c r="BH90" s="71">
        <f t="shared" si="984"/>
        <v>0</v>
      </c>
      <c r="BI90" s="71">
        <f t="shared" si="985"/>
        <v>0</v>
      </c>
      <c r="BJ90" s="71">
        <f t="shared" si="986"/>
        <v>0</v>
      </c>
      <c r="BK90" s="71">
        <f t="shared" si="987"/>
        <v>0</v>
      </c>
      <c r="BL90" s="71">
        <f t="shared" si="988"/>
        <v>0</v>
      </c>
      <c r="BM90" s="71">
        <f t="shared" si="989"/>
        <v>0</v>
      </c>
      <c r="BN90" s="71">
        <f t="shared" si="990"/>
        <v>0</v>
      </c>
      <c r="BO90" s="71">
        <f t="shared" si="991"/>
        <v>0</v>
      </c>
      <c r="BP90" s="71">
        <f t="shared" si="992"/>
        <v>0</v>
      </c>
      <c r="BQ90" s="71">
        <f t="shared" si="993"/>
        <v>0</v>
      </c>
      <c r="BR90" s="71">
        <f t="shared" si="994"/>
        <v>0</v>
      </c>
      <c r="BS90" s="71">
        <f t="shared" si="995"/>
        <v>0</v>
      </c>
      <c r="BT90" s="71">
        <f t="shared" si="996"/>
        <v>0</v>
      </c>
      <c r="BU90" s="71">
        <f t="shared" si="997"/>
        <v>0</v>
      </c>
      <c r="BV90" s="71">
        <f t="shared" si="998"/>
        <v>0</v>
      </c>
      <c r="BW90" s="71">
        <f t="shared" si="999"/>
        <v>0</v>
      </c>
      <c r="BX90" s="71">
        <f t="shared" si="1000"/>
        <v>0</v>
      </c>
      <c r="BY90" s="71">
        <f t="shared" si="1001"/>
        <v>0</v>
      </c>
      <c r="BZ90" s="71">
        <f t="shared" si="1002"/>
        <v>0</v>
      </c>
      <c r="CA90" s="71">
        <f t="shared" si="1003"/>
        <v>0</v>
      </c>
      <c r="CB90" s="71">
        <f t="shared" si="1004"/>
        <v>0</v>
      </c>
      <c r="CC90" s="71">
        <f t="shared" si="1005"/>
        <v>0</v>
      </c>
      <c r="CD90" s="71">
        <f t="shared" si="1006"/>
        <v>0</v>
      </c>
      <c r="CE90" s="71">
        <f t="shared" si="1007"/>
        <v>0</v>
      </c>
      <c r="CF90" s="71">
        <f t="shared" si="1008"/>
        <v>0</v>
      </c>
      <c r="CG90" s="71">
        <f t="shared" si="1009"/>
        <v>0</v>
      </c>
      <c r="CH90" s="70">
        <f t="shared" si="870"/>
        <v>0</v>
      </c>
      <c r="CI90" s="69">
        <f t="shared" ca="1" si="871"/>
        <v>0</v>
      </c>
      <c r="GM90" s="2" t="s">
        <v>16</v>
      </c>
      <c r="GN90" s="98" t="str">
        <f t="shared" si="732"/>
        <v>SUK01-FMCG-SPO-00</v>
      </c>
      <c r="GO90" s="4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6"/>
      <c r="HT90" s="4">
        <v>0</v>
      </c>
      <c r="HU90" s="3">
        <v>0</v>
      </c>
      <c r="HV90" s="3">
        <v>0</v>
      </c>
      <c r="HW90" s="3">
        <v>0</v>
      </c>
      <c r="HX90" s="3">
        <v>0</v>
      </c>
      <c r="HY90" s="3">
        <v>0</v>
      </c>
      <c r="HZ90" s="3">
        <v>0</v>
      </c>
      <c r="IA90" s="3">
        <v>0</v>
      </c>
      <c r="IB90" s="3">
        <v>0</v>
      </c>
      <c r="IC90" s="3">
        <v>0</v>
      </c>
      <c r="ID90" s="3">
        <v>0</v>
      </c>
      <c r="IE90" s="3">
        <v>0</v>
      </c>
      <c r="IF90" s="3">
        <v>0</v>
      </c>
      <c r="IG90" s="3">
        <v>0</v>
      </c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6"/>
    </row>
    <row r="91" spans="1:258" hidden="1">
      <c r="A91" s="97" t="s">
        <v>1380</v>
      </c>
      <c r="B91" s="98" t="s">
        <v>20</v>
      </c>
      <c r="C91" s="98" t="s">
        <v>227</v>
      </c>
      <c r="D91" s="99" t="s">
        <v>1146</v>
      </c>
      <c r="E91" s="98" t="s">
        <v>273</v>
      </c>
      <c r="F91" s="98" t="s">
        <v>274</v>
      </c>
      <c r="G91" s="98" t="s">
        <v>275</v>
      </c>
      <c r="H91" s="98" t="s">
        <v>1147</v>
      </c>
      <c r="I91" s="98" t="s">
        <v>1147</v>
      </c>
      <c r="J91" s="98" t="s">
        <v>896</v>
      </c>
      <c r="K91" s="98" t="s">
        <v>1127</v>
      </c>
      <c r="L91" s="98" t="s">
        <v>1649</v>
      </c>
      <c r="M91" s="101" t="s">
        <v>1093</v>
      </c>
      <c r="N91" s="108">
        <v>45709</v>
      </c>
      <c r="O91" s="100">
        <v>0</v>
      </c>
      <c r="P91" s="69">
        <v>0</v>
      </c>
      <c r="Q91" s="69">
        <f t="shared" si="943"/>
        <v>0</v>
      </c>
      <c r="R91" s="69">
        <f t="shared" si="944"/>
        <v>0</v>
      </c>
      <c r="S91" s="69">
        <f t="shared" si="945"/>
        <v>0</v>
      </c>
      <c r="T91" s="69">
        <f t="shared" si="946"/>
        <v>0</v>
      </c>
      <c r="U91" s="69">
        <f t="shared" si="947"/>
        <v>0</v>
      </c>
      <c r="V91" s="70">
        <f t="shared" si="948"/>
        <v>0</v>
      </c>
      <c r="W91" s="71">
        <f t="shared" si="949"/>
        <v>0</v>
      </c>
      <c r="X91" s="71">
        <f t="shared" si="950"/>
        <v>0</v>
      </c>
      <c r="Y91" s="71">
        <f t="shared" si="951"/>
        <v>0</v>
      </c>
      <c r="Z91" s="71">
        <f t="shared" si="952"/>
        <v>0</v>
      </c>
      <c r="AA91" s="71">
        <f t="shared" si="953"/>
        <v>0</v>
      </c>
      <c r="AB91" s="71">
        <f t="shared" si="954"/>
        <v>0</v>
      </c>
      <c r="AC91" s="71">
        <f t="shared" si="955"/>
        <v>0</v>
      </c>
      <c r="AD91" s="71">
        <f t="shared" si="956"/>
        <v>0</v>
      </c>
      <c r="AE91" s="71">
        <f t="shared" si="957"/>
        <v>0</v>
      </c>
      <c r="AF91" s="71">
        <f t="shared" si="958"/>
        <v>0</v>
      </c>
      <c r="AG91" s="71">
        <f t="shared" si="959"/>
        <v>0</v>
      </c>
      <c r="AH91" s="71">
        <f t="shared" si="960"/>
        <v>0</v>
      </c>
      <c r="AI91" s="71">
        <f t="shared" si="961"/>
        <v>0</v>
      </c>
      <c r="AJ91" s="71">
        <f t="shared" si="962"/>
        <v>0</v>
      </c>
      <c r="AK91" s="71">
        <f t="shared" si="963"/>
        <v>0</v>
      </c>
      <c r="AL91" s="71">
        <f t="shared" si="964"/>
        <v>0</v>
      </c>
      <c r="AM91" s="71">
        <f t="shared" si="965"/>
        <v>0</v>
      </c>
      <c r="AN91" s="71">
        <f t="shared" si="966"/>
        <v>0</v>
      </c>
      <c r="AO91" s="71">
        <f t="shared" si="967"/>
        <v>0</v>
      </c>
      <c r="AP91" s="71">
        <f t="shared" si="968"/>
        <v>0</v>
      </c>
      <c r="AQ91" s="71">
        <f t="shared" si="969"/>
        <v>0</v>
      </c>
      <c r="AR91" s="71">
        <f t="shared" si="970"/>
        <v>0</v>
      </c>
      <c r="AS91" s="71">
        <f t="shared" si="971"/>
        <v>0</v>
      </c>
      <c r="AT91" s="71">
        <f t="shared" si="972"/>
        <v>0</v>
      </c>
      <c r="AU91" s="71">
        <f t="shared" si="973"/>
        <v>0</v>
      </c>
      <c r="AV91" s="71">
        <f t="shared" si="974"/>
        <v>0</v>
      </c>
      <c r="AW91" s="71">
        <f t="shared" si="975"/>
        <v>0</v>
      </c>
      <c r="AX91" s="71">
        <f t="shared" si="976"/>
        <v>0</v>
      </c>
      <c r="AY91" s="71">
        <f t="shared" si="977"/>
        <v>0</v>
      </c>
      <c r="AZ91" s="72">
        <f t="shared" si="978"/>
        <v>0</v>
      </c>
      <c r="BA91" s="70">
        <f t="shared" si="733"/>
        <v>0</v>
      </c>
      <c r="BB91" s="69">
        <f t="shared" ca="1" si="869"/>
        <v>0</v>
      </c>
      <c r="BC91" s="70">
        <f t="shared" si="979"/>
        <v>0</v>
      </c>
      <c r="BD91" s="71">
        <f t="shared" si="980"/>
        <v>0</v>
      </c>
      <c r="BE91" s="71">
        <f t="shared" si="981"/>
        <v>0</v>
      </c>
      <c r="BF91" s="71">
        <f t="shared" si="982"/>
        <v>0</v>
      </c>
      <c r="BG91" s="71">
        <f t="shared" si="983"/>
        <v>0</v>
      </c>
      <c r="BH91" s="71">
        <f t="shared" si="984"/>
        <v>0</v>
      </c>
      <c r="BI91" s="71">
        <f t="shared" si="985"/>
        <v>0</v>
      </c>
      <c r="BJ91" s="71">
        <f t="shared" si="986"/>
        <v>0</v>
      </c>
      <c r="BK91" s="71">
        <f t="shared" si="987"/>
        <v>0</v>
      </c>
      <c r="BL91" s="71">
        <f t="shared" si="988"/>
        <v>0</v>
      </c>
      <c r="BM91" s="71">
        <f t="shared" si="989"/>
        <v>0</v>
      </c>
      <c r="BN91" s="71">
        <f t="shared" si="990"/>
        <v>0</v>
      </c>
      <c r="BO91" s="71">
        <f t="shared" si="991"/>
        <v>0</v>
      </c>
      <c r="BP91" s="71">
        <f t="shared" si="992"/>
        <v>0</v>
      </c>
      <c r="BQ91" s="71">
        <f t="shared" si="993"/>
        <v>0</v>
      </c>
      <c r="BR91" s="71">
        <f t="shared" si="994"/>
        <v>0</v>
      </c>
      <c r="BS91" s="71">
        <f t="shared" si="995"/>
        <v>0</v>
      </c>
      <c r="BT91" s="71">
        <f t="shared" si="996"/>
        <v>0</v>
      </c>
      <c r="BU91" s="71">
        <f t="shared" si="997"/>
        <v>0</v>
      </c>
      <c r="BV91" s="71">
        <f t="shared" si="998"/>
        <v>0</v>
      </c>
      <c r="BW91" s="71">
        <f t="shared" si="999"/>
        <v>0</v>
      </c>
      <c r="BX91" s="71">
        <f t="shared" si="1000"/>
        <v>0</v>
      </c>
      <c r="BY91" s="71">
        <f t="shared" si="1001"/>
        <v>0</v>
      </c>
      <c r="BZ91" s="71">
        <f t="shared" si="1002"/>
        <v>0</v>
      </c>
      <c r="CA91" s="71">
        <f t="shared" si="1003"/>
        <v>0</v>
      </c>
      <c r="CB91" s="71">
        <f t="shared" si="1004"/>
        <v>0</v>
      </c>
      <c r="CC91" s="71">
        <f t="shared" si="1005"/>
        <v>0</v>
      </c>
      <c r="CD91" s="71">
        <f t="shared" si="1006"/>
        <v>0</v>
      </c>
      <c r="CE91" s="71">
        <f t="shared" si="1007"/>
        <v>0</v>
      </c>
      <c r="CF91" s="71">
        <f t="shared" si="1008"/>
        <v>0</v>
      </c>
      <c r="CG91" s="71">
        <f t="shared" si="1009"/>
        <v>0</v>
      </c>
      <c r="CH91" s="70">
        <f t="shared" si="870"/>
        <v>0</v>
      </c>
      <c r="CI91" s="69">
        <f t="shared" ca="1" si="871"/>
        <v>0</v>
      </c>
      <c r="GM91" s="2" t="s">
        <v>16</v>
      </c>
      <c r="GN91" s="98" t="str">
        <f t="shared" si="732"/>
        <v>SUK01-FMCG-ASM-01</v>
      </c>
      <c r="GO91" s="4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6"/>
      <c r="HT91" s="4">
        <v>0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3">
        <v>0</v>
      </c>
      <c r="ID91" s="3">
        <v>0</v>
      </c>
      <c r="IE91" s="3">
        <v>0</v>
      </c>
      <c r="IF91" s="3">
        <v>0</v>
      </c>
      <c r="IG91" s="3">
        <v>0</v>
      </c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6"/>
    </row>
    <row r="92" spans="1:258" hidden="1">
      <c r="A92" s="102" t="s">
        <v>53</v>
      </c>
      <c r="B92" s="103" t="s">
        <v>20</v>
      </c>
      <c r="C92" s="103" t="s">
        <v>227</v>
      </c>
      <c r="D92" s="104" t="s">
        <v>1146</v>
      </c>
      <c r="E92" s="103" t="s">
        <v>273</v>
      </c>
      <c r="F92" s="103" t="s">
        <v>274</v>
      </c>
      <c r="G92" s="103" t="s">
        <v>275</v>
      </c>
      <c r="H92" s="103" t="s">
        <v>1147</v>
      </c>
      <c r="I92" s="103" t="s">
        <v>1147</v>
      </c>
      <c r="J92" s="103" t="s">
        <v>896</v>
      </c>
      <c r="K92" s="103" t="s">
        <v>1127</v>
      </c>
      <c r="L92" s="103" t="s">
        <v>1649</v>
      </c>
      <c r="M92" s="103" t="s">
        <v>1093</v>
      </c>
      <c r="N92" s="119">
        <v>45709</v>
      </c>
      <c r="O92" s="105">
        <f>O89+O88+O87+O86+O85</f>
        <v>5</v>
      </c>
      <c r="P92" s="73">
        <f t="shared" ref="P92:CA92" si="1010">P89+P88+P87+P86+P85</f>
        <v>0</v>
      </c>
      <c r="Q92" s="73">
        <f t="shared" si="1010"/>
        <v>4</v>
      </c>
      <c r="R92" s="73">
        <f t="shared" si="1010"/>
        <v>5</v>
      </c>
      <c r="S92" s="73">
        <f t="shared" si="1010"/>
        <v>0</v>
      </c>
      <c r="T92" s="73">
        <f t="shared" si="1010"/>
        <v>5</v>
      </c>
      <c r="U92" s="73">
        <f t="shared" si="1010"/>
        <v>5</v>
      </c>
      <c r="V92" s="74">
        <f t="shared" si="1010"/>
        <v>5</v>
      </c>
      <c r="W92" s="75">
        <f t="shared" si="1010"/>
        <v>4</v>
      </c>
      <c r="X92" s="75">
        <f t="shared" si="1010"/>
        <v>4</v>
      </c>
      <c r="Y92" s="75">
        <f t="shared" si="1010"/>
        <v>0</v>
      </c>
      <c r="Z92" s="75">
        <f t="shared" si="1010"/>
        <v>4</v>
      </c>
      <c r="AA92" s="75">
        <f t="shared" si="1010"/>
        <v>4</v>
      </c>
      <c r="AB92" s="75">
        <f t="shared" si="1010"/>
        <v>4</v>
      </c>
      <c r="AC92" s="75">
        <f t="shared" si="1010"/>
        <v>4</v>
      </c>
      <c r="AD92" s="75">
        <f t="shared" si="1010"/>
        <v>4</v>
      </c>
      <c r="AE92" s="75">
        <f t="shared" si="1010"/>
        <v>4</v>
      </c>
      <c r="AF92" s="75">
        <f t="shared" si="1010"/>
        <v>0</v>
      </c>
      <c r="AG92" s="75">
        <f t="shared" si="1010"/>
        <v>4</v>
      </c>
      <c r="AH92" s="75">
        <f t="shared" si="1010"/>
        <v>4</v>
      </c>
      <c r="AI92" s="75">
        <f t="shared" si="1010"/>
        <v>4</v>
      </c>
      <c r="AJ92" s="75">
        <f t="shared" si="1010"/>
        <v>0</v>
      </c>
      <c r="AK92" s="75">
        <f t="shared" si="1010"/>
        <v>0</v>
      </c>
      <c r="AL92" s="75">
        <f t="shared" si="1010"/>
        <v>0</v>
      </c>
      <c r="AM92" s="75">
        <f t="shared" si="1010"/>
        <v>0</v>
      </c>
      <c r="AN92" s="75">
        <f t="shared" si="1010"/>
        <v>0</v>
      </c>
      <c r="AO92" s="75">
        <f t="shared" si="1010"/>
        <v>0</v>
      </c>
      <c r="AP92" s="75">
        <f t="shared" si="1010"/>
        <v>0</v>
      </c>
      <c r="AQ92" s="75">
        <f t="shared" si="1010"/>
        <v>0</v>
      </c>
      <c r="AR92" s="75">
        <f t="shared" si="1010"/>
        <v>0</v>
      </c>
      <c r="AS92" s="75">
        <f t="shared" si="1010"/>
        <v>0</v>
      </c>
      <c r="AT92" s="75">
        <f t="shared" si="1010"/>
        <v>0</v>
      </c>
      <c r="AU92" s="75">
        <f t="shared" si="1010"/>
        <v>0</v>
      </c>
      <c r="AV92" s="75">
        <f t="shared" si="1010"/>
        <v>0</v>
      </c>
      <c r="AW92" s="75">
        <f t="shared" si="1010"/>
        <v>0</v>
      </c>
      <c r="AX92" s="75">
        <f t="shared" si="1010"/>
        <v>0</v>
      </c>
      <c r="AY92" s="75">
        <f t="shared" si="1010"/>
        <v>0</v>
      </c>
      <c r="AZ92" s="76">
        <f t="shared" si="1010"/>
        <v>0</v>
      </c>
      <c r="BA92" s="74">
        <f t="shared" si="733"/>
        <v>49</v>
      </c>
      <c r="BB92" s="73">
        <f t="shared" ca="1" si="869"/>
        <v>0.75384615384615383</v>
      </c>
      <c r="BC92" s="74">
        <f t="shared" si="1010"/>
        <v>113</v>
      </c>
      <c r="BD92" s="75">
        <f t="shared" si="1010"/>
        <v>86</v>
      </c>
      <c r="BE92" s="75">
        <f t="shared" si="1010"/>
        <v>107</v>
      </c>
      <c r="BF92" s="75">
        <f t="shared" si="1010"/>
        <v>0</v>
      </c>
      <c r="BG92" s="75">
        <f t="shared" si="1010"/>
        <v>116</v>
      </c>
      <c r="BH92" s="75">
        <f t="shared" si="1010"/>
        <v>91</v>
      </c>
      <c r="BI92" s="75">
        <f t="shared" si="1010"/>
        <v>75</v>
      </c>
      <c r="BJ92" s="75">
        <f t="shared" si="1010"/>
        <v>90</v>
      </c>
      <c r="BK92" s="75">
        <f t="shared" si="1010"/>
        <v>88</v>
      </c>
      <c r="BL92" s="75">
        <f t="shared" si="1010"/>
        <v>135</v>
      </c>
      <c r="BM92" s="75">
        <f t="shared" si="1010"/>
        <v>0</v>
      </c>
      <c r="BN92" s="75">
        <f t="shared" si="1010"/>
        <v>147</v>
      </c>
      <c r="BO92" s="75">
        <f t="shared" si="1010"/>
        <v>80</v>
      </c>
      <c r="BP92" s="75">
        <f t="shared" si="1010"/>
        <v>0</v>
      </c>
      <c r="BQ92" s="75">
        <f t="shared" si="1010"/>
        <v>0</v>
      </c>
      <c r="BR92" s="75">
        <f t="shared" si="1010"/>
        <v>0</v>
      </c>
      <c r="BS92" s="75">
        <f t="shared" si="1010"/>
        <v>0</v>
      </c>
      <c r="BT92" s="75">
        <f t="shared" si="1010"/>
        <v>0</v>
      </c>
      <c r="BU92" s="75">
        <f t="shared" si="1010"/>
        <v>0</v>
      </c>
      <c r="BV92" s="75">
        <f t="shared" si="1010"/>
        <v>0</v>
      </c>
      <c r="BW92" s="75">
        <f t="shared" si="1010"/>
        <v>0</v>
      </c>
      <c r="BX92" s="75">
        <f t="shared" si="1010"/>
        <v>0</v>
      </c>
      <c r="BY92" s="75">
        <f t="shared" si="1010"/>
        <v>0</v>
      </c>
      <c r="BZ92" s="75">
        <f t="shared" si="1010"/>
        <v>0</v>
      </c>
      <c r="CA92" s="75">
        <f t="shared" si="1010"/>
        <v>0</v>
      </c>
      <c r="CB92" s="75">
        <f t="shared" ref="CB92:CG92" si="1011">CB89+CB88+CB87+CB86+CB85</f>
        <v>0</v>
      </c>
      <c r="CC92" s="75">
        <f t="shared" si="1011"/>
        <v>0</v>
      </c>
      <c r="CD92" s="75">
        <f t="shared" si="1011"/>
        <v>0</v>
      </c>
      <c r="CE92" s="75">
        <f t="shared" si="1011"/>
        <v>0</v>
      </c>
      <c r="CF92" s="75">
        <f t="shared" si="1011"/>
        <v>0</v>
      </c>
      <c r="CG92" s="75">
        <f t="shared" si="1011"/>
        <v>0</v>
      </c>
      <c r="CH92" s="74">
        <f t="shared" si="870"/>
        <v>1128</v>
      </c>
      <c r="CI92" s="73">
        <f t="shared" ca="1" si="871"/>
        <v>17.353846153846156</v>
      </c>
      <c r="GM92" s="2" t="s">
        <v>17</v>
      </c>
      <c r="GN92" s="103" t="str">
        <f t="shared" si="732"/>
        <v>SUK01-FMCG-ASM-01</v>
      </c>
      <c r="GO92" s="4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6"/>
      <c r="HT92" s="4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0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6"/>
    </row>
    <row r="93" spans="1:258" hidden="1">
      <c r="A93" s="97" t="s">
        <v>25</v>
      </c>
      <c r="B93" s="98" t="s">
        <v>26</v>
      </c>
      <c r="C93" s="101" t="s">
        <v>227</v>
      </c>
      <c r="D93" s="99" t="s">
        <v>1148</v>
      </c>
      <c r="E93" s="98" t="s">
        <v>276</v>
      </c>
      <c r="F93" s="98" t="s">
        <v>277</v>
      </c>
      <c r="G93" s="98" t="s">
        <v>278</v>
      </c>
      <c r="H93" s="98" t="s">
        <v>1685</v>
      </c>
      <c r="I93" s="98" t="s">
        <v>1687</v>
      </c>
      <c r="J93" s="98" t="s">
        <v>890</v>
      </c>
      <c r="K93" s="98" t="s">
        <v>1127</v>
      </c>
      <c r="L93" s="98" t="s">
        <v>1683</v>
      </c>
      <c r="M93" s="101" t="s">
        <v>1093</v>
      </c>
      <c r="N93" s="139">
        <v>46252</v>
      </c>
      <c r="O93" s="100">
        <v>1</v>
      </c>
      <c r="P93" s="69">
        <v>0</v>
      </c>
      <c r="Q93" s="69">
        <f t="shared" ref="Q93:Q99" si="1012">IFERROR(IF(OR(AI93&gt;0),1,0),0)</f>
        <v>1</v>
      </c>
      <c r="R93" s="69">
        <f t="shared" ref="R93:R99" si="1013">IFERROR(IF(OR(BA93&gt;0),1,0),0)</f>
        <v>1</v>
      </c>
      <c r="S93" s="69">
        <f t="shared" ref="S93:S99" si="1014">IFERROR(IF(OR(BP93&gt;0),1,0),0)</f>
        <v>0</v>
      </c>
      <c r="T93" s="69">
        <f t="shared" ref="T93:T99" si="1015">IFERROR(IF(OR(CH93&gt;0),1,0),0)</f>
        <v>1</v>
      </c>
      <c r="U93" s="69">
        <f t="shared" ref="U93:U99" si="1016">IFERROR(IF(OR(BA93&gt;0,CH93&gt;0),1,0),0)</f>
        <v>1</v>
      </c>
      <c r="V93" s="70">
        <f t="shared" ref="V93:V99" si="1017">GO93</f>
        <v>1</v>
      </c>
      <c r="W93" s="71">
        <f t="shared" ref="W93:W99" si="1018">GP93</f>
        <v>0</v>
      </c>
      <c r="X93" s="71">
        <f t="shared" ref="X93:X99" si="1019">GQ93</f>
        <v>1</v>
      </c>
      <c r="Y93" s="71">
        <f t="shared" ref="Y93:Y99" si="1020">GR93</f>
        <v>1</v>
      </c>
      <c r="Z93" s="71">
        <f t="shared" ref="Z93:Z99" si="1021">GS93</f>
        <v>1</v>
      </c>
      <c r="AA93" s="71">
        <f t="shared" ref="AA93:AA99" si="1022">GT93</f>
        <v>0</v>
      </c>
      <c r="AB93" s="71">
        <f t="shared" ref="AB93:AB99" si="1023">GU93</f>
        <v>1</v>
      </c>
      <c r="AC93" s="71">
        <f t="shared" ref="AC93:AC99" si="1024">GV93</f>
        <v>1</v>
      </c>
      <c r="AD93" s="71">
        <f t="shared" ref="AD93:AD99" si="1025">GW93</f>
        <v>0</v>
      </c>
      <c r="AE93" s="71">
        <f t="shared" ref="AE93:AE99" si="1026">GX93</f>
        <v>1</v>
      </c>
      <c r="AF93" s="71">
        <f t="shared" ref="AF93:AF99" si="1027">GY93</f>
        <v>1</v>
      </c>
      <c r="AG93" s="71">
        <f t="shared" ref="AG93:AG99" si="1028">GZ93</f>
        <v>1</v>
      </c>
      <c r="AH93" s="71">
        <f t="shared" ref="AH93:AH99" si="1029">HA93</f>
        <v>0</v>
      </c>
      <c r="AI93" s="71">
        <f t="shared" ref="AI93:AI99" si="1030">HB93</f>
        <v>1</v>
      </c>
      <c r="AJ93" s="71">
        <f t="shared" ref="AJ93:AJ99" si="1031">HC93</f>
        <v>0</v>
      </c>
      <c r="AK93" s="71">
        <f t="shared" ref="AK93:AK99" si="1032">HD93</f>
        <v>0</v>
      </c>
      <c r="AL93" s="71">
        <f t="shared" ref="AL93:AL99" si="1033">HE93</f>
        <v>0</v>
      </c>
      <c r="AM93" s="71">
        <f t="shared" ref="AM93:AM99" si="1034">HF93</f>
        <v>0</v>
      </c>
      <c r="AN93" s="71">
        <f t="shared" ref="AN93:AN99" si="1035">HG93</f>
        <v>0</v>
      </c>
      <c r="AO93" s="71">
        <f t="shared" ref="AO93:AO99" si="1036">HH93</f>
        <v>0</v>
      </c>
      <c r="AP93" s="71">
        <f t="shared" ref="AP93:AP99" si="1037">HI93</f>
        <v>0</v>
      </c>
      <c r="AQ93" s="71">
        <f t="shared" ref="AQ93:AQ99" si="1038">HJ93</f>
        <v>0</v>
      </c>
      <c r="AR93" s="71">
        <f t="shared" ref="AR93:AR99" si="1039">HK93</f>
        <v>0</v>
      </c>
      <c r="AS93" s="71">
        <f t="shared" ref="AS93:AS99" si="1040">HL93</f>
        <v>0</v>
      </c>
      <c r="AT93" s="71">
        <f t="shared" ref="AT93:AT99" si="1041">HM93</f>
        <v>0</v>
      </c>
      <c r="AU93" s="71">
        <f t="shared" ref="AU93:AU99" si="1042">HN93</f>
        <v>0</v>
      </c>
      <c r="AV93" s="71">
        <f t="shared" ref="AV93:AV99" si="1043">HO93</f>
        <v>0</v>
      </c>
      <c r="AW93" s="71">
        <f t="shared" ref="AW93:AW99" si="1044">HP93</f>
        <v>0</v>
      </c>
      <c r="AX93" s="71">
        <f t="shared" ref="AX93:AX99" si="1045">HQ93</f>
        <v>0</v>
      </c>
      <c r="AY93" s="71">
        <f t="shared" ref="AY93:AY99" si="1046">HR93</f>
        <v>0</v>
      </c>
      <c r="AZ93" s="72">
        <f t="shared" ref="AZ93:AZ99" si="1047">HS93</f>
        <v>0</v>
      </c>
      <c r="BA93" s="70">
        <f t="shared" si="733"/>
        <v>10</v>
      </c>
      <c r="BB93" s="69">
        <f t="shared" ca="1" si="869"/>
        <v>0.76923076923076927</v>
      </c>
      <c r="BC93" s="70">
        <f t="shared" ref="BC93:BC99" si="1048">HT93</f>
        <v>16</v>
      </c>
      <c r="BD93" s="71">
        <f t="shared" ref="BD93:BD99" si="1049">HU93</f>
        <v>0</v>
      </c>
      <c r="BE93" s="71">
        <f t="shared" ref="BE93:BE99" si="1050">HV93</f>
        <v>3</v>
      </c>
      <c r="BF93" s="71">
        <f t="shared" ref="BF93:BF99" si="1051">HW93</f>
        <v>10</v>
      </c>
      <c r="BG93" s="71">
        <f t="shared" ref="BG93:BG99" si="1052">HX93</f>
        <v>0</v>
      </c>
      <c r="BH93" s="71">
        <f t="shared" ref="BH93:BH99" si="1053">HY93</f>
        <v>0</v>
      </c>
      <c r="BI93" s="71">
        <f t="shared" ref="BI93:BI99" si="1054">HZ93</f>
        <v>26</v>
      </c>
      <c r="BJ93" s="71">
        <f t="shared" ref="BJ93:BJ99" si="1055">IA93</f>
        <v>34</v>
      </c>
      <c r="BK93" s="71">
        <f t="shared" ref="BK93:BK99" si="1056">IB93</f>
        <v>0</v>
      </c>
      <c r="BL93" s="71">
        <f t="shared" ref="BL93:BL99" si="1057">IC93</f>
        <v>23</v>
      </c>
      <c r="BM93" s="71">
        <f t="shared" ref="BM93:BM99" si="1058">ID93</f>
        <v>23</v>
      </c>
      <c r="BN93" s="71">
        <f t="shared" ref="BN93:BN99" si="1059">IE93</f>
        <v>11</v>
      </c>
      <c r="BO93" s="71">
        <f t="shared" ref="BO93:BO99" si="1060">IF93</f>
        <v>0</v>
      </c>
      <c r="BP93" s="71">
        <f t="shared" ref="BP93:BP99" si="1061">IG93</f>
        <v>0</v>
      </c>
      <c r="BQ93" s="71">
        <f t="shared" ref="BQ93:BQ99" si="1062">IH93</f>
        <v>0</v>
      </c>
      <c r="BR93" s="71">
        <f t="shared" ref="BR93:BR99" si="1063">II93</f>
        <v>0</v>
      </c>
      <c r="BS93" s="71">
        <f t="shared" ref="BS93:BS99" si="1064">IJ93</f>
        <v>0</v>
      </c>
      <c r="BT93" s="71">
        <f t="shared" ref="BT93:BT99" si="1065">IK93</f>
        <v>0</v>
      </c>
      <c r="BU93" s="71">
        <f t="shared" ref="BU93:BU99" si="1066">IL93</f>
        <v>0</v>
      </c>
      <c r="BV93" s="71">
        <f t="shared" ref="BV93:BV99" si="1067">IM93</f>
        <v>0</v>
      </c>
      <c r="BW93" s="71">
        <f t="shared" ref="BW93:BW99" si="1068">IN93</f>
        <v>0</v>
      </c>
      <c r="BX93" s="71">
        <f t="shared" ref="BX93:BX99" si="1069">IO93</f>
        <v>0</v>
      </c>
      <c r="BY93" s="71">
        <f t="shared" ref="BY93:BY99" si="1070">IP93</f>
        <v>0</v>
      </c>
      <c r="BZ93" s="71">
        <f t="shared" ref="BZ93:BZ99" si="1071">IQ93</f>
        <v>0</v>
      </c>
      <c r="CA93" s="71">
        <f t="shared" ref="CA93:CA99" si="1072">IR93</f>
        <v>0</v>
      </c>
      <c r="CB93" s="71">
        <f t="shared" ref="CB93:CB99" si="1073">IS93</f>
        <v>0</v>
      </c>
      <c r="CC93" s="71">
        <f t="shared" ref="CC93:CC99" si="1074">IT93</f>
        <v>0</v>
      </c>
      <c r="CD93" s="71">
        <f t="shared" ref="CD93:CD99" si="1075">IU93</f>
        <v>0</v>
      </c>
      <c r="CE93" s="71">
        <f t="shared" ref="CE93:CE99" si="1076">IV93</f>
        <v>0</v>
      </c>
      <c r="CF93" s="71">
        <f t="shared" ref="CF93:CF99" si="1077">IW93</f>
        <v>0</v>
      </c>
      <c r="CG93" s="71">
        <f t="shared" ref="CG93:CG99" si="1078">IX93</f>
        <v>0</v>
      </c>
      <c r="CH93" s="70">
        <f t="shared" si="870"/>
        <v>146</v>
      </c>
      <c r="CI93" s="69">
        <f t="shared" ca="1" si="871"/>
        <v>11.23076923076923</v>
      </c>
      <c r="GM93" s="2" t="s">
        <v>16</v>
      </c>
      <c r="GN93" s="98" t="str">
        <f t="shared" si="732"/>
        <v>LRK01-FMCG01-SPO-01</v>
      </c>
      <c r="GO93" s="4">
        <v>1</v>
      </c>
      <c r="GP93" s="3">
        <v>0</v>
      </c>
      <c r="GQ93" s="3">
        <v>1</v>
      </c>
      <c r="GR93" s="3">
        <v>1</v>
      </c>
      <c r="GS93" s="3">
        <v>1</v>
      </c>
      <c r="GT93" s="3">
        <v>0</v>
      </c>
      <c r="GU93" s="3">
        <v>1</v>
      </c>
      <c r="GV93" s="3">
        <v>1</v>
      </c>
      <c r="GW93" s="3">
        <v>0</v>
      </c>
      <c r="GX93" s="3">
        <v>1</v>
      </c>
      <c r="GY93" s="3">
        <v>1</v>
      </c>
      <c r="GZ93" s="3">
        <v>1</v>
      </c>
      <c r="HA93" s="3">
        <v>0</v>
      </c>
      <c r="HB93" s="3">
        <v>1</v>
      </c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6"/>
      <c r="HT93" s="4">
        <v>16</v>
      </c>
      <c r="HU93" s="3">
        <v>0</v>
      </c>
      <c r="HV93" s="3">
        <v>3</v>
      </c>
      <c r="HW93" s="3">
        <v>10</v>
      </c>
      <c r="HX93" s="3">
        <v>0</v>
      </c>
      <c r="HY93" s="3">
        <v>0</v>
      </c>
      <c r="HZ93" s="3">
        <v>26</v>
      </c>
      <c r="IA93" s="3">
        <v>34</v>
      </c>
      <c r="IB93" s="3">
        <v>0</v>
      </c>
      <c r="IC93" s="3">
        <v>23</v>
      </c>
      <c r="ID93" s="3">
        <v>23</v>
      </c>
      <c r="IE93" s="3">
        <v>11</v>
      </c>
      <c r="IF93" s="3">
        <v>0</v>
      </c>
      <c r="IG93" s="3">
        <v>0</v>
      </c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6"/>
    </row>
    <row r="94" spans="1:258" hidden="1">
      <c r="A94" s="106" t="s">
        <v>25</v>
      </c>
      <c r="B94" s="101" t="s">
        <v>26</v>
      </c>
      <c r="C94" s="101" t="s">
        <v>227</v>
      </c>
      <c r="D94" s="107" t="s">
        <v>1148</v>
      </c>
      <c r="E94" s="101" t="s">
        <v>279</v>
      </c>
      <c r="F94" s="101" t="s">
        <v>280</v>
      </c>
      <c r="G94" s="98" t="s">
        <v>281</v>
      </c>
      <c r="H94" s="98" t="s">
        <v>1464</v>
      </c>
      <c r="I94" s="98" t="s">
        <v>1464</v>
      </c>
      <c r="J94" s="101" t="s">
        <v>1149</v>
      </c>
      <c r="K94" s="101" t="s">
        <v>1127</v>
      </c>
      <c r="L94" s="101" t="s">
        <v>282</v>
      </c>
      <c r="M94" s="101" t="s">
        <v>1093</v>
      </c>
      <c r="N94" s="139">
        <v>43589</v>
      </c>
      <c r="O94" s="100">
        <v>1</v>
      </c>
      <c r="P94" s="69">
        <v>0</v>
      </c>
      <c r="Q94" s="69">
        <f t="shared" si="1012"/>
        <v>1</v>
      </c>
      <c r="R94" s="69">
        <f t="shared" si="1013"/>
        <v>1</v>
      </c>
      <c r="S94" s="69">
        <f t="shared" si="1014"/>
        <v>0</v>
      </c>
      <c r="T94" s="69">
        <f t="shared" si="1015"/>
        <v>1</v>
      </c>
      <c r="U94" s="69">
        <f t="shared" si="1016"/>
        <v>1</v>
      </c>
      <c r="V94" s="70">
        <f t="shared" si="1017"/>
        <v>1</v>
      </c>
      <c r="W94" s="71">
        <f t="shared" si="1018"/>
        <v>0</v>
      </c>
      <c r="X94" s="71">
        <f t="shared" si="1019"/>
        <v>1</v>
      </c>
      <c r="Y94" s="71">
        <f t="shared" si="1020"/>
        <v>1</v>
      </c>
      <c r="Z94" s="71">
        <f t="shared" si="1021"/>
        <v>1</v>
      </c>
      <c r="AA94" s="71">
        <f t="shared" si="1022"/>
        <v>1</v>
      </c>
      <c r="AB94" s="71">
        <f t="shared" si="1023"/>
        <v>1</v>
      </c>
      <c r="AC94" s="71">
        <f t="shared" si="1024"/>
        <v>1</v>
      </c>
      <c r="AD94" s="71">
        <f t="shared" si="1025"/>
        <v>0</v>
      </c>
      <c r="AE94" s="71">
        <f t="shared" si="1026"/>
        <v>1</v>
      </c>
      <c r="AF94" s="71">
        <f t="shared" si="1027"/>
        <v>1</v>
      </c>
      <c r="AG94" s="71">
        <f t="shared" si="1028"/>
        <v>1</v>
      </c>
      <c r="AH94" s="71">
        <f t="shared" si="1029"/>
        <v>1</v>
      </c>
      <c r="AI94" s="71">
        <f t="shared" si="1030"/>
        <v>1</v>
      </c>
      <c r="AJ94" s="71">
        <f t="shared" si="1031"/>
        <v>0</v>
      </c>
      <c r="AK94" s="71">
        <f t="shared" si="1032"/>
        <v>0</v>
      </c>
      <c r="AL94" s="71">
        <f t="shared" si="1033"/>
        <v>0</v>
      </c>
      <c r="AM94" s="71">
        <f t="shared" si="1034"/>
        <v>0</v>
      </c>
      <c r="AN94" s="71">
        <f t="shared" si="1035"/>
        <v>0</v>
      </c>
      <c r="AO94" s="71">
        <f t="shared" si="1036"/>
        <v>0</v>
      </c>
      <c r="AP94" s="71">
        <f t="shared" si="1037"/>
        <v>0</v>
      </c>
      <c r="AQ94" s="71">
        <f t="shared" si="1038"/>
        <v>0</v>
      </c>
      <c r="AR94" s="71">
        <f t="shared" si="1039"/>
        <v>0</v>
      </c>
      <c r="AS94" s="71">
        <f t="shared" si="1040"/>
        <v>0</v>
      </c>
      <c r="AT94" s="71">
        <f t="shared" si="1041"/>
        <v>0</v>
      </c>
      <c r="AU94" s="71">
        <f t="shared" si="1042"/>
        <v>0</v>
      </c>
      <c r="AV94" s="71">
        <f t="shared" si="1043"/>
        <v>0</v>
      </c>
      <c r="AW94" s="71">
        <f t="shared" si="1044"/>
        <v>0</v>
      </c>
      <c r="AX94" s="71">
        <f t="shared" si="1045"/>
        <v>0</v>
      </c>
      <c r="AY94" s="71">
        <f t="shared" si="1046"/>
        <v>0</v>
      </c>
      <c r="AZ94" s="72">
        <f t="shared" si="1047"/>
        <v>0</v>
      </c>
      <c r="BA94" s="70">
        <f t="shared" si="733"/>
        <v>12</v>
      </c>
      <c r="BB94" s="69">
        <f t="shared" ca="1" si="869"/>
        <v>0.92307692307692313</v>
      </c>
      <c r="BC94" s="70">
        <f t="shared" si="1048"/>
        <v>0</v>
      </c>
      <c r="BD94" s="71">
        <f t="shared" si="1049"/>
        <v>0</v>
      </c>
      <c r="BE94" s="71">
        <f t="shared" si="1050"/>
        <v>29</v>
      </c>
      <c r="BF94" s="71">
        <f t="shared" si="1051"/>
        <v>19</v>
      </c>
      <c r="BG94" s="71">
        <f t="shared" si="1052"/>
        <v>35</v>
      </c>
      <c r="BH94" s="71">
        <f t="shared" si="1053"/>
        <v>27</v>
      </c>
      <c r="BI94" s="71">
        <f t="shared" si="1054"/>
        <v>21</v>
      </c>
      <c r="BJ94" s="71">
        <f t="shared" si="1055"/>
        <v>0</v>
      </c>
      <c r="BK94" s="71">
        <f t="shared" si="1056"/>
        <v>0</v>
      </c>
      <c r="BL94" s="71">
        <f t="shared" si="1057"/>
        <v>22</v>
      </c>
      <c r="BM94" s="71">
        <f t="shared" si="1058"/>
        <v>12</v>
      </c>
      <c r="BN94" s="71">
        <f t="shared" si="1059"/>
        <v>31</v>
      </c>
      <c r="BO94" s="71">
        <f t="shared" si="1060"/>
        <v>27</v>
      </c>
      <c r="BP94" s="71">
        <f t="shared" si="1061"/>
        <v>0</v>
      </c>
      <c r="BQ94" s="71">
        <f t="shared" si="1062"/>
        <v>0</v>
      </c>
      <c r="BR94" s="71">
        <f t="shared" si="1063"/>
        <v>0</v>
      </c>
      <c r="BS94" s="71">
        <f t="shared" si="1064"/>
        <v>0</v>
      </c>
      <c r="BT94" s="71">
        <f t="shared" si="1065"/>
        <v>0</v>
      </c>
      <c r="BU94" s="71">
        <f t="shared" si="1066"/>
        <v>0</v>
      </c>
      <c r="BV94" s="71">
        <f t="shared" si="1067"/>
        <v>0</v>
      </c>
      <c r="BW94" s="71">
        <f t="shared" si="1068"/>
        <v>0</v>
      </c>
      <c r="BX94" s="71">
        <f t="shared" si="1069"/>
        <v>0</v>
      </c>
      <c r="BY94" s="71">
        <f t="shared" si="1070"/>
        <v>0</v>
      </c>
      <c r="BZ94" s="71">
        <f t="shared" si="1071"/>
        <v>0</v>
      </c>
      <c r="CA94" s="71">
        <f t="shared" si="1072"/>
        <v>0</v>
      </c>
      <c r="CB94" s="71">
        <f t="shared" si="1073"/>
        <v>0</v>
      </c>
      <c r="CC94" s="71">
        <f t="shared" si="1074"/>
        <v>0</v>
      </c>
      <c r="CD94" s="71">
        <f t="shared" si="1075"/>
        <v>0</v>
      </c>
      <c r="CE94" s="71">
        <f t="shared" si="1076"/>
        <v>0</v>
      </c>
      <c r="CF94" s="71">
        <f t="shared" si="1077"/>
        <v>0</v>
      </c>
      <c r="CG94" s="71">
        <f t="shared" si="1078"/>
        <v>0</v>
      </c>
      <c r="CH94" s="70">
        <f t="shared" si="870"/>
        <v>223</v>
      </c>
      <c r="CI94" s="69">
        <f t="shared" ca="1" si="871"/>
        <v>17.153846153846153</v>
      </c>
      <c r="GM94" s="2" t="s">
        <v>16</v>
      </c>
      <c r="GN94" s="101" t="str">
        <f t="shared" si="732"/>
        <v>LRK01-FMCG01-SPO-02</v>
      </c>
      <c r="GO94" s="4">
        <v>1</v>
      </c>
      <c r="GP94" s="3">
        <v>0</v>
      </c>
      <c r="GQ94" s="3">
        <v>1</v>
      </c>
      <c r="GR94" s="3">
        <v>1</v>
      </c>
      <c r="GS94" s="3">
        <v>1</v>
      </c>
      <c r="GT94" s="3">
        <v>1</v>
      </c>
      <c r="GU94" s="3">
        <v>1</v>
      </c>
      <c r="GV94" s="3">
        <v>1</v>
      </c>
      <c r="GW94" s="3">
        <v>0</v>
      </c>
      <c r="GX94" s="3">
        <v>1</v>
      </c>
      <c r="GY94" s="3">
        <v>1</v>
      </c>
      <c r="GZ94" s="3">
        <v>1</v>
      </c>
      <c r="HA94" s="3">
        <v>1</v>
      </c>
      <c r="HB94" s="3">
        <v>1</v>
      </c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6"/>
      <c r="HT94" s="4">
        <v>0</v>
      </c>
      <c r="HU94" s="3">
        <v>0</v>
      </c>
      <c r="HV94" s="3">
        <v>29</v>
      </c>
      <c r="HW94" s="3">
        <v>19</v>
      </c>
      <c r="HX94" s="3">
        <v>35</v>
      </c>
      <c r="HY94" s="3">
        <v>27</v>
      </c>
      <c r="HZ94" s="3">
        <v>21</v>
      </c>
      <c r="IA94" s="3">
        <v>0</v>
      </c>
      <c r="IB94" s="3">
        <v>0</v>
      </c>
      <c r="IC94" s="3">
        <v>22</v>
      </c>
      <c r="ID94" s="3">
        <v>12</v>
      </c>
      <c r="IE94" s="3">
        <v>31</v>
      </c>
      <c r="IF94" s="3">
        <v>27</v>
      </c>
      <c r="IG94" s="3">
        <v>0</v>
      </c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6"/>
    </row>
    <row r="95" spans="1:258" hidden="1">
      <c r="A95" s="97" t="s">
        <v>25</v>
      </c>
      <c r="B95" s="98" t="s">
        <v>90</v>
      </c>
      <c r="C95" s="101" t="s">
        <v>227</v>
      </c>
      <c r="D95" s="99" t="s">
        <v>1148</v>
      </c>
      <c r="E95" s="98" t="s">
        <v>283</v>
      </c>
      <c r="F95" s="98" t="s">
        <v>284</v>
      </c>
      <c r="G95" s="98" t="s">
        <v>285</v>
      </c>
      <c r="H95" s="98" t="s">
        <v>1695</v>
      </c>
      <c r="I95" s="98" t="s">
        <v>1465</v>
      </c>
      <c r="J95" s="98" t="s">
        <v>890</v>
      </c>
      <c r="K95" s="98" t="s">
        <v>1127</v>
      </c>
      <c r="L95" s="98" t="s">
        <v>1682</v>
      </c>
      <c r="M95" s="101" t="s">
        <v>1093</v>
      </c>
      <c r="N95" s="108">
        <v>46252</v>
      </c>
      <c r="O95" s="100">
        <v>1</v>
      </c>
      <c r="P95" s="69">
        <v>0</v>
      </c>
      <c r="Q95" s="69">
        <f t="shared" si="1012"/>
        <v>1</v>
      </c>
      <c r="R95" s="69">
        <f t="shared" si="1013"/>
        <v>1</v>
      </c>
      <c r="S95" s="69">
        <f t="shared" si="1014"/>
        <v>0</v>
      </c>
      <c r="T95" s="69">
        <f t="shared" si="1015"/>
        <v>1</v>
      </c>
      <c r="U95" s="69">
        <f t="shared" si="1016"/>
        <v>1</v>
      </c>
      <c r="V95" s="70">
        <f t="shared" si="1017"/>
        <v>1</v>
      </c>
      <c r="W95" s="71">
        <f t="shared" si="1018"/>
        <v>0</v>
      </c>
      <c r="X95" s="71">
        <f t="shared" si="1019"/>
        <v>0</v>
      </c>
      <c r="Y95" s="71">
        <f t="shared" si="1020"/>
        <v>1</v>
      </c>
      <c r="Z95" s="71">
        <f t="shared" si="1021"/>
        <v>1</v>
      </c>
      <c r="AA95" s="71">
        <f t="shared" si="1022"/>
        <v>1</v>
      </c>
      <c r="AB95" s="71">
        <f t="shared" si="1023"/>
        <v>1</v>
      </c>
      <c r="AC95" s="71">
        <f t="shared" si="1024"/>
        <v>1</v>
      </c>
      <c r="AD95" s="71">
        <f t="shared" si="1025"/>
        <v>0</v>
      </c>
      <c r="AE95" s="71">
        <f t="shared" si="1026"/>
        <v>0</v>
      </c>
      <c r="AF95" s="71">
        <f t="shared" si="1027"/>
        <v>0</v>
      </c>
      <c r="AG95" s="71">
        <f t="shared" si="1028"/>
        <v>0</v>
      </c>
      <c r="AH95" s="71">
        <f t="shared" si="1029"/>
        <v>0</v>
      </c>
      <c r="AI95" s="71">
        <f t="shared" si="1030"/>
        <v>1</v>
      </c>
      <c r="AJ95" s="71">
        <f t="shared" si="1031"/>
        <v>0</v>
      </c>
      <c r="AK95" s="71">
        <f t="shared" si="1032"/>
        <v>0</v>
      </c>
      <c r="AL95" s="71">
        <f t="shared" si="1033"/>
        <v>0</v>
      </c>
      <c r="AM95" s="71">
        <f t="shared" si="1034"/>
        <v>0</v>
      </c>
      <c r="AN95" s="71">
        <f t="shared" si="1035"/>
        <v>0</v>
      </c>
      <c r="AO95" s="71">
        <f t="shared" si="1036"/>
        <v>0</v>
      </c>
      <c r="AP95" s="71">
        <f t="shared" si="1037"/>
        <v>0</v>
      </c>
      <c r="AQ95" s="71">
        <f t="shared" si="1038"/>
        <v>0</v>
      </c>
      <c r="AR95" s="71">
        <f t="shared" si="1039"/>
        <v>0</v>
      </c>
      <c r="AS95" s="71">
        <f t="shared" si="1040"/>
        <v>0</v>
      </c>
      <c r="AT95" s="71">
        <f t="shared" si="1041"/>
        <v>0</v>
      </c>
      <c r="AU95" s="71">
        <f t="shared" si="1042"/>
        <v>0</v>
      </c>
      <c r="AV95" s="71">
        <f t="shared" si="1043"/>
        <v>0</v>
      </c>
      <c r="AW95" s="71">
        <f t="shared" si="1044"/>
        <v>0</v>
      </c>
      <c r="AX95" s="71">
        <f t="shared" si="1045"/>
        <v>0</v>
      </c>
      <c r="AY95" s="71">
        <f t="shared" si="1046"/>
        <v>0</v>
      </c>
      <c r="AZ95" s="72">
        <f t="shared" si="1047"/>
        <v>0</v>
      </c>
      <c r="BA95" s="70">
        <f t="shared" si="733"/>
        <v>7</v>
      </c>
      <c r="BB95" s="69">
        <f t="shared" ca="1" si="869"/>
        <v>0.53846153846153844</v>
      </c>
      <c r="BC95" s="70">
        <f t="shared" si="1048"/>
        <v>23</v>
      </c>
      <c r="BD95" s="71">
        <f t="shared" si="1049"/>
        <v>0</v>
      </c>
      <c r="BE95" s="71">
        <f t="shared" si="1050"/>
        <v>24</v>
      </c>
      <c r="BF95" s="71">
        <f t="shared" si="1051"/>
        <v>0</v>
      </c>
      <c r="BG95" s="71">
        <f t="shared" si="1052"/>
        <v>22</v>
      </c>
      <c r="BH95" s="71">
        <f t="shared" si="1053"/>
        <v>0</v>
      </c>
      <c r="BI95" s="71">
        <f t="shared" si="1054"/>
        <v>22</v>
      </c>
      <c r="BJ95" s="71">
        <f t="shared" si="1055"/>
        <v>9</v>
      </c>
      <c r="BK95" s="71">
        <f t="shared" si="1056"/>
        <v>0</v>
      </c>
      <c r="BL95" s="71">
        <f t="shared" si="1057"/>
        <v>0</v>
      </c>
      <c r="BM95" s="71">
        <f t="shared" si="1058"/>
        <v>0</v>
      </c>
      <c r="BN95" s="71">
        <f t="shared" si="1059"/>
        <v>0</v>
      </c>
      <c r="BO95" s="71">
        <f t="shared" si="1060"/>
        <v>0</v>
      </c>
      <c r="BP95" s="71">
        <f t="shared" si="1061"/>
        <v>0</v>
      </c>
      <c r="BQ95" s="71">
        <f t="shared" si="1062"/>
        <v>0</v>
      </c>
      <c r="BR95" s="71">
        <f t="shared" si="1063"/>
        <v>0</v>
      </c>
      <c r="BS95" s="71">
        <f t="shared" si="1064"/>
        <v>0</v>
      </c>
      <c r="BT95" s="71">
        <f t="shared" si="1065"/>
        <v>0</v>
      </c>
      <c r="BU95" s="71">
        <f t="shared" si="1066"/>
        <v>0</v>
      </c>
      <c r="BV95" s="71">
        <f t="shared" si="1067"/>
        <v>0</v>
      </c>
      <c r="BW95" s="71">
        <f t="shared" si="1068"/>
        <v>0</v>
      </c>
      <c r="BX95" s="71">
        <f t="shared" si="1069"/>
        <v>0</v>
      </c>
      <c r="BY95" s="71">
        <f t="shared" si="1070"/>
        <v>0</v>
      </c>
      <c r="BZ95" s="71">
        <f t="shared" si="1071"/>
        <v>0</v>
      </c>
      <c r="CA95" s="71">
        <f t="shared" si="1072"/>
        <v>0</v>
      </c>
      <c r="CB95" s="71">
        <f t="shared" si="1073"/>
        <v>0</v>
      </c>
      <c r="CC95" s="71">
        <f t="shared" si="1074"/>
        <v>0</v>
      </c>
      <c r="CD95" s="71">
        <f t="shared" si="1075"/>
        <v>0</v>
      </c>
      <c r="CE95" s="71">
        <f t="shared" si="1076"/>
        <v>0</v>
      </c>
      <c r="CF95" s="71">
        <f t="shared" si="1077"/>
        <v>0</v>
      </c>
      <c r="CG95" s="71">
        <f t="shared" si="1078"/>
        <v>0</v>
      </c>
      <c r="CH95" s="70">
        <f t="shared" si="870"/>
        <v>100</v>
      </c>
      <c r="CI95" s="69">
        <f t="shared" ca="1" si="871"/>
        <v>7.6923076923076925</v>
      </c>
      <c r="GM95" s="2" t="s">
        <v>16</v>
      </c>
      <c r="GN95" s="98" t="str">
        <f t="shared" si="732"/>
        <v>LRK01-FMCG02-SPO-01</v>
      </c>
      <c r="GO95" s="4">
        <v>1</v>
      </c>
      <c r="GP95" s="3">
        <v>0</v>
      </c>
      <c r="GQ95" s="3">
        <v>0</v>
      </c>
      <c r="GR95" s="3">
        <v>1</v>
      </c>
      <c r="GS95" s="3">
        <v>1</v>
      </c>
      <c r="GT95" s="3">
        <v>1</v>
      </c>
      <c r="GU95" s="3">
        <v>1</v>
      </c>
      <c r="GV95" s="3">
        <v>1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1</v>
      </c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6"/>
      <c r="HT95" s="4">
        <v>23</v>
      </c>
      <c r="HU95" s="3">
        <v>0</v>
      </c>
      <c r="HV95" s="3">
        <v>24</v>
      </c>
      <c r="HW95" s="3">
        <v>0</v>
      </c>
      <c r="HX95" s="3">
        <v>22</v>
      </c>
      <c r="HY95" s="3">
        <v>0</v>
      </c>
      <c r="HZ95" s="3">
        <v>22</v>
      </c>
      <c r="IA95" s="3">
        <v>9</v>
      </c>
      <c r="IB95" s="3">
        <v>0</v>
      </c>
      <c r="IC95" s="3">
        <v>0</v>
      </c>
      <c r="ID95" s="3">
        <v>0</v>
      </c>
      <c r="IE95" s="3">
        <v>0</v>
      </c>
      <c r="IF95" s="3">
        <v>0</v>
      </c>
      <c r="IG95" s="3">
        <v>0</v>
      </c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6"/>
    </row>
    <row r="96" spans="1:258" hidden="1">
      <c r="A96" s="97" t="s">
        <v>25</v>
      </c>
      <c r="B96" s="98" t="s">
        <v>90</v>
      </c>
      <c r="C96" s="101" t="s">
        <v>227</v>
      </c>
      <c r="D96" s="99" t="s">
        <v>1148</v>
      </c>
      <c r="E96" s="98" t="s">
        <v>287</v>
      </c>
      <c r="F96" s="98" t="s">
        <v>288</v>
      </c>
      <c r="G96" s="98" t="s">
        <v>289</v>
      </c>
      <c r="H96" s="98" t="s">
        <v>1466</v>
      </c>
      <c r="I96" s="98" t="s">
        <v>1466</v>
      </c>
      <c r="J96" s="98" t="s">
        <v>890</v>
      </c>
      <c r="K96" s="98" t="s">
        <v>1127</v>
      </c>
      <c r="L96" s="98" t="s">
        <v>290</v>
      </c>
      <c r="M96" s="101" t="s">
        <v>1093</v>
      </c>
      <c r="N96" s="139">
        <v>45481</v>
      </c>
      <c r="O96" s="100">
        <v>1</v>
      </c>
      <c r="P96" s="69">
        <v>0</v>
      </c>
      <c r="Q96" s="69">
        <f t="shared" si="1012"/>
        <v>1</v>
      </c>
      <c r="R96" s="69">
        <f t="shared" si="1013"/>
        <v>1</v>
      </c>
      <c r="S96" s="69">
        <f t="shared" si="1014"/>
        <v>0</v>
      </c>
      <c r="T96" s="69">
        <f t="shared" si="1015"/>
        <v>1</v>
      </c>
      <c r="U96" s="69">
        <f t="shared" si="1016"/>
        <v>1</v>
      </c>
      <c r="V96" s="70">
        <f t="shared" si="1017"/>
        <v>1</v>
      </c>
      <c r="W96" s="71">
        <f t="shared" si="1018"/>
        <v>0</v>
      </c>
      <c r="X96" s="71">
        <f t="shared" si="1019"/>
        <v>1</v>
      </c>
      <c r="Y96" s="71">
        <f t="shared" si="1020"/>
        <v>1</v>
      </c>
      <c r="Z96" s="71">
        <f t="shared" si="1021"/>
        <v>1</v>
      </c>
      <c r="AA96" s="71">
        <f t="shared" si="1022"/>
        <v>1</v>
      </c>
      <c r="AB96" s="71">
        <f t="shared" si="1023"/>
        <v>1</v>
      </c>
      <c r="AC96" s="71">
        <f t="shared" si="1024"/>
        <v>1</v>
      </c>
      <c r="AD96" s="71">
        <f t="shared" si="1025"/>
        <v>0</v>
      </c>
      <c r="AE96" s="71">
        <f t="shared" si="1026"/>
        <v>1</v>
      </c>
      <c r="AF96" s="71">
        <f t="shared" si="1027"/>
        <v>1</v>
      </c>
      <c r="AG96" s="71">
        <f t="shared" si="1028"/>
        <v>1</v>
      </c>
      <c r="AH96" s="71">
        <f t="shared" si="1029"/>
        <v>0</v>
      </c>
      <c r="AI96" s="71">
        <f t="shared" si="1030"/>
        <v>1</v>
      </c>
      <c r="AJ96" s="71">
        <f t="shared" si="1031"/>
        <v>0</v>
      </c>
      <c r="AK96" s="71">
        <f t="shared" si="1032"/>
        <v>0</v>
      </c>
      <c r="AL96" s="71">
        <f t="shared" si="1033"/>
        <v>0</v>
      </c>
      <c r="AM96" s="71">
        <f t="shared" si="1034"/>
        <v>0</v>
      </c>
      <c r="AN96" s="71">
        <f t="shared" si="1035"/>
        <v>0</v>
      </c>
      <c r="AO96" s="71">
        <f t="shared" si="1036"/>
        <v>0</v>
      </c>
      <c r="AP96" s="71">
        <f t="shared" si="1037"/>
        <v>0</v>
      </c>
      <c r="AQ96" s="71">
        <f t="shared" si="1038"/>
        <v>0</v>
      </c>
      <c r="AR96" s="71">
        <f t="shared" si="1039"/>
        <v>0</v>
      </c>
      <c r="AS96" s="71">
        <f t="shared" si="1040"/>
        <v>0</v>
      </c>
      <c r="AT96" s="71">
        <f t="shared" si="1041"/>
        <v>0</v>
      </c>
      <c r="AU96" s="71">
        <f t="shared" si="1042"/>
        <v>0</v>
      </c>
      <c r="AV96" s="71">
        <f t="shared" si="1043"/>
        <v>0</v>
      </c>
      <c r="AW96" s="71">
        <f t="shared" si="1044"/>
        <v>0</v>
      </c>
      <c r="AX96" s="71">
        <f t="shared" si="1045"/>
        <v>0</v>
      </c>
      <c r="AY96" s="71">
        <f t="shared" si="1046"/>
        <v>0</v>
      </c>
      <c r="AZ96" s="72">
        <f t="shared" si="1047"/>
        <v>0</v>
      </c>
      <c r="BA96" s="70">
        <f t="shared" si="733"/>
        <v>11</v>
      </c>
      <c r="BB96" s="69">
        <f t="shared" ca="1" si="869"/>
        <v>0.84615384615384615</v>
      </c>
      <c r="BC96" s="70">
        <f t="shared" si="1048"/>
        <v>0</v>
      </c>
      <c r="BD96" s="71">
        <f t="shared" si="1049"/>
        <v>0</v>
      </c>
      <c r="BE96" s="71">
        <f t="shared" si="1050"/>
        <v>24</v>
      </c>
      <c r="BF96" s="71">
        <f t="shared" si="1051"/>
        <v>21</v>
      </c>
      <c r="BG96" s="71">
        <f t="shared" si="1052"/>
        <v>14</v>
      </c>
      <c r="BH96" s="71">
        <f t="shared" si="1053"/>
        <v>18</v>
      </c>
      <c r="BI96" s="71">
        <f t="shared" si="1054"/>
        <v>21</v>
      </c>
      <c r="BJ96" s="71">
        <f t="shared" si="1055"/>
        <v>22</v>
      </c>
      <c r="BK96" s="71">
        <f t="shared" si="1056"/>
        <v>0</v>
      </c>
      <c r="BL96" s="71">
        <f t="shared" si="1057"/>
        <v>39</v>
      </c>
      <c r="BM96" s="71">
        <f t="shared" si="1058"/>
        <v>34</v>
      </c>
      <c r="BN96" s="71">
        <f t="shared" si="1059"/>
        <v>28</v>
      </c>
      <c r="BO96" s="71">
        <f t="shared" si="1060"/>
        <v>13</v>
      </c>
      <c r="BP96" s="71">
        <f t="shared" si="1061"/>
        <v>0</v>
      </c>
      <c r="BQ96" s="71">
        <f t="shared" si="1062"/>
        <v>0</v>
      </c>
      <c r="BR96" s="71">
        <f t="shared" si="1063"/>
        <v>0</v>
      </c>
      <c r="BS96" s="71">
        <f t="shared" si="1064"/>
        <v>0</v>
      </c>
      <c r="BT96" s="71">
        <f t="shared" si="1065"/>
        <v>0</v>
      </c>
      <c r="BU96" s="71">
        <f t="shared" si="1066"/>
        <v>0</v>
      </c>
      <c r="BV96" s="71">
        <f t="shared" si="1067"/>
        <v>0</v>
      </c>
      <c r="BW96" s="71">
        <f t="shared" si="1068"/>
        <v>0</v>
      </c>
      <c r="BX96" s="71">
        <f t="shared" si="1069"/>
        <v>0</v>
      </c>
      <c r="BY96" s="71">
        <f t="shared" si="1070"/>
        <v>0</v>
      </c>
      <c r="BZ96" s="71">
        <f t="shared" si="1071"/>
        <v>0</v>
      </c>
      <c r="CA96" s="71">
        <f t="shared" si="1072"/>
        <v>0</v>
      </c>
      <c r="CB96" s="71">
        <f t="shared" si="1073"/>
        <v>0</v>
      </c>
      <c r="CC96" s="71">
        <f t="shared" si="1074"/>
        <v>0</v>
      </c>
      <c r="CD96" s="71">
        <f t="shared" si="1075"/>
        <v>0</v>
      </c>
      <c r="CE96" s="71">
        <f t="shared" si="1076"/>
        <v>0</v>
      </c>
      <c r="CF96" s="71">
        <f t="shared" si="1077"/>
        <v>0</v>
      </c>
      <c r="CG96" s="71">
        <f t="shared" si="1078"/>
        <v>0</v>
      </c>
      <c r="CH96" s="70">
        <f t="shared" si="870"/>
        <v>234</v>
      </c>
      <c r="CI96" s="69">
        <f t="shared" ca="1" si="871"/>
        <v>18</v>
      </c>
      <c r="GM96" s="2" t="s">
        <v>16</v>
      </c>
      <c r="GN96" s="98" t="str">
        <f t="shared" si="732"/>
        <v>LRK01-FMCG02-SPO-02</v>
      </c>
      <c r="GO96" s="4">
        <v>1</v>
      </c>
      <c r="GP96" s="3">
        <v>0</v>
      </c>
      <c r="GQ96" s="3">
        <v>1</v>
      </c>
      <c r="GR96" s="3">
        <v>1</v>
      </c>
      <c r="GS96" s="3">
        <v>1</v>
      </c>
      <c r="GT96" s="3">
        <v>1</v>
      </c>
      <c r="GU96" s="3">
        <v>1</v>
      </c>
      <c r="GV96" s="3">
        <v>1</v>
      </c>
      <c r="GW96" s="3">
        <v>0</v>
      </c>
      <c r="GX96" s="3">
        <v>1</v>
      </c>
      <c r="GY96" s="3">
        <v>1</v>
      </c>
      <c r="GZ96" s="3">
        <v>1</v>
      </c>
      <c r="HA96" s="3">
        <v>0</v>
      </c>
      <c r="HB96" s="3">
        <v>1</v>
      </c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6"/>
      <c r="HT96" s="4">
        <v>0</v>
      </c>
      <c r="HU96" s="3">
        <v>0</v>
      </c>
      <c r="HV96" s="3">
        <v>24</v>
      </c>
      <c r="HW96" s="3">
        <v>21</v>
      </c>
      <c r="HX96" s="3">
        <v>14</v>
      </c>
      <c r="HY96" s="3">
        <v>18</v>
      </c>
      <c r="HZ96" s="3">
        <v>21</v>
      </c>
      <c r="IA96" s="3">
        <v>22</v>
      </c>
      <c r="IB96" s="3">
        <v>0</v>
      </c>
      <c r="IC96" s="3">
        <v>39</v>
      </c>
      <c r="ID96" s="3">
        <v>34</v>
      </c>
      <c r="IE96" s="3">
        <v>28</v>
      </c>
      <c r="IF96" s="3">
        <v>13</v>
      </c>
      <c r="IG96" s="3">
        <v>0</v>
      </c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6"/>
    </row>
    <row r="97" spans="1:258" hidden="1">
      <c r="A97" s="97" t="s">
        <v>25</v>
      </c>
      <c r="B97" s="98" t="s">
        <v>20</v>
      </c>
      <c r="C97" s="98" t="s">
        <v>227</v>
      </c>
      <c r="D97" s="99" t="s">
        <v>1148</v>
      </c>
      <c r="E97" s="98" t="s">
        <v>999</v>
      </c>
      <c r="F97" s="98" t="s">
        <v>943</v>
      </c>
      <c r="G97" s="98" t="s">
        <v>942</v>
      </c>
      <c r="H97" s="98" t="s">
        <v>1694</v>
      </c>
      <c r="I97" s="98" t="s">
        <v>1681</v>
      </c>
      <c r="J97" s="98" t="s">
        <v>890</v>
      </c>
      <c r="K97" s="98" t="s">
        <v>1127</v>
      </c>
      <c r="L97" s="98" t="s">
        <v>286</v>
      </c>
      <c r="M97" s="101" t="s">
        <v>1093</v>
      </c>
      <c r="N97" s="139">
        <v>46144</v>
      </c>
      <c r="O97" s="100">
        <v>1</v>
      </c>
      <c r="P97" s="69">
        <v>0</v>
      </c>
      <c r="Q97" s="69">
        <f t="shared" si="1012"/>
        <v>0</v>
      </c>
      <c r="R97" s="69">
        <f t="shared" si="1013"/>
        <v>1</v>
      </c>
      <c r="S97" s="69">
        <f t="shared" si="1014"/>
        <v>0</v>
      </c>
      <c r="T97" s="69">
        <f t="shared" si="1015"/>
        <v>1</v>
      </c>
      <c r="U97" s="69">
        <f t="shared" si="1016"/>
        <v>1</v>
      </c>
      <c r="V97" s="70">
        <f t="shared" si="1017"/>
        <v>1</v>
      </c>
      <c r="W97" s="71">
        <f t="shared" si="1018"/>
        <v>0</v>
      </c>
      <c r="X97" s="71">
        <f t="shared" si="1019"/>
        <v>1</v>
      </c>
      <c r="Y97" s="71">
        <f t="shared" si="1020"/>
        <v>1</v>
      </c>
      <c r="Z97" s="71">
        <f t="shared" si="1021"/>
        <v>1</v>
      </c>
      <c r="AA97" s="71">
        <f t="shared" si="1022"/>
        <v>1</v>
      </c>
      <c r="AB97" s="71">
        <f t="shared" si="1023"/>
        <v>1</v>
      </c>
      <c r="AC97" s="71">
        <f t="shared" si="1024"/>
        <v>1</v>
      </c>
      <c r="AD97" s="71">
        <f t="shared" si="1025"/>
        <v>0</v>
      </c>
      <c r="AE97" s="71">
        <f t="shared" si="1026"/>
        <v>1</v>
      </c>
      <c r="AF97" s="71">
        <f t="shared" si="1027"/>
        <v>1</v>
      </c>
      <c r="AG97" s="71">
        <f t="shared" si="1028"/>
        <v>1</v>
      </c>
      <c r="AH97" s="71">
        <f t="shared" si="1029"/>
        <v>1</v>
      </c>
      <c r="AI97" s="71">
        <f t="shared" si="1030"/>
        <v>0</v>
      </c>
      <c r="AJ97" s="71">
        <f t="shared" si="1031"/>
        <v>0</v>
      </c>
      <c r="AK97" s="71">
        <f t="shared" si="1032"/>
        <v>0</v>
      </c>
      <c r="AL97" s="71">
        <f t="shared" si="1033"/>
        <v>0</v>
      </c>
      <c r="AM97" s="71">
        <f t="shared" si="1034"/>
        <v>0</v>
      </c>
      <c r="AN97" s="71">
        <f t="shared" si="1035"/>
        <v>0</v>
      </c>
      <c r="AO97" s="71">
        <f t="shared" si="1036"/>
        <v>0</v>
      </c>
      <c r="AP97" s="71">
        <f t="shared" si="1037"/>
        <v>0</v>
      </c>
      <c r="AQ97" s="71">
        <f t="shared" si="1038"/>
        <v>0</v>
      </c>
      <c r="AR97" s="71">
        <f t="shared" si="1039"/>
        <v>0</v>
      </c>
      <c r="AS97" s="71">
        <f t="shared" si="1040"/>
        <v>0</v>
      </c>
      <c r="AT97" s="71">
        <f t="shared" si="1041"/>
        <v>0</v>
      </c>
      <c r="AU97" s="71">
        <f t="shared" si="1042"/>
        <v>0</v>
      </c>
      <c r="AV97" s="71">
        <f t="shared" si="1043"/>
        <v>0</v>
      </c>
      <c r="AW97" s="71">
        <f t="shared" si="1044"/>
        <v>0</v>
      </c>
      <c r="AX97" s="71">
        <f t="shared" si="1045"/>
        <v>0</v>
      </c>
      <c r="AY97" s="71">
        <f t="shared" si="1046"/>
        <v>0</v>
      </c>
      <c r="AZ97" s="72">
        <f t="shared" si="1047"/>
        <v>0</v>
      </c>
      <c r="BA97" s="70">
        <f t="shared" si="733"/>
        <v>11</v>
      </c>
      <c r="BB97" s="69">
        <f t="shared" ca="1" si="869"/>
        <v>0.84615384615384615</v>
      </c>
      <c r="BC97" s="70">
        <f t="shared" si="1048"/>
        <v>27</v>
      </c>
      <c r="BD97" s="71">
        <f t="shared" si="1049"/>
        <v>0</v>
      </c>
      <c r="BE97" s="71">
        <f t="shared" si="1050"/>
        <v>15</v>
      </c>
      <c r="BF97" s="71">
        <f t="shared" si="1051"/>
        <v>32</v>
      </c>
      <c r="BG97" s="71">
        <f t="shared" si="1052"/>
        <v>0</v>
      </c>
      <c r="BH97" s="71">
        <f t="shared" si="1053"/>
        <v>0</v>
      </c>
      <c r="BI97" s="71">
        <f t="shared" si="1054"/>
        <v>11</v>
      </c>
      <c r="BJ97" s="71">
        <f t="shared" si="1055"/>
        <v>0</v>
      </c>
      <c r="BK97" s="71">
        <f t="shared" si="1056"/>
        <v>0</v>
      </c>
      <c r="BL97" s="71">
        <f t="shared" si="1057"/>
        <v>11</v>
      </c>
      <c r="BM97" s="71">
        <f t="shared" si="1058"/>
        <v>21</v>
      </c>
      <c r="BN97" s="71">
        <f t="shared" si="1059"/>
        <v>22</v>
      </c>
      <c r="BO97" s="71">
        <f t="shared" si="1060"/>
        <v>12</v>
      </c>
      <c r="BP97" s="71">
        <f t="shared" si="1061"/>
        <v>0</v>
      </c>
      <c r="BQ97" s="71">
        <f t="shared" si="1062"/>
        <v>0</v>
      </c>
      <c r="BR97" s="71">
        <f t="shared" si="1063"/>
        <v>0</v>
      </c>
      <c r="BS97" s="71">
        <f t="shared" si="1064"/>
        <v>0</v>
      </c>
      <c r="BT97" s="71">
        <f t="shared" si="1065"/>
        <v>0</v>
      </c>
      <c r="BU97" s="71">
        <f t="shared" si="1066"/>
        <v>0</v>
      </c>
      <c r="BV97" s="71">
        <f t="shared" si="1067"/>
        <v>0</v>
      </c>
      <c r="BW97" s="71">
        <f t="shared" si="1068"/>
        <v>0</v>
      </c>
      <c r="BX97" s="71">
        <f t="shared" si="1069"/>
        <v>0</v>
      </c>
      <c r="BY97" s="71">
        <f t="shared" si="1070"/>
        <v>0</v>
      </c>
      <c r="BZ97" s="71">
        <f t="shared" si="1071"/>
        <v>0</v>
      </c>
      <c r="CA97" s="71">
        <f t="shared" si="1072"/>
        <v>0</v>
      </c>
      <c r="CB97" s="71">
        <f t="shared" si="1073"/>
        <v>0</v>
      </c>
      <c r="CC97" s="71">
        <f t="shared" si="1074"/>
        <v>0</v>
      </c>
      <c r="CD97" s="71">
        <f t="shared" si="1075"/>
        <v>0</v>
      </c>
      <c r="CE97" s="71">
        <f t="shared" si="1076"/>
        <v>0</v>
      </c>
      <c r="CF97" s="71">
        <f t="shared" si="1077"/>
        <v>0</v>
      </c>
      <c r="CG97" s="71">
        <f t="shared" si="1078"/>
        <v>0</v>
      </c>
      <c r="CH97" s="70">
        <f t="shared" si="870"/>
        <v>151</v>
      </c>
      <c r="CI97" s="69">
        <f t="shared" ca="1" si="871"/>
        <v>11.615384615384615</v>
      </c>
      <c r="GM97" s="2" t="s">
        <v>16</v>
      </c>
      <c r="GN97" s="98" t="str">
        <f t="shared" si="732"/>
        <v>LRK01-FMCG03-SPO-01</v>
      </c>
      <c r="GO97" s="4">
        <v>1</v>
      </c>
      <c r="GP97" s="3">
        <v>0</v>
      </c>
      <c r="GQ97" s="3">
        <v>1</v>
      </c>
      <c r="GR97" s="3">
        <v>1</v>
      </c>
      <c r="GS97" s="3">
        <v>1</v>
      </c>
      <c r="GT97" s="3">
        <v>1</v>
      </c>
      <c r="GU97" s="3">
        <v>1</v>
      </c>
      <c r="GV97" s="3">
        <v>1</v>
      </c>
      <c r="GW97" s="3">
        <v>0</v>
      </c>
      <c r="GX97" s="3">
        <v>1</v>
      </c>
      <c r="GY97" s="3">
        <v>1</v>
      </c>
      <c r="GZ97" s="3">
        <v>1</v>
      </c>
      <c r="HA97" s="3">
        <v>1</v>
      </c>
      <c r="HB97" s="3">
        <v>0</v>
      </c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6"/>
      <c r="HT97" s="4">
        <v>27</v>
      </c>
      <c r="HU97" s="3">
        <v>0</v>
      </c>
      <c r="HV97" s="3">
        <v>15</v>
      </c>
      <c r="HW97" s="3">
        <v>32</v>
      </c>
      <c r="HX97" s="3">
        <v>0</v>
      </c>
      <c r="HY97" s="3">
        <v>0</v>
      </c>
      <c r="HZ97" s="3">
        <v>11</v>
      </c>
      <c r="IA97" s="3">
        <v>0</v>
      </c>
      <c r="IB97" s="3">
        <v>0</v>
      </c>
      <c r="IC97" s="3">
        <v>11</v>
      </c>
      <c r="ID97" s="3">
        <v>21</v>
      </c>
      <c r="IE97" s="3">
        <v>22</v>
      </c>
      <c r="IF97" s="3">
        <v>12</v>
      </c>
      <c r="IG97" s="3">
        <v>0</v>
      </c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6"/>
    </row>
    <row r="98" spans="1:258" hidden="1">
      <c r="A98" s="97" t="s">
        <v>1287</v>
      </c>
      <c r="B98" s="98" t="s">
        <v>90</v>
      </c>
      <c r="C98" s="98" t="s">
        <v>227</v>
      </c>
      <c r="D98" s="99" t="s">
        <v>1148</v>
      </c>
      <c r="E98" s="98" t="s">
        <v>1098</v>
      </c>
      <c r="F98" s="98" t="s">
        <v>291</v>
      </c>
      <c r="G98" s="98" t="s">
        <v>292</v>
      </c>
      <c r="H98" s="98" t="s">
        <v>1467</v>
      </c>
      <c r="I98" s="98" t="s">
        <v>1467</v>
      </c>
      <c r="J98" s="98" t="s">
        <v>890</v>
      </c>
      <c r="K98" s="98" t="s">
        <v>1099</v>
      </c>
      <c r="L98" s="98" t="s">
        <v>1099</v>
      </c>
      <c r="M98" s="101" t="s">
        <v>1099</v>
      </c>
      <c r="N98" s="108">
        <v>45474</v>
      </c>
      <c r="O98" s="100">
        <v>0</v>
      </c>
      <c r="P98" s="69">
        <v>0</v>
      </c>
      <c r="Q98" s="69">
        <f t="shared" si="1012"/>
        <v>0</v>
      </c>
      <c r="R98" s="69">
        <f t="shared" si="1013"/>
        <v>0</v>
      </c>
      <c r="S98" s="69">
        <f t="shared" si="1014"/>
        <v>0</v>
      </c>
      <c r="T98" s="69">
        <f t="shared" si="1015"/>
        <v>0</v>
      </c>
      <c r="U98" s="69">
        <f t="shared" si="1016"/>
        <v>0</v>
      </c>
      <c r="V98" s="70">
        <f t="shared" si="1017"/>
        <v>0</v>
      </c>
      <c r="W98" s="71">
        <f t="shared" si="1018"/>
        <v>0</v>
      </c>
      <c r="X98" s="71">
        <f t="shared" si="1019"/>
        <v>0</v>
      </c>
      <c r="Y98" s="71">
        <f t="shared" si="1020"/>
        <v>0</v>
      </c>
      <c r="Z98" s="71">
        <f t="shared" si="1021"/>
        <v>0</v>
      </c>
      <c r="AA98" s="71">
        <f t="shared" si="1022"/>
        <v>0</v>
      </c>
      <c r="AB98" s="71">
        <f t="shared" si="1023"/>
        <v>0</v>
      </c>
      <c r="AC98" s="71">
        <f t="shared" si="1024"/>
        <v>0</v>
      </c>
      <c r="AD98" s="71">
        <f t="shared" si="1025"/>
        <v>0</v>
      </c>
      <c r="AE98" s="71">
        <f t="shared" si="1026"/>
        <v>0</v>
      </c>
      <c r="AF98" s="71">
        <f t="shared" si="1027"/>
        <v>0</v>
      </c>
      <c r="AG98" s="71">
        <f t="shared" si="1028"/>
        <v>0</v>
      </c>
      <c r="AH98" s="71">
        <f t="shared" si="1029"/>
        <v>0</v>
      </c>
      <c r="AI98" s="71">
        <f t="shared" si="1030"/>
        <v>0</v>
      </c>
      <c r="AJ98" s="71">
        <f t="shared" si="1031"/>
        <v>0</v>
      </c>
      <c r="AK98" s="71">
        <f t="shared" si="1032"/>
        <v>0</v>
      </c>
      <c r="AL98" s="71">
        <f t="shared" si="1033"/>
        <v>0</v>
      </c>
      <c r="AM98" s="71">
        <f t="shared" si="1034"/>
        <v>0</v>
      </c>
      <c r="AN98" s="71">
        <f t="shared" si="1035"/>
        <v>0</v>
      </c>
      <c r="AO98" s="71">
        <f t="shared" si="1036"/>
        <v>0</v>
      </c>
      <c r="AP98" s="71">
        <f t="shared" si="1037"/>
        <v>0</v>
      </c>
      <c r="AQ98" s="71">
        <f t="shared" si="1038"/>
        <v>0</v>
      </c>
      <c r="AR98" s="71">
        <f t="shared" si="1039"/>
        <v>0</v>
      </c>
      <c r="AS98" s="71">
        <f t="shared" si="1040"/>
        <v>0</v>
      </c>
      <c r="AT98" s="71">
        <f t="shared" si="1041"/>
        <v>0</v>
      </c>
      <c r="AU98" s="71">
        <f t="shared" si="1042"/>
        <v>0</v>
      </c>
      <c r="AV98" s="71">
        <f t="shared" si="1043"/>
        <v>0</v>
      </c>
      <c r="AW98" s="71">
        <f t="shared" si="1044"/>
        <v>0</v>
      </c>
      <c r="AX98" s="71">
        <f t="shared" si="1045"/>
        <v>0</v>
      </c>
      <c r="AY98" s="71">
        <f t="shared" si="1046"/>
        <v>0</v>
      </c>
      <c r="AZ98" s="72">
        <f t="shared" si="1047"/>
        <v>0</v>
      </c>
      <c r="BA98" s="70">
        <f t="shared" si="733"/>
        <v>0</v>
      </c>
      <c r="BB98" s="69">
        <f t="shared" ca="1" si="869"/>
        <v>0</v>
      </c>
      <c r="BC98" s="70">
        <f t="shared" si="1048"/>
        <v>0</v>
      </c>
      <c r="BD98" s="71">
        <f t="shared" si="1049"/>
        <v>0</v>
      </c>
      <c r="BE98" s="71">
        <f t="shared" si="1050"/>
        <v>0</v>
      </c>
      <c r="BF98" s="71">
        <f t="shared" si="1051"/>
        <v>0</v>
      </c>
      <c r="BG98" s="71">
        <f t="shared" si="1052"/>
        <v>0</v>
      </c>
      <c r="BH98" s="71">
        <f t="shared" si="1053"/>
        <v>0</v>
      </c>
      <c r="BI98" s="71">
        <f t="shared" si="1054"/>
        <v>0</v>
      </c>
      <c r="BJ98" s="71">
        <f t="shared" si="1055"/>
        <v>0</v>
      </c>
      <c r="BK98" s="71">
        <f t="shared" si="1056"/>
        <v>0</v>
      </c>
      <c r="BL98" s="71">
        <f t="shared" si="1057"/>
        <v>0</v>
      </c>
      <c r="BM98" s="71">
        <f t="shared" si="1058"/>
        <v>0</v>
      </c>
      <c r="BN98" s="71">
        <f t="shared" si="1059"/>
        <v>0</v>
      </c>
      <c r="BO98" s="71">
        <f t="shared" si="1060"/>
        <v>0</v>
      </c>
      <c r="BP98" s="71">
        <f t="shared" si="1061"/>
        <v>0</v>
      </c>
      <c r="BQ98" s="71">
        <f t="shared" si="1062"/>
        <v>0</v>
      </c>
      <c r="BR98" s="71">
        <f t="shared" si="1063"/>
        <v>0</v>
      </c>
      <c r="BS98" s="71">
        <f t="shared" si="1064"/>
        <v>0</v>
      </c>
      <c r="BT98" s="71">
        <f t="shared" si="1065"/>
        <v>0</v>
      </c>
      <c r="BU98" s="71">
        <f t="shared" si="1066"/>
        <v>0</v>
      </c>
      <c r="BV98" s="71">
        <f t="shared" si="1067"/>
        <v>0</v>
      </c>
      <c r="BW98" s="71">
        <f t="shared" si="1068"/>
        <v>0</v>
      </c>
      <c r="BX98" s="71">
        <f t="shared" si="1069"/>
        <v>0</v>
      </c>
      <c r="BY98" s="71">
        <f t="shared" si="1070"/>
        <v>0</v>
      </c>
      <c r="BZ98" s="71">
        <f t="shared" si="1071"/>
        <v>0</v>
      </c>
      <c r="CA98" s="71">
        <f t="shared" si="1072"/>
        <v>0</v>
      </c>
      <c r="CB98" s="71">
        <f t="shared" si="1073"/>
        <v>0</v>
      </c>
      <c r="CC98" s="71">
        <f t="shared" si="1074"/>
        <v>0</v>
      </c>
      <c r="CD98" s="71">
        <f t="shared" si="1075"/>
        <v>0</v>
      </c>
      <c r="CE98" s="71">
        <f t="shared" si="1076"/>
        <v>0</v>
      </c>
      <c r="CF98" s="71">
        <f t="shared" si="1077"/>
        <v>0</v>
      </c>
      <c r="CG98" s="71">
        <f t="shared" si="1078"/>
        <v>0</v>
      </c>
      <c r="CH98" s="70">
        <f t="shared" si="870"/>
        <v>0</v>
      </c>
      <c r="CI98" s="69">
        <f t="shared" ca="1" si="871"/>
        <v>0</v>
      </c>
      <c r="GM98" s="2" t="s">
        <v>16</v>
      </c>
      <c r="GN98" s="98" t="str">
        <f t="shared" si="732"/>
        <v>LRK01-FMCG-SPO-00</v>
      </c>
      <c r="GO98" s="4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6"/>
      <c r="HT98" s="4">
        <v>0</v>
      </c>
      <c r="HU98" s="3">
        <v>0</v>
      </c>
      <c r="HV98" s="3">
        <v>0</v>
      </c>
      <c r="HW98" s="3">
        <v>0</v>
      </c>
      <c r="HX98" s="3">
        <v>0</v>
      </c>
      <c r="HY98" s="3">
        <v>0</v>
      </c>
      <c r="HZ98" s="3">
        <v>0</v>
      </c>
      <c r="IA98" s="3">
        <v>0</v>
      </c>
      <c r="IB98" s="3">
        <v>0</v>
      </c>
      <c r="IC98" s="3">
        <v>0</v>
      </c>
      <c r="ID98" s="3">
        <v>0</v>
      </c>
      <c r="IE98" s="3">
        <v>0</v>
      </c>
      <c r="IF98" s="3">
        <v>0</v>
      </c>
      <c r="IG98" s="3">
        <v>0</v>
      </c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6"/>
    </row>
    <row r="99" spans="1:258" hidden="1">
      <c r="A99" s="97" t="s">
        <v>1380</v>
      </c>
      <c r="B99" s="98" t="s">
        <v>20</v>
      </c>
      <c r="C99" s="98" t="s">
        <v>227</v>
      </c>
      <c r="D99" s="99" t="s">
        <v>1148</v>
      </c>
      <c r="E99" s="98" t="s">
        <v>293</v>
      </c>
      <c r="F99" s="98" t="s">
        <v>294</v>
      </c>
      <c r="G99" s="98" t="s">
        <v>295</v>
      </c>
      <c r="H99" s="98" t="s">
        <v>1151</v>
      </c>
      <c r="I99" s="98" t="s">
        <v>1151</v>
      </c>
      <c r="J99" s="98" t="s">
        <v>890</v>
      </c>
      <c r="K99" s="98" t="s">
        <v>1127</v>
      </c>
      <c r="L99" s="98" t="s">
        <v>296</v>
      </c>
      <c r="M99" s="101" t="s">
        <v>52</v>
      </c>
      <c r="N99" s="108">
        <v>45139</v>
      </c>
      <c r="O99" s="100">
        <v>0</v>
      </c>
      <c r="P99" s="69">
        <v>0</v>
      </c>
      <c r="Q99" s="69">
        <f t="shared" si="1012"/>
        <v>0</v>
      </c>
      <c r="R99" s="69">
        <f t="shared" si="1013"/>
        <v>0</v>
      </c>
      <c r="S99" s="69">
        <f t="shared" si="1014"/>
        <v>0</v>
      </c>
      <c r="T99" s="69">
        <f t="shared" si="1015"/>
        <v>0</v>
      </c>
      <c r="U99" s="69">
        <f t="shared" si="1016"/>
        <v>0</v>
      </c>
      <c r="V99" s="70">
        <f t="shared" si="1017"/>
        <v>0</v>
      </c>
      <c r="W99" s="71">
        <f t="shared" si="1018"/>
        <v>0</v>
      </c>
      <c r="X99" s="71">
        <f t="shared" si="1019"/>
        <v>0</v>
      </c>
      <c r="Y99" s="71">
        <f t="shared" si="1020"/>
        <v>0</v>
      </c>
      <c r="Z99" s="71">
        <f t="shared" si="1021"/>
        <v>0</v>
      </c>
      <c r="AA99" s="71">
        <f t="shared" si="1022"/>
        <v>0</v>
      </c>
      <c r="AB99" s="71">
        <f t="shared" si="1023"/>
        <v>0</v>
      </c>
      <c r="AC99" s="71">
        <f t="shared" si="1024"/>
        <v>0</v>
      </c>
      <c r="AD99" s="71">
        <f t="shared" si="1025"/>
        <v>0</v>
      </c>
      <c r="AE99" s="71">
        <f t="shared" si="1026"/>
        <v>0</v>
      </c>
      <c r="AF99" s="71">
        <f t="shared" si="1027"/>
        <v>0</v>
      </c>
      <c r="AG99" s="71">
        <f t="shared" si="1028"/>
        <v>0</v>
      </c>
      <c r="AH99" s="71">
        <f t="shared" si="1029"/>
        <v>0</v>
      </c>
      <c r="AI99" s="71">
        <f t="shared" si="1030"/>
        <v>0</v>
      </c>
      <c r="AJ99" s="71">
        <f t="shared" si="1031"/>
        <v>0</v>
      </c>
      <c r="AK99" s="71">
        <f t="shared" si="1032"/>
        <v>0</v>
      </c>
      <c r="AL99" s="71">
        <f t="shared" si="1033"/>
        <v>0</v>
      </c>
      <c r="AM99" s="71">
        <f t="shared" si="1034"/>
        <v>0</v>
      </c>
      <c r="AN99" s="71">
        <f t="shared" si="1035"/>
        <v>0</v>
      </c>
      <c r="AO99" s="71">
        <f t="shared" si="1036"/>
        <v>0</v>
      </c>
      <c r="AP99" s="71">
        <f t="shared" si="1037"/>
        <v>0</v>
      </c>
      <c r="AQ99" s="71">
        <f t="shared" si="1038"/>
        <v>0</v>
      </c>
      <c r="AR99" s="71">
        <f t="shared" si="1039"/>
        <v>0</v>
      </c>
      <c r="AS99" s="71">
        <f t="shared" si="1040"/>
        <v>0</v>
      </c>
      <c r="AT99" s="71">
        <f t="shared" si="1041"/>
        <v>0</v>
      </c>
      <c r="AU99" s="71">
        <f t="shared" si="1042"/>
        <v>0</v>
      </c>
      <c r="AV99" s="71">
        <f t="shared" si="1043"/>
        <v>0</v>
      </c>
      <c r="AW99" s="71">
        <f t="shared" si="1044"/>
        <v>0</v>
      </c>
      <c r="AX99" s="71">
        <f t="shared" si="1045"/>
        <v>0</v>
      </c>
      <c r="AY99" s="71">
        <f t="shared" si="1046"/>
        <v>0</v>
      </c>
      <c r="AZ99" s="72">
        <f t="shared" si="1047"/>
        <v>0</v>
      </c>
      <c r="BA99" s="70">
        <f t="shared" si="733"/>
        <v>0</v>
      </c>
      <c r="BB99" s="69">
        <f t="shared" ca="1" si="869"/>
        <v>0</v>
      </c>
      <c r="BC99" s="70">
        <f t="shared" si="1048"/>
        <v>0</v>
      </c>
      <c r="BD99" s="71">
        <f t="shared" si="1049"/>
        <v>0</v>
      </c>
      <c r="BE99" s="71">
        <f t="shared" si="1050"/>
        <v>0</v>
      </c>
      <c r="BF99" s="71">
        <f t="shared" si="1051"/>
        <v>0</v>
      </c>
      <c r="BG99" s="71">
        <f t="shared" si="1052"/>
        <v>0</v>
      </c>
      <c r="BH99" s="71">
        <f t="shared" si="1053"/>
        <v>0</v>
      </c>
      <c r="BI99" s="71">
        <f t="shared" si="1054"/>
        <v>0</v>
      </c>
      <c r="BJ99" s="71">
        <f t="shared" si="1055"/>
        <v>0</v>
      </c>
      <c r="BK99" s="71">
        <f t="shared" si="1056"/>
        <v>0</v>
      </c>
      <c r="BL99" s="71">
        <f t="shared" si="1057"/>
        <v>0</v>
      </c>
      <c r="BM99" s="71">
        <f t="shared" si="1058"/>
        <v>0</v>
      </c>
      <c r="BN99" s="71">
        <f t="shared" si="1059"/>
        <v>0</v>
      </c>
      <c r="BO99" s="71">
        <f t="shared" si="1060"/>
        <v>0</v>
      </c>
      <c r="BP99" s="71">
        <f t="shared" si="1061"/>
        <v>0</v>
      </c>
      <c r="BQ99" s="71">
        <f t="shared" si="1062"/>
        <v>0</v>
      </c>
      <c r="BR99" s="71">
        <f t="shared" si="1063"/>
        <v>0</v>
      </c>
      <c r="BS99" s="71">
        <f t="shared" si="1064"/>
        <v>0</v>
      </c>
      <c r="BT99" s="71">
        <f t="shared" si="1065"/>
        <v>0</v>
      </c>
      <c r="BU99" s="71">
        <f t="shared" si="1066"/>
        <v>0</v>
      </c>
      <c r="BV99" s="71">
        <f t="shared" si="1067"/>
        <v>0</v>
      </c>
      <c r="BW99" s="71">
        <f t="shared" si="1068"/>
        <v>0</v>
      </c>
      <c r="BX99" s="71">
        <f t="shared" si="1069"/>
        <v>0</v>
      </c>
      <c r="BY99" s="71">
        <f t="shared" si="1070"/>
        <v>0</v>
      </c>
      <c r="BZ99" s="71">
        <f t="shared" si="1071"/>
        <v>0</v>
      </c>
      <c r="CA99" s="71">
        <f t="shared" si="1072"/>
        <v>0</v>
      </c>
      <c r="CB99" s="71">
        <f t="shared" si="1073"/>
        <v>0</v>
      </c>
      <c r="CC99" s="71">
        <f t="shared" si="1074"/>
        <v>0</v>
      </c>
      <c r="CD99" s="71">
        <f t="shared" si="1075"/>
        <v>0</v>
      </c>
      <c r="CE99" s="71">
        <f t="shared" si="1076"/>
        <v>0</v>
      </c>
      <c r="CF99" s="71">
        <f t="shared" si="1077"/>
        <v>0</v>
      </c>
      <c r="CG99" s="71">
        <f t="shared" si="1078"/>
        <v>0</v>
      </c>
      <c r="CH99" s="70">
        <f t="shared" si="870"/>
        <v>0</v>
      </c>
      <c r="CI99" s="69">
        <f t="shared" ca="1" si="871"/>
        <v>0</v>
      </c>
      <c r="GM99" s="2" t="s">
        <v>16</v>
      </c>
      <c r="GN99" s="98" t="str">
        <f t="shared" si="732"/>
        <v>LRK01-FMCG-ASM-01</v>
      </c>
      <c r="GO99" s="4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6"/>
      <c r="HT99" s="4">
        <v>0</v>
      </c>
      <c r="HU99" s="3">
        <v>0</v>
      </c>
      <c r="HV99" s="3">
        <v>0</v>
      </c>
      <c r="HW99" s="3">
        <v>0</v>
      </c>
      <c r="HX99" s="3">
        <v>0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0</v>
      </c>
      <c r="IE99" s="3">
        <v>0</v>
      </c>
      <c r="IF99" s="3">
        <v>0</v>
      </c>
      <c r="IG99" s="3">
        <v>0</v>
      </c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6"/>
    </row>
    <row r="100" spans="1:258" hidden="1">
      <c r="A100" s="102" t="s">
        <v>53</v>
      </c>
      <c r="B100" s="103" t="s">
        <v>20</v>
      </c>
      <c r="C100" s="103" t="s">
        <v>227</v>
      </c>
      <c r="D100" s="104" t="s">
        <v>1148</v>
      </c>
      <c r="E100" s="103" t="s">
        <v>293</v>
      </c>
      <c r="F100" s="103" t="s">
        <v>294</v>
      </c>
      <c r="G100" s="103" t="s">
        <v>295</v>
      </c>
      <c r="H100" s="103" t="s">
        <v>1151</v>
      </c>
      <c r="I100" s="103" t="s">
        <v>1151</v>
      </c>
      <c r="J100" s="103" t="s">
        <v>890</v>
      </c>
      <c r="K100" s="103" t="s">
        <v>1127</v>
      </c>
      <c r="L100" s="103" t="s">
        <v>296</v>
      </c>
      <c r="M100" s="103" t="s">
        <v>52</v>
      </c>
      <c r="N100" s="119">
        <v>45139</v>
      </c>
      <c r="O100" s="105">
        <f>O98+O97+O96+O95+O94+O93</f>
        <v>5</v>
      </c>
      <c r="P100" s="73">
        <f t="shared" ref="P100:CA100" si="1079">P98+P97+P96+P95+P94+P93</f>
        <v>0</v>
      </c>
      <c r="Q100" s="73">
        <f t="shared" si="1079"/>
        <v>4</v>
      </c>
      <c r="R100" s="73">
        <f t="shared" si="1079"/>
        <v>5</v>
      </c>
      <c r="S100" s="73">
        <f t="shared" si="1079"/>
        <v>0</v>
      </c>
      <c r="T100" s="73">
        <f t="shared" si="1079"/>
        <v>5</v>
      </c>
      <c r="U100" s="73">
        <f t="shared" si="1079"/>
        <v>5</v>
      </c>
      <c r="V100" s="74">
        <f t="shared" si="1079"/>
        <v>5</v>
      </c>
      <c r="W100" s="75">
        <f t="shared" si="1079"/>
        <v>0</v>
      </c>
      <c r="X100" s="75">
        <f t="shared" si="1079"/>
        <v>4</v>
      </c>
      <c r="Y100" s="75">
        <f t="shared" si="1079"/>
        <v>5</v>
      </c>
      <c r="Z100" s="75">
        <f t="shared" si="1079"/>
        <v>5</v>
      </c>
      <c r="AA100" s="75">
        <f t="shared" si="1079"/>
        <v>4</v>
      </c>
      <c r="AB100" s="75">
        <f t="shared" si="1079"/>
        <v>5</v>
      </c>
      <c r="AC100" s="75">
        <f t="shared" si="1079"/>
        <v>5</v>
      </c>
      <c r="AD100" s="75">
        <f t="shared" si="1079"/>
        <v>0</v>
      </c>
      <c r="AE100" s="75">
        <f t="shared" si="1079"/>
        <v>4</v>
      </c>
      <c r="AF100" s="75">
        <f t="shared" si="1079"/>
        <v>4</v>
      </c>
      <c r="AG100" s="75">
        <f t="shared" si="1079"/>
        <v>4</v>
      </c>
      <c r="AH100" s="75">
        <f t="shared" si="1079"/>
        <v>2</v>
      </c>
      <c r="AI100" s="75">
        <f t="shared" si="1079"/>
        <v>4</v>
      </c>
      <c r="AJ100" s="75">
        <f t="shared" si="1079"/>
        <v>0</v>
      </c>
      <c r="AK100" s="75">
        <f t="shared" si="1079"/>
        <v>0</v>
      </c>
      <c r="AL100" s="75">
        <f t="shared" si="1079"/>
        <v>0</v>
      </c>
      <c r="AM100" s="75">
        <f t="shared" si="1079"/>
        <v>0</v>
      </c>
      <c r="AN100" s="75">
        <f t="shared" si="1079"/>
        <v>0</v>
      </c>
      <c r="AO100" s="75">
        <f t="shared" si="1079"/>
        <v>0</v>
      </c>
      <c r="AP100" s="75">
        <f t="shared" si="1079"/>
        <v>0</v>
      </c>
      <c r="AQ100" s="75">
        <f t="shared" si="1079"/>
        <v>0</v>
      </c>
      <c r="AR100" s="75">
        <f t="shared" si="1079"/>
        <v>0</v>
      </c>
      <c r="AS100" s="75">
        <f t="shared" si="1079"/>
        <v>0</v>
      </c>
      <c r="AT100" s="75">
        <f t="shared" si="1079"/>
        <v>0</v>
      </c>
      <c r="AU100" s="75">
        <f t="shared" si="1079"/>
        <v>0</v>
      </c>
      <c r="AV100" s="75">
        <f t="shared" si="1079"/>
        <v>0</v>
      </c>
      <c r="AW100" s="75">
        <f t="shared" si="1079"/>
        <v>0</v>
      </c>
      <c r="AX100" s="75">
        <f t="shared" si="1079"/>
        <v>0</v>
      </c>
      <c r="AY100" s="75">
        <f t="shared" si="1079"/>
        <v>0</v>
      </c>
      <c r="AZ100" s="76">
        <f t="shared" si="1079"/>
        <v>0</v>
      </c>
      <c r="BA100" s="74">
        <f t="shared" si="733"/>
        <v>51</v>
      </c>
      <c r="BB100" s="73">
        <f t="shared" ca="1" si="869"/>
        <v>0.7846153846153846</v>
      </c>
      <c r="BC100" s="74">
        <f t="shared" si="1079"/>
        <v>66</v>
      </c>
      <c r="BD100" s="75">
        <f t="shared" si="1079"/>
        <v>0</v>
      </c>
      <c r="BE100" s="75">
        <f t="shared" si="1079"/>
        <v>95</v>
      </c>
      <c r="BF100" s="75">
        <f t="shared" si="1079"/>
        <v>82</v>
      </c>
      <c r="BG100" s="75">
        <f t="shared" si="1079"/>
        <v>71</v>
      </c>
      <c r="BH100" s="75">
        <f t="shared" si="1079"/>
        <v>45</v>
      </c>
      <c r="BI100" s="75">
        <f t="shared" si="1079"/>
        <v>101</v>
      </c>
      <c r="BJ100" s="75">
        <f t="shared" si="1079"/>
        <v>65</v>
      </c>
      <c r="BK100" s="75">
        <f t="shared" si="1079"/>
        <v>0</v>
      </c>
      <c r="BL100" s="75">
        <f t="shared" si="1079"/>
        <v>95</v>
      </c>
      <c r="BM100" s="75">
        <f t="shared" si="1079"/>
        <v>90</v>
      </c>
      <c r="BN100" s="75">
        <f t="shared" si="1079"/>
        <v>92</v>
      </c>
      <c r="BO100" s="75">
        <f t="shared" si="1079"/>
        <v>52</v>
      </c>
      <c r="BP100" s="75">
        <f t="shared" si="1079"/>
        <v>0</v>
      </c>
      <c r="BQ100" s="75">
        <f t="shared" si="1079"/>
        <v>0</v>
      </c>
      <c r="BR100" s="75">
        <f t="shared" si="1079"/>
        <v>0</v>
      </c>
      <c r="BS100" s="75">
        <f t="shared" si="1079"/>
        <v>0</v>
      </c>
      <c r="BT100" s="75">
        <f t="shared" si="1079"/>
        <v>0</v>
      </c>
      <c r="BU100" s="75">
        <f t="shared" si="1079"/>
        <v>0</v>
      </c>
      <c r="BV100" s="75">
        <f t="shared" si="1079"/>
        <v>0</v>
      </c>
      <c r="BW100" s="75">
        <f t="shared" si="1079"/>
        <v>0</v>
      </c>
      <c r="BX100" s="75">
        <f t="shared" si="1079"/>
        <v>0</v>
      </c>
      <c r="BY100" s="75">
        <f t="shared" si="1079"/>
        <v>0</v>
      </c>
      <c r="BZ100" s="75">
        <f t="shared" si="1079"/>
        <v>0</v>
      </c>
      <c r="CA100" s="75">
        <f t="shared" si="1079"/>
        <v>0</v>
      </c>
      <c r="CB100" s="75">
        <f t="shared" ref="CB100:CG100" si="1080">CB98+CB97+CB96+CB95+CB94+CB93</f>
        <v>0</v>
      </c>
      <c r="CC100" s="75">
        <f t="shared" si="1080"/>
        <v>0</v>
      </c>
      <c r="CD100" s="75">
        <f t="shared" si="1080"/>
        <v>0</v>
      </c>
      <c r="CE100" s="75">
        <f t="shared" si="1080"/>
        <v>0</v>
      </c>
      <c r="CF100" s="75">
        <f t="shared" si="1080"/>
        <v>0</v>
      </c>
      <c r="CG100" s="75">
        <f t="shared" si="1080"/>
        <v>0</v>
      </c>
      <c r="CH100" s="74">
        <f t="shared" si="870"/>
        <v>854</v>
      </c>
      <c r="CI100" s="73">
        <f t="shared" ca="1" si="871"/>
        <v>13.138461538461538</v>
      </c>
      <c r="GM100" s="2" t="s">
        <v>17</v>
      </c>
      <c r="GN100" s="103" t="str">
        <f t="shared" si="732"/>
        <v>LRK01-FMCG-ASM-01</v>
      </c>
      <c r="GO100" s="4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6"/>
      <c r="HT100" s="4">
        <v>0</v>
      </c>
      <c r="HU100" s="3">
        <v>0</v>
      </c>
      <c r="HV100" s="3">
        <v>0</v>
      </c>
      <c r="HW100" s="3">
        <v>0</v>
      </c>
      <c r="HX100" s="3">
        <v>0</v>
      </c>
      <c r="HY100" s="3">
        <v>0</v>
      </c>
      <c r="HZ100" s="3">
        <v>0</v>
      </c>
      <c r="IA100" s="3">
        <v>0</v>
      </c>
      <c r="IB100" s="3">
        <v>0</v>
      </c>
      <c r="IC100" s="3">
        <v>0</v>
      </c>
      <c r="ID100" s="3">
        <v>0</v>
      </c>
      <c r="IE100" s="3">
        <v>0</v>
      </c>
      <c r="IF100" s="3">
        <v>0</v>
      </c>
      <c r="IG100" s="3">
        <v>0</v>
      </c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6"/>
    </row>
    <row r="101" spans="1:258" hidden="1">
      <c r="A101" s="97" t="s">
        <v>1381</v>
      </c>
      <c r="B101" s="98" t="s">
        <v>20</v>
      </c>
      <c r="C101" s="98" t="s">
        <v>227</v>
      </c>
      <c r="D101" s="99" t="s">
        <v>1143</v>
      </c>
      <c r="E101" s="98" t="s">
        <v>1387</v>
      </c>
      <c r="F101" s="98" t="s">
        <v>1387</v>
      </c>
      <c r="G101" s="98" t="s">
        <v>1384</v>
      </c>
      <c r="H101" s="98" t="s">
        <v>1385</v>
      </c>
      <c r="I101" s="98" t="s">
        <v>1385</v>
      </c>
      <c r="J101" s="98" t="s">
        <v>1386</v>
      </c>
      <c r="K101" s="98" t="s">
        <v>1127</v>
      </c>
      <c r="L101" s="98" t="s">
        <v>256</v>
      </c>
      <c r="M101" s="101" t="s">
        <v>52</v>
      </c>
      <c r="N101" s="108">
        <v>45941</v>
      </c>
      <c r="O101" s="100">
        <v>0</v>
      </c>
      <c r="P101" s="69">
        <v>0</v>
      </c>
      <c r="Q101" s="69">
        <f>IFERROR(IF(OR(AI101&gt;0),1,0),0)</f>
        <v>0</v>
      </c>
      <c r="R101" s="69">
        <f t="shared" ref="R101" si="1081">IFERROR(IF(OR(BA101&gt;0),1,0),0)</f>
        <v>0</v>
      </c>
      <c r="S101" s="69">
        <f>IFERROR(IF(OR(BP101&gt;0),1,0),0)</f>
        <v>0</v>
      </c>
      <c r="T101" s="69">
        <f t="shared" ref="T101" si="1082">IFERROR(IF(OR(CH101&gt;0),1,0),0)</f>
        <v>0</v>
      </c>
      <c r="U101" s="69">
        <f t="shared" ref="U101" si="1083">IFERROR(IF(OR(BA101&gt;0,CH101&gt;0),1,0),0)</f>
        <v>0</v>
      </c>
      <c r="V101" s="70">
        <f t="shared" ref="V101" si="1084">GO101</f>
        <v>0</v>
      </c>
      <c r="W101" s="71">
        <f t="shared" ref="W101" si="1085">GP101</f>
        <v>0</v>
      </c>
      <c r="X101" s="71">
        <f t="shared" ref="X101" si="1086">GQ101</f>
        <v>0</v>
      </c>
      <c r="Y101" s="71">
        <f t="shared" ref="Y101" si="1087">GR101</f>
        <v>0</v>
      </c>
      <c r="Z101" s="71">
        <f t="shared" ref="Z101" si="1088">GS101</f>
        <v>0</v>
      </c>
      <c r="AA101" s="71">
        <f t="shared" ref="AA101" si="1089">GT101</f>
        <v>0</v>
      </c>
      <c r="AB101" s="71">
        <f t="shared" ref="AB101" si="1090">GU101</f>
        <v>0</v>
      </c>
      <c r="AC101" s="71">
        <f t="shared" ref="AC101" si="1091">GV101</f>
        <v>0</v>
      </c>
      <c r="AD101" s="71">
        <f t="shared" ref="AD101" si="1092">GW101</f>
        <v>0</v>
      </c>
      <c r="AE101" s="71">
        <f t="shared" ref="AE101" si="1093">GX101</f>
        <v>0</v>
      </c>
      <c r="AF101" s="71">
        <f t="shared" ref="AF101" si="1094">GY101</f>
        <v>0</v>
      </c>
      <c r="AG101" s="71">
        <f t="shared" ref="AG101" si="1095">GZ101</f>
        <v>0</v>
      </c>
      <c r="AH101" s="71">
        <f t="shared" ref="AH101" si="1096">HA101</f>
        <v>0</v>
      </c>
      <c r="AI101" s="71">
        <f t="shared" ref="AI101" si="1097">HB101</f>
        <v>0</v>
      </c>
      <c r="AJ101" s="71">
        <f t="shared" ref="AJ101" si="1098">HC101</f>
        <v>0</v>
      </c>
      <c r="AK101" s="71">
        <f t="shared" ref="AK101" si="1099">HD101</f>
        <v>0</v>
      </c>
      <c r="AL101" s="71">
        <f t="shared" ref="AL101" si="1100">HE101</f>
        <v>0</v>
      </c>
      <c r="AM101" s="71">
        <f t="shared" ref="AM101" si="1101">HF101</f>
        <v>0</v>
      </c>
      <c r="AN101" s="71">
        <f t="shared" ref="AN101" si="1102">HG101</f>
        <v>0</v>
      </c>
      <c r="AO101" s="71">
        <f t="shared" ref="AO101" si="1103">HH101</f>
        <v>0</v>
      </c>
      <c r="AP101" s="71">
        <f t="shared" ref="AP101" si="1104">HI101</f>
        <v>0</v>
      </c>
      <c r="AQ101" s="71">
        <f t="shared" ref="AQ101" si="1105">HJ101</f>
        <v>0</v>
      </c>
      <c r="AR101" s="71">
        <f t="shared" ref="AR101" si="1106">HK101</f>
        <v>0</v>
      </c>
      <c r="AS101" s="71">
        <f t="shared" ref="AS101" si="1107">HL101</f>
        <v>0</v>
      </c>
      <c r="AT101" s="71">
        <f t="shared" ref="AT101" si="1108">HM101</f>
        <v>0</v>
      </c>
      <c r="AU101" s="71">
        <f t="shared" ref="AU101" si="1109">HN101</f>
        <v>0</v>
      </c>
      <c r="AV101" s="71">
        <f t="shared" ref="AV101" si="1110">HO101</f>
        <v>0</v>
      </c>
      <c r="AW101" s="71">
        <f t="shared" ref="AW101" si="1111">HP101</f>
        <v>0</v>
      </c>
      <c r="AX101" s="71">
        <f t="shared" ref="AX101" si="1112">HQ101</f>
        <v>0</v>
      </c>
      <c r="AY101" s="71">
        <f t="shared" ref="AY101" si="1113">HR101</f>
        <v>0</v>
      </c>
      <c r="AZ101" s="72">
        <f t="shared" ref="AZ101" si="1114">HS101</f>
        <v>0</v>
      </c>
      <c r="BA101" s="70">
        <f t="shared" si="733"/>
        <v>0</v>
      </c>
      <c r="BB101" s="69">
        <f t="shared" ca="1" si="869"/>
        <v>0</v>
      </c>
      <c r="BC101" s="70">
        <f t="shared" ref="BC101" si="1115">HT101</f>
        <v>0</v>
      </c>
      <c r="BD101" s="71">
        <f t="shared" ref="BD101" si="1116">HU101</f>
        <v>0</v>
      </c>
      <c r="BE101" s="71">
        <f t="shared" ref="BE101" si="1117">HV101</f>
        <v>0</v>
      </c>
      <c r="BF101" s="71">
        <f t="shared" ref="BF101" si="1118">HW101</f>
        <v>0</v>
      </c>
      <c r="BG101" s="71">
        <f t="shared" ref="BG101" si="1119">HX101</f>
        <v>0</v>
      </c>
      <c r="BH101" s="71">
        <f t="shared" ref="BH101" si="1120">HY101</f>
        <v>0</v>
      </c>
      <c r="BI101" s="71">
        <f t="shared" ref="BI101" si="1121">HZ101</f>
        <v>0</v>
      </c>
      <c r="BJ101" s="71">
        <f t="shared" ref="BJ101" si="1122">IA101</f>
        <v>0</v>
      </c>
      <c r="BK101" s="71">
        <f t="shared" ref="BK101" si="1123">IB101</f>
        <v>0</v>
      </c>
      <c r="BL101" s="71">
        <f t="shared" ref="BL101" si="1124">IC101</f>
        <v>0</v>
      </c>
      <c r="BM101" s="71">
        <f t="shared" ref="BM101" si="1125">ID101</f>
        <v>0</v>
      </c>
      <c r="BN101" s="71">
        <f t="shared" ref="BN101" si="1126">IE101</f>
        <v>0</v>
      </c>
      <c r="BO101" s="71">
        <f t="shared" ref="BO101" si="1127">IF101</f>
        <v>0</v>
      </c>
      <c r="BP101" s="71">
        <f t="shared" ref="BP101" si="1128">IG101</f>
        <v>0</v>
      </c>
      <c r="BQ101" s="71">
        <f t="shared" ref="BQ101" si="1129">IH101</f>
        <v>0</v>
      </c>
      <c r="BR101" s="71">
        <f t="shared" ref="BR101" si="1130">II101</f>
        <v>0</v>
      </c>
      <c r="BS101" s="71">
        <f t="shared" ref="BS101" si="1131">IJ101</f>
        <v>0</v>
      </c>
      <c r="BT101" s="71">
        <f t="shared" ref="BT101" si="1132">IK101</f>
        <v>0</v>
      </c>
      <c r="BU101" s="71">
        <f t="shared" ref="BU101" si="1133">IL101</f>
        <v>0</v>
      </c>
      <c r="BV101" s="71">
        <f t="shared" ref="BV101" si="1134">IM101</f>
        <v>0</v>
      </c>
      <c r="BW101" s="71">
        <f t="shared" ref="BW101" si="1135">IN101</f>
        <v>0</v>
      </c>
      <c r="BX101" s="71">
        <f t="shared" ref="BX101" si="1136">IO101</f>
        <v>0</v>
      </c>
      <c r="BY101" s="71">
        <f t="shared" ref="BY101" si="1137">IP101</f>
        <v>0</v>
      </c>
      <c r="BZ101" s="71">
        <f t="shared" ref="BZ101" si="1138">IQ101</f>
        <v>0</v>
      </c>
      <c r="CA101" s="71">
        <f t="shared" ref="CA101" si="1139">IR101</f>
        <v>0</v>
      </c>
      <c r="CB101" s="71">
        <f t="shared" ref="CB101" si="1140">IS101</f>
        <v>0</v>
      </c>
      <c r="CC101" s="71">
        <f t="shared" ref="CC101" si="1141">IT101</f>
        <v>0</v>
      </c>
      <c r="CD101" s="71">
        <f t="shared" ref="CD101" si="1142">IU101</f>
        <v>0</v>
      </c>
      <c r="CE101" s="71">
        <f t="shared" ref="CE101" si="1143">IV101</f>
        <v>0</v>
      </c>
      <c r="CF101" s="71">
        <f t="shared" ref="CF101" si="1144">IW101</f>
        <v>0</v>
      </c>
      <c r="CG101" s="71">
        <f t="shared" ref="CG101" si="1145">IX101</f>
        <v>0</v>
      </c>
      <c r="CH101" s="70">
        <f t="shared" si="870"/>
        <v>0</v>
      </c>
      <c r="CI101" s="69">
        <f t="shared" ca="1" si="871"/>
        <v>0</v>
      </c>
      <c r="GM101" s="2" t="s">
        <v>16</v>
      </c>
      <c r="GN101" s="98" t="str">
        <f>F101</f>
        <v>QTA01-FMCG01-ASMTE-01</v>
      </c>
      <c r="GO101" s="4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6"/>
      <c r="HT101" s="4">
        <v>0</v>
      </c>
      <c r="HU101" s="3">
        <v>0</v>
      </c>
      <c r="HV101" s="3">
        <v>0</v>
      </c>
      <c r="HW101" s="3">
        <v>0</v>
      </c>
      <c r="HX101" s="3">
        <v>0</v>
      </c>
      <c r="HY101" s="3">
        <v>0</v>
      </c>
      <c r="HZ101" s="3">
        <v>0</v>
      </c>
      <c r="IA101" s="3">
        <v>0</v>
      </c>
      <c r="IB101" s="3">
        <v>0</v>
      </c>
      <c r="IC101" s="3">
        <v>0</v>
      </c>
      <c r="ID101" s="3">
        <v>0</v>
      </c>
      <c r="IE101" s="3">
        <v>0</v>
      </c>
      <c r="IF101" s="3">
        <v>0</v>
      </c>
      <c r="IG101" s="3">
        <v>0</v>
      </c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6"/>
    </row>
    <row r="102" spans="1:258" hidden="1">
      <c r="A102" s="97" t="s">
        <v>1381</v>
      </c>
      <c r="B102" s="98" t="s">
        <v>20</v>
      </c>
      <c r="C102" s="98" t="s">
        <v>227</v>
      </c>
      <c r="D102" s="99" t="s">
        <v>1148</v>
      </c>
      <c r="E102" s="98" t="s">
        <v>293</v>
      </c>
      <c r="F102" s="98" t="s">
        <v>1388</v>
      </c>
      <c r="G102" s="98" t="s">
        <v>1382</v>
      </c>
      <c r="H102" s="98" t="s">
        <v>1383</v>
      </c>
      <c r="I102" s="98" t="s">
        <v>1383</v>
      </c>
      <c r="J102" s="98" t="s">
        <v>1150</v>
      </c>
      <c r="K102" s="98" t="s">
        <v>1127</v>
      </c>
      <c r="L102" s="98" t="s">
        <v>296</v>
      </c>
      <c r="M102" s="101" t="s">
        <v>52</v>
      </c>
      <c r="N102" s="108">
        <v>45139</v>
      </c>
      <c r="O102" s="100">
        <v>0</v>
      </c>
      <c r="P102" s="69">
        <v>0</v>
      </c>
      <c r="Q102" s="69">
        <f>IFERROR(IF(OR(AI102&gt;0),1,0),0)</f>
        <v>0</v>
      </c>
      <c r="R102" s="69">
        <f t="shared" ref="R102" si="1146">IFERROR(IF(OR(BA102&gt;0),1,0),0)</f>
        <v>1</v>
      </c>
      <c r="S102" s="69">
        <f>IFERROR(IF(OR(BP102&gt;0),1,0),0)</f>
        <v>0</v>
      </c>
      <c r="T102" s="69">
        <f t="shared" ref="T102" si="1147">IFERROR(IF(OR(CH102&gt;0),1,0),0)</f>
        <v>0</v>
      </c>
      <c r="U102" s="69">
        <f t="shared" ref="U102" si="1148">IFERROR(IF(OR(BA102&gt;0,CH102&gt;0),1,0),0)</f>
        <v>1</v>
      </c>
      <c r="V102" s="70">
        <f t="shared" ref="V102" si="1149">GO102</f>
        <v>1</v>
      </c>
      <c r="W102" s="71">
        <f t="shared" ref="W102" si="1150">GP102</f>
        <v>0</v>
      </c>
      <c r="X102" s="71">
        <f t="shared" ref="X102" si="1151">GQ102</f>
        <v>1</v>
      </c>
      <c r="Y102" s="71">
        <f t="shared" ref="Y102" si="1152">GR102</f>
        <v>1</v>
      </c>
      <c r="Z102" s="71">
        <f t="shared" ref="Z102" si="1153">GS102</f>
        <v>0</v>
      </c>
      <c r="AA102" s="71">
        <f t="shared" ref="AA102" si="1154">GT102</f>
        <v>1</v>
      </c>
      <c r="AB102" s="71">
        <f t="shared" ref="AB102" si="1155">GU102</f>
        <v>0</v>
      </c>
      <c r="AC102" s="71">
        <f t="shared" ref="AC102" si="1156">GV102</f>
        <v>0</v>
      </c>
      <c r="AD102" s="71">
        <f t="shared" ref="AD102" si="1157">GW102</f>
        <v>0</v>
      </c>
      <c r="AE102" s="71">
        <f t="shared" ref="AE102" si="1158">GX102</f>
        <v>0</v>
      </c>
      <c r="AF102" s="71">
        <f t="shared" ref="AF102" si="1159">GY102</f>
        <v>0</v>
      </c>
      <c r="AG102" s="71">
        <f t="shared" ref="AG102" si="1160">GZ102</f>
        <v>0</v>
      </c>
      <c r="AH102" s="71">
        <f t="shared" ref="AH102" si="1161">HA102</f>
        <v>0</v>
      </c>
      <c r="AI102" s="71">
        <f t="shared" ref="AI102" si="1162">HB102</f>
        <v>0</v>
      </c>
      <c r="AJ102" s="71">
        <f t="shared" ref="AJ102" si="1163">HC102</f>
        <v>0</v>
      </c>
      <c r="AK102" s="71">
        <f t="shared" ref="AK102" si="1164">HD102</f>
        <v>0</v>
      </c>
      <c r="AL102" s="71">
        <f t="shared" ref="AL102" si="1165">HE102</f>
        <v>0</v>
      </c>
      <c r="AM102" s="71">
        <f t="shared" ref="AM102" si="1166">HF102</f>
        <v>0</v>
      </c>
      <c r="AN102" s="71">
        <f t="shared" ref="AN102" si="1167">HG102</f>
        <v>0</v>
      </c>
      <c r="AO102" s="71">
        <f t="shared" ref="AO102" si="1168">HH102</f>
        <v>0</v>
      </c>
      <c r="AP102" s="71">
        <f t="shared" ref="AP102" si="1169">HI102</f>
        <v>0</v>
      </c>
      <c r="AQ102" s="71">
        <f t="shared" ref="AQ102" si="1170">HJ102</f>
        <v>0</v>
      </c>
      <c r="AR102" s="71">
        <f t="shared" ref="AR102" si="1171">HK102</f>
        <v>0</v>
      </c>
      <c r="AS102" s="71">
        <f t="shared" ref="AS102" si="1172">HL102</f>
        <v>0</v>
      </c>
      <c r="AT102" s="71">
        <f t="shared" ref="AT102" si="1173">HM102</f>
        <v>0</v>
      </c>
      <c r="AU102" s="71">
        <f t="shared" ref="AU102" si="1174">HN102</f>
        <v>0</v>
      </c>
      <c r="AV102" s="71">
        <f t="shared" ref="AV102" si="1175">HO102</f>
        <v>0</v>
      </c>
      <c r="AW102" s="71">
        <f t="shared" ref="AW102" si="1176">HP102</f>
        <v>0</v>
      </c>
      <c r="AX102" s="71">
        <f t="shared" ref="AX102" si="1177">HQ102</f>
        <v>0</v>
      </c>
      <c r="AY102" s="71">
        <f t="shared" ref="AY102" si="1178">HR102</f>
        <v>0</v>
      </c>
      <c r="AZ102" s="72">
        <f t="shared" ref="AZ102" si="1179">HS102</f>
        <v>0</v>
      </c>
      <c r="BA102" s="70">
        <f t="shared" si="733"/>
        <v>4</v>
      </c>
      <c r="BB102" s="69">
        <f t="shared" ca="1" si="869"/>
        <v>0</v>
      </c>
      <c r="BC102" s="70">
        <f t="shared" ref="BC102" si="1180">HT102</f>
        <v>0</v>
      </c>
      <c r="BD102" s="71">
        <f t="shared" ref="BD102" si="1181">HU102</f>
        <v>0</v>
      </c>
      <c r="BE102" s="71">
        <f t="shared" ref="BE102" si="1182">HV102</f>
        <v>0</v>
      </c>
      <c r="BF102" s="71">
        <f t="shared" ref="BF102" si="1183">HW102</f>
        <v>0</v>
      </c>
      <c r="BG102" s="71">
        <f t="shared" ref="BG102" si="1184">HX102</f>
        <v>0</v>
      </c>
      <c r="BH102" s="71">
        <f t="shared" ref="BH102" si="1185">HY102</f>
        <v>0</v>
      </c>
      <c r="BI102" s="71">
        <f t="shared" ref="BI102" si="1186">HZ102</f>
        <v>0</v>
      </c>
      <c r="BJ102" s="71">
        <f t="shared" ref="BJ102" si="1187">IA102</f>
        <v>0</v>
      </c>
      <c r="BK102" s="71">
        <f t="shared" ref="BK102" si="1188">IB102</f>
        <v>0</v>
      </c>
      <c r="BL102" s="71">
        <f t="shared" ref="BL102" si="1189">IC102</f>
        <v>0</v>
      </c>
      <c r="BM102" s="71">
        <f t="shared" ref="BM102" si="1190">ID102</f>
        <v>0</v>
      </c>
      <c r="BN102" s="71">
        <f t="shared" ref="BN102" si="1191">IE102</f>
        <v>0</v>
      </c>
      <c r="BO102" s="71">
        <f t="shared" ref="BO102" si="1192">IF102</f>
        <v>0</v>
      </c>
      <c r="BP102" s="71">
        <f t="shared" ref="BP102" si="1193">IG102</f>
        <v>0</v>
      </c>
      <c r="BQ102" s="71">
        <f t="shared" ref="BQ102" si="1194">IH102</f>
        <v>0</v>
      </c>
      <c r="BR102" s="71">
        <f t="shared" ref="BR102" si="1195">II102</f>
        <v>0</v>
      </c>
      <c r="BS102" s="71">
        <f t="shared" ref="BS102" si="1196">IJ102</f>
        <v>0</v>
      </c>
      <c r="BT102" s="71">
        <f t="shared" ref="BT102" si="1197">IK102</f>
        <v>0</v>
      </c>
      <c r="BU102" s="71">
        <f t="shared" ref="BU102" si="1198">IL102</f>
        <v>0</v>
      </c>
      <c r="BV102" s="71">
        <f t="shared" ref="BV102" si="1199">IM102</f>
        <v>0</v>
      </c>
      <c r="BW102" s="71">
        <f t="shared" ref="BW102" si="1200">IN102</f>
        <v>0</v>
      </c>
      <c r="BX102" s="71">
        <f t="shared" ref="BX102" si="1201">IO102</f>
        <v>0</v>
      </c>
      <c r="BY102" s="71">
        <f t="shared" ref="BY102" si="1202">IP102</f>
        <v>0</v>
      </c>
      <c r="BZ102" s="71">
        <f t="shared" ref="BZ102" si="1203">IQ102</f>
        <v>0</v>
      </c>
      <c r="CA102" s="71">
        <f t="shared" ref="CA102" si="1204">IR102</f>
        <v>0</v>
      </c>
      <c r="CB102" s="71">
        <f t="shared" ref="CB102" si="1205">IS102</f>
        <v>0</v>
      </c>
      <c r="CC102" s="71">
        <f t="shared" ref="CC102" si="1206">IT102</f>
        <v>0</v>
      </c>
      <c r="CD102" s="71">
        <f t="shared" ref="CD102" si="1207">IU102</f>
        <v>0</v>
      </c>
      <c r="CE102" s="71">
        <f t="shared" ref="CE102" si="1208">IV102</f>
        <v>0</v>
      </c>
      <c r="CF102" s="71">
        <f t="shared" ref="CF102" si="1209">IW102</f>
        <v>0</v>
      </c>
      <c r="CG102" s="71">
        <f t="shared" ref="CG102" si="1210">IX102</f>
        <v>0</v>
      </c>
      <c r="CH102" s="70">
        <f t="shared" si="870"/>
        <v>0</v>
      </c>
      <c r="CI102" s="69">
        <f t="shared" ca="1" si="871"/>
        <v>0</v>
      </c>
      <c r="GM102" s="2" t="s">
        <v>16</v>
      </c>
      <c r="GN102" s="98" t="str">
        <f>F102</f>
        <v>LRK01-FMCG01-ASMTE-01</v>
      </c>
      <c r="GO102" s="4">
        <v>1</v>
      </c>
      <c r="GP102" s="3">
        <v>0</v>
      </c>
      <c r="GQ102" s="3">
        <v>1</v>
      </c>
      <c r="GR102" s="3">
        <v>1</v>
      </c>
      <c r="GS102" s="3">
        <v>0</v>
      </c>
      <c r="GT102" s="3">
        <v>1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6"/>
      <c r="HT102" s="4">
        <v>0</v>
      </c>
      <c r="HU102" s="3">
        <v>0</v>
      </c>
      <c r="HV102" s="3">
        <v>0</v>
      </c>
      <c r="HW102" s="3">
        <v>0</v>
      </c>
      <c r="HX102" s="3">
        <v>0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6"/>
    </row>
    <row r="103" spans="1:258" hidden="1">
      <c r="A103" s="97" t="s">
        <v>1288</v>
      </c>
      <c r="B103" s="98" t="s">
        <v>20</v>
      </c>
      <c r="C103" s="98" t="s">
        <v>227</v>
      </c>
      <c r="D103" s="99" t="s">
        <v>1152</v>
      </c>
      <c r="E103" s="98" t="s">
        <v>1153</v>
      </c>
      <c r="F103" s="98" t="s">
        <v>1154</v>
      </c>
      <c r="G103" s="98" t="s">
        <v>297</v>
      </c>
      <c r="H103" s="98" t="s">
        <v>1468</v>
      </c>
      <c r="I103" s="98" t="s">
        <v>1468</v>
      </c>
      <c r="J103" s="98" t="s">
        <v>1155</v>
      </c>
      <c r="K103" s="98" t="s">
        <v>1156</v>
      </c>
      <c r="L103" s="98" t="s">
        <v>298</v>
      </c>
      <c r="M103" s="98" t="s">
        <v>1093</v>
      </c>
      <c r="N103" s="108">
        <v>45475</v>
      </c>
      <c r="O103" s="100">
        <v>1</v>
      </c>
      <c r="P103" s="69">
        <v>0</v>
      </c>
      <c r="Q103" s="69">
        <f>IFERROR(IF(OR(AI103&gt;0),1,0),0)</f>
        <v>1</v>
      </c>
      <c r="R103" s="69">
        <f t="shared" ref="R103:R105" si="1211">IFERROR(IF(OR(BA103&gt;0),1,0),0)</f>
        <v>1</v>
      </c>
      <c r="S103" s="69">
        <f>IFERROR(IF(OR(BP103&gt;0),1,0),0)</f>
        <v>0</v>
      </c>
      <c r="T103" s="69">
        <f t="shared" ref="T103:T105" si="1212">IFERROR(IF(OR(CH103&gt;0),1,0),0)</f>
        <v>0</v>
      </c>
      <c r="U103" s="69">
        <f t="shared" ref="U103:U105" si="1213">IFERROR(IF(OR(BA103&gt;0,CH103&gt;0),1,0),0)</f>
        <v>1</v>
      </c>
      <c r="V103" s="70">
        <f t="shared" ref="V103:V105" si="1214">GO103</f>
        <v>1</v>
      </c>
      <c r="W103" s="71">
        <f t="shared" ref="W103:W105" si="1215">GP103</f>
        <v>0</v>
      </c>
      <c r="X103" s="71">
        <f t="shared" ref="X103:X105" si="1216">GQ103</f>
        <v>1</v>
      </c>
      <c r="Y103" s="71">
        <f t="shared" ref="Y103:Y105" si="1217">GR103</f>
        <v>1</v>
      </c>
      <c r="Z103" s="71">
        <f t="shared" ref="Z103:Z105" si="1218">GS103</f>
        <v>1</v>
      </c>
      <c r="AA103" s="71">
        <f t="shared" ref="AA103:AA105" si="1219">GT103</f>
        <v>1</v>
      </c>
      <c r="AB103" s="71">
        <f t="shared" ref="AB103:AB105" si="1220">GU103</f>
        <v>1</v>
      </c>
      <c r="AC103" s="71">
        <f t="shared" ref="AC103:AC105" si="1221">GV103</f>
        <v>1</v>
      </c>
      <c r="AD103" s="71">
        <f t="shared" ref="AD103:AD105" si="1222">GW103</f>
        <v>0</v>
      </c>
      <c r="AE103" s="71">
        <f t="shared" ref="AE103:AE105" si="1223">GX103</f>
        <v>1</v>
      </c>
      <c r="AF103" s="71">
        <f t="shared" ref="AF103:AF105" si="1224">GY103</f>
        <v>1</v>
      </c>
      <c r="AG103" s="71">
        <f t="shared" ref="AG103:AG105" si="1225">GZ103</f>
        <v>1</v>
      </c>
      <c r="AH103" s="71">
        <f t="shared" ref="AH103:AH105" si="1226">HA103</f>
        <v>1</v>
      </c>
      <c r="AI103" s="71">
        <f t="shared" ref="AI103:AI105" si="1227">HB103</f>
        <v>1</v>
      </c>
      <c r="AJ103" s="71">
        <f t="shared" ref="AJ103:AJ105" si="1228">HC103</f>
        <v>0</v>
      </c>
      <c r="AK103" s="71">
        <f t="shared" ref="AK103:AK105" si="1229">HD103</f>
        <v>0</v>
      </c>
      <c r="AL103" s="71">
        <f t="shared" ref="AL103:AL105" si="1230">HE103</f>
        <v>0</v>
      </c>
      <c r="AM103" s="71">
        <f t="shared" ref="AM103:AM105" si="1231">HF103</f>
        <v>0</v>
      </c>
      <c r="AN103" s="71">
        <f t="shared" ref="AN103:AN105" si="1232">HG103</f>
        <v>0</v>
      </c>
      <c r="AO103" s="71">
        <f t="shared" ref="AO103:AO105" si="1233">HH103</f>
        <v>0</v>
      </c>
      <c r="AP103" s="71">
        <f t="shared" ref="AP103:AP105" si="1234">HI103</f>
        <v>0</v>
      </c>
      <c r="AQ103" s="71">
        <f t="shared" ref="AQ103:AQ105" si="1235">HJ103</f>
        <v>0</v>
      </c>
      <c r="AR103" s="71">
        <f t="shared" ref="AR103:AR105" si="1236">HK103</f>
        <v>0</v>
      </c>
      <c r="AS103" s="71">
        <f t="shared" ref="AS103:AS105" si="1237">HL103</f>
        <v>0</v>
      </c>
      <c r="AT103" s="71">
        <f t="shared" ref="AT103:AT105" si="1238">HM103</f>
        <v>0</v>
      </c>
      <c r="AU103" s="71">
        <f t="shared" ref="AU103:AU105" si="1239">HN103</f>
        <v>0</v>
      </c>
      <c r="AV103" s="71">
        <f t="shared" ref="AV103:AV105" si="1240">HO103</f>
        <v>0</v>
      </c>
      <c r="AW103" s="71">
        <f t="shared" ref="AW103:AW105" si="1241">HP103</f>
        <v>0</v>
      </c>
      <c r="AX103" s="71">
        <f t="shared" ref="AX103:AX105" si="1242">HQ103</f>
        <v>0</v>
      </c>
      <c r="AY103" s="71">
        <f t="shared" ref="AY103:AY105" si="1243">HR103</f>
        <v>0</v>
      </c>
      <c r="AZ103" s="72">
        <f t="shared" ref="AZ103:AZ105" si="1244">HS103</f>
        <v>0</v>
      </c>
      <c r="BA103" s="70">
        <f t="shared" si="733"/>
        <v>12</v>
      </c>
      <c r="BB103" s="69">
        <f t="shared" ca="1" si="869"/>
        <v>0.92307692307692313</v>
      </c>
      <c r="BC103" s="70">
        <f t="shared" ref="BC103:BC105" si="1245">HT103</f>
        <v>0</v>
      </c>
      <c r="BD103" s="71">
        <f t="shared" ref="BD103:BD105" si="1246">HU103</f>
        <v>0</v>
      </c>
      <c r="BE103" s="71">
        <f t="shared" ref="BE103:BE105" si="1247">HV103</f>
        <v>0</v>
      </c>
      <c r="BF103" s="71">
        <f t="shared" ref="BF103:BF105" si="1248">HW103</f>
        <v>0</v>
      </c>
      <c r="BG103" s="71">
        <f t="shared" ref="BG103:BG105" si="1249">HX103</f>
        <v>0</v>
      </c>
      <c r="BH103" s="71">
        <f t="shared" ref="BH103:BH105" si="1250">HY103</f>
        <v>0</v>
      </c>
      <c r="BI103" s="71">
        <f t="shared" ref="BI103:BI105" si="1251">HZ103</f>
        <v>0</v>
      </c>
      <c r="BJ103" s="71">
        <f t="shared" ref="BJ103:BJ105" si="1252">IA103</f>
        <v>0</v>
      </c>
      <c r="BK103" s="71">
        <f t="shared" ref="BK103:BK105" si="1253">IB103</f>
        <v>0</v>
      </c>
      <c r="BL103" s="71">
        <f t="shared" ref="BL103:BL105" si="1254">IC103</f>
        <v>0</v>
      </c>
      <c r="BM103" s="71">
        <f t="shared" ref="BM103:BM105" si="1255">ID103</f>
        <v>0</v>
      </c>
      <c r="BN103" s="71">
        <f t="shared" ref="BN103:BN105" si="1256">IE103</f>
        <v>0</v>
      </c>
      <c r="BO103" s="71">
        <f t="shared" ref="BO103:BO105" si="1257">IF103</f>
        <v>0</v>
      </c>
      <c r="BP103" s="71">
        <f t="shared" ref="BP103:BP105" si="1258">IG103</f>
        <v>0</v>
      </c>
      <c r="BQ103" s="71">
        <f t="shared" ref="BQ103:BQ105" si="1259">IH103</f>
        <v>0</v>
      </c>
      <c r="BR103" s="71">
        <f t="shared" ref="BR103:BR105" si="1260">II103</f>
        <v>0</v>
      </c>
      <c r="BS103" s="71">
        <f t="shared" ref="BS103:BS105" si="1261">IJ103</f>
        <v>0</v>
      </c>
      <c r="BT103" s="71">
        <f t="shared" ref="BT103:BT105" si="1262">IK103</f>
        <v>0</v>
      </c>
      <c r="BU103" s="71">
        <f t="shared" ref="BU103:BU105" si="1263">IL103</f>
        <v>0</v>
      </c>
      <c r="BV103" s="71">
        <f t="shared" ref="BV103:BV105" si="1264">IM103</f>
        <v>0</v>
      </c>
      <c r="BW103" s="71">
        <f t="shared" ref="BW103:BW105" si="1265">IN103</f>
        <v>0</v>
      </c>
      <c r="BX103" s="71">
        <f t="shared" ref="BX103:BX105" si="1266">IO103</f>
        <v>0</v>
      </c>
      <c r="BY103" s="71">
        <f t="shared" ref="BY103:BY105" si="1267">IP103</f>
        <v>0</v>
      </c>
      <c r="BZ103" s="71">
        <f t="shared" ref="BZ103:BZ105" si="1268">IQ103</f>
        <v>0</v>
      </c>
      <c r="CA103" s="71">
        <f t="shared" ref="CA103:CA105" si="1269">IR103</f>
        <v>0</v>
      </c>
      <c r="CB103" s="71">
        <f t="shared" ref="CB103:CB105" si="1270">IS103</f>
        <v>0</v>
      </c>
      <c r="CC103" s="71">
        <f t="shared" ref="CC103:CC105" si="1271">IT103</f>
        <v>0</v>
      </c>
      <c r="CD103" s="71">
        <f t="shared" ref="CD103:CD105" si="1272">IU103</f>
        <v>0</v>
      </c>
      <c r="CE103" s="71">
        <f t="shared" ref="CE103:CE105" si="1273">IV103</f>
        <v>0</v>
      </c>
      <c r="CF103" s="71">
        <f t="shared" ref="CF103:CF105" si="1274">IW103</f>
        <v>0</v>
      </c>
      <c r="CG103" s="71">
        <f t="shared" ref="CG103:CG105" si="1275">IX103</f>
        <v>0</v>
      </c>
      <c r="CH103" s="70">
        <f t="shared" si="870"/>
        <v>0</v>
      </c>
      <c r="CI103" s="69">
        <f t="shared" ca="1" si="871"/>
        <v>0</v>
      </c>
      <c r="GM103" s="2" t="s">
        <v>16</v>
      </c>
      <c r="GN103" s="98" t="str">
        <f t="shared" si="732"/>
        <v>STH-C-FMCG01-SPOWS-01</v>
      </c>
      <c r="GO103" s="4">
        <v>1</v>
      </c>
      <c r="GP103" s="3">
        <v>0</v>
      </c>
      <c r="GQ103" s="3">
        <v>1</v>
      </c>
      <c r="GR103" s="3">
        <v>1</v>
      </c>
      <c r="GS103" s="3">
        <v>1</v>
      </c>
      <c r="GT103" s="3">
        <v>1</v>
      </c>
      <c r="GU103" s="3">
        <v>1</v>
      </c>
      <c r="GV103" s="3">
        <v>1</v>
      </c>
      <c r="GW103" s="3">
        <v>0</v>
      </c>
      <c r="GX103" s="3">
        <v>1</v>
      </c>
      <c r="GY103" s="3">
        <v>1</v>
      </c>
      <c r="GZ103" s="3">
        <v>1</v>
      </c>
      <c r="HA103" s="3">
        <v>1</v>
      </c>
      <c r="HB103" s="3">
        <v>1</v>
      </c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6"/>
      <c r="HT103" s="4">
        <v>0</v>
      </c>
      <c r="HU103" s="3">
        <v>0</v>
      </c>
      <c r="HV103" s="3">
        <v>0</v>
      </c>
      <c r="HW103" s="3">
        <v>0</v>
      </c>
      <c r="HX103" s="3">
        <v>0</v>
      </c>
      <c r="HY103" s="3">
        <v>0</v>
      </c>
      <c r="HZ103" s="3">
        <v>0</v>
      </c>
      <c r="IA103" s="3">
        <v>0</v>
      </c>
      <c r="IB103" s="3">
        <v>0</v>
      </c>
      <c r="IC103" s="3">
        <v>0</v>
      </c>
      <c r="ID103" s="3">
        <v>0</v>
      </c>
      <c r="IE103" s="3">
        <v>0</v>
      </c>
      <c r="IF103" s="3">
        <v>0</v>
      </c>
      <c r="IG103" s="3">
        <v>0</v>
      </c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6"/>
    </row>
    <row r="104" spans="1:258" hidden="1">
      <c r="A104" s="97" t="s">
        <v>1287</v>
      </c>
      <c r="B104" s="98" t="s">
        <v>20</v>
      </c>
      <c r="C104" s="98" t="s">
        <v>227</v>
      </c>
      <c r="D104" s="99" t="s">
        <v>1152</v>
      </c>
      <c r="E104" s="98" t="s">
        <v>1280</v>
      </c>
      <c r="F104" s="98" t="s">
        <v>1280</v>
      </c>
      <c r="G104" s="98" t="s">
        <v>899</v>
      </c>
      <c r="H104" s="98" t="s">
        <v>1469</v>
      </c>
      <c r="I104" s="98" t="s">
        <v>1469</v>
      </c>
      <c r="J104" s="98" t="s">
        <v>896</v>
      </c>
      <c r="K104" s="98" t="s">
        <v>1099</v>
      </c>
      <c r="L104" s="98" t="s">
        <v>1099</v>
      </c>
      <c r="M104" s="98" t="s">
        <v>1099</v>
      </c>
      <c r="N104" s="108" t="s">
        <v>1099</v>
      </c>
      <c r="O104" s="100">
        <v>0</v>
      </c>
      <c r="P104" s="69">
        <v>0</v>
      </c>
      <c r="Q104" s="69">
        <f>IFERROR(IF(OR(AI104&gt;0),1,0),0)</f>
        <v>0</v>
      </c>
      <c r="R104" s="69">
        <f t="shared" si="1211"/>
        <v>0</v>
      </c>
      <c r="S104" s="69">
        <f>IFERROR(IF(OR(BP104&gt;0),1,0),0)</f>
        <v>0</v>
      </c>
      <c r="T104" s="69">
        <f t="shared" si="1212"/>
        <v>0</v>
      </c>
      <c r="U104" s="69">
        <f t="shared" si="1213"/>
        <v>0</v>
      </c>
      <c r="V104" s="70">
        <f t="shared" si="1214"/>
        <v>0</v>
      </c>
      <c r="W104" s="71">
        <f t="shared" si="1215"/>
        <v>0</v>
      </c>
      <c r="X104" s="71">
        <f t="shared" si="1216"/>
        <v>0</v>
      </c>
      <c r="Y104" s="71">
        <f t="shared" si="1217"/>
        <v>0</v>
      </c>
      <c r="Z104" s="71">
        <f t="shared" si="1218"/>
        <v>0</v>
      </c>
      <c r="AA104" s="71">
        <f t="shared" si="1219"/>
        <v>0</v>
      </c>
      <c r="AB104" s="71">
        <f t="shared" si="1220"/>
        <v>0</v>
      </c>
      <c r="AC104" s="71">
        <f t="shared" si="1221"/>
        <v>0</v>
      </c>
      <c r="AD104" s="71">
        <f t="shared" si="1222"/>
        <v>0</v>
      </c>
      <c r="AE104" s="71">
        <f t="shared" si="1223"/>
        <v>0</v>
      </c>
      <c r="AF104" s="71">
        <f t="shared" si="1224"/>
        <v>0</v>
      </c>
      <c r="AG104" s="71">
        <f t="shared" si="1225"/>
        <v>0</v>
      </c>
      <c r="AH104" s="71">
        <f t="shared" si="1226"/>
        <v>0</v>
      </c>
      <c r="AI104" s="71">
        <f t="shared" si="1227"/>
        <v>0</v>
      </c>
      <c r="AJ104" s="71">
        <f t="shared" si="1228"/>
        <v>0</v>
      </c>
      <c r="AK104" s="71">
        <f t="shared" si="1229"/>
        <v>0</v>
      </c>
      <c r="AL104" s="71">
        <f t="shared" si="1230"/>
        <v>0</v>
      </c>
      <c r="AM104" s="71">
        <f t="shared" si="1231"/>
        <v>0</v>
      </c>
      <c r="AN104" s="71">
        <f t="shared" si="1232"/>
        <v>0</v>
      </c>
      <c r="AO104" s="71">
        <f t="shared" si="1233"/>
        <v>0</v>
      </c>
      <c r="AP104" s="71">
        <f t="shared" si="1234"/>
        <v>0</v>
      </c>
      <c r="AQ104" s="71">
        <f t="shared" si="1235"/>
        <v>0</v>
      </c>
      <c r="AR104" s="71">
        <f t="shared" si="1236"/>
        <v>0</v>
      </c>
      <c r="AS104" s="71">
        <f t="shared" si="1237"/>
        <v>0</v>
      </c>
      <c r="AT104" s="71">
        <f t="shared" si="1238"/>
        <v>0</v>
      </c>
      <c r="AU104" s="71">
        <f t="shared" si="1239"/>
        <v>0</v>
      </c>
      <c r="AV104" s="71">
        <f t="shared" si="1240"/>
        <v>0</v>
      </c>
      <c r="AW104" s="71">
        <f t="shared" si="1241"/>
        <v>0</v>
      </c>
      <c r="AX104" s="71">
        <f t="shared" si="1242"/>
        <v>0</v>
      </c>
      <c r="AY104" s="71">
        <f t="shared" si="1243"/>
        <v>0</v>
      </c>
      <c r="AZ104" s="72">
        <f t="shared" si="1244"/>
        <v>0</v>
      </c>
      <c r="BA104" s="70">
        <f t="shared" si="733"/>
        <v>0</v>
      </c>
      <c r="BB104" s="69">
        <f t="shared" ca="1" si="869"/>
        <v>0</v>
      </c>
      <c r="BC104" s="70">
        <f t="shared" si="1245"/>
        <v>0</v>
      </c>
      <c r="BD104" s="71">
        <f t="shared" si="1246"/>
        <v>0</v>
      </c>
      <c r="BE104" s="71">
        <f t="shared" si="1247"/>
        <v>0</v>
      </c>
      <c r="BF104" s="71">
        <f t="shared" si="1248"/>
        <v>0</v>
      </c>
      <c r="BG104" s="71">
        <f t="shared" si="1249"/>
        <v>0</v>
      </c>
      <c r="BH104" s="71">
        <f t="shared" si="1250"/>
        <v>0</v>
      </c>
      <c r="BI104" s="71">
        <f t="shared" si="1251"/>
        <v>0</v>
      </c>
      <c r="BJ104" s="71">
        <f t="shared" si="1252"/>
        <v>0</v>
      </c>
      <c r="BK104" s="71">
        <f t="shared" si="1253"/>
        <v>0</v>
      </c>
      <c r="BL104" s="71">
        <f t="shared" si="1254"/>
        <v>0</v>
      </c>
      <c r="BM104" s="71">
        <f t="shared" si="1255"/>
        <v>0</v>
      </c>
      <c r="BN104" s="71">
        <f t="shared" si="1256"/>
        <v>0</v>
      </c>
      <c r="BO104" s="71">
        <f t="shared" si="1257"/>
        <v>0</v>
      </c>
      <c r="BP104" s="71">
        <f t="shared" si="1258"/>
        <v>0</v>
      </c>
      <c r="BQ104" s="71">
        <f t="shared" si="1259"/>
        <v>0</v>
      </c>
      <c r="BR104" s="71">
        <f t="shared" si="1260"/>
        <v>0</v>
      </c>
      <c r="BS104" s="71">
        <f t="shared" si="1261"/>
        <v>0</v>
      </c>
      <c r="BT104" s="71">
        <f t="shared" si="1262"/>
        <v>0</v>
      </c>
      <c r="BU104" s="71">
        <f t="shared" si="1263"/>
        <v>0</v>
      </c>
      <c r="BV104" s="71">
        <f t="shared" si="1264"/>
        <v>0</v>
      </c>
      <c r="BW104" s="71">
        <f t="shared" si="1265"/>
        <v>0</v>
      </c>
      <c r="BX104" s="71">
        <f t="shared" si="1266"/>
        <v>0</v>
      </c>
      <c r="BY104" s="71">
        <f t="shared" si="1267"/>
        <v>0</v>
      </c>
      <c r="BZ104" s="71">
        <f t="shared" si="1268"/>
        <v>0</v>
      </c>
      <c r="CA104" s="71">
        <f t="shared" si="1269"/>
        <v>0</v>
      </c>
      <c r="CB104" s="71">
        <f t="shared" si="1270"/>
        <v>0</v>
      </c>
      <c r="CC104" s="71">
        <f t="shared" si="1271"/>
        <v>0</v>
      </c>
      <c r="CD104" s="71">
        <f t="shared" si="1272"/>
        <v>0</v>
      </c>
      <c r="CE104" s="71">
        <f t="shared" si="1273"/>
        <v>0</v>
      </c>
      <c r="CF104" s="71">
        <f t="shared" si="1274"/>
        <v>0</v>
      </c>
      <c r="CG104" s="71">
        <f t="shared" si="1275"/>
        <v>0</v>
      </c>
      <c r="CH104" s="70">
        <f t="shared" si="870"/>
        <v>0</v>
      </c>
      <c r="CI104" s="69">
        <f t="shared" ca="1" si="871"/>
        <v>0</v>
      </c>
      <c r="GM104" s="2" t="s">
        <v>16</v>
      </c>
      <c r="GN104" s="98" t="str">
        <f t="shared" si="732"/>
        <v>STH-C-FMCG-RSM-00</v>
      </c>
      <c r="GO104" s="4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6"/>
      <c r="HT104" s="4">
        <v>0</v>
      </c>
      <c r="HU104" s="3">
        <v>0</v>
      </c>
      <c r="HV104" s="3">
        <v>0</v>
      </c>
      <c r="HW104" s="3">
        <v>0</v>
      </c>
      <c r="HX104" s="3">
        <v>0</v>
      </c>
      <c r="HY104" s="3">
        <v>0</v>
      </c>
      <c r="HZ104" s="3">
        <v>0</v>
      </c>
      <c r="IA104" s="3">
        <v>0</v>
      </c>
      <c r="IB104" s="3">
        <v>0</v>
      </c>
      <c r="IC104" s="3">
        <v>0</v>
      </c>
      <c r="ID104" s="3">
        <v>0</v>
      </c>
      <c r="IE104" s="3">
        <v>0</v>
      </c>
      <c r="IF104" s="3">
        <v>0</v>
      </c>
      <c r="IG104" s="3">
        <v>0</v>
      </c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6"/>
    </row>
    <row r="105" spans="1:258" hidden="1">
      <c r="A105" s="97" t="s">
        <v>1397</v>
      </c>
      <c r="B105" s="98" t="s">
        <v>20</v>
      </c>
      <c r="C105" s="98" t="s">
        <v>227</v>
      </c>
      <c r="D105" s="99" t="s">
        <v>228</v>
      </c>
      <c r="E105" s="98" t="s">
        <v>273</v>
      </c>
      <c r="F105" s="98" t="s">
        <v>230</v>
      </c>
      <c r="G105" s="98">
        <v>26</v>
      </c>
      <c r="H105" s="98" t="s">
        <v>1147</v>
      </c>
      <c r="I105" s="98" t="s">
        <v>1147</v>
      </c>
      <c r="J105" s="98" t="s">
        <v>165</v>
      </c>
      <c r="K105" s="98" t="s">
        <v>31</v>
      </c>
      <c r="L105" s="98" t="s">
        <v>1731</v>
      </c>
      <c r="M105" s="98" t="s">
        <v>1093</v>
      </c>
      <c r="N105" s="108">
        <v>46284</v>
      </c>
      <c r="O105" s="100">
        <v>0</v>
      </c>
      <c r="P105" s="69">
        <v>0</v>
      </c>
      <c r="Q105" s="69">
        <f>IFERROR(IF(OR(AI105&gt;0),1,0),0)</f>
        <v>0</v>
      </c>
      <c r="R105" s="69">
        <f t="shared" si="1211"/>
        <v>0</v>
      </c>
      <c r="S105" s="69">
        <f>IFERROR(IF(OR(BP105&gt;0),1,0),0)</f>
        <v>0</v>
      </c>
      <c r="T105" s="69">
        <f t="shared" si="1212"/>
        <v>0</v>
      </c>
      <c r="U105" s="69">
        <f t="shared" si="1213"/>
        <v>0</v>
      </c>
      <c r="V105" s="70">
        <f t="shared" si="1214"/>
        <v>0</v>
      </c>
      <c r="W105" s="71">
        <f t="shared" si="1215"/>
        <v>0</v>
      </c>
      <c r="X105" s="71">
        <f t="shared" si="1216"/>
        <v>0</v>
      </c>
      <c r="Y105" s="71">
        <f t="shared" si="1217"/>
        <v>0</v>
      </c>
      <c r="Z105" s="71">
        <f t="shared" si="1218"/>
        <v>0</v>
      </c>
      <c r="AA105" s="71">
        <f t="shared" si="1219"/>
        <v>0</v>
      </c>
      <c r="AB105" s="71">
        <f t="shared" si="1220"/>
        <v>0</v>
      </c>
      <c r="AC105" s="71">
        <f t="shared" si="1221"/>
        <v>0</v>
      </c>
      <c r="AD105" s="71">
        <f t="shared" si="1222"/>
        <v>0</v>
      </c>
      <c r="AE105" s="71">
        <f t="shared" si="1223"/>
        <v>0</v>
      </c>
      <c r="AF105" s="71">
        <f t="shared" si="1224"/>
        <v>0</v>
      </c>
      <c r="AG105" s="71">
        <f t="shared" si="1225"/>
        <v>0</v>
      </c>
      <c r="AH105" s="71">
        <f t="shared" si="1226"/>
        <v>0</v>
      </c>
      <c r="AI105" s="71">
        <f t="shared" si="1227"/>
        <v>0</v>
      </c>
      <c r="AJ105" s="71">
        <f t="shared" si="1228"/>
        <v>0</v>
      </c>
      <c r="AK105" s="71">
        <f t="shared" si="1229"/>
        <v>0</v>
      </c>
      <c r="AL105" s="71">
        <f t="shared" si="1230"/>
        <v>0</v>
      </c>
      <c r="AM105" s="71">
        <f t="shared" si="1231"/>
        <v>0</v>
      </c>
      <c r="AN105" s="71">
        <f t="shared" si="1232"/>
        <v>0</v>
      </c>
      <c r="AO105" s="71">
        <f t="shared" si="1233"/>
        <v>0</v>
      </c>
      <c r="AP105" s="71">
        <f t="shared" si="1234"/>
        <v>0</v>
      </c>
      <c r="AQ105" s="71">
        <f t="shared" si="1235"/>
        <v>0</v>
      </c>
      <c r="AR105" s="71">
        <f t="shared" si="1236"/>
        <v>0</v>
      </c>
      <c r="AS105" s="71">
        <f t="shared" si="1237"/>
        <v>0</v>
      </c>
      <c r="AT105" s="71">
        <f t="shared" si="1238"/>
        <v>0</v>
      </c>
      <c r="AU105" s="71">
        <f t="shared" si="1239"/>
        <v>0</v>
      </c>
      <c r="AV105" s="71">
        <f t="shared" si="1240"/>
        <v>0</v>
      </c>
      <c r="AW105" s="71">
        <f t="shared" si="1241"/>
        <v>0</v>
      </c>
      <c r="AX105" s="71">
        <f t="shared" si="1242"/>
        <v>0</v>
      </c>
      <c r="AY105" s="71">
        <f t="shared" si="1243"/>
        <v>0</v>
      </c>
      <c r="AZ105" s="72">
        <f t="shared" si="1244"/>
        <v>0</v>
      </c>
      <c r="BA105" s="70">
        <f t="shared" si="733"/>
        <v>0</v>
      </c>
      <c r="BB105" s="69">
        <f t="shared" ca="1" si="869"/>
        <v>0</v>
      </c>
      <c r="BC105" s="70">
        <f t="shared" si="1245"/>
        <v>0</v>
      </c>
      <c r="BD105" s="71">
        <f t="shared" si="1246"/>
        <v>0</v>
      </c>
      <c r="BE105" s="71">
        <f t="shared" si="1247"/>
        <v>0</v>
      </c>
      <c r="BF105" s="71">
        <f t="shared" si="1248"/>
        <v>0</v>
      </c>
      <c r="BG105" s="71">
        <f t="shared" si="1249"/>
        <v>0</v>
      </c>
      <c r="BH105" s="71">
        <f t="shared" si="1250"/>
        <v>0</v>
      </c>
      <c r="BI105" s="71">
        <f t="shared" si="1251"/>
        <v>0</v>
      </c>
      <c r="BJ105" s="71">
        <f t="shared" si="1252"/>
        <v>0</v>
      </c>
      <c r="BK105" s="71">
        <f t="shared" si="1253"/>
        <v>0</v>
      </c>
      <c r="BL105" s="71">
        <f t="shared" si="1254"/>
        <v>0</v>
      </c>
      <c r="BM105" s="71">
        <f t="shared" si="1255"/>
        <v>0</v>
      </c>
      <c r="BN105" s="71">
        <f t="shared" si="1256"/>
        <v>0</v>
      </c>
      <c r="BO105" s="71">
        <f t="shared" si="1257"/>
        <v>0</v>
      </c>
      <c r="BP105" s="71">
        <f t="shared" si="1258"/>
        <v>0</v>
      </c>
      <c r="BQ105" s="71">
        <f t="shared" si="1259"/>
        <v>0</v>
      </c>
      <c r="BR105" s="71">
        <f t="shared" si="1260"/>
        <v>0</v>
      </c>
      <c r="BS105" s="71">
        <f t="shared" si="1261"/>
        <v>0</v>
      </c>
      <c r="BT105" s="71">
        <f t="shared" si="1262"/>
        <v>0</v>
      </c>
      <c r="BU105" s="71">
        <f t="shared" si="1263"/>
        <v>0</v>
      </c>
      <c r="BV105" s="71">
        <f t="shared" si="1264"/>
        <v>0</v>
      </c>
      <c r="BW105" s="71">
        <f t="shared" si="1265"/>
        <v>0</v>
      </c>
      <c r="BX105" s="71">
        <f t="shared" si="1266"/>
        <v>0</v>
      </c>
      <c r="BY105" s="71">
        <f t="shared" si="1267"/>
        <v>0</v>
      </c>
      <c r="BZ105" s="71">
        <f t="shared" si="1268"/>
        <v>0</v>
      </c>
      <c r="CA105" s="71">
        <f t="shared" si="1269"/>
        <v>0</v>
      </c>
      <c r="CB105" s="71">
        <f t="shared" si="1270"/>
        <v>0</v>
      </c>
      <c r="CC105" s="71">
        <f t="shared" si="1271"/>
        <v>0</v>
      </c>
      <c r="CD105" s="71">
        <f t="shared" si="1272"/>
        <v>0</v>
      </c>
      <c r="CE105" s="71">
        <f t="shared" si="1273"/>
        <v>0</v>
      </c>
      <c r="CF105" s="71">
        <f t="shared" si="1274"/>
        <v>0</v>
      </c>
      <c r="CG105" s="71">
        <f t="shared" si="1275"/>
        <v>0</v>
      </c>
      <c r="CH105" s="70">
        <f t="shared" si="870"/>
        <v>0</v>
      </c>
      <c r="CI105" s="69">
        <f t="shared" ca="1" si="871"/>
        <v>0</v>
      </c>
      <c r="GM105" s="2" t="s">
        <v>16</v>
      </c>
      <c r="GN105" s="98" t="str">
        <f t="shared" si="732"/>
        <v>STH-C-FMCG-RSM-01</v>
      </c>
      <c r="GO105" s="4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0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6"/>
      <c r="HT105" s="4">
        <v>0</v>
      </c>
      <c r="HU105" s="3">
        <v>0</v>
      </c>
      <c r="HV105" s="3">
        <v>0</v>
      </c>
      <c r="HW105" s="3">
        <v>0</v>
      </c>
      <c r="HX105" s="3">
        <v>0</v>
      </c>
      <c r="HY105" s="3">
        <v>0</v>
      </c>
      <c r="HZ105" s="3">
        <v>0</v>
      </c>
      <c r="IA105" s="3">
        <v>0</v>
      </c>
      <c r="IB105" s="3">
        <v>0</v>
      </c>
      <c r="IC105" s="3">
        <v>0</v>
      </c>
      <c r="ID105" s="3">
        <v>0</v>
      </c>
      <c r="IE105" s="3">
        <v>0</v>
      </c>
      <c r="IF105" s="3">
        <v>0</v>
      </c>
      <c r="IG105" s="3">
        <v>0</v>
      </c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6"/>
    </row>
    <row r="106" spans="1:258" hidden="1">
      <c r="A106" s="109" t="s">
        <v>158</v>
      </c>
      <c r="B106" s="110" t="s">
        <v>20</v>
      </c>
      <c r="C106" s="110" t="s">
        <v>227</v>
      </c>
      <c r="D106" s="111" t="s">
        <v>228</v>
      </c>
      <c r="E106" s="110" t="s">
        <v>229</v>
      </c>
      <c r="F106" s="110" t="s">
        <v>230</v>
      </c>
      <c r="G106" s="110">
        <v>26</v>
      </c>
      <c r="H106" s="110" t="s">
        <v>1147</v>
      </c>
      <c r="I106" s="110" t="s">
        <v>1147</v>
      </c>
      <c r="J106" s="110" t="s">
        <v>165</v>
      </c>
      <c r="K106" s="110" t="s">
        <v>31</v>
      </c>
      <c r="L106" s="110" t="s">
        <v>1731</v>
      </c>
      <c r="M106" s="110" t="s">
        <v>1093</v>
      </c>
      <c r="N106" s="140">
        <v>46284</v>
      </c>
      <c r="O106" s="112">
        <f>O105+O100+O92+O84+O103+O102+O101+O76</f>
        <v>22</v>
      </c>
      <c r="P106" s="77">
        <f t="shared" ref="P106:CA106" si="1276">P105+P100+P92+P84+P103+P102+P101+P76</f>
        <v>0</v>
      </c>
      <c r="Q106" s="77">
        <f t="shared" si="1276"/>
        <v>20</v>
      </c>
      <c r="R106" s="77">
        <f t="shared" si="1276"/>
        <v>23</v>
      </c>
      <c r="S106" s="77">
        <f t="shared" si="1276"/>
        <v>3</v>
      </c>
      <c r="T106" s="77">
        <f t="shared" si="1276"/>
        <v>21</v>
      </c>
      <c r="U106" s="77">
        <f t="shared" si="1276"/>
        <v>23</v>
      </c>
      <c r="V106" s="78">
        <f t="shared" si="1276"/>
        <v>22</v>
      </c>
      <c r="W106" s="79">
        <f t="shared" si="1276"/>
        <v>14</v>
      </c>
      <c r="X106" s="79">
        <f t="shared" si="1276"/>
        <v>21</v>
      </c>
      <c r="Y106" s="79">
        <f t="shared" si="1276"/>
        <v>7</v>
      </c>
      <c r="Z106" s="79">
        <f t="shared" si="1276"/>
        <v>21</v>
      </c>
      <c r="AA106" s="79">
        <f t="shared" si="1276"/>
        <v>20</v>
      </c>
      <c r="AB106" s="79">
        <f t="shared" si="1276"/>
        <v>21</v>
      </c>
      <c r="AC106" s="79">
        <f t="shared" si="1276"/>
        <v>21</v>
      </c>
      <c r="AD106" s="79">
        <f t="shared" si="1276"/>
        <v>15</v>
      </c>
      <c r="AE106" s="79">
        <f t="shared" si="1276"/>
        <v>20</v>
      </c>
      <c r="AF106" s="79">
        <f t="shared" si="1276"/>
        <v>5</v>
      </c>
      <c r="AG106" s="79">
        <f t="shared" si="1276"/>
        <v>20</v>
      </c>
      <c r="AH106" s="79">
        <f t="shared" si="1276"/>
        <v>17</v>
      </c>
      <c r="AI106" s="79">
        <f t="shared" si="1276"/>
        <v>20</v>
      </c>
      <c r="AJ106" s="79">
        <f t="shared" si="1276"/>
        <v>0</v>
      </c>
      <c r="AK106" s="79">
        <f t="shared" si="1276"/>
        <v>0</v>
      </c>
      <c r="AL106" s="79">
        <f t="shared" si="1276"/>
        <v>0</v>
      </c>
      <c r="AM106" s="79">
        <f t="shared" si="1276"/>
        <v>0</v>
      </c>
      <c r="AN106" s="79">
        <f t="shared" si="1276"/>
        <v>0</v>
      </c>
      <c r="AO106" s="79">
        <f t="shared" si="1276"/>
        <v>0</v>
      </c>
      <c r="AP106" s="79">
        <f t="shared" si="1276"/>
        <v>0</v>
      </c>
      <c r="AQ106" s="79">
        <f t="shared" si="1276"/>
        <v>0</v>
      </c>
      <c r="AR106" s="79">
        <f t="shared" si="1276"/>
        <v>0</v>
      </c>
      <c r="AS106" s="79">
        <f t="shared" si="1276"/>
        <v>0</v>
      </c>
      <c r="AT106" s="79">
        <f t="shared" si="1276"/>
        <v>0</v>
      </c>
      <c r="AU106" s="79">
        <f t="shared" si="1276"/>
        <v>0</v>
      </c>
      <c r="AV106" s="79">
        <f t="shared" si="1276"/>
        <v>0</v>
      </c>
      <c r="AW106" s="79">
        <f t="shared" si="1276"/>
        <v>0</v>
      </c>
      <c r="AX106" s="79">
        <f t="shared" si="1276"/>
        <v>0</v>
      </c>
      <c r="AY106" s="79">
        <f t="shared" si="1276"/>
        <v>0</v>
      </c>
      <c r="AZ106" s="80">
        <f t="shared" si="1276"/>
        <v>0</v>
      </c>
      <c r="BA106" s="78">
        <f t="shared" si="1276"/>
        <v>244</v>
      </c>
      <c r="BB106" s="77">
        <f t="shared" ca="1" si="869"/>
        <v>0.85314685314685323</v>
      </c>
      <c r="BC106" s="78">
        <f t="shared" si="1276"/>
        <v>260</v>
      </c>
      <c r="BD106" s="79">
        <f t="shared" si="1276"/>
        <v>238</v>
      </c>
      <c r="BE106" s="79">
        <f t="shared" si="1276"/>
        <v>325</v>
      </c>
      <c r="BF106" s="79">
        <f t="shared" si="1276"/>
        <v>82</v>
      </c>
      <c r="BG106" s="79">
        <f t="shared" si="1276"/>
        <v>392</v>
      </c>
      <c r="BH106" s="79">
        <f t="shared" si="1276"/>
        <v>306</v>
      </c>
      <c r="BI106" s="79">
        <f t="shared" si="1276"/>
        <v>363</v>
      </c>
      <c r="BJ106" s="79">
        <f t="shared" si="1276"/>
        <v>371</v>
      </c>
      <c r="BK106" s="79">
        <f t="shared" si="1276"/>
        <v>209</v>
      </c>
      <c r="BL106" s="79">
        <f t="shared" si="1276"/>
        <v>385</v>
      </c>
      <c r="BM106" s="79">
        <f t="shared" si="1276"/>
        <v>90</v>
      </c>
      <c r="BN106" s="79">
        <f t="shared" si="1276"/>
        <v>385</v>
      </c>
      <c r="BO106" s="79">
        <f t="shared" si="1276"/>
        <v>301</v>
      </c>
      <c r="BP106" s="79">
        <f t="shared" si="1276"/>
        <v>5</v>
      </c>
      <c r="BQ106" s="79">
        <f t="shared" si="1276"/>
        <v>0</v>
      </c>
      <c r="BR106" s="79">
        <f t="shared" si="1276"/>
        <v>0</v>
      </c>
      <c r="BS106" s="79">
        <f t="shared" si="1276"/>
        <v>0</v>
      </c>
      <c r="BT106" s="79">
        <f t="shared" si="1276"/>
        <v>0</v>
      </c>
      <c r="BU106" s="79">
        <f t="shared" si="1276"/>
        <v>0</v>
      </c>
      <c r="BV106" s="79">
        <f t="shared" si="1276"/>
        <v>0</v>
      </c>
      <c r="BW106" s="79">
        <f t="shared" si="1276"/>
        <v>0</v>
      </c>
      <c r="BX106" s="79">
        <f t="shared" si="1276"/>
        <v>0</v>
      </c>
      <c r="BY106" s="79">
        <f t="shared" si="1276"/>
        <v>0</v>
      </c>
      <c r="BZ106" s="79">
        <f t="shared" si="1276"/>
        <v>0</v>
      </c>
      <c r="CA106" s="79">
        <f t="shared" si="1276"/>
        <v>0</v>
      </c>
      <c r="CB106" s="79">
        <f t="shared" ref="CB106:CG106" si="1277">CB105+CB100+CB92+CB84+CB103+CB102+CB101+CB76</f>
        <v>0</v>
      </c>
      <c r="CC106" s="79">
        <f t="shared" si="1277"/>
        <v>0</v>
      </c>
      <c r="CD106" s="79">
        <f t="shared" si="1277"/>
        <v>0</v>
      </c>
      <c r="CE106" s="79">
        <f t="shared" si="1277"/>
        <v>0</v>
      </c>
      <c r="CF106" s="79">
        <f t="shared" si="1277"/>
        <v>0</v>
      </c>
      <c r="CG106" s="79">
        <f t="shared" si="1277"/>
        <v>0</v>
      </c>
      <c r="CH106" s="78">
        <f t="shared" si="870"/>
        <v>3712</v>
      </c>
      <c r="CI106" s="77">
        <f t="shared" ca="1" si="871"/>
        <v>12.97902097902098</v>
      </c>
      <c r="GM106" s="2" t="s">
        <v>17</v>
      </c>
      <c r="GN106" s="110" t="str">
        <f t="shared" si="732"/>
        <v>STH-C-FMCG-RSM-01</v>
      </c>
      <c r="GO106" s="4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6"/>
      <c r="HT106" s="4">
        <v>0</v>
      </c>
      <c r="HU106" s="3">
        <v>0</v>
      </c>
      <c r="HV106" s="3">
        <v>0</v>
      </c>
      <c r="HW106" s="3">
        <v>0</v>
      </c>
      <c r="HX106" s="3">
        <v>0</v>
      </c>
      <c r="HY106" s="3">
        <v>0</v>
      </c>
      <c r="HZ106" s="3">
        <v>0</v>
      </c>
      <c r="IA106" s="3">
        <v>0</v>
      </c>
      <c r="IB106" s="3">
        <v>0</v>
      </c>
      <c r="IC106" s="3">
        <v>0</v>
      </c>
      <c r="ID106" s="3">
        <v>0</v>
      </c>
      <c r="IE106" s="3">
        <v>0</v>
      </c>
      <c r="IF106" s="3">
        <v>0</v>
      </c>
      <c r="IG106" s="3">
        <v>0</v>
      </c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6"/>
    </row>
    <row r="107" spans="1:258" hidden="1">
      <c r="A107" s="97" t="s">
        <v>25</v>
      </c>
      <c r="B107" s="98" t="s">
        <v>26</v>
      </c>
      <c r="C107" s="98" t="s">
        <v>299</v>
      </c>
      <c r="D107" s="99" t="s">
        <v>1157</v>
      </c>
      <c r="E107" s="98" t="s">
        <v>300</v>
      </c>
      <c r="F107" s="98" t="s">
        <v>301</v>
      </c>
      <c r="G107" s="98" t="s">
        <v>302</v>
      </c>
      <c r="H107" s="98" t="s">
        <v>1470</v>
      </c>
      <c r="I107" s="98" t="s">
        <v>1470</v>
      </c>
      <c r="J107" s="98" t="s">
        <v>1158</v>
      </c>
      <c r="K107" s="98" t="s">
        <v>1127</v>
      </c>
      <c r="L107" s="98" t="s">
        <v>303</v>
      </c>
      <c r="M107" s="98" t="s">
        <v>1093</v>
      </c>
      <c r="N107" s="108">
        <v>44498</v>
      </c>
      <c r="O107" s="100">
        <v>1</v>
      </c>
      <c r="P107" s="69">
        <v>0</v>
      </c>
      <c r="Q107" s="69">
        <f t="shared" ref="Q107:Q112" si="1278">IFERROR(IF(OR(AI107&gt;0),1,0),0)</f>
        <v>1</v>
      </c>
      <c r="R107" s="69">
        <f t="shared" ref="R107:R112" si="1279">IFERROR(IF(OR(BA107&gt;0),1,0),0)</f>
        <v>1</v>
      </c>
      <c r="S107" s="69">
        <f t="shared" ref="S107:S112" si="1280">IFERROR(IF(OR(BP107&gt;0),1,0),0)</f>
        <v>0</v>
      </c>
      <c r="T107" s="69">
        <f t="shared" ref="T107:T112" si="1281">IFERROR(IF(OR(CH107&gt;0),1,0),0)</f>
        <v>1</v>
      </c>
      <c r="U107" s="69">
        <f t="shared" ref="U107:U112" si="1282">IFERROR(IF(OR(BA107&gt;0,CH107&gt;0),1,0),0)</f>
        <v>1</v>
      </c>
      <c r="V107" s="70">
        <f t="shared" ref="V107:V112" si="1283">GO107</f>
        <v>1</v>
      </c>
      <c r="W107" s="71">
        <f t="shared" ref="W107:W112" si="1284">GP107</f>
        <v>1</v>
      </c>
      <c r="X107" s="71">
        <f t="shared" ref="X107:X112" si="1285">GQ107</f>
        <v>1</v>
      </c>
      <c r="Y107" s="71">
        <f t="shared" ref="Y107:Y112" si="1286">GR107</f>
        <v>0</v>
      </c>
      <c r="Z107" s="71">
        <f t="shared" ref="Z107:Z112" si="1287">GS107</f>
        <v>1</v>
      </c>
      <c r="AA107" s="71">
        <f t="shared" ref="AA107:AA112" si="1288">GT107</f>
        <v>1</v>
      </c>
      <c r="AB107" s="71">
        <f t="shared" ref="AB107:AB112" si="1289">GU107</f>
        <v>1</v>
      </c>
      <c r="AC107" s="71">
        <f t="shared" ref="AC107:AC112" si="1290">GV107</f>
        <v>1</v>
      </c>
      <c r="AD107" s="71">
        <f t="shared" ref="AD107:AD112" si="1291">GW107</f>
        <v>1</v>
      </c>
      <c r="AE107" s="71">
        <f t="shared" ref="AE107:AE112" si="1292">GX107</f>
        <v>1</v>
      </c>
      <c r="AF107" s="71">
        <f t="shared" ref="AF107:AF112" si="1293">GY107</f>
        <v>0</v>
      </c>
      <c r="AG107" s="71">
        <f t="shared" ref="AG107:AG112" si="1294">GZ107</f>
        <v>1</v>
      </c>
      <c r="AH107" s="71">
        <f t="shared" ref="AH107:AH112" si="1295">HA107</f>
        <v>1</v>
      </c>
      <c r="AI107" s="71">
        <f t="shared" ref="AI107:AI112" si="1296">HB107</f>
        <v>1</v>
      </c>
      <c r="AJ107" s="71">
        <f t="shared" ref="AJ107:AJ112" si="1297">HC107</f>
        <v>0</v>
      </c>
      <c r="AK107" s="71">
        <f t="shared" ref="AK107:AK112" si="1298">HD107</f>
        <v>0</v>
      </c>
      <c r="AL107" s="71">
        <f t="shared" ref="AL107:AL112" si="1299">HE107</f>
        <v>0</v>
      </c>
      <c r="AM107" s="71">
        <f t="shared" ref="AM107:AM112" si="1300">HF107</f>
        <v>0</v>
      </c>
      <c r="AN107" s="71">
        <f t="shared" ref="AN107:AN112" si="1301">HG107</f>
        <v>0</v>
      </c>
      <c r="AO107" s="71">
        <f t="shared" ref="AO107:AO112" si="1302">HH107</f>
        <v>0</v>
      </c>
      <c r="AP107" s="71">
        <f t="shared" ref="AP107:AP112" si="1303">HI107</f>
        <v>0</v>
      </c>
      <c r="AQ107" s="71">
        <f t="shared" ref="AQ107:AQ112" si="1304">HJ107</f>
        <v>0</v>
      </c>
      <c r="AR107" s="71">
        <f t="shared" ref="AR107:AR112" si="1305">HK107</f>
        <v>0</v>
      </c>
      <c r="AS107" s="71">
        <f t="shared" ref="AS107:AS112" si="1306">HL107</f>
        <v>0</v>
      </c>
      <c r="AT107" s="71">
        <f t="shared" ref="AT107:AT112" si="1307">HM107</f>
        <v>0</v>
      </c>
      <c r="AU107" s="71">
        <f t="shared" ref="AU107:AU112" si="1308">HN107</f>
        <v>0</v>
      </c>
      <c r="AV107" s="71">
        <f t="shared" ref="AV107:AV112" si="1309">HO107</f>
        <v>0</v>
      </c>
      <c r="AW107" s="71">
        <f t="shared" ref="AW107:AW112" si="1310">HP107</f>
        <v>0</v>
      </c>
      <c r="AX107" s="71">
        <f t="shared" ref="AX107:AX112" si="1311">HQ107</f>
        <v>0</v>
      </c>
      <c r="AY107" s="71">
        <f t="shared" ref="AY107:AY112" si="1312">HR107</f>
        <v>0</v>
      </c>
      <c r="AZ107" s="72">
        <f t="shared" ref="AZ107:AZ112" si="1313">HS107</f>
        <v>0</v>
      </c>
      <c r="BA107" s="70">
        <f t="shared" si="733"/>
        <v>12</v>
      </c>
      <c r="BB107" s="69">
        <f t="shared" ca="1" si="869"/>
        <v>0.92307692307692313</v>
      </c>
      <c r="BC107" s="70">
        <f t="shared" ref="BC107:BC112" si="1314">HT107</f>
        <v>42</v>
      </c>
      <c r="BD107" s="71">
        <f t="shared" ref="BD107:BD112" si="1315">HU107</f>
        <v>0</v>
      </c>
      <c r="BE107" s="71">
        <f t="shared" ref="BE107:BE112" si="1316">HV107</f>
        <v>0</v>
      </c>
      <c r="BF107" s="71">
        <f t="shared" ref="BF107:BF112" si="1317">HW107</f>
        <v>0</v>
      </c>
      <c r="BG107" s="71">
        <f t="shared" ref="BG107:BG112" si="1318">HX107</f>
        <v>32</v>
      </c>
      <c r="BH107" s="71">
        <f t="shared" ref="BH107:BH112" si="1319">HY107</f>
        <v>41</v>
      </c>
      <c r="BI107" s="71">
        <f t="shared" ref="BI107:BI112" si="1320">HZ107</f>
        <v>43</v>
      </c>
      <c r="BJ107" s="71">
        <f t="shared" ref="BJ107:BJ112" si="1321">IA107</f>
        <v>40</v>
      </c>
      <c r="BK107" s="71">
        <f t="shared" ref="BK107:BK112" si="1322">IB107</f>
        <v>30</v>
      </c>
      <c r="BL107" s="71">
        <f t="shared" ref="BL107:BL112" si="1323">IC107</f>
        <v>38</v>
      </c>
      <c r="BM107" s="71">
        <f t="shared" ref="BM107:BM112" si="1324">ID107</f>
        <v>0</v>
      </c>
      <c r="BN107" s="71">
        <f t="shared" ref="BN107:BN112" si="1325">IE107</f>
        <v>41</v>
      </c>
      <c r="BO107" s="71">
        <f t="shared" ref="BO107:BO112" si="1326">IF107</f>
        <v>41</v>
      </c>
      <c r="BP107" s="71">
        <f t="shared" ref="BP107:BP112" si="1327">IG107</f>
        <v>0</v>
      </c>
      <c r="BQ107" s="71">
        <f t="shared" ref="BQ107:BQ112" si="1328">IH107</f>
        <v>0</v>
      </c>
      <c r="BR107" s="71">
        <f t="shared" ref="BR107:BR112" si="1329">II107</f>
        <v>0</v>
      </c>
      <c r="BS107" s="71">
        <f t="shared" ref="BS107:BS112" si="1330">IJ107</f>
        <v>0</v>
      </c>
      <c r="BT107" s="71">
        <f t="shared" ref="BT107:BT112" si="1331">IK107</f>
        <v>0</v>
      </c>
      <c r="BU107" s="71">
        <f t="shared" ref="BU107:BU112" si="1332">IL107</f>
        <v>0</v>
      </c>
      <c r="BV107" s="71">
        <f t="shared" ref="BV107:BV112" si="1333">IM107</f>
        <v>0</v>
      </c>
      <c r="BW107" s="71">
        <f t="shared" ref="BW107:BW112" si="1334">IN107</f>
        <v>0</v>
      </c>
      <c r="BX107" s="71">
        <f t="shared" ref="BX107:BX112" si="1335">IO107</f>
        <v>0</v>
      </c>
      <c r="BY107" s="71">
        <f t="shared" ref="BY107:BY112" si="1336">IP107</f>
        <v>0</v>
      </c>
      <c r="BZ107" s="71">
        <f t="shared" ref="BZ107:BZ112" si="1337">IQ107</f>
        <v>0</v>
      </c>
      <c r="CA107" s="71">
        <f t="shared" ref="CA107:CA112" si="1338">IR107</f>
        <v>0</v>
      </c>
      <c r="CB107" s="71">
        <f t="shared" ref="CB107:CB112" si="1339">IS107</f>
        <v>0</v>
      </c>
      <c r="CC107" s="71">
        <f t="shared" ref="CC107:CC112" si="1340">IT107</f>
        <v>0</v>
      </c>
      <c r="CD107" s="71">
        <f t="shared" ref="CD107:CD112" si="1341">IU107</f>
        <v>0</v>
      </c>
      <c r="CE107" s="71">
        <f t="shared" ref="CE107:CE112" si="1342">IV107</f>
        <v>0</v>
      </c>
      <c r="CF107" s="71">
        <f t="shared" ref="CF107:CF112" si="1343">IW107</f>
        <v>0</v>
      </c>
      <c r="CG107" s="71">
        <f t="shared" ref="CG107:CG112" si="1344">IX107</f>
        <v>0</v>
      </c>
      <c r="CH107" s="70">
        <f t="shared" si="870"/>
        <v>348</v>
      </c>
      <c r="CI107" s="69">
        <f t="shared" ca="1" si="871"/>
        <v>26.76923076923077</v>
      </c>
      <c r="GM107" s="2" t="s">
        <v>16</v>
      </c>
      <c r="GN107" s="98" t="str">
        <f t="shared" si="732"/>
        <v>BWP01-FMCG01-SPO-01</v>
      </c>
      <c r="GO107" s="4">
        <v>1</v>
      </c>
      <c r="GP107" s="3">
        <v>1</v>
      </c>
      <c r="GQ107" s="3">
        <v>1</v>
      </c>
      <c r="GR107" s="3">
        <v>0</v>
      </c>
      <c r="GS107" s="3">
        <v>1</v>
      </c>
      <c r="GT107" s="3">
        <v>1</v>
      </c>
      <c r="GU107" s="3">
        <v>1</v>
      </c>
      <c r="GV107" s="3">
        <v>1</v>
      </c>
      <c r="GW107" s="3">
        <v>1</v>
      </c>
      <c r="GX107" s="3">
        <v>1</v>
      </c>
      <c r="GY107" s="3">
        <v>0</v>
      </c>
      <c r="GZ107" s="3">
        <v>1</v>
      </c>
      <c r="HA107" s="3">
        <v>1</v>
      </c>
      <c r="HB107" s="3">
        <v>1</v>
      </c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6"/>
      <c r="HT107" s="4">
        <v>42</v>
      </c>
      <c r="HU107" s="3">
        <v>0</v>
      </c>
      <c r="HV107" s="3">
        <v>0</v>
      </c>
      <c r="HW107" s="3">
        <v>0</v>
      </c>
      <c r="HX107" s="3">
        <v>32</v>
      </c>
      <c r="HY107" s="3">
        <v>41</v>
      </c>
      <c r="HZ107" s="3">
        <v>43</v>
      </c>
      <c r="IA107" s="3">
        <v>40</v>
      </c>
      <c r="IB107" s="3">
        <v>30</v>
      </c>
      <c r="IC107" s="3">
        <v>38</v>
      </c>
      <c r="ID107" s="3">
        <v>0</v>
      </c>
      <c r="IE107" s="3">
        <v>41</v>
      </c>
      <c r="IF107" s="3">
        <v>41</v>
      </c>
      <c r="IG107" s="3">
        <v>0</v>
      </c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6"/>
    </row>
    <row r="108" spans="1:258" hidden="1">
      <c r="A108" s="106" t="s">
        <v>25</v>
      </c>
      <c r="B108" s="101" t="s">
        <v>26</v>
      </c>
      <c r="C108" s="101" t="s">
        <v>299</v>
      </c>
      <c r="D108" s="107" t="s">
        <v>1157</v>
      </c>
      <c r="E108" s="101" t="s">
        <v>304</v>
      </c>
      <c r="F108" s="101" t="s">
        <v>305</v>
      </c>
      <c r="G108" s="98" t="s">
        <v>306</v>
      </c>
      <c r="H108" s="101" t="s">
        <v>1471</v>
      </c>
      <c r="I108" s="101" t="s">
        <v>1471</v>
      </c>
      <c r="J108" s="101" t="s">
        <v>1158</v>
      </c>
      <c r="K108" s="98" t="s">
        <v>1127</v>
      </c>
      <c r="L108" s="101" t="s">
        <v>307</v>
      </c>
      <c r="M108" s="101" t="s">
        <v>1093</v>
      </c>
      <c r="N108" s="139">
        <v>45840</v>
      </c>
      <c r="O108" s="100">
        <v>1</v>
      </c>
      <c r="P108" s="69">
        <v>0</v>
      </c>
      <c r="Q108" s="69">
        <f t="shared" si="1278"/>
        <v>1</v>
      </c>
      <c r="R108" s="69">
        <f t="shared" si="1279"/>
        <v>1</v>
      </c>
      <c r="S108" s="69">
        <f t="shared" si="1280"/>
        <v>0</v>
      </c>
      <c r="T108" s="69">
        <f t="shared" si="1281"/>
        <v>1</v>
      </c>
      <c r="U108" s="69">
        <f t="shared" si="1282"/>
        <v>1</v>
      </c>
      <c r="V108" s="70">
        <f t="shared" si="1283"/>
        <v>1</v>
      </c>
      <c r="W108" s="71">
        <f t="shared" si="1284"/>
        <v>1</v>
      </c>
      <c r="X108" s="71">
        <f t="shared" si="1285"/>
        <v>1</v>
      </c>
      <c r="Y108" s="71">
        <f t="shared" si="1286"/>
        <v>0</v>
      </c>
      <c r="Z108" s="71">
        <f t="shared" si="1287"/>
        <v>1</v>
      </c>
      <c r="AA108" s="71">
        <f t="shared" si="1288"/>
        <v>1</v>
      </c>
      <c r="AB108" s="71">
        <f t="shared" si="1289"/>
        <v>1</v>
      </c>
      <c r="AC108" s="71">
        <f t="shared" si="1290"/>
        <v>1</v>
      </c>
      <c r="AD108" s="71">
        <f t="shared" si="1291"/>
        <v>1</v>
      </c>
      <c r="AE108" s="71">
        <f t="shared" si="1292"/>
        <v>1</v>
      </c>
      <c r="AF108" s="71">
        <f t="shared" si="1293"/>
        <v>0</v>
      </c>
      <c r="AG108" s="71">
        <f t="shared" si="1294"/>
        <v>1</v>
      </c>
      <c r="AH108" s="71">
        <f t="shared" si="1295"/>
        <v>1</v>
      </c>
      <c r="AI108" s="71">
        <f t="shared" si="1296"/>
        <v>1</v>
      </c>
      <c r="AJ108" s="71">
        <f t="shared" si="1297"/>
        <v>0</v>
      </c>
      <c r="AK108" s="71">
        <f t="shared" si="1298"/>
        <v>0</v>
      </c>
      <c r="AL108" s="71">
        <f t="shared" si="1299"/>
        <v>0</v>
      </c>
      <c r="AM108" s="71">
        <f t="shared" si="1300"/>
        <v>0</v>
      </c>
      <c r="AN108" s="71">
        <f t="shared" si="1301"/>
        <v>0</v>
      </c>
      <c r="AO108" s="71">
        <f t="shared" si="1302"/>
        <v>0</v>
      </c>
      <c r="AP108" s="71">
        <f t="shared" si="1303"/>
        <v>0</v>
      </c>
      <c r="AQ108" s="71">
        <f t="shared" si="1304"/>
        <v>0</v>
      </c>
      <c r="AR108" s="71">
        <f t="shared" si="1305"/>
        <v>0</v>
      </c>
      <c r="AS108" s="71">
        <f t="shared" si="1306"/>
        <v>0</v>
      </c>
      <c r="AT108" s="71">
        <f t="shared" si="1307"/>
        <v>0</v>
      </c>
      <c r="AU108" s="71">
        <f t="shared" si="1308"/>
        <v>0</v>
      </c>
      <c r="AV108" s="71">
        <f t="shared" si="1309"/>
        <v>0</v>
      </c>
      <c r="AW108" s="71">
        <f t="shared" si="1310"/>
        <v>0</v>
      </c>
      <c r="AX108" s="71">
        <f t="shared" si="1311"/>
        <v>0</v>
      </c>
      <c r="AY108" s="71">
        <f t="shared" si="1312"/>
        <v>0</v>
      </c>
      <c r="AZ108" s="72">
        <f t="shared" si="1313"/>
        <v>0</v>
      </c>
      <c r="BA108" s="70">
        <f t="shared" si="733"/>
        <v>12</v>
      </c>
      <c r="BB108" s="69">
        <f t="shared" ca="1" si="869"/>
        <v>0.92307692307692313</v>
      </c>
      <c r="BC108" s="70">
        <f t="shared" si="1314"/>
        <v>4</v>
      </c>
      <c r="BD108" s="71">
        <f t="shared" si="1315"/>
        <v>15</v>
      </c>
      <c r="BE108" s="71">
        <f t="shared" si="1316"/>
        <v>12</v>
      </c>
      <c r="BF108" s="71">
        <f t="shared" si="1317"/>
        <v>0</v>
      </c>
      <c r="BG108" s="71">
        <f t="shared" si="1318"/>
        <v>36</v>
      </c>
      <c r="BH108" s="71">
        <f t="shared" si="1319"/>
        <v>15</v>
      </c>
      <c r="BI108" s="71">
        <f t="shared" si="1320"/>
        <v>6</v>
      </c>
      <c r="BJ108" s="71">
        <f t="shared" si="1321"/>
        <v>22</v>
      </c>
      <c r="BK108" s="71">
        <f t="shared" si="1322"/>
        <v>30</v>
      </c>
      <c r="BL108" s="71">
        <f t="shared" si="1323"/>
        <v>22</v>
      </c>
      <c r="BM108" s="71">
        <f t="shared" si="1324"/>
        <v>0</v>
      </c>
      <c r="BN108" s="71">
        <f t="shared" si="1325"/>
        <v>41</v>
      </c>
      <c r="BO108" s="71">
        <f t="shared" si="1326"/>
        <v>25</v>
      </c>
      <c r="BP108" s="71">
        <f t="shared" si="1327"/>
        <v>0</v>
      </c>
      <c r="BQ108" s="71">
        <f t="shared" si="1328"/>
        <v>0</v>
      </c>
      <c r="BR108" s="71">
        <f t="shared" si="1329"/>
        <v>0</v>
      </c>
      <c r="BS108" s="71">
        <f t="shared" si="1330"/>
        <v>0</v>
      </c>
      <c r="BT108" s="71">
        <f t="shared" si="1331"/>
        <v>0</v>
      </c>
      <c r="BU108" s="71">
        <f t="shared" si="1332"/>
        <v>0</v>
      </c>
      <c r="BV108" s="71">
        <f t="shared" si="1333"/>
        <v>0</v>
      </c>
      <c r="BW108" s="71">
        <f t="shared" si="1334"/>
        <v>0</v>
      </c>
      <c r="BX108" s="71">
        <f t="shared" si="1335"/>
        <v>0</v>
      </c>
      <c r="BY108" s="71">
        <f t="shared" si="1336"/>
        <v>0</v>
      </c>
      <c r="BZ108" s="71">
        <f t="shared" si="1337"/>
        <v>0</v>
      </c>
      <c r="CA108" s="71">
        <f t="shared" si="1338"/>
        <v>0</v>
      </c>
      <c r="CB108" s="71">
        <f t="shared" si="1339"/>
        <v>0</v>
      </c>
      <c r="CC108" s="71">
        <f t="shared" si="1340"/>
        <v>0</v>
      </c>
      <c r="CD108" s="71">
        <f t="shared" si="1341"/>
        <v>0</v>
      </c>
      <c r="CE108" s="71">
        <f t="shared" si="1342"/>
        <v>0</v>
      </c>
      <c r="CF108" s="71">
        <f t="shared" si="1343"/>
        <v>0</v>
      </c>
      <c r="CG108" s="71">
        <f t="shared" si="1344"/>
        <v>0</v>
      </c>
      <c r="CH108" s="70">
        <f t="shared" si="870"/>
        <v>228</v>
      </c>
      <c r="CI108" s="69">
        <f t="shared" ca="1" si="871"/>
        <v>17.53846153846154</v>
      </c>
      <c r="GM108" s="2" t="s">
        <v>16</v>
      </c>
      <c r="GN108" s="101" t="str">
        <f t="shared" si="732"/>
        <v>BWP01-FMCG01-SPO-02</v>
      </c>
      <c r="GO108" s="4">
        <v>1</v>
      </c>
      <c r="GP108" s="3">
        <v>1</v>
      </c>
      <c r="GQ108" s="3">
        <v>1</v>
      </c>
      <c r="GR108" s="3">
        <v>0</v>
      </c>
      <c r="GS108" s="3">
        <v>1</v>
      </c>
      <c r="GT108" s="3">
        <v>1</v>
      </c>
      <c r="GU108" s="3">
        <v>1</v>
      </c>
      <c r="GV108" s="3">
        <v>1</v>
      </c>
      <c r="GW108" s="3">
        <v>1</v>
      </c>
      <c r="GX108" s="3">
        <v>1</v>
      </c>
      <c r="GY108" s="3">
        <v>0</v>
      </c>
      <c r="GZ108" s="3">
        <v>1</v>
      </c>
      <c r="HA108" s="3">
        <v>1</v>
      </c>
      <c r="HB108" s="3">
        <v>1</v>
      </c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6"/>
      <c r="HT108" s="4">
        <v>4</v>
      </c>
      <c r="HU108" s="3">
        <v>15</v>
      </c>
      <c r="HV108" s="3">
        <v>12</v>
      </c>
      <c r="HW108" s="3">
        <v>0</v>
      </c>
      <c r="HX108" s="3">
        <v>36</v>
      </c>
      <c r="HY108" s="3">
        <v>15</v>
      </c>
      <c r="HZ108" s="3">
        <v>6</v>
      </c>
      <c r="IA108" s="3">
        <v>22</v>
      </c>
      <c r="IB108" s="3">
        <v>30</v>
      </c>
      <c r="IC108" s="3">
        <v>22</v>
      </c>
      <c r="ID108" s="3">
        <v>0</v>
      </c>
      <c r="IE108" s="3">
        <v>41</v>
      </c>
      <c r="IF108" s="3">
        <v>25</v>
      </c>
      <c r="IG108" s="3">
        <v>0</v>
      </c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6"/>
    </row>
    <row r="109" spans="1:258" hidden="1">
      <c r="A109" s="97" t="s">
        <v>25</v>
      </c>
      <c r="B109" s="98" t="s">
        <v>26</v>
      </c>
      <c r="C109" s="98" t="s">
        <v>299</v>
      </c>
      <c r="D109" s="99" t="s">
        <v>1157</v>
      </c>
      <c r="E109" s="98" t="s">
        <v>310</v>
      </c>
      <c r="F109" s="98" t="s">
        <v>311</v>
      </c>
      <c r="G109" s="98" t="s">
        <v>312</v>
      </c>
      <c r="H109" s="98" t="s">
        <v>1472</v>
      </c>
      <c r="I109" s="98" t="s">
        <v>1472</v>
      </c>
      <c r="J109" s="98" t="s">
        <v>1158</v>
      </c>
      <c r="K109" s="98" t="s">
        <v>1127</v>
      </c>
      <c r="L109" s="98" t="s">
        <v>313</v>
      </c>
      <c r="M109" s="101" t="s">
        <v>1093</v>
      </c>
      <c r="N109" s="139">
        <v>45478</v>
      </c>
      <c r="O109" s="100">
        <v>1</v>
      </c>
      <c r="P109" s="69">
        <v>0</v>
      </c>
      <c r="Q109" s="69">
        <f t="shared" si="1278"/>
        <v>1</v>
      </c>
      <c r="R109" s="69">
        <f t="shared" si="1279"/>
        <v>1</v>
      </c>
      <c r="S109" s="69">
        <f t="shared" si="1280"/>
        <v>0</v>
      </c>
      <c r="T109" s="69">
        <f t="shared" si="1281"/>
        <v>1</v>
      </c>
      <c r="U109" s="69">
        <f t="shared" si="1282"/>
        <v>1</v>
      </c>
      <c r="V109" s="70">
        <f t="shared" si="1283"/>
        <v>1</v>
      </c>
      <c r="W109" s="71">
        <f t="shared" si="1284"/>
        <v>1</v>
      </c>
      <c r="X109" s="71">
        <f t="shared" si="1285"/>
        <v>1</v>
      </c>
      <c r="Y109" s="71">
        <f t="shared" si="1286"/>
        <v>0</v>
      </c>
      <c r="Z109" s="71">
        <f t="shared" si="1287"/>
        <v>1</v>
      </c>
      <c r="AA109" s="71">
        <f t="shared" si="1288"/>
        <v>1</v>
      </c>
      <c r="AB109" s="71">
        <f t="shared" si="1289"/>
        <v>1</v>
      </c>
      <c r="AC109" s="71">
        <f t="shared" si="1290"/>
        <v>1</v>
      </c>
      <c r="AD109" s="71">
        <f t="shared" si="1291"/>
        <v>1</v>
      </c>
      <c r="AE109" s="71">
        <f t="shared" si="1292"/>
        <v>1</v>
      </c>
      <c r="AF109" s="71">
        <f t="shared" si="1293"/>
        <v>0</v>
      </c>
      <c r="AG109" s="71">
        <f t="shared" si="1294"/>
        <v>1</v>
      </c>
      <c r="AH109" s="71">
        <f t="shared" si="1295"/>
        <v>1</v>
      </c>
      <c r="AI109" s="71">
        <f t="shared" si="1296"/>
        <v>1</v>
      </c>
      <c r="AJ109" s="71">
        <f t="shared" si="1297"/>
        <v>0</v>
      </c>
      <c r="AK109" s="71">
        <f t="shared" si="1298"/>
        <v>0</v>
      </c>
      <c r="AL109" s="71">
        <f t="shared" si="1299"/>
        <v>0</v>
      </c>
      <c r="AM109" s="71">
        <f t="shared" si="1300"/>
        <v>0</v>
      </c>
      <c r="AN109" s="71">
        <f t="shared" si="1301"/>
        <v>0</v>
      </c>
      <c r="AO109" s="71">
        <f t="shared" si="1302"/>
        <v>0</v>
      </c>
      <c r="AP109" s="71">
        <f t="shared" si="1303"/>
        <v>0</v>
      </c>
      <c r="AQ109" s="71">
        <f t="shared" si="1304"/>
        <v>0</v>
      </c>
      <c r="AR109" s="71">
        <f t="shared" si="1305"/>
        <v>0</v>
      </c>
      <c r="AS109" s="71">
        <f t="shared" si="1306"/>
        <v>0</v>
      </c>
      <c r="AT109" s="71">
        <f t="shared" si="1307"/>
        <v>0</v>
      </c>
      <c r="AU109" s="71">
        <f t="shared" si="1308"/>
        <v>0</v>
      </c>
      <c r="AV109" s="71">
        <f t="shared" si="1309"/>
        <v>0</v>
      </c>
      <c r="AW109" s="71">
        <f t="shared" si="1310"/>
        <v>0</v>
      </c>
      <c r="AX109" s="71">
        <f t="shared" si="1311"/>
        <v>0</v>
      </c>
      <c r="AY109" s="71">
        <f t="shared" si="1312"/>
        <v>0</v>
      </c>
      <c r="AZ109" s="72">
        <f t="shared" si="1313"/>
        <v>0</v>
      </c>
      <c r="BA109" s="70">
        <f t="shared" si="733"/>
        <v>12</v>
      </c>
      <c r="BB109" s="69">
        <f t="shared" ca="1" si="869"/>
        <v>0.92307692307692313</v>
      </c>
      <c r="BC109" s="70">
        <f t="shared" si="1314"/>
        <v>24</v>
      </c>
      <c r="BD109" s="71">
        <f t="shared" si="1315"/>
        <v>0</v>
      </c>
      <c r="BE109" s="71">
        <f t="shared" si="1316"/>
        <v>7</v>
      </c>
      <c r="BF109" s="71">
        <f t="shared" si="1317"/>
        <v>0</v>
      </c>
      <c r="BG109" s="71">
        <f t="shared" si="1318"/>
        <v>9</v>
      </c>
      <c r="BH109" s="71">
        <f t="shared" si="1319"/>
        <v>23</v>
      </c>
      <c r="BI109" s="71">
        <f t="shared" si="1320"/>
        <v>7</v>
      </c>
      <c r="BJ109" s="71">
        <f t="shared" si="1321"/>
        <v>10</v>
      </c>
      <c r="BK109" s="71">
        <f t="shared" si="1322"/>
        <v>4</v>
      </c>
      <c r="BL109" s="71">
        <f t="shared" si="1323"/>
        <v>17</v>
      </c>
      <c r="BM109" s="71">
        <f t="shared" si="1324"/>
        <v>0</v>
      </c>
      <c r="BN109" s="71">
        <f t="shared" si="1325"/>
        <v>3</v>
      </c>
      <c r="BO109" s="71">
        <f t="shared" si="1326"/>
        <v>29</v>
      </c>
      <c r="BP109" s="71">
        <f t="shared" si="1327"/>
        <v>0</v>
      </c>
      <c r="BQ109" s="71">
        <f t="shared" si="1328"/>
        <v>0</v>
      </c>
      <c r="BR109" s="71">
        <f t="shared" si="1329"/>
        <v>0</v>
      </c>
      <c r="BS109" s="71">
        <f t="shared" si="1330"/>
        <v>0</v>
      </c>
      <c r="BT109" s="71">
        <f t="shared" si="1331"/>
        <v>0</v>
      </c>
      <c r="BU109" s="71">
        <f t="shared" si="1332"/>
        <v>0</v>
      </c>
      <c r="BV109" s="71">
        <f t="shared" si="1333"/>
        <v>0</v>
      </c>
      <c r="BW109" s="71">
        <f t="shared" si="1334"/>
        <v>0</v>
      </c>
      <c r="BX109" s="71">
        <f t="shared" si="1335"/>
        <v>0</v>
      </c>
      <c r="BY109" s="71">
        <f t="shared" si="1336"/>
        <v>0</v>
      </c>
      <c r="BZ109" s="71">
        <f t="shared" si="1337"/>
        <v>0</v>
      </c>
      <c r="CA109" s="71">
        <f t="shared" si="1338"/>
        <v>0</v>
      </c>
      <c r="CB109" s="71">
        <f t="shared" si="1339"/>
        <v>0</v>
      </c>
      <c r="CC109" s="71">
        <f t="shared" si="1340"/>
        <v>0</v>
      </c>
      <c r="CD109" s="71">
        <f t="shared" si="1341"/>
        <v>0</v>
      </c>
      <c r="CE109" s="71">
        <f t="shared" si="1342"/>
        <v>0</v>
      </c>
      <c r="CF109" s="71">
        <f t="shared" si="1343"/>
        <v>0</v>
      </c>
      <c r="CG109" s="71">
        <f t="shared" si="1344"/>
        <v>0</v>
      </c>
      <c r="CH109" s="70">
        <f t="shared" si="870"/>
        <v>133</v>
      </c>
      <c r="CI109" s="69">
        <f t="shared" ca="1" si="871"/>
        <v>10.23076923076923</v>
      </c>
      <c r="GM109" s="2" t="s">
        <v>16</v>
      </c>
      <c r="GN109" s="98" t="str">
        <f t="shared" si="732"/>
        <v>BWP01-FMCG02-SPO-01</v>
      </c>
      <c r="GO109" s="4">
        <v>1</v>
      </c>
      <c r="GP109" s="3">
        <v>1</v>
      </c>
      <c r="GQ109" s="3">
        <v>1</v>
      </c>
      <c r="GR109" s="3">
        <v>0</v>
      </c>
      <c r="GS109" s="3">
        <v>1</v>
      </c>
      <c r="GT109" s="3">
        <v>1</v>
      </c>
      <c r="GU109" s="3">
        <v>1</v>
      </c>
      <c r="GV109" s="3">
        <v>1</v>
      </c>
      <c r="GW109" s="3">
        <v>1</v>
      </c>
      <c r="GX109" s="3">
        <v>1</v>
      </c>
      <c r="GY109" s="3">
        <v>0</v>
      </c>
      <c r="GZ109" s="3">
        <v>1</v>
      </c>
      <c r="HA109" s="3">
        <v>1</v>
      </c>
      <c r="HB109" s="3">
        <v>1</v>
      </c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6"/>
      <c r="HT109" s="4">
        <v>24</v>
      </c>
      <c r="HU109" s="3">
        <v>0</v>
      </c>
      <c r="HV109" s="3">
        <v>7</v>
      </c>
      <c r="HW109" s="3">
        <v>0</v>
      </c>
      <c r="HX109" s="3">
        <v>9</v>
      </c>
      <c r="HY109" s="3">
        <v>23</v>
      </c>
      <c r="HZ109" s="3">
        <v>7</v>
      </c>
      <c r="IA109" s="3">
        <v>10</v>
      </c>
      <c r="IB109" s="3">
        <v>4</v>
      </c>
      <c r="IC109" s="3">
        <v>17</v>
      </c>
      <c r="ID109" s="3">
        <v>0</v>
      </c>
      <c r="IE109" s="3">
        <v>3</v>
      </c>
      <c r="IF109" s="3">
        <v>29</v>
      </c>
      <c r="IG109" s="3">
        <v>0</v>
      </c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6"/>
    </row>
    <row r="110" spans="1:258" hidden="1">
      <c r="A110" s="97" t="s">
        <v>25</v>
      </c>
      <c r="B110" s="98" t="s">
        <v>90</v>
      </c>
      <c r="C110" s="98" t="s">
        <v>299</v>
      </c>
      <c r="D110" s="99" t="s">
        <v>1157</v>
      </c>
      <c r="E110" s="98" t="s">
        <v>974</v>
      </c>
      <c r="F110" s="98" t="s">
        <v>1045</v>
      </c>
      <c r="G110" s="98" t="s">
        <v>308</v>
      </c>
      <c r="H110" s="98" t="s">
        <v>1473</v>
      </c>
      <c r="I110" s="98" t="s">
        <v>1473</v>
      </c>
      <c r="J110" s="98" t="s">
        <v>883</v>
      </c>
      <c r="K110" s="98" t="s">
        <v>179</v>
      </c>
      <c r="L110" s="98" t="s">
        <v>309</v>
      </c>
      <c r="M110" s="101" t="s">
        <v>1093</v>
      </c>
      <c r="N110" s="139">
        <v>45111</v>
      </c>
      <c r="O110" s="100">
        <v>1</v>
      </c>
      <c r="P110" s="69">
        <v>0</v>
      </c>
      <c r="Q110" s="69">
        <f t="shared" si="1278"/>
        <v>0</v>
      </c>
      <c r="R110" s="69">
        <f t="shared" si="1279"/>
        <v>1</v>
      </c>
      <c r="S110" s="69">
        <f t="shared" si="1280"/>
        <v>0</v>
      </c>
      <c r="T110" s="69">
        <f t="shared" si="1281"/>
        <v>1</v>
      </c>
      <c r="U110" s="69">
        <f t="shared" si="1282"/>
        <v>1</v>
      </c>
      <c r="V110" s="70">
        <f t="shared" si="1283"/>
        <v>0</v>
      </c>
      <c r="W110" s="71">
        <f t="shared" si="1284"/>
        <v>0</v>
      </c>
      <c r="X110" s="71">
        <f t="shared" si="1285"/>
        <v>1</v>
      </c>
      <c r="Y110" s="71">
        <f t="shared" si="1286"/>
        <v>1</v>
      </c>
      <c r="Z110" s="71">
        <f t="shared" si="1287"/>
        <v>1</v>
      </c>
      <c r="AA110" s="71">
        <f t="shared" si="1288"/>
        <v>1</v>
      </c>
      <c r="AB110" s="71">
        <f t="shared" si="1289"/>
        <v>1</v>
      </c>
      <c r="AC110" s="71">
        <f t="shared" si="1290"/>
        <v>1</v>
      </c>
      <c r="AD110" s="71">
        <f t="shared" si="1291"/>
        <v>0</v>
      </c>
      <c r="AE110" s="71">
        <f t="shared" si="1292"/>
        <v>1</v>
      </c>
      <c r="AF110" s="71">
        <f t="shared" si="1293"/>
        <v>1</v>
      </c>
      <c r="AG110" s="71">
        <f t="shared" si="1294"/>
        <v>1</v>
      </c>
      <c r="AH110" s="71">
        <f t="shared" si="1295"/>
        <v>1</v>
      </c>
      <c r="AI110" s="71">
        <f t="shared" si="1296"/>
        <v>0</v>
      </c>
      <c r="AJ110" s="71">
        <f t="shared" si="1297"/>
        <v>0</v>
      </c>
      <c r="AK110" s="71">
        <f t="shared" si="1298"/>
        <v>0</v>
      </c>
      <c r="AL110" s="71">
        <f t="shared" si="1299"/>
        <v>0</v>
      </c>
      <c r="AM110" s="71">
        <f t="shared" si="1300"/>
        <v>0</v>
      </c>
      <c r="AN110" s="71">
        <f t="shared" si="1301"/>
        <v>0</v>
      </c>
      <c r="AO110" s="71">
        <f t="shared" si="1302"/>
        <v>0</v>
      </c>
      <c r="AP110" s="71">
        <f t="shared" si="1303"/>
        <v>0</v>
      </c>
      <c r="AQ110" s="71">
        <f t="shared" si="1304"/>
        <v>0</v>
      </c>
      <c r="AR110" s="71">
        <f t="shared" si="1305"/>
        <v>0</v>
      </c>
      <c r="AS110" s="71">
        <f t="shared" si="1306"/>
        <v>0</v>
      </c>
      <c r="AT110" s="71">
        <f t="shared" si="1307"/>
        <v>0</v>
      </c>
      <c r="AU110" s="71">
        <f t="shared" si="1308"/>
        <v>0</v>
      </c>
      <c r="AV110" s="71">
        <f t="shared" si="1309"/>
        <v>0</v>
      </c>
      <c r="AW110" s="71">
        <f t="shared" si="1310"/>
        <v>0</v>
      </c>
      <c r="AX110" s="71">
        <f t="shared" si="1311"/>
        <v>0</v>
      </c>
      <c r="AY110" s="71">
        <f t="shared" si="1312"/>
        <v>0</v>
      </c>
      <c r="AZ110" s="72">
        <f t="shared" si="1313"/>
        <v>0</v>
      </c>
      <c r="BA110" s="70">
        <f t="shared" si="733"/>
        <v>10</v>
      </c>
      <c r="BB110" s="69">
        <f t="shared" ca="1" si="869"/>
        <v>0.76923076923076927</v>
      </c>
      <c r="BC110" s="70">
        <f t="shared" si="1314"/>
        <v>0</v>
      </c>
      <c r="BD110" s="71">
        <f t="shared" si="1315"/>
        <v>0</v>
      </c>
      <c r="BE110" s="71">
        <f t="shared" si="1316"/>
        <v>5</v>
      </c>
      <c r="BF110" s="71">
        <f t="shared" si="1317"/>
        <v>2</v>
      </c>
      <c r="BG110" s="71">
        <f t="shared" si="1318"/>
        <v>4</v>
      </c>
      <c r="BH110" s="71">
        <f t="shared" si="1319"/>
        <v>6</v>
      </c>
      <c r="BI110" s="71">
        <f t="shared" si="1320"/>
        <v>5</v>
      </c>
      <c r="BJ110" s="71">
        <f t="shared" si="1321"/>
        <v>4</v>
      </c>
      <c r="BK110" s="71">
        <f t="shared" si="1322"/>
        <v>0</v>
      </c>
      <c r="BL110" s="71">
        <f t="shared" si="1323"/>
        <v>6</v>
      </c>
      <c r="BM110" s="71">
        <f t="shared" si="1324"/>
        <v>2</v>
      </c>
      <c r="BN110" s="71">
        <f t="shared" si="1325"/>
        <v>4</v>
      </c>
      <c r="BO110" s="71">
        <f t="shared" si="1326"/>
        <v>1</v>
      </c>
      <c r="BP110" s="71">
        <f t="shared" si="1327"/>
        <v>0</v>
      </c>
      <c r="BQ110" s="71">
        <f t="shared" si="1328"/>
        <v>0</v>
      </c>
      <c r="BR110" s="71">
        <f t="shared" si="1329"/>
        <v>0</v>
      </c>
      <c r="BS110" s="71">
        <f t="shared" si="1330"/>
        <v>0</v>
      </c>
      <c r="BT110" s="71">
        <f t="shared" si="1331"/>
        <v>0</v>
      </c>
      <c r="BU110" s="71">
        <f t="shared" si="1332"/>
        <v>0</v>
      </c>
      <c r="BV110" s="71">
        <f t="shared" si="1333"/>
        <v>0</v>
      </c>
      <c r="BW110" s="71">
        <f t="shared" si="1334"/>
        <v>0</v>
      </c>
      <c r="BX110" s="71">
        <f t="shared" si="1335"/>
        <v>0</v>
      </c>
      <c r="BY110" s="71">
        <f t="shared" si="1336"/>
        <v>0</v>
      </c>
      <c r="BZ110" s="71">
        <f t="shared" si="1337"/>
        <v>0</v>
      </c>
      <c r="CA110" s="71">
        <f t="shared" si="1338"/>
        <v>0</v>
      </c>
      <c r="CB110" s="71">
        <f t="shared" si="1339"/>
        <v>0</v>
      </c>
      <c r="CC110" s="71">
        <f t="shared" si="1340"/>
        <v>0</v>
      </c>
      <c r="CD110" s="71">
        <f t="shared" si="1341"/>
        <v>0</v>
      </c>
      <c r="CE110" s="71">
        <f t="shared" si="1342"/>
        <v>0</v>
      </c>
      <c r="CF110" s="71">
        <f t="shared" si="1343"/>
        <v>0</v>
      </c>
      <c r="CG110" s="71">
        <f t="shared" si="1344"/>
        <v>0</v>
      </c>
      <c r="CH110" s="70">
        <f t="shared" si="870"/>
        <v>39</v>
      </c>
      <c r="CI110" s="69">
        <f t="shared" ca="1" si="871"/>
        <v>3</v>
      </c>
      <c r="GM110" s="2" t="s">
        <v>16</v>
      </c>
      <c r="GN110" s="98" t="str">
        <f t="shared" si="732"/>
        <v>BWP01-FMCG-SPO-01</v>
      </c>
      <c r="GO110" s="4">
        <v>0</v>
      </c>
      <c r="GP110" s="3">
        <v>0</v>
      </c>
      <c r="GQ110" s="3">
        <v>1</v>
      </c>
      <c r="GR110" s="3">
        <v>1</v>
      </c>
      <c r="GS110" s="3">
        <v>1</v>
      </c>
      <c r="GT110" s="3">
        <v>1</v>
      </c>
      <c r="GU110" s="3">
        <v>1</v>
      </c>
      <c r="GV110" s="3">
        <v>1</v>
      </c>
      <c r="GW110" s="3">
        <v>0</v>
      </c>
      <c r="GX110" s="3">
        <v>1</v>
      </c>
      <c r="GY110" s="3">
        <v>1</v>
      </c>
      <c r="GZ110" s="3">
        <v>1</v>
      </c>
      <c r="HA110" s="3">
        <v>1</v>
      </c>
      <c r="HB110" s="3">
        <v>0</v>
      </c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6"/>
      <c r="HT110" s="4">
        <v>0</v>
      </c>
      <c r="HU110" s="3">
        <v>0</v>
      </c>
      <c r="HV110" s="3">
        <v>5</v>
      </c>
      <c r="HW110" s="3">
        <v>2</v>
      </c>
      <c r="HX110" s="3">
        <v>4</v>
      </c>
      <c r="HY110" s="3">
        <v>6</v>
      </c>
      <c r="HZ110" s="3">
        <v>5</v>
      </c>
      <c r="IA110" s="3">
        <v>4</v>
      </c>
      <c r="IB110" s="3">
        <v>0</v>
      </c>
      <c r="IC110" s="3">
        <v>6</v>
      </c>
      <c r="ID110" s="3">
        <v>2</v>
      </c>
      <c r="IE110" s="3">
        <v>4</v>
      </c>
      <c r="IF110" s="3">
        <v>1</v>
      </c>
      <c r="IG110" s="3">
        <v>0</v>
      </c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6"/>
    </row>
    <row r="111" spans="1:258" hidden="1">
      <c r="A111" s="97" t="s">
        <v>1287</v>
      </c>
      <c r="B111" s="98" t="s">
        <v>20</v>
      </c>
      <c r="C111" s="98" t="s">
        <v>299</v>
      </c>
      <c r="D111" s="99" t="s">
        <v>1157</v>
      </c>
      <c r="E111" s="98" t="s">
        <v>1098</v>
      </c>
      <c r="F111" s="98" t="s">
        <v>316</v>
      </c>
      <c r="G111" s="98" t="s">
        <v>317</v>
      </c>
      <c r="H111" s="98" t="s">
        <v>1474</v>
      </c>
      <c r="I111" s="98" t="s">
        <v>1474</v>
      </c>
      <c r="J111" s="98" t="s">
        <v>1158</v>
      </c>
      <c r="K111" s="98" t="s">
        <v>1099</v>
      </c>
      <c r="L111" s="98" t="s">
        <v>1099</v>
      </c>
      <c r="M111" s="101" t="s">
        <v>1099</v>
      </c>
      <c r="N111" s="108">
        <v>45474</v>
      </c>
      <c r="O111" s="100">
        <v>0</v>
      </c>
      <c r="P111" s="69">
        <v>0</v>
      </c>
      <c r="Q111" s="69">
        <f t="shared" si="1278"/>
        <v>0</v>
      </c>
      <c r="R111" s="69">
        <f t="shared" si="1279"/>
        <v>0</v>
      </c>
      <c r="S111" s="69">
        <f t="shared" si="1280"/>
        <v>0</v>
      </c>
      <c r="T111" s="69">
        <f t="shared" si="1281"/>
        <v>0</v>
      </c>
      <c r="U111" s="69">
        <f t="shared" si="1282"/>
        <v>0</v>
      </c>
      <c r="V111" s="70">
        <f t="shared" si="1283"/>
        <v>0</v>
      </c>
      <c r="W111" s="71">
        <f t="shared" si="1284"/>
        <v>0</v>
      </c>
      <c r="X111" s="71">
        <f t="shared" si="1285"/>
        <v>0</v>
      </c>
      <c r="Y111" s="71">
        <f t="shared" si="1286"/>
        <v>0</v>
      </c>
      <c r="Z111" s="71">
        <f t="shared" si="1287"/>
        <v>0</v>
      </c>
      <c r="AA111" s="71">
        <f t="shared" si="1288"/>
        <v>0</v>
      </c>
      <c r="AB111" s="71">
        <f t="shared" si="1289"/>
        <v>0</v>
      </c>
      <c r="AC111" s="71">
        <f t="shared" si="1290"/>
        <v>0</v>
      </c>
      <c r="AD111" s="71">
        <f t="shared" si="1291"/>
        <v>0</v>
      </c>
      <c r="AE111" s="71">
        <f t="shared" si="1292"/>
        <v>0</v>
      </c>
      <c r="AF111" s="71">
        <f t="shared" si="1293"/>
        <v>0</v>
      </c>
      <c r="AG111" s="71">
        <f t="shared" si="1294"/>
        <v>0</v>
      </c>
      <c r="AH111" s="71">
        <f t="shared" si="1295"/>
        <v>0</v>
      </c>
      <c r="AI111" s="71">
        <f t="shared" si="1296"/>
        <v>0</v>
      </c>
      <c r="AJ111" s="71">
        <f t="shared" si="1297"/>
        <v>0</v>
      </c>
      <c r="AK111" s="71">
        <f t="shared" si="1298"/>
        <v>0</v>
      </c>
      <c r="AL111" s="71">
        <f t="shared" si="1299"/>
        <v>0</v>
      </c>
      <c r="AM111" s="71">
        <f t="shared" si="1300"/>
        <v>0</v>
      </c>
      <c r="AN111" s="71">
        <f t="shared" si="1301"/>
        <v>0</v>
      </c>
      <c r="AO111" s="71">
        <f t="shared" si="1302"/>
        <v>0</v>
      </c>
      <c r="AP111" s="71">
        <f t="shared" si="1303"/>
        <v>0</v>
      </c>
      <c r="AQ111" s="71">
        <f t="shared" si="1304"/>
        <v>0</v>
      </c>
      <c r="AR111" s="71">
        <f t="shared" si="1305"/>
        <v>0</v>
      </c>
      <c r="AS111" s="71">
        <f t="shared" si="1306"/>
        <v>0</v>
      </c>
      <c r="AT111" s="71">
        <f t="shared" si="1307"/>
        <v>0</v>
      </c>
      <c r="AU111" s="71">
        <f t="shared" si="1308"/>
        <v>0</v>
      </c>
      <c r="AV111" s="71">
        <f t="shared" si="1309"/>
        <v>0</v>
      </c>
      <c r="AW111" s="71">
        <f t="shared" si="1310"/>
        <v>0</v>
      </c>
      <c r="AX111" s="71">
        <f t="shared" si="1311"/>
        <v>0</v>
      </c>
      <c r="AY111" s="71">
        <f t="shared" si="1312"/>
        <v>0</v>
      </c>
      <c r="AZ111" s="72">
        <f t="shared" si="1313"/>
        <v>0</v>
      </c>
      <c r="BA111" s="70">
        <f t="shared" si="733"/>
        <v>0</v>
      </c>
      <c r="BB111" s="69">
        <f t="shared" ca="1" si="869"/>
        <v>0</v>
      </c>
      <c r="BC111" s="70">
        <f t="shared" si="1314"/>
        <v>0</v>
      </c>
      <c r="BD111" s="71">
        <f t="shared" si="1315"/>
        <v>0</v>
      </c>
      <c r="BE111" s="71">
        <f t="shared" si="1316"/>
        <v>0</v>
      </c>
      <c r="BF111" s="71">
        <f t="shared" si="1317"/>
        <v>0</v>
      </c>
      <c r="BG111" s="71">
        <f t="shared" si="1318"/>
        <v>0</v>
      </c>
      <c r="BH111" s="71">
        <f t="shared" si="1319"/>
        <v>0</v>
      </c>
      <c r="BI111" s="71">
        <f t="shared" si="1320"/>
        <v>0</v>
      </c>
      <c r="BJ111" s="71">
        <f t="shared" si="1321"/>
        <v>0</v>
      </c>
      <c r="BK111" s="71">
        <f t="shared" si="1322"/>
        <v>0</v>
      </c>
      <c r="BL111" s="71">
        <f t="shared" si="1323"/>
        <v>0</v>
      </c>
      <c r="BM111" s="71">
        <f t="shared" si="1324"/>
        <v>0</v>
      </c>
      <c r="BN111" s="71">
        <f t="shared" si="1325"/>
        <v>0</v>
      </c>
      <c r="BO111" s="71">
        <f t="shared" si="1326"/>
        <v>0</v>
      </c>
      <c r="BP111" s="71">
        <f t="shared" si="1327"/>
        <v>0</v>
      </c>
      <c r="BQ111" s="71">
        <f t="shared" si="1328"/>
        <v>0</v>
      </c>
      <c r="BR111" s="71">
        <f t="shared" si="1329"/>
        <v>0</v>
      </c>
      <c r="BS111" s="71">
        <f t="shared" si="1330"/>
        <v>0</v>
      </c>
      <c r="BT111" s="71">
        <f t="shared" si="1331"/>
        <v>0</v>
      </c>
      <c r="BU111" s="71">
        <f t="shared" si="1332"/>
        <v>0</v>
      </c>
      <c r="BV111" s="71">
        <f t="shared" si="1333"/>
        <v>0</v>
      </c>
      <c r="BW111" s="71">
        <f t="shared" si="1334"/>
        <v>0</v>
      </c>
      <c r="BX111" s="71">
        <f t="shared" si="1335"/>
        <v>0</v>
      </c>
      <c r="BY111" s="71">
        <f t="shared" si="1336"/>
        <v>0</v>
      </c>
      <c r="BZ111" s="71">
        <f t="shared" si="1337"/>
        <v>0</v>
      </c>
      <c r="CA111" s="71">
        <f t="shared" si="1338"/>
        <v>0</v>
      </c>
      <c r="CB111" s="71">
        <f t="shared" si="1339"/>
        <v>0</v>
      </c>
      <c r="CC111" s="71">
        <f t="shared" si="1340"/>
        <v>0</v>
      </c>
      <c r="CD111" s="71">
        <f t="shared" si="1341"/>
        <v>0</v>
      </c>
      <c r="CE111" s="71">
        <f t="shared" si="1342"/>
        <v>0</v>
      </c>
      <c r="CF111" s="71">
        <f t="shared" si="1343"/>
        <v>0</v>
      </c>
      <c r="CG111" s="71">
        <f t="shared" si="1344"/>
        <v>0</v>
      </c>
      <c r="CH111" s="70">
        <f t="shared" si="870"/>
        <v>0</v>
      </c>
      <c r="CI111" s="69">
        <f t="shared" ca="1" si="871"/>
        <v>0</v>
      </c>
      <c r="GM111" s="2" t="s">
        <v>16</v>
      </c>
      <c r="GN111" s="98" t="str">
        <f t="shared" si="732"/>
        <v>BWP01-FMCG-SPO-00</v>
      </c>
      <c r="GO111" s="4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6"/>
      <c r="HT111" s="4">
        <v>0</v>
      </c>
      <c r="HU111" s="3">
        <v>0</v>
      </c>
      <c r="HV111" s="3">
        <v>0</v>
      </c>
      <c r="HW111" s="3">
        <v>0</v>
      </c>
      <c r="HX111" s="3">
        <v>0</v>
      </c>
      <c r="HY111" s="3">
        <v>0</v>
      </c>
      <c r="HZ111" s="3">
        <v>0</v>
      </c>
      <c r="IA111" s="3">
        <v>0</v>
      </c>
      <c r="IB111" s="3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6"/>
    </row>
    <row r="112" spans="1:258" hidden="1">
      <c r="A112" s="97" t="s">
        <v>1380</v>
      </c>
      <c r="B112" s="98" t="s">
        <v>20</v>
      </c>
      <c r="C112" s="98" t="s">
        <v>299</v>
      </c>
      <c r="D112" s="99" t="s">
        <v>1157</v>
      </c>
      <c r="E112" s="98" t="s">
        <v>318</v>
      </c>
      <c r="F112" s="98" t="s">
        <v>319</v>
      </c>
      <c r="G112" s="98" t="s">
        <v>320</v>
      </c>
      <c r="H112" s="98" t="s">
        <v>1159</v>
      </c>
      <c r="I112" s="98" t="s">
        <v>1159</v>
      </c>
      <c r="J112" s="98" t="s">
        <v>1158</v>
      </c>
      <c r="K112" s="98" t="s">
        <v>1127</v>
      </c>
      <c r="L112" s="98" t="s">
        <v>321</v>
      </c>
      <c r="M112" s="101" t="s">
        <v>52</v>
      </c>
      <c r="N112" s="108">
        <v>44064</v>
      </c>
      <c r="O112" s="100">
        <v>0</v>
      </c>
      <c r="P112" s="69">
        <v>0</v>
      </c>
      <c r="Q112" s="69">
        <f t="shared" si="1278"/>
        <v>0</v>
      </c>
      <c r="R112" s="69">
        <f t="shared" si="1279"/>
        <v>0</v>
      </c>
      <c r="S112" s="69">
        <f t="shared" si="1280"/>
        <v>0</v>
      </c>
      <c r="T112" s="69">
        <f t="shared" si="1281"/>
        <v>0</v>
      </c>
      <c r="U112" s="69">
        <f t="shared" si="1282"/>
        <v>0</v>
      </c>
      <c r="V112" s="70">
        <f t="shared" si="1283"/>
        <v>0</v>
      </c>
      <c r="W112" s="71">
        <f t="shared" si="1284"/>
        <v>0</v>
      </c>
      <c r="X112" s="71">
        <f t="shared" si="1285"/>
        <v>0</v>
      </c>
      <c r="Y112" s="71">
        <f t="shared" si="1286"/>
        <v>0</v>
      </c>
      <c r="Z112" s="71">
        <f t="shared" si="1287"/>
        <v>0</v>
      </c>
      <c r="AA112" s="71">
        <f t="shared" si="1288"/>
        <v>0</v>
      </c>
      <c r="AB112" s="71">
        <f t="shared" si="1289"/>
        <v>0</v>
      </c>
      <c r="AC112" s="71">
        <f t="shared" si="1290"/>
        <v>0</v>
      </c>
      <c r="AD112" s="71">
        <f t="shared" si="1291"/>
        <v>0</v>
      </c>
      <c r="AE112" s="71">
        <f t="shared" si="1292"/>
        <v>0</v>
      </c>
      <c r="AF112" s="71">
        <f t="shared" si="1293"/>
        <v>0</v>
      </c>
      <c r="AG112" s="71">
        <f t="shared" si="1294"/>
        <v>0</v>
      </c>
      <c r="AH112" s="71">
        <f t="shared" si="1295"/>
        <v>0</v>
      </c>
      <c r="AI112" s="71">
        <f t="shared" si="1296"/>
        <v>0</v>
      </c>
      <c r="AJ112" s="71">
        <f t="shared" si="1297"/>
        <v>0</v>
      </c>
      <c r="AK112" s="71">
        <f t="shared" si="1298"/>
        <v>0</v>
      </c>
      <c r="AL112" s="71">
        <f t="shared" si="1299"/>
        <v>0</v>
      </c>
      <c r="AM112" s="71">
        <f t="shared" si="1300"/>
        <v>0</v>
      </c>
      <c r="AN112" s="71">
        <f t="shared" si="1301"/>
        <v>0</v>
      </c>
      <c r="AO112" s="71">
        <f t="shared" si="1302"/>
        <v>0</v>
      </c>
      <c r="AP112" s="71">
        <f t="shared" si="1303"/>
        <v>0</v>
      </c>
      <c r="AQ112" s="71">
        <f t="shared" si="1304"/>
        <v>0</v>
      </c>
      <c r="AR112" s="71">
        <f t="shared" si="1305"/>
        <v>0</v>
      </c>
      <c r="AS112" s="71">
        <f t="shared" si="1306"/>
        <v>0</v>
      </c>
      <c r="AT112" s="71">
        <f t="shared" si="1307"/>
        <v>0</v>
      </c>
      <c r="AU112" s="71">
        <f t="shared" si="1308"/>
        <v>0</v>
      </c>
      <c r="AV112" s="71">
        <f t="shared" si="1309"/>
        <v>0</v>
      </c>
      <c r="AW112" s="71">
        <f t="shared" si="1310"/>
        <v>0</v>
      </c>
      <c r="AX112" s="71">
        <f t="shared" si="1311"/>
        <v>0</v>
      </c>
      <c r="AY112" s="71">
        <f t="shared" si="1312"/>
        <v>0</v>
      </c>
      <c r="AZ112" s="72">
        <f t="shared" si="1313"/>
        <v>0</v>
      </c>
      <c r="BA112" s="70">
        <f t="shared" si="733"/>
        <v>0</v>
      </c>
      <c r="BB112" s="69">
        <f t="shared" ca="1" si="869"/>
        <v>0</v>
      </c>
      <c r="BC112" s="70">
        <f t="shared" si="1314"/>
        <v>0</v>
      </c>
      <c r="BD112" s="71">
        <f t="shared" si="1315"/>
        <v>0</v>
      </c>
      <c r="BE112" s="71">
        <f t="shared" si="1316"/>
        <v>0</v>
      </c>
      <c r="BF112" s="71">
        <f t="shared" si="1317"/>
        <v>0</v>
      </c>
      <c r="BG112" s="71">
        <f t="shared" si="1318"/>
        <v>0</v>
      </c>
      <c r="BH112" s="71">
        <f t="shared" si="1319"/>
        <v>0</v>
      </c>
      <c r="BI112" s="71">
        <f t="shared" si="1320"/>
        <v>0</v>
      </c>
      <c r="BJ112" s="71">
        <f t="shared" si="1321"/>
        <v>0</v>
      </c>
      <c r="BK112" s="71">
        <f t="shared" si="1322"/>
        <v>0</v>
      </c>
      <c r="BL112" s="71">
        <f t="shared" si="1323"/>
        <v>0</v>
      </c>
      <c r="BM112" s="71">
        <f t="shared" si="1324"/>
        <v>0</v>
      </c>
      <c r="BN112" s="71">
        <f t="shared" si="1325"/>
        <v>0</v>
      </c>
      <c r="BO112" s="71">
        <f t="shared" si="1326"/>
        <v>0</v>
      </c>
      <c r="BP112" s="71">
        <f t="shared" si="1327"/>
        <v>0</v>
      </c>
      <c r="BQ112" s="71">
        <f t="shared" si="1328"/>
        <v>0</v>
      </c>
      <c r="BR112" s="71">
        <f t="shared" si="1329"/>
        <v>0</v>
      </c>
      <c r="BS112" s="71">
        <f t="shared" si="1330"/>
        <v>0</v>
      </c>
      <c r="BT112" s="71">
        <f t="shared" si="1331"/>
        <v>0</v>
      </c>
      <c r="BU112" s="71">
        <f t="shared" si="1332"/>
        <v>0</v>
      </c>
      <c r="BV112" s="71">
        <f t="shared" si="1333"/>
        <v>0</v>
      </c>
      <c r="BW112" s="71">
        <f t="shared" si="1334"/>
        <v>0</v>
      </c>
      <c r="BX112" s="71">
        <f t="shared" si="1335"/>
        <v>0</v>
      </c>
      <c r="BY112" s="71">
        <f t="shared" si="1336"/>
        <v>0</v>
      </c>
      <c r="BZ112" s="71">
        <f t="shared" si="1337"/>
        <v>0</v>
      </c>
      <c r="CA112" s="71">
        <f t="shared" si="1338"/>
        <v>0</v>
      </c>
      <c r="CB112" s="71">
        <f t="shared" si="1339"/>
        <v>0</v>
      </c>
      <c r="CC112" s="71">
        <f t="shared" si="1340"/>
        <v>0</v>
      </c>
      <c r="CD112" s="71">
        <f t="shared" si="1341"/>
        <v>0</v>
      </c>
      <c r="CE112" s="71">
        <f t="shared" si="1342"/>
        <v>0</v>
      </c>
      <c r="CF112" s="71">
        <f t="shared" si="1343"/>
        <v>0</v>
      </c>
      <c r="CG112" s="71">
        <f t="shared" si="1344"/>
        <v>0</v>
      </c>
      <c r="CH112" s="70">
        <f t="shared" si="870"/>
        <v>0</v>
      </c>
      <c r="CI112" s="69">
        <f t="shared" ca="1" si="871"/>
        <v>0</v>
      </c>
      <c r="GM112" s="2" t="s">
        <v>16</v>
      </c>
      <c r="GN112" s="98" t="str">
        <f t="shared" si="732"/>
        <v>BWP01-FMCG-ASM-01</v>
      </c>
      <c r="GO112" s="4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6"/>
      <c r="HT112" s="4">
        <v>0</v>
      </c>
      <c r="HU112" s="3">
        <v>0</v>
      </c>
      <c r="HV112" s="3">
        <v>0</v>
      </c>
      <c r="HW112" s="3">
        <v>0</v>
      </c>
      <c r="HX112" s="3">
        <v>0</v>
      </c>
      <c r="HY112" s="3">
        <v>0</v>
      </c>
      <c r="HZ112" s="3">
        <v>0</v>
      </c>
      <c r="IA112" s="3">
        <v>0</v>
      </c>
      <c r="IB112" s="3">
        <v>0</v>
      </c>
      <c r="IC112" s="3">
        <v>0</v>
      </c>
      <c r="ID112" s="3">
        <v>0</v>
      </c>
      <c r="IE112" s="3">
        <v>0</v>
      </c>
      <c r="IF112" s="3">
        <v>0</v>
      </c>
      <c r="IG112" s="3">
        <v>0</v>
      </c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6"/>
    </row>
    <row r="113" spans="1:258" hidden="1">
      <c r="A113" s="102" t="s">
        <v>53</v>
      </c>
      <c r="B113" s="103" t="s">
        <v>20</v>
      </c>
      <c r="C113" s="103" t="s">
        <v>299</v>
      </c>
      <c r="D113" s="104" t="s">
        <v>1157</v>
      </c>
      <c r="E113" s="103" t="s">
        <v>318</v>
      </c>
      <c r="F113" s="103" t="s">
        <v>319</v>
      </c>
      <c r="G113" s="103" t="s">
        <v>320</v>
      </c>
      <c r="H113" s="103" t="s">
        <v>1159</v>
      </c>
      <c r="I113" s="103" t="s">
        <v>1159</v>
      </c>
      <c r="J113" s="103" t="s">
        <v>1158</v>
      </c>
      <c r="K113" s="103" t="s">
        <v>1127</v>
      </c>
      <c r="L113" s="103" t="s">
        <v>321</v>
      </c>
      <c r="M113" s="103" t="s">
        <v>52</v>
      </c>
      <c r="N113" s="119">
        <v>44064</v>
      </c>
      <c r="O113" s="105">
        <f>O111++O110+O109+O108+O107</f>
        <v>4</v>
      </c>
      <c r="P113" s="73">
        <f t="shared" ref="P113:CA113" si="1345">P111++P110+P109+P108+P107</f>
        <v>0</v>
      </c>
      <c r="Q113" s="73">
        <f t="shared" si="1345"/>
        <v>3</v>
      </c>
      <c r="R113" s="73">
        <f t="shared" si="1345"/>
        <v>4</v>
      </c>
      <c r="S113" s="73">
        <f t="shared" si="1345"/>
        <v>0</v>
      </c>
      <c r="T113" s="73">
        <f t="shared" si="1345"/>
        <v>4</v>
      </c>
      <c r="U113" s="73">
        <f t="shared" si="1345"/>
        <v>4</v>
      </c>
      <c r="V113" s="74">
        <f t="shared" si="1345"/>
        <v>3</v>
      </c>
      <c r="W113" s="75">
        <f t="shared" si="1345"/>
        <v>3</v>
      </c>
      <c r="X113" s="75">
        <f t="shared" si="1345"/>
        <v>4</v>
      </c>
      <c r="Y113" s="75">
        <f t="shared" si="1345"/>
        <v>1</v>
      </c>
      <c r="Z113" s="75">
        <f t="shared" si="1345"/>
        <v>4</v>
      </c>
      <c r="AA113" s="75">
        <f t="shared" si="1345"/>
        <v>4</v>
      </c>
      <c r="AB113" s="75">
        <f t="shared" si="1345"/>
        <v>4</v>
      </c>
      <c r="AC113" s="75">
        <f t="shared" si="1345"/>
        <v>4</v>
      </c>
      <c r="AD113" s="75">
        <f t="shared" si="1345"/>
        <v>3</v>
      </c>
      <c r="AE113" s="75">
        <f t="shared" si="1345"/>
        <v>4</v>
      </c>
      <c r="AF113" s="75">
        <f t="shared" si="1345"/>
        <v>1</v>
      </c>
      <c r="AG113" s="75">
        <f t="shared" si="1345"/>
        <v>4</v>
      </c>
      <c r="AH113" s="75">
        <f t="shared" si="1345"/>
        <v>4</v>
      </c>
      <c r="AI113" s="75">
        <f t="shared" si="1345"/>
        <v>3</v>
      </c>
      <c r="AJ113" s="75">
        <f t="shared" si="1345"/>
        <v>0</v>
      </c>
      <c r="AK113" s="75">
        <f t="shared" si="1345"/>
        <v>0</v>
      </c>
      <c r="AL113" s="75">
        <f t="shared" si="1345"/>
        <v>0</v>
      </c>
      <c r="AM113" s="75">
        <f t="shared" si="1345"/>
        <v>0</v>
      </c>
      <c r="AN113" s="75">
        <f t="shared" si="1345"/>
        <v>0</v>
      </c>
      <c r="AO113" s="75">
        <f t="shared" si="1345"/>
        <v>0</v>
      </c>
      <c r="AP113" s="75">
        <f t="shared" si="1345"/>
        <v>0</v>
      </c>
      <c r="AQ113" s="75">
        <f t="shared" si="1345"/>
        <v>0</v>
      </c>
      <c r="AR113" s="75">
        <f t="shared" si="1345"/>
        <v>0</v>
      </c>
      <c r="AS113" s="75">
        <f t="shared" si="1345"/>
        <v>0</v>
      </c>
      <c r="AT113" s="75">
        <f t="shared" si="1345"/>
        <v>0</v>
      </c>
      <c r="AU113" s="75">
        <f t="shared" si="1345"/>
        <v>0</v>
      </c>
      <c r="AV113" s="75">
        <f t="shared" si="1345"/>
        <v>0</v>
      </c>
      <c r="AW113" s="75">
        <f t="shared" si="1345"/>
        <v>0</v>
      </c>
      <c r="AX113" s="75">
        <f t="shared" si="1345"/>
        <v>0</v>
      </c>
      <c r="AY113" s="75">
        <f t="shared" si="1345"/>
        <v>0</v>
      </c>
      <c r="AZ113" s="76">
        <f t="shared" si="1345"/>
        <v>0</v>
      </c>
      <c r="BA113" s="74">
        <f t="shared" si="733"/>
        <v>46</v>
      </c>
      <c r="BB113" s="73">
        <f t="shared" ca="1" si="869"/>
        <v>0.88461538461538458</v>
      </c>
      <c r="BC113" s="74">
        <f t="shared" si="1345"/>
        <v>70</v>
      </c>
      <c r="BD113" s="75">
        <f t="shared" si="1345"/>
        <v>15</v>
      </c>
      <c r="BE113" s="75">
        <f t="shared" si="1345"/>
        <v>24</v>
      </c>
      <c r="BF113" s="75">
        <f t="shared" si="1345"/>
        <v>2</v>
      </c>
      <c r="BG113" s="75">
        <f t="shared" si="1345"/>
        <v>81</v>
      </c>
      <c r="BH113" s="75">
        <f t="shared" si="1345"/>
        <v>85</v>
      </c>
      <c r="BI113" s="75">
        <f t="shared" si="1345"/>
        <v>61</v>
      </c>
      <c r="BJ113" s="75">
        <f t="shared" si="1345"/>
        <v>76</v>
      </c>
      <c r="BK113" s="75">
        <f t="shared" si="1345"/>
        <v>64</v>
      </c>
      <c r="BL113" s="75">
        <f t="shared" si="1345"/>
        <v>83</v>
      </c>
      <c r="BM113" s="75">
        <f t="shared" si="1345"/>
        <v>2</v>
      </c>
      <c r="BN113" s="75">
        <f t="shared" si="1345"/>
        <v>89</v>
      </c>
      <c r="BO113" s="75">
        <f t="shared" si="1345"/>
        <v>96</v>
      </c>
      <c r="BP113" s="75">
        <f t="shared" si="1345"/>
        <v>0</v>
      </c>
      <c r="BQ113" s="75">
        <f t="shared" si="1345"/>
        <v>0</v>
      </c>
      <c r="BR113" s="75">
        <f t="shared" si="1345"/>
        <v>0</v>
      </c>
      <c r="BS113" s="75">
        <f t="shared" si="1345"/>
        <v>0</v>
      </c>
      <c r="BT113" s="75">
        <f t="shared" si="1345"/>
        <v>0</v>
      </c>
      <c r="BU113" s="75">
        <f t="shared" si="1345"/>
        <v>0</v>
      </c>
      <c r="BV113" s="75">
        <f t="shared" si="1345"/>
        <v>0</v>
      </c>
      <c r="BW113" s="75">
        <f t="shared" si="1345"/>
        <v>0</v>
      </c>
      <c r="BX113" s="75">
        <f t="shared" si="1345"/>
        <v>0</v>
      </c>
      <c r="BY113" s="75">
        <f t="shared" si="1345"/>
        <v>0</v>
      </c>
      <c r="BZ113" s="75">
        <f t="shared" si="1345"/>
        <v>0</v>
      </c>
      <c r="CA113" s="75">
        <f t="shared" si="1345"/>
        <v>0</v>
      </c>
      <c r="CB113" s="75">
        <f t="shared" ref="CB113:CG113" si="1346">CB111++CB110+CB109+CB108+CB107</f>
        <v>0</v>
      </c>
      <c r="CC113" s="75">
        <f t="shared" si="1346"/>
        <v>0</v>
      </c>
      <c r="CD113" s="75">
        <f t="shared" si="1346"/>
        <v>0</v>
      </c>
      <c r="CE113" s="75">
        <f t="shared" si="1346"/>
        <v>0</v>
      </c>
      <c r="CF113" s="75">
        <f t="shared" si="1346"/>
        <v>0</v>
      </c>
      <c r="CG113" s="75">
        <f t="shared" si="1346"/>
        <v>0</v>
      </c>
      <c r="CH113" s="74">
        <f t="shared" si="870"/>
        <v>748</v>
      </c>
      <c r="CI113" s="73">
        <f t="shared" ca="1" si="871"/>
        <v>14.384615384615385</v>
      </c>
      <c r="GM113" s="2" t="s">
        <v>17</v>
      </c>
      <c r="GN113" s="103" t="str">
        <f t="shared" si="732"/>
        <v>BWP01-FMCG-ASM-01</v>
      </c>
      <c r="GO113" s="4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3">
        <v>0</v>
      </c>
      <c r="GZ113" s="3">
        <v>0</v>
      </c>
      <c r="HA113" s="3">
        <v>0</v>
      </c>
      <c r="HB113" s="3">
        <v>0</v>
      </c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6"/>
      <c r="HT113" s="4">
        <v>0</v>
      </c>
      <c r="HU113" s="3">
        <v>0</v>
      </c>
      <c r="HV113" s="3">
        <v>0</v>
      </c>
      <c r="HW113" s="3">
        <v>0</v>
      </c>
      <c r="HX113" s="3">
        <v>0</v>
      </c>
      <c r="HY113" s="3">
        <v>0</v>
      </c>
      <c r="HZ113" s="3">
        <v>0</v>
      </c>
      <c r="IA113" s="3">
        <v>0</v>
      </c>
      <c r="IB113" s="3">
        <v>0</v>
      </c>
      <c r="IC113" s="3">
        <v>0</v>
      </c>
      <c r="ID113" s="3">
        <v>0</v>
      </c>
      <c r="IE113" s="3">
        <v>0</v>
      </c>
      <c r="IF113" s="3">
        <v>0</v>
      </c>
      <c r="IG113" s="3">
        <v>0</v>
      </c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6"/>
    </row>
    <row r="114" spans="1:258" hidden="1">
      <c r="A114" s="97" t="s">
        <v>25</v>
      </c>
      <c r="B114" s="98" t="s">
        <v>26</v>
      </c>
      <c r="C114" s="98" t="s">
        <v>299</v>
      </c>
      <c r="D114" s="99" t="s">
        <v>1160</v>
      </c>
      <c r="E114" s="98" t="s">
        <v>322</v>
      </c>
      <c r="F114" s="98" t="s">
        <v>323</v>
      </c>
      <c r="G114" s="98" t="s">
        <v>324</v>
      </c>
      <c r="H114" s="98" t="s">
        <v>1475</v>
      </c>
      <c r="I114" s="98" t="s">
        <v>1475</v>
      </c>
      <c r="J114" s="98" t="s">
        <v>1161</v>
      </c>
      <c r="K114" s="98" t="s">
        <v>1127</v>
      </c>
      <c r="L114" s="98">
        <v>5066</v>
      </c>
      <c r="M114" s="101" t="s">
        <v>1162</v>
      </c>
      <c r="N114" s="139">
        <v>41852</v>
      </c>
      <c r="O114" s="100">
        <v>1</v>
      </c>
      <c r="P114" s="69">
        <v>0</v>
      </c>
      <c r="Q114" s="69">
        <f t="shared" ref="Q114:Q119" si="1347">IFERROR(IF(OR(AI114&gt;0),1,0),0)</f>
        <v>1</v>
      </c>
      <c r="R114" s="69">
        <f t="shared" ref="R114:R119" si="1348">IFERROR(IF(OR(BA114&gt;0),1,0),0)</f>
        <v>1</v>
      </c>
      <c r="S114" s="69">
        <f t="shared" ref="S114:S119" si="1349">IFERROR(IF(OR(BP114&gt;0),1,0),0)</f>
        <v>0</v>
      </c>
      <c r="T114" s="69">
        <f t="shared" ref="T114:T119" si="1350">IFERROR(IF(OR(CH114&gt;0),1,0),0)</f>
        <v>1</v>
      </c>
      <c r="U114" s="69">
        <f t="shared" ref="U114:U119" si="1351">IFERROR(IF(OR(BA114&gt;0,CH114&gt;0),1,0),0)</f>
        <v>1</v>
      </c>
      <c r="V114" s="70">
        <f t="shared" ref="V114:V119" si="1352">GO114</f>
        <v>1</v>
      </c>
      <c r="W114" s="71">
        <f t="shared" ref="W114:W119" si="1353">GP114</f>
        <v>1</v>
      </c>
      <c r="X114" s="71">
        <f t="shared" ref="X114:X119" si="1354">GQ114</f>
        <v>1</v>
      </c>
      <c r="Y114" s="71">
        <f t="shared" ref="Y114:Y119" si="1355">GR114</f>
        <v>0</v>
      </c>
      <c r="Z114" s="71">
        <f t="shared" ref="Z114:Z119" si="1356">GS114</f>
        <v>1</v>
      </c>
      <c r="AA114" s="71">
        <f t="shared" ref="AA114:AA119" si="1357">GT114</f>
        <v>1</v>
      </c>
      <c r="AB114" s="71">
        <f t="shared" ref="AB114:AB119" si="1358">GU114</f>
        <v>1</v>
      </c>
      <c r="AC114" s="71">
        <f t="shared" ref="AC114:AC119" si="1359">GV114</f>
        <v>1</v>
      </c>
      <c r="AD114" s="71">
        <f t="shared" ref="AD114:AD119" si="1360">GW114</f>
        <v>0</v>
      </c>
      <c r="AE114" s="71">
        <f t="shared" ref="AE114:AE119" si="1361">GX114</f>
        <v>0</v>
      </c>
      <c r="AF114" s="71">
        <f t="shared" ref="AF114:AF119" si="1362">GY114</f>
        <v>0</v>
      </c>
      <c r="AG114" s="71">
        <f t="shared" ref="AG114:AG119" si="1363">GZ114</f>
        <v>1</v>
      </c>
      <c r="AH114" s="71">
        <f t="shared" ref="AH114:AH119" si="1364">HA114</f>
        <v>1</v>
      </c>
      <c r="AI114" s="71">
        <f t="shared" ref="AI114:AI119" si="1365">HB114</f>
        <v>1</v>
      </c>
      <c r="AJ114" s="71">
        <f t="shared" ref="AJ114:AJ119" si="1366">HC114</f>
        <v>0</v>
      </c>
      <c r="AK114" s="71">
        <f t="shared" ref="AK114:AK119" si="1367">HD114</f>
        <v>0</v>
      </c>
      <c r="AL114" s="71">
        <f t="shared" ref="AL114:AL119" si="1368">HE114</f>
        <v>0</v>
      </c>
      <c r="AM114" s="71">
        <f t="shared" ref="AM114:AM119" si="1369">HF114</f>
        <v>0</v>
      </c>
      <c r="AN114" s="71">
        <f t="shared" ref="AN114:AN119" si="1370">HG114</f>
        <v>0</v>
      </c>
      <c r="AO114" s="71">
        <f t="shared" ref="AO114:AO119" si="1371">HH114</f>
        <v>0</v>
      </c>
      <c r="AP114" s="71">
        <f t="shared" ref="AP114:AP119" si="1372">HI114</f>
        <v>0</v>
      </c>
      <c r="AQ114" s="71">
        <f t="shared" ref="AQ114:AQ119" si="1373">HJ114</f>
        <v>0</v>
      </c>
      <c r="AR114" s="71">
        <f t="shared" ref="AR114:AR119" si="1374">HK114</f>
        <v>0</v>
      </c>
      <c r="AS114" s="71">
        <f t="shared" ref="AS114:AS119" si="1375">HL114</f>
        <v>0</v>
      </c>
      <c r="AT114" s="71">
        <f t="shared" ref="AT114:AT119" si="1376">HM114</f>
        <v>0</v>
      </c>
      <c r="AU114" s="71">
        <f t="shared" ref="AU114:AU119" si="1377">HN114</f>
        <v>0</v>
      </c>
      <c r="AV114" s="71">
        <f t="shared" ref="AV114:AV119" si="1378">HO114</f>
        <v>0</v>
      </c>
      <c r="AW114" s="71">
        <f t="shared" ref="AW114:AW119" si="1379">HP114</f>
        <v>0</v>
      </c>
      <c r="AX114" s="71">
        <f t="shared" ref="AX114:AX119" si="1380">HQ114</f>
        <v>0</v>
      </c>
      <c r="AY114" s="71">
        <f t="shared" ref="AY114:AY119" si="1381">HR114</f>
        <v>0</v>
      </c>
      <c r="AZ114" s="72">
        <f t="shared" ref="AZ114:AZ119" si="1382">HS114</f>
        <v>0</v>
      </c>
      <c r="BA114" s="70">
        <f t="shared" si="733"/>
        <v>10</v>
      </c>
      <c r="BB114" s="69">
        <f t="shared" ca="1" si="869"/>
        <v>0.76923076923076927</v>
      </c>
      <c r="BC114" s="70">
        <f t="shared" ref="BC114:BC119" si="1383">HT114</f>
        <v>40</v>
      </c>
      <c r="BD114" s="71">
        <f t="shared" ref="BD114:BD119" si="1384">HU114</f>
        <v>40</v>
      </c>
      <c r="BE114" s="71">
        <f t="shared" ref="BE114:BE119" si="1385">HV114</f>
        <v>41</v>
      </c>
      <c r="BF114" s="71">
        <f t="shared" ref="BF114:BF119" si="1386">HW114</f>
        <v>0</v>
      </c>
      <c r="BG114" s="71">
        <f t="shared" ref="BG114:BG119" si="1387">HX114</f>
        <v>42</v>
      </c>
      <c r="BH114" s="71">
        <f t="shared" ref="BH114:BH119" si="1388">HY114</f>
        <v>48</v>
      </c>
      <c r="BI114" s="71">
        <f t="shared" ref="BI114:BI119" si="1389">HZ114</f>
        <v>42</v>
      </c>
      <c r="BJ114" s="71">
        <f t="shared" ref="BJ114:BJ119" si="1390">IA114</f>
        <v>0</v>
      </c>
      <c r="BK114" s="71">
        <f t="shared" ref="BK114:BK119" si="1391">IB114</f>
        <v>0</v>
      </c>
      <c r="BL114" s="71">
        <f t="shared" ref="BL114:BL119" si="1392">IC114</f>
        <v>0</v>
      </c>
      <c r="BM114" s="71">
        <f t="shared" ref="BM114:BM119" si="1393">ID114</f>
        <v>0</v>
      </c>
      <c r="BN114" s="71">
        <f t="shared" ref="BN114:BN119" si="1394">IE114</f>
        <v>40</v>
      </c>
      <c r="BO114" s="71">
        <f t="shared" ref="BO114:BO119" si="1395">IF114</f>
        <v>41</v>
      </c>
      <c r="BP114" s="71">
        <f t="shared" ref="BP114:BP119" si="1396">IG114</f>
        <v>0</v>
      </c>
      <c r="BQ114" s="71">
        <f t="shared" ref="BQ114:BQ119" si="1397">IH114</f>
        <v>0</v>
      </c>
      <c r="BR114" s="71">
        <f t="shared" ref="BR114:BR119" si="1398">II114</f>
        <v>0</v>
      </c>
      <c r="BS114" s="71">
        <f t="shared" ref="BS114:BS119" si="1399">IJ114</f>
        <v>0</v>
      </c>
      <c r="BT114" s="71">
        <f t="shared" ref="BT114:BT119" si="1400">IK114</f>
        <v>0</v>
      </c>
      <c r="BU114" s="71">
        <f t="shared" ref="BU114:BU119" si="1401">IL114</f>
        <v>0</v>
      </c>
      <c r="BV114" s="71">
        <f t="shared" ref="BV114:BV119" si="1402">IM114</f>
        <v>0</v>
      </c>
      <c r="BW114" s="71">
        <f t="shared" ref="BW114:BW119" si="1403">IN114</f>
        <v>0</v>
      </c>
      <c r="BX114" s="71">
        <f t="shared" ref="BX114:BX119" si="1404">IO114</f>
        <v>0</v>
      </c>
      <c r="BY114" s="71">
        <f t="shared" ref="BY114:BY119" si="1405">IP114</f>
        <v>0</v>
      </c>
      <c r="BZ114" s="71">
        <f t="shared" ref="BZ114:BZ119" si="1406">IQ114</f>
        <v>0</v>
      </c>
      <c r="CA114" s="71">
        <f t="shared" ref="CA114:CA119" si="1407">IR114</f>
        <v>0</v>
      </c>
      <c r="CB114" s="71">
        <f t="shared" ref="CB114:CB119" si="1408">IS114</f>
        <v>0</v>
      </c>
      <c r="CC114" s="71">
        <f t="shared" ref="CC114:CC119" si="1409">IT114</f>
        <v>0</v>
      </c>
      <c r="CD114" s="71">
        <f t="shared" ref="CD114:CD119" si="1410">IU114</f>
        <v>0</v>
      </c>
      <c r="CE114" s="71">
        <f t="shared" ref="CE114:CE119" si="1411">IV114</f>
        <v>0</v>
      </c>
      <c r="CF114" s="71">
        <f t="shared" ref="CF114:CF119" si="1412">IW114</f>
        <v>0</v>
      </c>
      <c r="CG114" s="71">
        <f t="shared" ref="CG114:CG119" si="1413">IX114</f>
        <v>0</v>
      </c>
      <c r="CH114" s="70">
        <f t="shared" si="870"/>
        <v>334</v>
      </c>
      <c r="CI114" s="69">
        <f t="shared" ca="1" si="871"/>
        <v>25.692307692307693</v>
      </c>
      <c r="GM114" s="2" t="s">
        <v>16</v>
      </c>
      <c r="GN114" s="98" t="str">
        <f t="shared" si="732"/>
        <v>RYK01-FMCG01-SPO-01</v>
      </c>
      <c r="GO114" s="4">
        <v>1</v>
      </c>
      <c r="GP114" s="3">
        <v>1</v>
      </c>
      <c r="GQ114" s="3">
        <v>1</v>
      </c>
      <c r="GR114" s="3">
        <v>0</v>
      </c>
      <c r="GS114" s="3">
        <v>1</v>
      </c>
      <c r="GT114" s="3">
        <v>1</v>
      </c>
      <c r="GU114" s="3">
        <v>1</v>
      </c>
      <c r="GV114" s="3">
        <v>1</v>
      </c>
      <c r="GW114" s="3">
        <v>0</v>
      </c>
      <c r="GX114" s="3">
        <v>0</v>
      </c>
      <c r="GY114" s="3">
        <v>0</v>
      </c>
      <c r="GZ114" s="3">
        <v>1</v>
      </c>
      <c r="HA114" s="3">
        <v>1</v>
      </c>
      <c r="HB114" s="3">
        <v>1</v>
      </c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6"/>
      <c r="HT114" s="4">
        <v>40</v>
      </c>
      <c r="HU114" s="3">
        <v>40</v>
      </c>
      <c r="HV114" s="3">
        <v>41</v>
      </c>
      <c r="HW114" s="3">
        <v>0</v>
      </c>
      <c r="HX114" s="3">
        <v>42</v>
      </c>
      <c r="HY114" s="3">
        <v>48</v>
      </c>
      <c r="HZ114" s="3">
        <v>42</v>
      </c>
      <c r="IA114" s="3">
        <v>0</v>
      </c>
      <c r="IB114" s="3">
        <v>0</v>
      </c>
      <c r="IC114" s="3">
        <v>0</v>
      </c>
      <c r="ID114" s="3">
        <v>0</v>
      </c>
      <c r="IE114" s="3">
        <v>40</v>
      </c>
      <c r="IF114" s="3">
        <v>41</v>
      </c>
      <c r="IG114" s="3">
        <v>0</v>
      </c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6"/>
    </row>
    <row r="115" spans="1:258" hidden="1">
      <c r="A115" s="106" t="s">
        <v>25</v>
      </c>
      <c r="B115" s="101" t="s">
        <v>26</v>
      </c>
      <c r="C115" s="98" t="s">
        <v>299</v>
      </c>
      <c r="D115" s="107" t="s">
        <v>1160</v>
      </c>
      <c r="E115" s="101" t="s">
        <v>327</v>
      </c>
      <c r="F115" s="101" t="s">
        <v>328</v>
      </c>
      <c r="G115" s="98" t="s">
        <v>329</v>
      </c>
      <c r="H115" s="101" t="s">
        <v>1476</v>
      </c>
      <c r="I115" s="101" t="s">
        <v>1476</v>
      </c>
      <c r="J115" s="101" t="s">
        <v>1161</v>
      </c>
      <c r="K115" s="98" t="s">
        <v>1127</v>
      </c>
      <c r="L115" s="101" t="s">
        <v>330</v>
      </c>
      <c r="M115" s="101" t="s">
        <v>1093</v>
      </c>
      <c r="N115" s="139">
        <v>46042</v>
      </c>
      <c r="O115" s="100">
        <v>1</v>
      </c>
      <c r="P115" s="69">
        <v>0</v>
      </c>
      <c r="Q115" s="69">
        <f t="shared" si="1347"/>
        <v>1</v>
      </c>
      <c r="R115" s="69">
        <f t="shared" si="1348"/>
        <v>1</v>
      </c>
      <c r="S115" s="69">
        <f t="shared" si="1349"/>
        <v>0</v>
      </c>
      <c r="T115" s="69">
        <f t="shared" si="1350"/>
        <v>1</v>
      </c>
      <c r="U115" s="69">
        <f t="shared" si="1351"/>
        <v>1</v>
      </c>
      <c r="V115" s="70">
        <f t="shared" si="1352"/>
        <v>1</v>
      </c>
      <c r="W115" s="71">
        <f t="shared" si="1353"/>
        <v>1</v>
      </c>
      <c r="X115" s="71">
        <f t="shared" si="1354"/>
        <v>1</v>
      </c>
      <c r="Y115" s="71">
        <f t="shared" si="1355"/>
        <v>0</v>
      </c>
      <c r="Z115" s="71">
        <f t="shared" si="1356"/>
        <v>1</v>
      </c>
      <c r="AA115" s="71">
        <f t="shared" si="1357"/>
        <v>1</v>
      </c>
      <c r="AB115" s="71">
        <f t="shared" si="1358"/>
        <v>1</v>
      </c>
      <c r="AC115" s="71">
        <f t="shared" si="1359"/>
        <v>1</v>
      </c>
      <c r="AD115" s="71">
        <f t="shared" si="1360"/>
        <v>1</v>
      </c>
      <c r="AE115" s="71">
        <f t="shared" si="1361"/>
        <v>1</v>
      </c>
      <c r="AF115" s="71">
        <f t="shared" si="1362"/>
        <v>0</v>
      </c>
      <c r="AG115" s="71">
        <f t="shared" si="1363"/>
        <v>1</v>
      </c>
      <c r="AH115" s="71">
        <f t="shared" si="1364"/>
        <v>1</v>
      </c>
      <c r="AI115" s="71">
        <f t="shared" si="1365"/>
        <v>1</v>
      </c>
      <c r="AJ115" s="71">
        <f t="shared" si="1366"/>
        <v>0</v>
      </c>
      <c r="AK115" s="71">
        <f t="shared" si="1367"/>
        <v>0</v>
      </c>
      <c r="AL115" s="71">
        <f t="shared" si="1368"/>
        <v>0</v>
      </c>
      <c r="AM115" s="71">
        <f t="shared" si="1369"/>
        <v>0</v>
      </c>
      <c r="AN115" s="71">
        <f t="shared" si="1370"/>
        <v>0</v>
      </c>
      <c r="AO115" s="71">
        <f t="shared" si="1371"/>
        <v>0</v>
      </c>
      <c r="AP115" s="71">
        <f t="shared" si="1372"/>
        <v>0</v>
      </c>
      <c r="AQ115" s="71">
        <f t="shared" si="1373"/>
        <v>0</v>
      </c>
      <c r="AR115" s="71">
        <f t="shared" si="1374"/>
        <v>0</v>
      </c>
      <c r="AS115" s="71">
        <f t="shared" si="1375"/>
        <v>0</v>
      </c>
      <c r="AT115" s="71">
        <f t="shared" si="1376"/>
        <v>0</v>
      </c>
      <c r="AU115" s="71">
        <f t="shared" si="1377"/>
        <v>0</v>
      </c>
      <c r="AV115" s="71">
        <f t="shared" si="1378"/>
        <v>0</v>
      </c>
      <c r="AW115" s="71">
        <f t="shared" si="1379"/>
        <v>0</v>
      </c>
      <c r="AX115" s="71">
        <f t="shared" si="1380"/>
        <v>0</v>
      </c>
      <c r="AY115" s="71">
        <f t="shared" si="1381"/>
        <v>0</v>
      </c>
      <c r="AZ115" s="72">
        <f t="shared" si="1382"/>
        <v>0</v>
      </c>
      <c r="BA115" s="70">
        <f t="shared" si="733"/>
        <v>12</v>
      </c>
      <c r="BB115" s="69">
        <f t="shared" ca="1" si="869"/>
        <v>0.92307692307692313</v>
      </c>
      <c r="BC115" s="70">
        <f t="shared" si="1383"/>
        <v>41</v>
      </c>
      <c r="BD115" s="71">
        <f t="shared" si="1384"/>
        <v>41</v>
      </c>
      <c r="BE115" s="71">
        <f t="shared" si="1385"/>
        <v>41</v>
      </c>
      <c r="BF115" s="71">
        <f t="shared" si="1386"/>
        <v>0</v>
      </c>
      <c r="BG115" s="71">
        <f t="shared" si="1387"/>
        <v>39</v>
      </c>
      <c r="BH115" s="71">
        <f t="shared" si="1388"/>
        <v>42</v>
      </c>
      <c r="BI115" s="71">
        <f t="shared" si="1389"/>
        <v>45</v>
      </c>
      <c r="BJ115" s="71">
        <f t="shared" si="1390"/>
        <v>42</v>
      </c>
      <c r="BK115" s="71">
        <f t="shared" si="1391"/>
        <v>42</v>
      </c>
      <c r="BL115" s="71">
        <f t="shared" si="1392"/>
        <v>37</v>
      </c>
      <c r="BM115" s="71">
        <f t="shared" si="1393"/>
        <v>0</v>
      </c>
      <c r="BN115" s="71">
        <f t="shared" si="1394"/>
        <v>40</v>
      </c>
      <c r="BO115" s="71">
        <f t="shared" si="1395"/>
        <v>42</v>
      </c>
      <c r="BP115" s="71">
        <f t="shared" si="1396"/>
        <v>0</v>
      </c>
      <c r="BQ115" s="71">
        <f t="shared" si="1397"/>
        <v>0</v>
      </c>
      <c r="BR115" s="71">
        <f t="shared" si="1398"/>
        <v>0</v>
      </c>
      <c r="BS115" s="71">
        <f t="shared" si="1399"/>
        <v>0</v>
      </c>
      <c r="BT115" s="71">
        <f t="shared" si="1400"/>
        <v>0</v>
      </c>
      <c r="BU115" s="71">
        <f t="shared" si="1401"/>
        <v>0</v>
      </c>
      <c r="BV115" s="71">
        <f t="shared" si="1402"/>
        <v>0</v>
      </c>
      <c r="BW115" s="71">
        <f t="shared" si="1403"/>
        <v>0</v>
      </c>
      <c r="BX115" s="71">
        <f t="shared" si="1404"/>
        <v>0</v>
      </c>
      <c r="BY115" s="71">
        <f t="shared" si="1405"/>
        <v>0</v>
      </c>
      <c r="BZ115" s="71">
        <f t="shared" si="1406"/>
        <v>0</v>
      </c>
      <c r="CA115" s="71">
        <f t="shared" si="1407"/>
        <v>0</v>
      </c>
      <c r="CB115" s="71">
        <f t="shared" si="1408"/>
        <v>0</v>
      </c>
      <c r="CC115" s="71">
        <f t="shared" si="1409"/>
        <v>0</v>
      </c>
      <c r="CD115" s="71">
        <f t="shared" si="1410"/>
        <v>0</v>
      </c>
      <c r="CE115" s="71">
        <f t="shared" si="1411"/>
        <v>0</v>
      </c>
      <c r="CF115" s="71">
        <f t="shared" si="1412"/>
        <v>0</v>
      </c>
      <c r="CG115" s="71">
        <f t="shared" si="1413"/>
        <v>0</v>
      </c>
      <c r="CH115" s="70">
        <f t="shared" si="870"/>
        <v>452</v>
      </c>
      <c r="CI115" s="69">
        <f t="shared" ca="1" si="871"/>
        <v>34.769230769230766</v>
      </c>
      <c r="GM115" s="2" t="s">
        <v>16</v>
      </c>
      <c r="GN115" s="101" t="str">
        <f t="shared" si="732"/>
        <v>RYK01-FMCG02-SPO-01</v>
      </c>
      <c r="GO115" s="4">
        <v>1</v>
      </c>
      <c r="GP115" s="3">
        <v>1</v>
      </c>
      <c r="GQ115" s="3">
        <v>1</v>
      </c>
      <c r="GR115" s="3">
        <v>0</v>
      </c>
      <c r="GS115" s="3">
        <v>1</v>
      </c>
      <c r="GT115" s="3">
        <v>1</v>
      </c>
      <c r="GU115" s="3">
        <v>1</v>
      </c>
      <c r="GV115" s="3">
        <v>1</v>
      </c>
      <c r="GW115" s="3">
        <v>1</v>
      </c>
      <c r="GX115" s="3">
        <v>1</v>
      </c>
      <c r="GY115" s="3">
        <v>0</v>
      </c>
      <c r="GZ115" s="3">
        <v>1</v>
      </c>
      <c r="HA115" s="3">
        <v>1</v>
      </c>
      <c r="HB115" s="3">
        <v>1</v>
      </c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6"/>
      <c r="HT115" s="4">
        <v>41</v>
      </c>
      <c r="HU115" s="3">
        <v>41</v>
      </c>
      <c r="HV115" s="3">
        <v>41</v>
      </c>
      <c r="HW115" s="3">
        <v>0</v>
      </c>
      <c r="HX115" s="3">
        <v>39</v>
      </c>
      <c r="HY115" s="3">
        <v>42</v>
      </c>
      <c r="HZ115" s="3">
        <v>45</v>
      </c>
      <c r="IA115" s="3">
        <v>42</v>
      </c>
      <c r="IB115" s="3">
        <v>42</v>
      </c>
      <c r="IC115" s="3">
        <v>37</v>
      </c>
      <c r="ID115" s="3">
        <v>0</v>
      </c>
      <c r="IE115" s="3">
        <v>40</v>
      </c>
      <c r="IF115" s="3">
        <v>42</v>
      </c>
      <c r="IG115" s="3">
        <v>0</v>
      </c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6"/>
    </row>
    <row r="116" spans="1:258" hidden="1">
      <c r="A116" s="97" t="s">
        <v>25</v>
      </c>
      <c r="B116" s="98" t="s">
        <v>26</v>
      </c>
      <c r="C116" s="98" t="s">
        <v>299</v>
      </c>
      <c r="D116" s="99" t="s">
        <v>1160</v>
      </c>
      <c r="E116" s="98" t="s">
        <v>1017</v>
      </c>
      <c r="F116" s="98" t="s">
        <v>1046</v>
      </c>
      <c r="G116" s="98" t="s">
        <v>325</v>
      </c>
      <c r="H116" s="98" t="s">
        <v>1477</v>
      </c>
      <c r="I116" s="98" t="s">
        <v>1477</v>
      </c>
      <c r="J116" s="98" t="s">
        <v>1163</v>
      </c>
      <c r="K116" s="98" t="s">
        <v>1127</v>
      </c>
      <c r="L116" s="98" t="s">
        <v>884</v>
      </c>
      <c r="M116" s="101" t="s">
        <v>1093</v>
      </c>
      <c r="N116" s="139">
        <v>46181</v>
      </c>
      <c r="O116" s="100">
        <v>1</v>
      </c>
      <c r="P116" s="69">
        <v>0</v>
      </c>
      <c r="Q116" s="69">
        <f t="shared" si="1347"/>
        <v>1</v>
      </c>
      <c r="R116" s="69">
        <f t="shared" si="1348"/>
        <v>1</v>
      </c>
      <c r="S116" s="69">
        <f t="shared" si="1349"/>
        <v>1</v>
      </c>
      <c r="T116" s="69">
        <f t="shared" si="1350"/>
        <v>1</v>
      </c>
      <c r="U116" s="69">
        <f t="shared" si="1351"/>
        <v>1</v>
      </c>
      <c r="V116" s="70">
        <f t="shared" si="1352"/>
        <v>1</v>
      </c>
      <c r="W116" s="71">
        <f t="shared" si="1353"/>
        <v>1</v>
      </c>
      <c r="X116" s="71">
        <f t="shared" si="1354"/>
        <v>1</v>
      </c>
      <c r="Y116" s="71">
        <f t="shared" si="1355"/>
        <v>0</v>
      </c>
      <c r="Z116" s="71">
        <f t="shared" si="1356"/>
        <v>1</v>
      </c>
      <c r="AA116" s="71">
        <f t="shared" si="1357"/>
        <v>1</v>
      </c>
      <c r="AB116" s="71">
        <f t="shared" si="1358"/>
        <v>1</v>
      </c>
      <c r="AC116" s="71">
        <f t="shared" si="1359"/>
        <v>1</v>
      </c>
      <c r="AD116" s="71">
        <f t="shared" si="1360"/>
        <v>1</v>
      </c>
      <c r="AE116" s="71">
        <f t="shared" si="1361"/>
        <v>1</v>
      </c>
      <c r="AF116" s="71">
        <f t="shared" si="1362"/>
        <v>0</v>
      </c>
      <c r="AG116" s="71">
        <f t="shared" si="1363"/>
        <v>1</v>
      </c>
      <c r="AH116" s="71">
        <f t="shared" si="1364"/>
        <v>1</v>
      </c>
      <c r="AI116" s="71">
        <f t="shared" si="1365"/>
        <v>1</v>
      </c>
      <c r="AJ116" s="71">
        <f t="shared" si="1366"/>
        <v>0</v>
      </c>
      <c r="AK116" s="71">
        <f t="shared" si="1367"/>
        <v>0</v>
      </c>
      <c r="AL116" s="71">
        <f t="shared" si="1368"/>
        <v>0</v>
      </c>
      <c r="AM116" s="71">
        <f t="shared" si="1369"/>
        <v>0</v>
      </c>
      <c r="AN116" s="71">
        <f t="shared" si="1370"/>
        <v>0</v>
      </c>
      <c r="AO116" s="71">
        <f t="shared" si="1371"/>
        <v>0</v>
      </c>
      <c r="AP116" s="71">
        <f t="shared" si="1372"/>
        <v>0</v>
      </c>
      <c r="AQ116" s="71">
        <f t="shared" si="1373"/>
        <v>0</v>
      </c>
      <c r="AR116" s="71">
        <f t="shared" si="1374"/>
        <v>0</v>
      </c>
      <c r="AS116" s="71">
        <f t="shared" si="1375"/>
        <v>0</v>
      </c>
      <c r="AT116" s="71">
        <f t="shared" si="1376"/>
        <v>0</v>
      </c>
      <c r="AU116" s="71">
        <f t="shared" si="1377"/>
        <v>0</v>
      </c>
      <c r="AV116" s="71">
        <f t="shared" si="1378"/>
        <v>0</v>
      </c>
      <c r="AW116" s="71">
        <f t="shared" si="1379"/>
        <v>0</v>
      </c>
      <c r="AX116" s="71">
        <f t="shared" si="1380"/>
        <v>0</v>
      </c>
      <c r="AY116" s="71">
        <f t="shared" si="1381"/>
        <v>0</v>
      </c>
      <c r="AZ116" s="72">
        <f t="shared" si="1382"/>
        <v>0</v>
      </c>
      <c r="BA116" s="70">
        <f t="shared" si="733"/>
        <v>12</v>
      </c>
      <c r="BB116" s="69">
        <f t="shared" ca="1" si="869"/>
        <v>0.92307692307692313</v>
      </c>
      <c r="BC116" s="70">
        <f t="shared" si="1383"/>
        <v>43</v>
      </c>
      <c r="BD116" s="71">
        <f t="shared" si="1384"/>
        <v>42</v>
      </c>
      <c r="BE116" s="71">
        <f t="shared" si="1385"/>
        <v>39</v>
      </c>
      <c r="BF116" s="71">
        <f t="shared" si="1386"/>
        <v>0</v>
      </c>
      <c r="BG116" s="71">
        <f t="shared" si="1387"/>
        <v>43</v>
      </c>
      <c r="BH116" s="71">
        <f t="shared" si="1388"/>
        <v>42</v>
      </c>
      <c r="BI116" s="71">
        <f t="shared" si="1389"/>
        <v>41</v>
      </c>
      <c r="BJ116" s="71">
        <f t="shared" si="1390"/>
        <v>38</v>
      </c>
      <c r="BK116" s="71">
        <f t="shared" si="1391"/>
        <v>44</v>
      </c>
      <c r="BL116" s="71">
        <f t="shared" si="1392"/>
        <v>40</v>
      </c>
      <c r="BM116" s="71">
        <f t="shared" si="1393"/>
        <v>0</v>
      </c>
      <c r="BN116" s="71">
        <f t="shared" si="1394"/>
        <v>52</v>
      </c>
      <c r="BO116" s="71">
        <f t="shared" si="1395"/>
        <v>43</v>
      </c>
      <c r="BP116" s="71">
        <f t="shared" si="1396"/>
        <v>7</v>
      </c>
      <c r="BQ116" s="71">
        <f t="shared" si="1397"/>
        <v>0</v>
      </c>
      <c r="BR116" s="71">
        <f t="shared" si="1398"/>
        <v>0</v>
      </c>
      <c r="BS116" s="71">
        <f t="shared" si="1399"/>
        <v>0</v>
      </c>
      <c r="BT116" s="71">
        <f t="shared" si="1400"/>
        <v>0</v>
      </c>
      <c r="BU116" s="71">
        <f t="shared" si="1401"/>
        <v>0</v>
      </c>
      <c r="BV116" s="71">
        <f t="shared" si="1402"/>
        <v>0</v>
      </c>
      <c r="BW116" s="71">
        <f t="shared" si="1403"/>
        <v>0</v>
      </c>
      <c r="BX116" s="71">
        <f t="shared" si="1404"/>
        <v>0</v>
      </c>
      <c r="BY116" s="71">
        <f t="shared" si="1405"/>
        <v>0</v>
      </c>
      <c r="BZ116" s="71">
        <f t="shared" si="1406"/>
        <v>0</v>
      </c>
      <c r="CA116" s="71">
        <f t="shared" si="1407"/>
        <v>0</v>
      </c>
      <c r="CB116" s="71">
        <f t="shared" si="1408"/>
        <v>0</v>
      </c>
      <c r="CC116" s="71">
        <f t="shared" si="1409"/>
        <v>0</v>
      </c>
      <c r="CD116" s="71">
        <f t="shared" si="1410"/>
        <v>0</v>
      </c>
      <c r="CE116" s="71">
        <f t="shared" si="1411"/>
        <v>0</v>
      </c>
      <c r="CF116" s="71">
        <f t="shared" si="1412"/>
        <v>0</v>
      </c>
      <c r="CG116" s="71">
        <f t="shared" si="1413"/>
        <v>0</v>
      </c>
      <c r="CH116" s="70">
        <f t="shared" si="870"/>
        <v>474</v>
      </c>
      <c r="CI116" s="69">
        <f t="shared" ca="1" si="871"/>
        <v>36.46153846153846</v>
      </c>
      <c r="GM116" s="2" t="s">
        <v>16</v>
      </c>
      <c r="GN116" s="98" t="str">
        <f t="shared" si="732"/>
        <v>RYK01-FMCG-SPO-01</v>
      </c>
      <c r="GO116" s="4">
        <v>1</v>
      </c>
      <c r="GP116" s="3">
        <v>1</v>
      </c>
      <c r="GQ116" s="3">
        <v>1</v>
      </c>
      <c r="GR116" s="3">
        <v>0</v>
      </c>
      <c r="GS116" s="3">
        <v>1</v>
      </c>
      <c r="GT116" s="3">
        <v>1</v>
      </c>
      <c r="GU116" s="3">
        <v>1</v>
      </c>
      <c r="GV116" s="3">
        <v>1</v>
      </c>
      <c r="GW116" s="3">
        <v>1</v>
      </c>
      <c r="GX116" s="3">
        <v>1</v>
      </c>
      <c r="GY116" s="3">
        <v>0</v>
      </c>
      <c r="GZ116" s="3">
        <v>1</v>
      </c>
      <c r="HA116" s="3">
        <v>1</v>
      </c>
      <c r="HB116" s="3">
        <v>1</v>
      </c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6"/>
      <c r="HT116" s="4">
        <v>43</v>
      </c>
      <c r="HU116" s="3">
        <v>42</v>
      </c>
      <c r="HV116" s="3">
        <v>39</v>
      </c>
      <c r="HW116" s="3">
        <v>0</v>
      </c>
      <c r="HX116" s="3">
        <v>43</v>
      </c>
      <c r="HY116" s="3">
        <v>42</v>
      </c>
      <c r="HZ116" s="3">
        <v>41</v>
      </c>
      <c r="IA116" s="3">
        <v>38</v>
      </c>
      <c r="IB116" s="3">
        <v>44</v>
      </c>
      <c r="IC116" s="3">
        <v>40</v>
      </c>
      <c r="ID116" s="3">
        <v>0</v>
      </c>
      <c r="IE116" s="3">
        <v>52</v>
      </c>
      <c r="IF116" s="3">
        <v>43</v>
      </c>
      <c r="IG116" s="3">
        <v>7</v>
      </c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6"/>
    </row>
    <row r="117" spans="1:258" hidden="1">
      <c r="A117" s="97" t="s">
        <v>25</v>
      </c>
      <c r="B117" s="98" t="s">
        <v>90</v>
      </c>
      <c r="C117" s="98" t="s">
        <v>299</v>
      </c>
      <c r="D117" s="99" t="s">
        <v>1160</v>
      </c>
      <c r="E117" s="98" t="s">
        <v>1018</v>
      </c>
      <c r="F117" s="98" t="s">
        <v>1047</v>
      </c>
      <c r="G117" s="98" t="s">
        <v>331</v>
      </c>
      <c r="H117" s="98" t="s">
        <v>1706</v>
      </c>
      <c r="I117" s="98" t="s">
        <v>1478</v>
      </c>
      <c r="J117" s="98" t="s">
        <v>1164</v>
      </c>
      <c r="K117" s="98" t="s">
        <v>179</v>
      </c>
      <c r="L117" s="98" t="s">
        <v>1707</v>
      </c>
      <c r="M117" s="101" t="s">
        <v>1093</v>
      </c>
      <c r="N117" s="139">
        <v>46281</v>
      </c>
      <c r="O117" s="100">
        <v>1</v>
      </c>
      <c r="P117" s="69">
        <v>0</v>
      </c>
      <c r="Q117" s="69">
        <f t="shared" si="1347"/>
        <v>1</v>
      </c>
      <c r="R117" s="69">
        <f t="shared" si="1348"/>
        <v>1</v>
      </c>
      <c r="S117" s="69">
        <f t="shared" si="1349"/>
        <v>0</v>
      </c>
      <c r="T117" s="69">
        <f t="shared" si="1350"/>
        <v>0</v>
      </c>
      <c r="U117" s="69">
        <f t="shared" si="1351"/>
        <v>1</v>
      </c>
      <c r="V117" s="70">
        <f t="shared" si="1352"/>
        <v>1</v>
      </c>
      <c r="W117" s="71">
        <f t="shared" si="1353"/>
        <v>0</v>
      </c>
      <c r="X117" s="71">
        <f t="shared" si="1354"/>
        <v>1</v>
      </c>
      <c r="Y117" s="71">
        <f t="shared" si="1355"/>
        <v>1</v>
      </c>
      <c r="Z117" s="71">
        <f t="shared" si="1356"/>
        <v>1</v>
      </c>
      <c r="AA117" s="71">
        <f t="shared" si="1357"/>
        <v>1</v>
      </c>
      <c r="AB117" s="71">
        <f t="shared" si="1358"/>
        <v>1</v>
      </c>
      <c r="AC117" s="71">
        <f t="shared" si="1359"/>
        <v>1</v>
      </c>
      <c r="AD117" s="71">
        <f t="shared" si="1360"/>
        <v>0</v>
      </c>
      <c r="AE117" s="71">
        <f t="shared" si="1361"/>
        <v>1</v>
      </c>
      <c r="AF117" s="71">
        <f t="shared" si="1362"/>
        <v>1</v>
      </c>
      <c r="AG117" s="71">
        <f t="shared" si="1363"/>
        <v>1</v>
      </c>
      <c r="AH117" s="71">
        <f t="shared" si="1364"/>
        <v>1</v>
      </c>
      <c r="AI117" s="71">
        <f t="shared" si="1365"/>
        <v>1</v>
      </c>
      <c r="AJ117" s="71">
        <f t="shared" si="1366"/>
        <v>0</v>
      </c>
      <c r="AK117" s="71">
        <f t="shared" si="1367"/>
        <v>0</v>
      </c>
      <c r="AL117" s="71">
        <f t="shared" si="1368"/>
        <v>0</v>
      </c>
      <c r="AM117" s="71">
        <f t="shared" si="1369"/>
        <v>0</v>
      </c>
      <c r="AN117" s="71">
        <f t="shared" si="1370"/>
        <v>0</v>
      </c>
      <c r="AO117" s="71">
        <f t="shared" si="1371"/>
        <v>0</v>
      </c>
      <c r="AP117" s="71">
        <f t="shared" si="1372"/>
        <v>0</v>
      </c>
      <c r="AQ117" s="71">
        <f t="shared" si="1373"/>
        <v>0</v>
      </c>
      <c r="AR117" s="71">
        <f t="shared" si="1374"/>
        <v>0</v>
      </c>
      <c r="AS117" s="71">
        <f t="shared" si="1375"/>
        <v>0</v>
      </c>
      <c r="AT117" s="71">
        <f t="shared" si="1376"/>
        <v>0</v>
      </c>
      <c r="AU117" s="71">
        <f t="shared" si="1377"/>
        <v>0</v>
      </c>
      <c r="AV117" s="71">
        <f t="shared" si="1378"/>
        <v>0</v>
      </c>
      <c r="AW117" s="71">
        <f t="shared" si="1379"/>
        <v>0</v>
      </c>
      <c r="AX117" s="71">
        <f t="shared" si="1380"/>
        <v>0</v>
      </c>
      <c r="AY117" s="71">
        <f t="shared" si="1381"/>
        <v>0</v>
      </c>
      <c r="AZ117" s="72">
        <f t="shared" si="1382"/>
        <v>0</v>
      </c>
      <c r="BA117" s="70">
        <f t="shared" si="733"/>
        <v>12</v>
      </c>
      <c r="BB117" s="69">
        <f t="shared" ca="1" si="869"/>
        <v>0.92307692307692313</v>
      </c>
      <c r="BC117" s="70">
        <f t="shared" si="1383"/>
        <v>0</v>
      </c>
      <c r="BD117" s="71">
        <f t="shared" si="1384"/>
        <v>0</v>
      </c>
      <c r="BE117" s="71">
        <f t="shared" si="1385"/>
        <v>0</v>
      </c>
      <c r="BF117" s="71">
        <f t="shared" si="1386"/>
        <v>0</v>
      </c>
      <c r="BG117" s="71">
        <f t="shared" si="1387"/>
        <v>0</v>
      </c>
      <c r="BH117" s="71">
        <f t="shared" si="1388"/>
        <v>0</v>
      </c>
      <c r="BI117" s="71">
        <f t="shared" si="1389"/>
        <v>0</v>
      </c>
      <c r="BJ117" s="71">
        <f t="shared" si="1390"/>
        <v>0</v>
      </c>
      <c r="BK117" s="71">
        <f t="shared" si="1391"/>
        <v>0</v>
      </c>
      <c r="BL117" s="71">
        <f t="shared" si="1392"/>
        <v>0</v>
      </c>
      <c r="BM117" s="71">
        <f t="shared" si="1393"/>
        <v>0</v>
      </c>
      <c r="BN117" s="71">
        <f t="shared" si="1394"/>
        <v>0</v>
      </c>
      <c r="BO117" s="71">
        <f t="shared" si="1395"/>
        <v>0</v>
      </c>
      <c r="BP117" s="71">
        <f t="shared" si="1396"/>
        <v>0</v>
      </c>
      <c r="BQ117" s="71">
        <f t="shared" si="1397"/>
        <v>0</v>
      </c>
      <c r="BR117" s="71">
        <f t="shared" si="1398"/>
        <v>0</v>
      </c>
      <c r="BS117" s="71">
        <f t="shared" si="1399"/>
        <v>0</v>
      </c>
      <c r="BT117" s="71">
        <f t="shared" si="1400"/>
        <v>0</v>
      </c>
      <c r="BU117" s="71">
        <f t="shared" si="1401"/>
        <v>0</v>
      </c>
      <c r="BV117" s="71">
        <f t="shared" si="1402"/>
        <v>0</v>
      </c>
      <c r="BW117" s="71">
        <f t="shared" si="1403"/>
        <v>0</v>
      </c>
      <c r="BX117" s="71">
        <f t="shared" si="1404"/>
        <v>0</v>
      </c>
      <c r="BY117" s="71">
        <f t="shared" si="1405"/>
        <v>0</v>
      </c>
      <c r="BZ117" s="71">
        <f t="shared" si="1406"/>
        <v>0</v>
      </c>
      <c r="CA117" s="71">
        <f t="shared" si="1407"/>
        <v>0</v>
      </c>
      <c r="CB117" s="71">
        <f t="shared" si="1408"/>
        <v>0</v>
      </c>
      <c r="CC117" s="71">
        <f t="shared" si="1409"/>
        <v>0</v>
      </c>
      <c r="CD117" s="71">
        <f t="shared" si="1410"/>
        <v>0</v>
      </c>
      <c r="CE117" s="71">
        <f t="shared" si="1411"/>
        <v>0</v>
      </c>
      <c r="CF117" s="71">
        <f t="shared" si="1412"/>
        <v>0</v>
      </c>
      <c r="CG117" s="71">
        <f t="shared" si="1413"/>
        <v>0</v>
      </c>
      <c r="CH117" s="70">
        <f t="shared" si="870"/>
        <v>0</v>
      </c>
      <c r="CI117" s="69">
        <f t="shared" ca="1" si="871"/>
        <v>0</v>
      </c>
      <c r="GM117" s="2" t="s">
        <v>16</v>
      </c>
      <c r="GN117" s="98" t="str">
        <f t="shared" si="732"/>
        <v>RYK01-FMCG-SPO-02</v>
      </c>
      <c r="GO117" s="4">
        <v>1</v>
      </c>
      <c r="GP117" s="3">
        <v>0</v>
      </c>
      <c r="GQ117" s="3">
        <v>1</v>
      </c>
      <c r="GR117" s="3">
        <v>1</v>
      </c>
      <c r="GS117" s="3">
        <v>1</v>
      </c>
      <c r="GT117" s="3">
        <v>1</v>
      </c>
      <c r="GU117" s="3">
        <v>1</v>
      </c>
      <c r="GV117" s="3">
        <v>1</v>
      </c>
      <c r="GW117" s="3">
        <v>0</v>
      </c>
      <c r="GX117" s="3">
        <v>1</v>
      </c>
      <c r="GY117" s="3">
        <v>1</v>
      </c>
      <c r="GZ117" s="3">
        <v>1</v>
      </c>
      <c r="HA117" s="3">
        <v>1</v>
      </c>
      <c r="HB117" s="3">
        <v>1</v>
      </c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6"/>
      <c r="HT117" s="4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6"/>
    </row>
    <row r="118" spans="1:258" hidden="1">
      <c r="A118" s="97" t="s">
        <v>1287</v>
      </c>
      <c r="B118" s="98" t="s">
        <v>20</v>
      </c>
      <c r="C118" s="98" t="s">
        <v>299</v>
      </c>
      <c r="D118" s="99" t="s">
        <v>1160</v>
      </c>
      <c r="E118" s="98" t="s">
        <v>1098</v>
      </c>
      <c r="F118" s="98" t="s">
        <v>332</v>
      </c>
      <c r="G118" s="98" t="s">
        <v>333</v>
      </c>
      <c r="H118" s="98" t="s">
        <v>1479</v>
      </c>
      <c r="I118" s="98" t="s">
        <v>1479</v>
      </c>
      <c r="J118" s="98" t="s">
        <v>1161</v>
      </c>
      <c r="K118" s="98" t="s">
        <v>1099</v>
      </c>
      <c r="L118" s="98" t="s">
        <v>1099</v>
      </c>
      <c r="M118" s="101" t="s">
        <v>1099</v>
      </c>
      <c r="N118" s="108">
        <v>45474</v>
      </c>
      <c r="O118" s="100">
        <v>0</v>
      </c>
      <c r="P118" s="69">
        <v>0</v>
      </c>
      <c r="Q118" s="69">
        <f t="shared" si="1347"/>
        <v>0</v>
      </c>
      <c r="R118" s="69">
        <f t="shared" si="1348"/>
        <v>0</v>
      </c>
      <c r="S118" s="69">
        <f t="shared" si="1349"/>
        <v>0</v>
      </c>
      <c r="T118" s="69">
        <f t="shared" si="1350"/>
        <v>0</v>
      </c>
      <c r="U118" s="69">
        <f t="shared" si="1351"/>
        <v>0</v>
      </c>
      <c r="V118" s="70">
        <f t="shared" si="1352"/>
        <v>0</v>
      </c>
      <c r="W118" s="71">
        <f t="shared" si="1353"/>
        <v>0</v>
      </c>
      <c r="X118" s="71">
        <f t="shared" si="1354"/>
        <v>0</v>
      </c>
      <c r="Y118" s="71">
        <f t="shared" si="1355"/>
        <v>0</v>
      </c>
      <c r="Z118" s="71">
        <f t="shared" si="1356"/>
        <v>0</v>
      </c>
      <c r="AA118" s="71">
        <f t="shared" si="1357"/>
        <v>0</v>
      </c>
      <c r="AB118" s="71">
        <f t="shared" si="1358"/>
        <v>0</v>
      </c>
      <c r="AC118" s="71">
        <f t="shared" si="1359"/>
        <v>0</v>
      </c>
      <c r="AD118" s="71">
        <f t="shared" si="1360"/>
        <v>0</v>
      </c>
      <c r="AE118" s="71">
        <f t="shared" si="1361"/>
        <v>0</v>
      </c>
      <c r="AF118" s="71">
        <f t="shared" si="1362"/>
        <v>0</v>
      </c>
      <c r="AG118" s="71">
        <f t="shared" si="1363"/>
        <v>0</v>
      </c>
      <c r="AH118" s="71">
        <f t="shared" si="1364"/>
        <v>0</v>
      </c>
      <c r="AI118" s="71">
        <f t="shared" si="1365"/>
        <v>0</v>
      </c>
      <c r="AJ118" s="71">
        <f t="shared" si="1366"/>
        <v>0</v>
      </c>
      <c r="AK118" s="71">
        <f t="shared" si="1367"/>
        <v>0</v>
      </c>
      <c r="AL118" s="71">
        <f t="shared" si="1368"/>
        <v>0</v>
      </c>
      <c r="AM118" s="71">
        <f t="shared" si="1369"/>
        <v>0</v>
      </c>
      <c r="AN118" s="71">
        <f t="shared" si="1370"/>
        <v>0</v>
      </c>
      <c r="AO118" s="71">
        <f t="shared" si="1371"/>
        <v>0</v>
      </c>
      <c r="AP118" s="71">
        <f t="shared" si="1372"/>
        <v>0</v>
      </c>
      <c r="AQ118" s="71">
        <f t="shared" si="1373"/>
        <v>0</v>
      </c>
      <c r="AR118" s="71">
        <f t="shared" si="1374"/>
        <v>0</v>
      </c>
      <c r="AS118" s="71">
        <f t="shared" si="1375"/>
        <v>0</v>
      </c>
      <c r="AT118" s="71">
        <f t="shared" si="1376"/>
        <v>0</v>
      </c>
      <c r="AU118" s="71">
        <f t="shared" si="1377"/>
        <v>0</v>
      </c>
      <c r="AV118" s="71">
        <f t="shared" si="1378"/>
        <v>0</v>
      </c>
      <c r="AW118" s="71">
        <f t="shared" si="1379"/>
        <v>0</v>
      </c>
      <c r="AX118" s="71">
        <f t="shared" si="1380"/>
        <v>0</v>
      </c>
      <c r="AY118" s="71">
        <f t="shared" si="1381"/>
        <v>0</v>
      </c>
      <c r="AZ118" s="72">
        <f t="shared" si="1382"/>
        <v>0</v>
      </c>
      <c r="BA118" s="70">
        <f t="shared" si="733"/>
        <v>0</v>
      </c>
      <c r="BB118" s="69">
        <f t="shared" ca="1" si="869"/>
        <v>0</v>
      </c>
      <c r="BC118" s="70">
        <f t="shared" si="1383"/>
        <v>0</v>
      </c>
      <c r="BD118" s="71">
        <f t="shared" si="1384"/>
        <v>0</v>
      </c>
      <c r="BE118" s="71">
        <f t="shared" si="1385"/>
        <v>0</v>
      </c>
      <c r="BF118" s="71">
        <f t="shared" si="1386"/>
        <v>0</v>
      </c>
      <c r="BG118" s="71">
        <f t="shared" si="1387"/>
        <v>0</v>
      </c>
      <c r="BH118" s="71">
        <f t="shared" si="1388"/>
        <v>0</v>
      </c>
      <c r="BI118" s="71">
        <f t="shared" si="1389"/>
        <v>0</v>
      </c>
      <c r="BJ118" s="71">
        <f t="shared" si="1390"/>
        <v>0</v>
      </c>
      <c r="BK118" s="71">
        <f t="shared" si="1391"/>
        <v>0</v>
      </c>
      <c r="BL118" s="71">
        <f t="shared" si="1392"/>
        <v>0</v>
      </c>
      <c r="BM118" s="71">
        <f t="shared" si="1393"/>
        <v>0</v>
      </c>
      <c r="BN118" s="71">
        <f t="shared" si="1394"/>
        <v>0</v>
      </c>
      <c r="BO118" s="71">
        <f t="shared" si="1395"/>
        <v>0</v>
      </c>
      <c r="BP118" s="71">
        <f t="shared" si="1396"/>
        <v>0</v>
      </c>
      <c r="BQ118" s="71">
        <f t="shared" si="1397"/>
        <v>0</v>
      </c>
      <c r="BR118" s="71">
        <f t="shared" si="1398"/>
        <v>0</v>
      </c>
      <c r="BS118" s="71">
        <f t="shared" si="1399"/>
        <v>0</v>
      </c>
      <c r="BT118" s="71">
        <f t="shared" si="1400"/>
        <v>0</v>
      </c>
      <c r="BU118" s="71">
        <f t="shared" si="1401"/>
        <v>0</v>
      </c>
      <c r="BV118" s="71">
        <f t="shared" si="1402"/>
        <v>0</v>
      </c>
      <c r="BW118" s="71">
        <f t="shared" si="1403"/>
        <v>0</v>
      </c>
      <c r="BX118" s="71">
        <f t="shared" si="1404"/>
        <v>0</v>
      </c>
      <c r="BY118" s="71">
        <f t="shared" si="1405"/>
        <v>0</v>
      </c>
      <c r="BZ118" s="71">
        <f t="shared" si="1406"/>
        <v>0</v>
      </c>
      <c r="CA118" s="71">
        <f t="shared" si="1407"/>
        <v>0</v>
      </c>
      <c r="CB118" s="71">
        <f t="shared" si="1408"/>
        <v>0</v>
      </c>
      <c r="CC118" s="71">
        <f t="shared" si="1409"/>
        <v>0</v>
      </c>
      <c r="CD118" s="71">
        <f t="shared" si="1410"/>
        <v>0</v>
      </c>
      <c r="CE118" s="71">
        <f t="shared" si="1411"/>
        <v>0</v>
      </c>
      <c r="CF118" s="71">
        <f t="shared" si="1412"/>
        <v>0</v>
      </c>
      <c r="CG118" s="71">
        <f t="shared" si="1413"/>
        <v>0</v>
      </c>
      <c r="CH118" s="70">
        <f t="shared" si="870"/>
        <v>0</v>
      </c>
      <c r="CI118" s="69">
        <f t="shared" ca="1" si="871"/>
        <v>0</v>
      </c>
      <c r="GM118" s="2" t="s">
        <v>16</v>
      </c>
      <c r="GN118" s="98" t="str">
        <f t="shared" si="732"/>
        <v>RYK01-FMCG-SPO-00</v>
      </c>
      <c r="GO118" s="4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6"/>
      <c r="HT118" s="4">
        <v>0</v>
      </c>
      <c r="HU118" s="3">
        <v>0</v>
      </c>
      <c r="HV118" s="3">
        <v>0</v>
      </c>
      <c r="HW118" s="3">
        <v>0</v>
      </c>
      <c r="HX118" s="3">
        <v>0</v>
      </c>
      <c r="HY118" s="3">
        <v>0</v>
      </c>
      <c r="HZ118" s="3">
        <v>0</v>
      </c>
      <c r="IA118" s="3">
        <v>0</v>
      </c>
      <c r="IB118" s="3">
        <v>0</v>
      </c>
      <c r="IC118" s="3">
        <v>0</v>
      </c>
      <c r="ID118" s="3">
        <v>0</v>
      </c>
      <c r="IE118" s="3">
        <v>0</v>
      </c>
      <c r="IF118" s="3">
        <v>0</v>
      </c>
      <c r="IG118" s="3">
        <v>0</v>
      </c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6"/>
    </row>
    <row r="119" spans="1:258" hidden="1">
      <c r="A119" s="97" t="s">
        <v>1380</v>
      </c>
      <c r="B119" s="98" t="s">
        <v>20</v>
      </c>
      <c r="C119" s="98" t="s">
        <v>299</v>
      </c>
      <c r="D119" s="99" t="s">
        <v>1160</v>
      </c>
      <c r="E119" s="98" t="s">
        <v>334</v>
      </c>
      <c r="F119" s="98" t="s">
        <v>335</v>
      </c>
      <c r="G119" s="98" t="s">
        <v>336</v>
      </c>
      <c r="H119" s="98" t="s">
        <v>1019</v>
      </c>
      <c r="I119" s="98" t="s">
        <v>1019</v>
      </c>
      <c r="J119" s="98" t="s">
        <v>1161</v>
      </c>
      <c r="K119" s="98" t="s">
        <v>1127</v>
      </c>
      <c r="L119" s="98" t="s">
        <v>1165</v>
      </c>
      <c r="M119" s="101" t="s">
        <v>1093</v>
      </c>
      <c r="N119" s="108">
        <v>46210</v>
      </c>
      <c r="O119" s="100">
        <v>0</v>
      </c>
      <c r="P119" s="69">
        <v>0</v>
      </c>
      <c r="Q119" s="69">
        <f t="shared" si="1347"/>
        <v>0</v>
      </c>
      <c r="R119" s="69">
        <f t="shared" si="1348"/>
        <v>0</v>
      </c>
      <c r="S119" s="69">
        <f t="shared" si="1349"/>
        <v>0</v>
      </c>
      <c r="T119" s="69">
        <f t="shared" si="1350"/>
        <v>0</v>
      </c>
      <c r="U119" s="69">
        <f t="shared" si="1351"/>
        <v>0</v>
      </c>
      <c r="V119" s="70">
        <f t="shared" si="1352"/>
        <v>0</v>
      </c>
      <c r="W119" s="71">
        <f t="shared" si="1353"/>
        <v>0</v>
      </c>
      <c r="X119" s="71">
        <f t="shared" si="1354"/>
        <v>0</v>
      </c>
      <c r="Y119" s="71">
        <f t="shared" si="1355"/>
        <v>0</v>
      </c>
      <c r="Z119" s="71">
        <f t="shared" si="1356"/>
        <v>0</v>
      </c>
      <c r="AA119" s="71">
        <f t="shared" si="1357"/>
        <v>0</v>
      </c>
      <c r="AB119" s="71">
        <f t="shared" si="1358"/>
        <v>0</v>
      </c>
      <c r="AC119" s="71">
        <f t="shared" si="1359"/>
        <v>0</v>
      </c>
      <c r="AD119" s="71">
        <f t="shared" si="1360"/>
        <v>0</v>
      </c>
      <c r="AE119" s="71">
        <f t="shared" si="1361"/>
        <v>0</v>
      </c>
      <c r="AF119" s="71">
        <f t="shared" si="1362"/>
        <v>0</v>
      </c>
      <c r="AG119" s="71">
        <f t="shared" si="1363"/>
        <v>0</v>
      </c>
      <c r="AH119" s="71">
        <f t="shared" si="1364"/>
        <v>0</v>
      </c>
      <c r="AI119" s="71">
        <f t="shared" si="1365"/>
        <v>0</v>
      </c>
      <c r="AJ119" s="71">
        <f t="shared" si="1366"/>
        <v>0</v>
      </c>
      <c r="AK119" s="71">
        <f t="shared" si="1367"/>
        <v>0</v>
      </c>
      <c r="AL119" s="71">
        <f t="shared" si="1368"/>
        <v>0</v>
      </c>
      <c r="AM119" s="71">
        <f t="shared" si="1369"/>
        <v>0</v>
      </c>
      <c r="AN119" s="71">
        <f t="shared" si="1370"/>
        <v>0</v>
      </c>
      <c r="AO119" s="71">
        <f t="shared" si="1371"/>
        <v>0</v>
      </c>
      <c r="AP119" s="71">
        <f t="shared" si="1372"/>
        <v>0</v>
      </c>
      <c r="AQ119" s="71">
        <f t="shared" si="1373"/>
        <v>0</v>
      </c>
      <c r="AR119" s="71">
        <f t="shared" si="1374"/>
        <v>0</v>
      </c>
      <c r="AS119" s="71">
        <f t="shared" si="1375"/>
        <v>0</v>
      </c>
      <c r="AT119" s="71">
        <f t="shared" si="1376"/>
        <v>0</v>
      </c>
      <c r="AU119" s="71">
        <f t="shared" si="1377"/>
        <v>0</v>
      </c>
      <c r="AV119" s="71">
        <f t="shared" si="1378"/>
        <v>0</v>
      </c>
      <c r="AW119" s="71">
        <f t="shared" si="1379"/>
        <v>0</v>
      </c>
      <c r="AX119" s="71">
        <f t="shared" si="1380"/>
        <v>0</v>
      </c>
      <c r="AY119" s="71">
        <f t="shared" si="1381"/>
        <v>0</v>
      </c>
      <c r="AZ119" s="72">
        <f t="shared" si="1382"/>
        <v>0</v>
      </c>
      <c r="BA119" s="70">
        <f t="shared" si="733"/>
        <v>0</v>
      </c>
      <c r="BB119" s="69">
        <f t="shared" ca="1" si="869"/>
        <v>0</v>
      </c>
      <c r="BC119" s="70">
        <f t="shared" si="1383"/>
        <v>0</v>
      </c>
      <c r="BD119" s="71">
        <f t="shared" si="1384"/>
        <v>0</v>
      </c>
      <c r="BE119" s="71">
        <f t="shared" si="1385"/>
        <v>0</v>
      </c>
      <c r="BF119" s="71">
        <f t="shared" si="1386"/>
        <v>0</v>
      </c>
      <c r="BG119" s="71">
        <f t="shared" si="1387"/>
        <v>0</v>
      </c>
      <c r="BH119" s="71">
        <f t="shared" si="1388"/>
        <v>0</v>
      </c>
      <c r="BI119" s="71">
        <f t="shared" si="1389"/>
        <v>0</v>
      </c>
      <c r="BJ119" s="71">
        <f t="shared" si="1390"/>
        <v>0</v>
      </c>
      <c r="BK119" s="71">
        <f t="shared" si="1391"/>
        <v>0</v>
      </c>
      <c r="BL119" s="71">
        <f t="shared" si="1392"/>
        <v>0</v>
      </c>
      <c r="BM119" s="71">
        <f t="shared" si="1393"/>
        <v>0</v>
      </c>
      <c r="BN119" s="71">
        <f t="shared" si="1394"/>
        <v>0</v>
      </c>
      <c r="BO119" s="71">
        <f t="shared" si="1395"/>
        <v>0</v>
      </c>
      <c r="BP119" s="71">
        <f t="shared" si="1396"/>
        <v>0</v>
      </c>
      <c r="BQ119" s="71">
        <f t="shared" si="1397"/>
        <v>0</v>
      </c>
      <c r="BR119" s="71">
        <f t="shared" si="1398"/>
        <v>0</v>
      </c>
      <c r="BS119" s="71">
        <f t="shared" si="1399"/>
        <v>0</v>
      </c>
      <c r="BT119" s="71">
        <f t="shared" si="1400"/>
        <v>0</v>
      </c>
      <c r="BU119" s="71">
        <f t="shared" si="1401"/>
        <v>0</v>
      </c>
      <c r="BV119" s="71">
        <f t="shared" si="1402"/>
        <v>0</v>
      </c>
      <c r="BW119" s="71">
        <f t="shared" si="1403"/>
        <v>0</v>
      </c>
      <c r="BX119" s="71">
        <f t="shared" si="1404"/>
        <v>0</v>
      </c>
      <c r="BY119" s="71">
        <f t="shared" si="1405"/>
        <v>0</v>
      </c>
      <c r="BZ119" s="71">
        <f t="shared" si="1406"/>
        <v>0</v>
      </c>
      <c r="CA119" s="71">
        <f t="shared" si="1407"/>
        <v>0</v>
      </c>
      <c r="CB119" s="71">
        <f t="shared" si="1408"/>
        <v>0</v>
      </c>
      <c r="CC119" s="71">
        <f t="shared" si="1409"/>
        <v>0</v>
      </c>
      <c r="CD119" s="71">
        <f t="shared" si="1410"/>
        <v>0</v>
      </c>
      <c r="CE119" s="71">
        <f t="shared" si="1411"/>
        <v>0</v>
      </c>
      <c r="CF119" s="71">
        <f t="shared" si="1412"/>
        <v>0</v>
      </c>
      <c r="CG119" s="71">
        <f t="shared" si="1413"/>
        <v>0</v>
      </c>
      <c r="CH119" s="70">
        <f t="shared" si="870"/>
        <v>0</v>
      </c>
      <c r="CI119" s="69">
        <f t="shared" ca="1" si="871"/>
        <v>0</v>
      </c>
      <c r="GM119" s="2" t="s">
        <v>16</v>
      </c>
      <c r="GN119" s="98" t="str">
        <f t="shared" si="732"/>
        <v>RYK01-FMCG-ASM-01</v>
      </c>
      <c r="GO119" s="4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0</v>
      </c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6"/>
      <c r="HT119" s="4">
        <v>0</v>
      </c>
      <c r="HU119" s="3">
        <v>0</v>
      </c>
      <c r="HV119" s="3">
        <v>0</v>
      </c>
      <c r="HW119" s="3">
        <v>0</v>
      </c>
      <c r="HX119" s="3">
        <v>0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6"/>
    </row>
    <row r="120" spans="1:258" hidden="1">
      <c r="A120" s="102" t="s">
        <v>53</v>
      </c>
      <c r="B120" s="103" t="s">
        <v>20</v>
      </c>
      <c r="C120" s="103" t="s">
        <v>299</v>
      </c>
      <c r="D120" s="104" t="s">
        <v>1160</v>
      </c>
      <c r="E120" s="103" t="s">
        <v>334</v>
      </c>
      <c r="F120" s="103" t="s">
        <v>335</v>
      </c>
      <c r="G120" s="103" t="s">
        <v>336</v>
      </c>
      <c r="H120" s="103" t="s">
        <v>1019</v>
      </c>
      <c r="I120" s="103" t="s">
        <v>1019</v>
      </c>
      <c r="J120" s="103" t="s">
        <v>1161</v>
      </c>
      <c r="K120" s="103" t="s">
        <v>1127</v>
      </c>
      <c r="L120" s="103" t="s">
        <v>1165</v>
      </c>
      <c r="M120" s="103" t="s">
        <v>1093</v>
      </c>
      <c r="N120" s="119">
        <v>46210</v>
      </c>
      <c r="O120" s="105">
        <f>O118+O117+O116+O115+O114</f>
        <v>4</v>
      </c>
      <c r="P120" s="73">
        <f t="shared" ref="P120:CA120" si="1414">P118+P117+P116+P115+P114</f>
        <v>0</v>
      </c>
      <c r="Q120" s="73">
        <f t="shared" si="1414"/>
        <v>4</v>
      </c>
      <c r="R120" s="73">
        <f t="shared" si="1414"/>
        <v>4</v>
      </c>
      <c r="S120" s="73">
        <f t="shared" si="1414"/>
        <v>1</v>
      </c>
      <c r="T120" s="73">
        <f t="shared" si="1414"/>
        <v>3</v>
      </c>
      <c r="U120" s="73">
        <f t="shared" si="1414"/>
        <v>4</v>
      </c>
      <c r="V120" s="74">
        <f t="shared" si="1414"/>
        <v>4</v>
      </c>
      <c r="W120" s="75">
        <f t="shared" si="1414"/>
        <v>3</v>
      </c>
      <c r="X120" s="75">
        <f t="shared" si="1414"/>
        <v>4</v>
      </c>
      <c r="Y120" s="75">
        <f t="shared" si="1414"/>
        <v>1</v>
      </c>
      <c r="Z120" s="75">
        <f t="shared" si="1414"/>
        <v>4</v>
      </c>
      <c r="AA120" s="75">
        <f t="shared" si="1414"/>
        <v>4</v>
      </c>
      <c r="AB120" s="75">
        <f t="shared" si="1414"/>
        <v>4</v>
      </c>
      <c r="AC120" s="75">
        <f t="shared" si="1414"/>
        <v>4</v>
      </c>
      <c r="AD120" s="75">
        <f t="shared" si="1414"/>
        <v>2</v>
      </c>
      <c r="AE120" s="75">
        <f t="shared" si="1414"/>
        <v>3</v>
      </c>
      <c r="AF120" s="75">
        <f t="shared" si="1414"/>
        <v>1</v>
      </c>
      <c r="AG120" s="75">
        <f t="shared" si="1414"/>
        <v>4</v>
      </c>
      <c r="AH120" s="75">
        <f t="shared" si="1414"/>
        <v>4</v>
      </c>
      <c r="AI120" s="75">
        <f t="shared" si="1414"/>
        <v>4</v>
      </c>
      <c r="AJ120" s="75">
        <f t="shared" si="1414"/>
        <v>0</v>
      </c>
      <c r="AK120" s="75">
        <f t="shared" si="1414"/>
        <v>0</v>
      </c>
      <c r="AL120" s="75">
        <f t="shared" si="1414"/>
        <v>0</v>
      </c>
      <c r="AM120" s="75">
        <f t="shared" si="1414"/>
        <v>0</v>
      </c>
      <c r="AN120" s="75">
        <f t="shared" si="1414"/>
        <v>0</v>
      </c>
      <c r="AO120" s="75">
        <f t="shared" si="1414"/>
        <v>0</v>
      </c>
      <c r="AP120" s="75">
        <f t="shared" si="1414"/>
        <v>0</v>
      </c>
      <c r="AQ120" s="75">
        <f t="shared" si="1414"/>
        <v>0</v>
      </c>
      <c r="AR120" s="75">
        <f t="shared" si="1414"/>
        <v>0</v>
      </c>
      <c r="AS120" s="75">
        <f t="shared" si="1414"/>
        <v>0</v>
      </c>
      <c r="AT120" s="75">
        <f t="shared" si="1414"/>
        <v>0</v>
      </c>
      <c r="AU120" s="75">
        <f t="shared" si="1414"/>
        <v>0</v>
      </c>
      <c r="AV120" s="75">
        <f t="shared" si="1414"/>
        <v>0</v>
      </c>
      <c r="AW120" s="75">
        <f t="shared" si="1414"/>
        <v>0</v>
      </c>
      <c r="AX120" s="75">
        <f t="shared" si="1414"/>
        <v>0</v>
      </c>
      <c r="AY120" s="75">
        <f t="shared" si="1414"/>
        <v>0</v>
      </c>
      <c r="AZ120" s="76">
        <f t="shared" si="1414"/>
        <v>0</v>
      </c>
      <c r="BA120" s="74">
        <f t="shared" si="733"/>
        <v>46</v>
      </c>
      <c r="BB120" s="73">
        <f t="shared" ca="1" si="869"/>
        <v>0.88461538461538458</v>
      </c>
      <c r="BC120" s="74">
        <f t="shared" si="1414"/>
        <v>124</v>
      </c>
      <c r="BD120" s="75">
        <f t="shared" si="1414"/>
        <v>123</v>
      </c>
      <c r="BE120" s="75">
        <f t="shared" si="1414"/>
        <v>121</v>
      </c>
      <c r="BF120" s="75">
        <f t="shared" si="1414"/>
        <v>0</v>
      </c>
      <c r="BG120" s="75">
        <f t="shared" si="1414"/>
        <v>124</v>
      </c>
      <c r="BH120" s="75">
        <f t="shared" si="1414"/>
        <v>132</v>
      </c>
      <c r="BI120" s="75">
        <f t="shared" si="1414"/>
        <v>128</v>
      </c>
      <c r="BJ120" s="75">
        <f t="shared" si="1414"/>
        <v>80</v>
      </c>
      <c r="BK120" s="75">
        <f t="shared" si="1414"/>
        <v>86</v>
      </c>
      <c r="BL120" s="75">
        <f t="shared" si="1414"/>
        <v>77</v>
      </c>
      <c r="BM120" s="75">
        <f t="shared" si="1414"/>
        <v>0</v>
      </c>
      <c r="BN120" s="75">
        <f t="shared" si="1414"/>
        <v>132</v>
      </c>
      <c r="BO120" s="75">
        <f t="shared" si="1414"/>
        <v>126</v>
      </c>
      <c r="BP120" s="75">
        <f t="shared" si="1414"/>
        <v>7</v>
      </c>
      <c r="BQ120" s="75">
        <f t="shared" si="1414"/>
        <v>0</v>
      </c>
      <c r="BR120" s="75">
        <f t="shared" si="1414"/>
        <v>0</v>
      </c>
      <c r="BS120" s="75">
        <f t="shared" si="1414"/>
        <v>0</v>
      </c>
      <c r="BT120" s="75">
        <f t="shared" si="1414"/>
        <v>0</v>
      </c>
      <c r="BU120" s="75">
        <f t="shared" si="1414"/>
        <v>0</v>
      </c>
      <c r="BV120" s="75">
        <f t="shared" si="1414"/>
        <v>0</v>
      </c>
      <c r="BW120" s="75">
        <f t="shared" si="1414"/>
        <v>0</v>
      </c>
      <c r="BX120" s="75">
        <f t="shared" si="1414"/>
        <v>0</v>
      </c>
      <c r="BY120" s="75">
        <f t="shared" si="1414"/>
        <v>0</v>
      </c>
      <c r="BZ120" s="75">
        <f t="shared" si="1414"/>
        <v>0</v>
      </c>
      <c r="CA120" s="75">
        <f t="shared" si="1414"/>
        <v>0</v>
      </c>
      <c r="CB120" s="75">
        <f t="shared" ref="CB120:CG120" si="1415">CB118+CB117+CB116+CB115+CB114</f>
        <v>0</v>
      </c>
      <c r="CC120" s="75">
        <f t="shared" si="1415"/>
        <v>0</v>
      </c>
      <c r="CD120" s="75">
        <f t="shared" si="1415"/>
        <v>0</v>
      </c>
      <c r="CE120" s="75">
        <f t="shared" si="1415"/>
        <v>0</v>
      </c>
      <c r="CF120" s="75">
        <f t="shared" si="1415"/>
        <v>0</v>
      </c>
      <c r="CG120" s="75">
        <f t="shared" si="1415"/>
        <v>0</v>
      </c>
      <c r="CH120" s="74">
        <f t="shared" si="870"/>
        <v>1260</v>
      </c>
      <c r="CI120" s="73">
        <f t="shared" ca="1" si="871"/>
        <v>24.23076923076923</v>
      </c>
      <c r="GM120" s="2" t="s">
        <v>17</v>
      </c>
      <c r="GN120" s="103" t="str">
        <f t="shared" si="732"/>
        <v>RYK01-FMCG-ASM-01</v>
      </c>
      <c r="GO120" s="4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6"/>
      <c r="HT120" s="4">
        <v>0</v>
      </c>
      <c r="HU120" s="3">
        <v>0</v>
      </c>
      <c r="HV120" s="3">
        <v>0</v>
      </c>
      <c r="HW120" s="3">
        <v>0</v>
      </c>
      <c r="HX120" s="3">
        <v>0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6"/>
    </row>
    <row r="121" spans="1:258" hidden="1">
      <c r="A121" s="97" t="s">
        <v>25</v>
      </c>
      <c r="B121" s="98" t="s">
        <v>26</v>
      </c>
      <c r="C121" s="98" t="s">
        <v>299</v>
      </c>
      <c r="D121" s="99" t="s">
        <v>1166</v>
      </c>
      <c r="E121" s="98" t="s">
        <v>337</v>
      </c>
      <c r="F121" s="98" t="s">
        <v>338</v>
      </c>
      <c r="G121" s="98" t="s">
        <v>339</v>
      </c>
      <c r="H121" s="98" t="s">
        <v>1672</v>
      </c>
      <c r="I121" s="98" t="s">
        <v>1651</v>
      </c>
      <c r="J121" s="98" t="s">
        <v>878</v>
      </c>
      <c r="K121" s="98" t="s">
        <v>1127</v>
      </c>
      <c r="L121" s="98" t="s">
        <v>1673</v>
      </c>
      <c r="M121" s="101" t="s">
        <v>1093</v>
      </c>
      <c r="N121" s="139">
        <v>46240</v>
      </c>
      <c r="O121" s="100">
        <v>1</v>
      </c>
      <c r="P121" s="69">
        <v>0</v>
      </c>
      <c r="Q121" s="69">
        <f t="shared" ref="Q121:Q127" si="1416">IFERROR(IF(OR(AI121&gt;0),1,0),0)</f>
        <v>1</v>
      </c>
      <c r="R121" s="69">
        <f t="shared" ref="R121:R127" si="1417">IFERROR(IF(OR(BA121&gt;0),1,0),0)</f>
        <v>1</v>
      </c>
      <c r="S121" s="69">
        <f t="shared" ref="S121:S127" si="1418">IFERROR(IF(OR(BP121&gt;0),1,0),0)</f>
        <v>0</v>
      </c>
      <c r="T121" s="69">
        <f t="shared" ref="T121:T127" si="1419">IFERROR(IF(OR(CH121&gt;0),1,0),0)</f>
        <v>1</v>
      </c>
      <c r="U121" s="69">
        <f t="shared" ref="U121:U127" si="1420">IFERROR(IF(OR(BA121&gt;0,CH121&gt;0),1,0),0)</f>
        <v>1</v>
      </c>
      <c r="V121" s="70">
        <f t="shared" ref="V121:V127" si="1421">GO121</f>
        <v>1</v>
      </c>
      <c r="W121" s="71">
        <f t="shared" ref="W121:W127" si="1422">GP121</f>
        <v>1</v>
      </c>
      <c r="X121" s="71">
        <f t="shared" ref="X121:X127" si="1423">GQ121</f>
        <v>1</v>
      </c>
      <c r="Y121" s="71">
        <f t="shared" ref="Y121:Y127" si="1424">GR121</f>
        <v>0</v>
      </c>
      <c r="Z121" s="71">
        <f t="shared" ref="Z121:Z127" si="1425">GS121</f>
        <v>1</v>
      </c>
      <c r="AA121" s="71">
        <f t="shared" ref="AA121:AA127" si="1426">GT121</f>
        <v>1</v>
      </c>
      <c r="AB121" s="71">
        <f t="shared" ref="AB121:AB127" si="1427">GU121</f>
        <v>1</v>
      </c>
      <c r="AC121" s="71">
        <f t="shared" ref="AC121:AC127" si="1428">GV121</f>
        <v>1</v>
      </c>
      <c r="AD121" s="71">
        <f t="shared" ref="AD121:AD127" si="1429">GW121</f>
        <v>1</v>
      </c>
      <c r="AE121" s="71">
        <f t="shared" ref="AE121:AE127" si="1430">GX121</f>
        <v>1</v>
      </c>
      <c r="AF121" s="71">
        <f t="shared" ref="AF121:AF127" si="1431">GY121</f>
        <v>0</v>
      </c>
      <c r="AG121" s="71">
        <f t="shared" ref="AG121:AG127" si="1432">GZ121</f>
        <v>1</v>
      </c>
      <c r="AH121" s="71">
        <f t="shared" ref="AH121:AH127" si="1433">HA121</f>
        <v>1</v>
      </c>
      <c r="AI121" s="71">
        <f t="shared" ref="AI121:AI127" si="1434">HB121</f>
        <v>1</v>
      </c>
      <c r="AJ121" s="71">
        <f t="shared" ref="AJ121:AJ127" si="1435">HC121</f>
        <v>0</v>
      </c>
      <c r="AK121" s="71">
        <f t="shared" ref="AK121:AK127" si="1436">HD121</f>
        <v>0</v>
      </c>
      <c r="AL121" s="71">
        <f t="shared" ref="AL121:AL127" si="1437">HE121</f>
        <v>0</v>
      </c>
      <c r="AM121" s="71">
        <f t="shared" ref="AM121:AM127" si="1438">HF121</f>
        <v>0</v>
      </c>
      <c r="AN121" s="71">
        <f t="shared" ref="AN121:AN127" si="1439">HG121</f>
        <v>0</v>
      </c>
      <c r="AO121" s="71">
        <f t="shared" ref="AO121:AO127" si="1440">HH121</f>
        <v>0</v>
      </c>
      <c r="AP121" s="71">
        <f t="shared" ref="AP121:AP127" si="1441">HI121</f>
        <v>0</v>
      </c>
      <c r="AQ121" s="71">
        <f t="shared" ref="AQ121:AQ127" si="1442">HJ121</f>
        <v>0</v>
      </c>
      <c r="AR121" s="71">
        <f t="shared" ref="AR121:AR127" si="1443">HK121</f>
        <v>0</v>
      </c>
      <c r="AS121" s="71">
        <f t="shared" ref="AS121:AS127" si="1444">HL121</f>
        <v>0</v>
      </c>
      <c r="AT121" s="71">
        <f t="shared" ref="AT121:AT127" si="1445">HM121</f>
        <v>0</v>
      </c>
      <c r="AU121" s="71">
        <f t="shared" ref="AU121:AU127" si="1446">HN121</f>
        <v>0</v>
      </c>
      <c r="AV121" s="71">
        <f t="shared" ref="AV121:AV127" si="1447">HO121</f>
        <v>0</v>
      </c>
      <c r="AW121" s="71">
        <f t="shared" ref="AW121:AW127" si="1448">HP121</f>
        <v>0</v>
      </c>
      <c r="AX121" s="71">
        <f t="shared" ref="AX121:AX127" si="1449">HQ121</f>
        <v>0</v>
      </c>
      <c r="AY121" s="71">
        <f t="shared" ref="AY121:AY127" si="1450">HR121</f>
        <v>0</v>
      </c>
      <c r="AZ121" s="72">
        <f t="shared" ref="AZ121:AZ127" si="1451">HS121</f>
        <v>0</v>
      </c>
      <c r="BA121" s="70">
        <f t="shared" si="733"/>
        <v>12</v>
      </c>
      <c r="BB121" s="69">
        <f t="shared" ca="1" si="869"/>
        <v>0.92307692307692313</v>
      </c>
      <c r="BC121" s="70">
        <f t="shared" ref="BC121:BC127" si="1452">HT121</f>
        <v>31</v>
      </c>
      <c r="BD121" s="71">
        <f t="shared" ref="BD121:BD127" si="1453">HU121</f>
        <v>17</v>
      </c>
      <c r="BE121" s="71">
        <f t="shared" ref="BE121:BE127" si="1454">HV121</f>
        <v>14</v>
      </c>
      <c r="BF121" s="71">
        <f t="shared" ref="BF121:BF127" si="1455">HW121</f>
        <v>0</v>
      </c>
      <c r="BG121" s="71">
        <f t="shared" ref="BG121:BG127" si="1456">HX121</f>
        <v>0</v>
      </c>
      <c r="BH121" s="71">
        <f t="shared" ref="BH121:BH127" si="1457">HY121</f>
        <v>24</v>
      </c>
      <c r="BI121" s="71">
        <f t="shared" ref="BI121:BI127" si="1458">HZ121</f>
        <v>33</v>
      </c>
      <c r="BJ121" s="71">
        <f t="shared" ref="BJ121:BJ127" si="1459">IA121</f>
        <v>33</v>
      </c>
      <c r="BK121" s="71">
        <f t="shared" ref="BK121:BK127" si="1460">IB121</f>
        <v>38</v>
      </c>
      <c r="BL121" s="71">
        <f t="shared" ref="BL121:BL127" si="1461">IC121</f>
        <v>23</v>
      </c>
      <c r="BM121" s="71">
        <f t="shared" ref="BM121:BM127" si="1462">ID121</f>
        <v>0</v>
      </c>
      <c r="BN121" s="71">
        <f t="shared" ref="BN121:BN127" si="1463">IE121</f>
        <v>82</v>
      </c>
      <c r="BO121" s="71">
        <f t="shared" ref="BO121:BO127" si="1464">IF121</f>
        <v>44</v>
      </c>
      <c r="BP121" s="71">
        <f t="shared" ref="BP121:BP127" si="1465">IG121</f>
        <v>0</v>
      </c>
      <c r="BQ121" s="71">
        <f t="shared" ref="BQ121:BQ127" si="1466">IH121</f>
        <v>0</v>
      </c>
      <c r="BR121" s="71">
        <f t="shared" ref="BR121:BR127" si="1467">II121</f>
        <v>0</v>
      </c>
      <c r="BS121" s="71">
        <f t="shared" ref="BS121:BS127" si="1468">IJ121</f>
        <v>0</v>
      </c>
      <c r="BT121" s="71">
        <f t="shared" ref="BT121:BT127" si="1469">IK121</f>
        <v>0</v>
      </c>
      <c r="BU121" s="71">
        <f t="shared" ref="BU121:BU127" si="1470">IL121</f>
        <v>0</v>
      </c>
      <c r="BV121" s="71">
        <f t="shared" ref="BV121:BV127" si="1471">IM121</f>
        <v>0</v>
      </c>
      <c r="BW121" s="71">
        <f t="shared" ref="BW121:BW127" si="1472">IN121</f>
        <v>0</v>
      </c>
      <c r="BX121" s="71">
        <f t="shared" ref="BX121:BX127" si="1473">IO121</f>
        <v>0</v>
      </c>
      <c r="BY121" s="71">
        <f t="shared" ref="BY121:BY127" si="1474">IP121</f>
        <v>0</v>
      </c>
      <c r="BZ121" s="71">
        <f t="shared" ref="BZ121:BZ127" si="1475">IQ121</f>
        <v>0</v>
      </c>
      <c r="CA121" s="71">
        <f t="shared" ref="CA121:CA127" si="1476">IR121</f>
        <v>0</v>
      </c>
      <c r="CB121" s="71">
        <f t="shared" ref="CB121:CB127" si="1477">IS121</f>
        <v>0</v>
      </c>
      <c r="CC121" s="71">
        <f t="shared" ref="CC121:CC127" si="1478">IT121</f>
        <v>0</v>
      </c>
      <c r="CD121" s="71">
        <f t="shared" ref="CD121:CD127" si="1479">IU121</f>
        <v>0</v>
      </c>
      <c r="CE121" s="71">
        <f t="shared" ref="CE121:CE127" si="1480">IV121</f>
        <v>0</v>
      </c>
      <c r="CF121" s="71">
        <f t="shared" ref="CF121:CF127" si="1481">IW121</f>
        <v>0</v>
      </c>
      <c r="CG121" s="71">
        <f t="shared" ref="CG121:CG127" si="1482">IX121</f>
        <v>0</v>
      </c>
      <c r="CH121" s="70">
        <f t="shared" si="870"/>
        <v>339</v>
      </c>
      <c r="CI121" s="69">
        <f t="shared" ca="1" si="871"/>
        <v>26.076923076923077</v>
      </c>
      <c r="GM121" s="2" t="s">
        <v>16</v>
      </c>
      <c r="GN121" s="98" t="str">
        <f t="shared" si="732"/>
        <v>MUX01-FMCG01-SPO-01</v>
      </c>
      <c r="GO121" s="4">
        <v>1</v>
      </c>
      <c r="GP121" s="3">
        <v>1</v>
      </c>
      <c r="GQ121" s="3">
        <v>1</v>
      </c>
      <c r="GR121" s="3">
        <v>0</v>
      </c>
      <c r="GS121" s="3">
        <v>1</v>
      </c>
      <c r="GT121" s="3">
        <v>1</v>
      </c>
      <c r="GU121" s="3">
        <v>1</v>
      </c>
      <c r="GV121" s="3">
        <v>1</v>
      </c>
      <c r="GW121" s="3">
        <v>1</v>
      </c>
      <c r="GX121" s="3">
        <v>1</v>
      </c>
      <c r="GY121" s="3">
        <v>0</v>
      </c>
      <c r="GZ121" s="3">
        <v>1</v>
      </c>
      <c r="HA121" s="3">
        <v>1</v>
      </c>
      <c r="HB121" s="3">
        <v>1</v>
      </c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6"/>
      <c r="HT121" s="4">
        <v>31</v>
      </c>
      <c r="HU121" s="3">
        <v>17</v>
      </c>
      <c r="HV121" s="3">
        <v>14</v>
      </c>
      <c r="HW121" s="3">
        <v>0</v>
      </c>
      <c r="HX121" s="3">
        <v>0</v>
      </c>
      <c r="HY121" s="3">
        <v>24</v>
      </c>
      <c r="HZ121" s="3">
        <v>33</v>
      </c>
      <c r="IA121" s="3">
        <v>33</v>
      </c>
      <c r="IB121" s="3">
        <v>38</v>
      </c>
      <c r="IC121" s="3">
        <v>23</v>
      </c>
      <c r="ID121" s="3">
        <v>0</v>
      </c>
      <c r="IE121" s="3">
        <v>82</v>
      </c>
      <c r="IF121" s="3">
        <v>44</v>
      </c>
      <c r="IG121" s="3">
        <v>0</v>
      </c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6"/>
    </row>
    <row r="122" spans="1:258" hidden="1">
      <c r="A122" s="106" t="s">
        <v>25</v>
      </c>
      <c r="B122" s="101" t="s">
        <v>26</v>
      </c>
      <c r="C122" s="98" t="s">
        <v>299</v>
      </c>
      <c r="D122" s="107" t="s">
        <v>1166</v>
      </c>
      <c r="E122" s="101" t="s">
        <v>1006</v>
      </c>
      <c r="F122" s="101" t="s">
        <v>340</v>
      </c>
      <c r="G122" s="98" t="s">
        <v>341</v>
      </c>
      <c r="H122" s="101" t="s">
        <v>1480</v>
      </c>
      <c r="I122" s="101" t="s">
        <v>1480</v>
      </c>
      <c r="J122" s="101" t="s">
        <v>1167</v>
      </c>
      <c r="K122" s="101" t="s">
        <v>1127</v>
      </c>
      <c r="L122" s="101" t="s">
        <v>342</v>
      </c>
      <c r="M122" s="101" t="s">
        <v>1093</v>
      </c>
      <c r="N122" s="139">
        <v>44531</v>
      </c>
      <c r="O122" s="100">
        <v>1</v>
      </c>
      <c r="P122" s="69">
        <v>0</v>
      </c>
      <c r="Q122" s="69">
        <f t="shared" si="1416"/>
        <v>0</v>
      </c>
      <c r="R122" s="69">
        <f t="shared" si="1417"/>
        <v>1</v>
      </c>
      <c r="S122" s="69">
        <f t="shared" si="1418"/>
        <v>0</v>
      </c>
      <c r="T122" s="69">
        <f t="shared" si="1419"/>
        <v>1</v>
      </c>
      <c r="U122" s="69">
        <f t="shared" si="1420"/>
        <v>1</v>
      </c>
      <c r="V122" s="70">
        <f t="shared" si="1421"/>
        <v>1</v>
      </c>
      <c r="W122" s="71">
        <f t="shared" si="1422"/>
        <v>0</v>
      </c>
      <c r="X122" s="71">
        <f t="shared" si="1423"/>
        <v>1</v>
      </c>
      <c r="Y122" s="71">
        <f t="shared" si="1424"/>
        <v>1</v>
      </c>
      <c r="Z122" s="71">
        <f t="shared" si="1425"/>
        <v>1</v>
      </c>
      <c r="AA122" s="71">
        <f t="shared" si="1426"/>
        <v>1</v>
      </c>
      <c r="AB122" s="71">
        <f t="shared" si="1427"/>
        <v>1</v>
      </c>
      <c r="AC122" s="71">
        <f t="shared" si="1428"/>
        <v>1</v>
      </c>
      <c r="AD122" s="71">
        <f t="shared" si="1429"/>
        <v>0</v>
      </c>
      <c r="AE122" s="71">
        <f t="shared" si="1430"/>
        <v>1</v>
      </c>
      <c r="AF122" s="71">
        <f t="shared" si="1431"/>
        <v>0</v>
      </c>
      <c r="AG122" s="71">
        <f t="shared" si="1432"/>
        <v>1</v>
      </c>
      <c r="AH122" s="71">
        <f t="shared" si="1433"/>
        <v>1</v>
      </c>
      <c r="AI122" s="71">
        <f t="shared" si="1434"/>
        <v>0</v>
      </c>
      <c r="AJ122" s="71">
        <f t="shared" si="1435"/>
        <v>0</v>
      </c>
      <c r="AK122" s="71">
        <f t="shared" si="1436"/>
        <v>0</v>
      </c>
      <c r="AL122" s="71">
        <f t="shared" si="1437"/>
        <v>0</v>
      </c>
      <c r="AM122" s="71">
        <f t="shared" si="1438"/>
        <v>0</v>
      </c>
      <c r="AN122" s="71">
        <f t="shared" si="1439"/>
        <v>0</v>
      </c>
      <c r="AO122" s="71">
        <f t="shared" si="1440"/>
        <v>0</v>
      </c>
      <c r="AP122" s="71">
        <f t="shared" si="1441"/>
        <v>0</v>
      </c>
      <c r="AQ122" s="71">
        <f t="shared" si="1442"/>
        <v>0</v>
      </c>
      <c r="AR122" s="71">
        <f t="shared" si="1443"/>
        <v>0</v>
      </c>
      <c r="AS122" s="71">
        <f t="shared" si="1444"/>
        <v>0</v>
      </c>
      <c r="AT122" s="71">
        <f t="shared" si="1445"/>
        <v>0</v>
      </c>
      <c r="AU122" s="71">
        <f t="shared" si="1446"/>
        <v>0</v>
      </c>
      <c r="AV122" s="71">
        <f t="shared" si="1447"/>
        <v>0</v>
      </c>
      <c r="AW122" s="71">
        <f t="shared" si="1448"/>
        <v>0</v>
      </c>
      <c r="AX122" s="71">
        <f t="shared" si="1449"/>
        <v>0</v>
      </c>
      <c r="AY122" s="71">
        <f t="shared" si="1450"/>
        <v>0</v>
      </c>
      <c r="AZ122" s="72">
        <f t="shared" si="1451"/>
        <v>0</v>
      </c>
      <c r="BA122" s="70">
        <f t="shared" si="733"/>
        <v>10</v>
      </c>
      <c r="BB122" s="69">
        <f t="shared" ca="1" si="869"/>
        <v>0.76923076923076927</v>
      </c>
      <c r="BC122" s="70">
        <f t="shared" si="1452"/>
        <v>26</v>
      </c>
      <c r="BD122" s="71">
        <f t="shared" si="1453"/>
        <v>0</v>
      </c>
      <c r="BE122" s="71">
        <f t="shared" si="1454"/>
        <v>21</v>
      </c>
      <c r="BF122" s="71">
        <f t="shared" si="1455"/>
        <v>19</v>
      </c>
      <c r="BG122" s="71">
        <f t="shared" si="1456"/>
        <v>31</v>
      </c>
      <c r="BH122" s="71">
        <f t="shared" si="1457"/>
        <v>24</v>
      </c>
      <c r="BI122" s="71">
        <f t="shared" si="1458"/>
        <v>37</v>
      </c>
      <c r="BJ122" s="71">
        <f t="shared" si="1459"/>
        <v>42</v>
      </c>
      <c r="BK122" s="71">
        <f t="shared" si="1460"/>
        <v>0</v>
      </c>
      <c r="BL122" s="71">
        <f t="shared" si="1461"/>
        <v>27</v>
      </c>
      <c r="BM122" s="71">
        <f t="shared" si="1462"/>
        <v>23</v>
      </c>
      <c r="BN122" s="71">
        <f t="shared" si="1463"/>
        <v>49</v>
      </c>
      <c r="BO122" s="71">
        <f t="shared" si="1464"/>
        <v>43</v>
      </c>
      <c r="BP122" s="71">
        <f t="shared" si="1465"/>
        <v>0</v>
      </c>
      <c r="BQ122" s="71">
        <f t="shared" si="1466"/>
        <v>0</v>
      </c>
      <c r="BR122" s="71">
        <f t="shared" si="1467"/>
        <v>0</v>
      </c>
      <c r="BS122" s="71">
        <f t="shared" si="1468"/>
        <v>0</v>
      </c>
      <c r="BT122" s="71">
        <f t="shared" si="1469"/>
        <v>0</v>
      </c>
      <c r="BU122" s="71">
        <f t="shared" si="1470"/>
        <v>0</v>
      </c>
      <c r="BV122" s="71">
        <f t="shared" si="1471"/>
        <v>0</v>
      </c>
      <c r="BW122" s="71">
        <f t="shared" si="1472"/>
        <v>0</v>
      </c>
      <c r="BX122" s="71">
        <f t="shared" si="1473"/>
        <v>0</v>
      </c>
      <c r="BY122" s="71">
        <f t="shared" si="1474"/>
        <v>0</v>
      </c>
      <c r="BZ122" s="71">
        <f t="shared" si="1475"/>
        <v>0</v>
      </c>
      <c r="CA122" s="71">
        <f t="shared" si="1476"/>
        <v>0</v>
      </c>
      <c r="CB122" s="71">
        <f t="shared" si="1477"/>
        <v>0</v>
      </c>
      <c r="CC122" s="71">
        <f t="shared" si="1478"/>
        <v>0</v>
      </c>
      <c r="CD122" s="71">
        <f t="shared" si="1479"/>
        <v>0</v>
      </c>
      <c r="CE122" s="71">
        <f t="shared" si="1480"/>
        <v>0</v>
      </c>
      <c r="CF122" s="71">
        <f t="shared" si="1481"/>
        <v>0</v>
      </c>
      <c r="CG122" s="71">
        <f t="shared" si="1482"/>
        <v>0</v>
      </c>
      <c r="CH122" s="70">
        <f t="shared" si="870"/>
        <v>342</v>
      </c>
      <c r="CI122" s="69">
        <f t="shared" ca="1" si="871"/>
        <v>26.307692307692307</v>
      </c>
      <c r="GM122" s="2" t="s">
        <v>16</v>
      </c>
      <c r="GN122" s="101" t="str">
        <f t="shared" si="732"/>
        <v>MUX01-FMCG01-SPO-02</v>
      </c>
      <c r="GO122" s="4">
        <v>1</v>
      </c>
      <c r="GP122" s="3">
        <v>0</v>
      </c>
      <c r="GQ122" s="3">
        <v>1</v>
      </c>
      <c r="GR122" s="3">
        <v>1</v>
      </c>
      <c r="GS122" s="3">
        <v>1</v>
      </c>
      <c r="GT122" s="3">
        <v>1</v>
      </c>
      <c r="GU122" s="3">
        <v>1</v>
      </c>
      <c r="GV122" s="3">
        <v>1</v>
      </c>
      <c r="GW122" s="3">
        <v>0</v>
      </c>
      <c r="GX122" s="3">
        <v>1</v>
      </c>
      <c r="GY122" s="3">
        <v>0</v>
      </c>
      <c r="GZ122" s="3">
        <v>1</v>
      </c>
      <c r="HA122" s="3">
        <v>1</v>
      </c>
      <c r="HB122" s="3">
        <v>0</v>
      </c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6"/>
      <c r="HT122" s="4">
        <v>26</v>
      </c>
      <c r="HU122" s="3">
        <v>0</v>
      </c>
      <c r="HV122" s="3">
        <v>21</v>
      </c>
      <c r="HW122" s="3">
        <v>19</v>
      </c>
      <c r="HX122" s="3">
        <v>31</v>
      </c>
      <c r="HY122" s="3">
        <v>24</v>
      </c>
      <c r="HZ122" s="3">
        <v>37</v>
      </c>
      <c r="IA122" s="3">
        <v>42</v>
      </c>
      <c r="IB122" s="3">
        <v>0</v>
      </c>
      <c r="IC122" s="3">
        <v>27</v>
      </c>
      <c r="ID122" s="3">
        <v>23</v>
      </c>
      <c r="IE122" s="3">
        <v>49</v>
      </c>
      <c r="IF122" s="3">
        <v>43</v>
      </c>
      <c r="IG122" s="3">
        <v>0</v>
      </c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6"/>
    </row>
    <row r="123" spans="1:258" hidden="1">
      <c r="A123" s="97" t="s">
        <v>25</v>
      </c>
      <c r="B123" s="98" t="s">
        <v>90</v>
      </c>
      <c r="C123" s="98" t="s">
        <v>299</v>
      </c>
      <c r="D123" s="99" t="s">
        <v>1166</v>
      </c>
      <c r="E123" s="98" t="s">
        <v>343</v>
      </c>
      <c r="F123" s="98" t="s">
        <v>344</v>
      </c>
      <c r="G123" s="98" t="s">
        <v>345</v>
      </c>
      <c r="H123" s="98" t="s">
        <v>1481</v>
      </c>
      <c r="I123" s="98" t="s">
        <v>1481</v>
      </c>
      <c r="J123" s="98" t="s">
        <v>878</v>
      </c>
      <c r="K123" s="98" t="s">
        <v>1127</v>
      </c>
      <c r="L123" s="98" t="s">
        <v>346</v>
      </c>
      <c r="M123" s="101" t="s">
        <v>1093</v>
      </c>
      <c r="N123" s="139">
        <v>45738</v>
      </c>
      <c r="O123" s="100">
        <v>1</v>
      </c>
      <c r="P123" s="69">
        <v>0</v>
      </c>
      <c r="Q123" s="69">
        <f t="shared" si="1416"/>
        <v>1</v>
      </c>
      <c r="R123" s="69">
        <f t="shared" si="1417"/>
        <v>1</v>
      </c>
      <c r="S123" s="69">
        <f t="shared" si="1418"/>
        <v>0</v>
      </c>
      <c r="T123" s="69">
        <f t="shared" si="1419"/>
        <v>1</v>
      </c>
      <c r="U123" s="69">
        <f t="shared" si="1420"/>
        <v>1</v>
      </c>
      <c r="V123" s="70">
        <f t="shared" si="1421"/>
        <v>1</v>
      </c>
      <c r="W123" s="71">
        <f t="shared" si="1422"/>
        <v>1</v>
      </c>
      <c r="X123" s="71">
        <f t="shared" si="1423"/>
        <v>1</v>
      </c>
      <c r="Y123" s="71">
        <f t="shared" si="1424"/>
        <v>0</v>
      </c>
      <c r="Z123" s="71">
        <f t="shared" si="1425"/>
        <v>1</v>
      </c>
      <c r="AA123" s="71">
        <f t="shared" si="1426"/>
        <v>1</v>
      </c>
      <c r="AB123" s="71">
        <f t="shared" si="1427"/>
        <v>1</v>
      </c>
      <c r="AC123" s="71">
        <f t="shared" si="1428"/>
        <v>1</v>
      </c>
      <c r="AD123" s="71">
        <f t="shared" si="1429"/>
        <v>1</v>
      </c>
      <c r="AE123" s="71">
        <f t="shared" si="1430"/>
        <v>1</v>
      </c>
      <c r="AF123" s="71">
        <f t="shared" si="1431"/>
        <v>0</v>
      </c>
      <c r="AG123" s="71">
        <f t="shared" si="1432"/>
        <v>1</v>
      </c>
      <c r="AH123" s="71">
        <f t="shared" si="1433"/>
        <v>1</v>
      </c>
      <c r="AI123" s="71">
        <f t="shared" si="1434"/>
        <v>1</v>
      </c>
      <c r="AJ123" s="71">
        <f t="shared" si="1435"/>
        <v>0</v>
      </c>
      <c r="AK123" s="71">
        <f t="shared" si="1436"/>
        <v>0</v>
      </c>
      <c r="AL123" s="71">
        <f t="shared" si="1437"/>
        <v>0</v>
      </c>
      <c r="AM123" s="71">
        <f t="shared" si="1438"/>
        <v>0</v>
      </c>
      <c r="AN123" s="71">
        <f t="shared" si="1439"/>
        <v>0</v>
      </c>
      <c r="AO123" s="71">
        <f t="shared" si="1440"/>
        <v>0</v>
      </c>
      <c r="AP123" s="71">
        <f t="shared" si="1441"/>
        <v>0</v>
      </c>
      <c r="AQ123" s="71">
        <f t="shared" si="1442"/>
        <v>0</v>
      </c>
      <c r="AR123" s="71">
        <f t="shared" si="1443"/>
        <v>0</v>
      </c>
      <c r="AS123" s="71">
        <f t="shared" si="1444"/>
        <v>0</v>
      </c>
      <c r="AT123" s="71">
        <f t="shared" si="1445"/>
        <v>0</v>
      </c>
      <c r="AU123" s="71">
        <f t="shared" si="1446"/>
        <v>0</v>
      </c>
      <c r="AV123" s="71">
        <f t="shared" si="1447"/>
        <v>0</v>
      </c>
      <c r="AW123" s="71">
        <f t="shared" si="1448"/>
        <v>0</v>
      </c>
      <c r="AX123" s="71">
        <f t="shared" si="1449"/>
        <v>0</v>
      </c>
      <c r="AY123" s="71">
        <f t="shared" si="1450"/>
        <v>0</v>
      </c>
      <c r="AZ123" s="72">
        <f t="shared" si="1451"/>
        <v>0</v>
      </c>
      <c r="BA123" s="70">
        <f t="shared" si="733"/>
        <v>12</v>
      </c>
      <c r="BB123" s="69">
        <f t="shared" ca="1" si="869"/>
        <v>0.92307692307692313</v>
      </c>
      <c r="BC123" s="70">
        <f t="shared" si="1452"/>
        <v>31</v>
      </c>
      <c r="BD123" s="71">
        <f t="shared" si="1453"/>
        <v>35</v>
      </c>
      <c r="BE123" s="71">
        <f t="shared" si="1454"/>
        <v>66</v>
      </c>
      <c r="BF123" s="71">
        <f t="shared" si="1455"/>
        <v>0</v>
      </c>
      <c r="BG123" s="71">
        <f t="shared" si="1456"/>
        <v>45</v>
      </c>
      <c r="BH123" s="71">
        <f t="shared" si="1457"/>
        <v>42</v>
      </c>
      <c r="BI123" s="71">
        <f t="shared" si="1458"/>
        <v>40</v>
      </c>
      <c r="BJ123" s="71">
        <f t="shared" si="1459"/>
        <v>39</v>
      </c>
      <c r="BK123" s="71">
        <f t="shared" si="1460"/>
        <v>20</v>
      </c>
      <c r="BL123" s="71">
        <f t="shared" si="1461"/>
        <v>16</v>
      </c>
      <c r="BM123" s="71">
        <f t="shared" si="1462"/>
        <v>0</v>
      </c>
      <c r="BN123" s="71">
        <f t="shared" si="1463"/>
        <v>39</v>
      </c>
      <c r="BO123" s="71">
        <f t="shared" si="1464"/>
        <v>46</v>
      </c>
      <c r="BP123" s="71">
        <f t="shared" si="1465"/>
        <v>0</v>
      </c>
      <c r="BQ123" s="71">
        <f t="shared" si="1466"/>
        <v>0</v>
      </c>
      <c r="BR123" s="71">
        <f t="shared" si="1467"/>
        <v>0</v>
      </c>
      <c r="BS123" s="71">
        <f t="shared" si="1468"/>
        <v>0</v>
      </c>
      <c r="BT123" s="71">
        <f t="shared" si="1469"/>
        <v>0</v>
      </c>
      <c r="BU123" s="71">
        <f t="shared" si="1470"/>
        <v>0</v>
      </c>
      <c r="BV123" s="71">
        <f t="shared" si="1471"/>
        <v>0</v>
      </c>
      <c r="BW123" s="71">
        <f t="shared" si="1472"/>
        <v>0</v>
      </c>
      <c r="BX123" s="71">
        <f t="shared" si="1473"/>
        <v>0</v>
      </c>
      <c r="BY123" s="71">
        <f t="shared" si="1474"/>
        <v>0</v>
      </c>
      <c r="BZ123" s="71">
        <f t="shared" si="1475"/>
        <v>0</v>
      </c>
      <c r="CA123" s="71">
        <f t="shared" si="1476"/>
        <v>0</v>
      </c>
      <c r="CB123" s="71">
        <f t="shared" si="1477"/>
        <v>0</v>
      </c>
      <c r="CC123" s="71">
        <f t="shared" si="1478"/>
        <v>0</v>
      </c>
      <c r="CD123" s="71">
        <f t="shared" si="1479"/>
        <v>0</v>
      </c>
      <c r="CE123" s="71">
        <f t="shared" si="1480"/>
        <v>0</v>
      </c>
      <c r="CF123" s="71">
        <f t="shared" si="1481"/>
        <v>0</v>
      </c>
      <c r="CG123" s="71">
        <f t="shared" si="1482"/>
        <v>0</v>
      </c>
      <c r="CH123" s="70">
        <f t="shared" si="870"/>
        <v>419</v>
      </c>
      <c r="CI123" s="69">
        <f t="shared" ca="1" si="871"/>
        <v>32.230769230769234</v>
      </c>
      <c r="GM123" s="2" t="s">
        <v>16</v>
      </c>
      <c r="GN123" s="98" t="str">
        <f t="shared" si="732"/>
        <v>MUX01-FMCG02-SPO-01</v>
      </c>
      <c r="GO123" s="4">
        <v>1</v>
      </c>
      <c r="GP123" s="3">
        <v>1</v>
      </c>
      <c r="GQ123" s="3">
        <v>1</v>
      </c>
      <c r="GR123" s="3">
        <v>0</v>
      </c>
      <c r="GS123" s="3">
        <v>1</v>
      </c>
      <c r="GT123" s="3">
        <v>1</v>
      </c>
      <c r="GU123" s="3">
        <v>1</v>
      </c>
      <c r="GV123" s="3">
        <v>1</v>
      </c>
      <c r="GW123" s="3">
        <v>1</v>
      </c>
      <c r="GX123" s="3">
        <v>1</v>
      </c>
      <c r="GY123" s="3">
        <v>0</v>
      </c>
      <c r="GZ123" s="3">
        <v>1</v>
      </c>
      <c r="HA123" s="3">
        <v>1</v>
      </c>
      <c r="HB123" s="3">
        <v>1</v>
      </c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6"/>
      <c r="HT123" s="4">
        <v>31</v>
      </c>
      <c r="HU123" s="3">
        <v>35</v>
      </c>
      <c r="HV123" s="3">
        <v>66</v>
      </c>
      <c r="HW123" s="3">
        <v>0</v>
      </c>
      <c r="HX123" s="3">
        <v>45</v>
      </c>
      <c r="HY123" s="3">
        <v>42</v>
      </c>
      <c r="HZ123" s="3">
        <v>40</v>
      </c>
      <c r="IA123" s="3">
        <v>39</v>
      </c>
      <c r="IB123" s="3">
        <v>20</v>
      </c>
      <c r="IC123" s="3">
        <v>16</v>
      </c>
      <c r="ID123" s="3">
        <v>0</v>
      </c>
      <c r="IE123" s="3">
        <v>39</v>
      </c>
      <c r="IF123" s="3">
        <v>46</v>
      </c>
      <c r="IG123" s="3">
        <v>0</v>
      </c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6"/>
    </row>
    <row r="124" spans="1:258" hidden="1">
      <c r="A124" s="97" t="s">
        <v>25</v>
      </c>
      <c r="B124" s="98" t="s">
        <v>90</v>
      </c>
      <c r="C124" s="98" t="s">
        <v>299</v>
      </c>
      <c r="D124" s="99" t="s">
        <v>1166</v>
      </c>
      <c r="E124" s="98" t="s">
        <v>1007</v>
      </c>
      <c r="F124" s="98" t="s">
        <v>347</v>
      </c>
      <c r="G124" s="98" t="s">
        <v>348</v>
      </c>
      <c r="H124" s="98" t="s">
        <v>1482</v>
      </c>
      <c r="I124" s="98" t="s">
        <v>1482</v>
      </c>
      <c r="J124" s="98" t="s">
        <v>882</v>
      </c>
      <c r="K124" s="98" t="s">
        <v>1127</v>
      </c>
      <c r="L124" s="98" t="s">
        <v>349</v>
      </c>
      <c r="M124" s="101" t="s">
        <v>1093</v>
      </c>
      <c r="N124" s="139">
        <v>45069</v>
      </c>
      <c r="O124" s="100">
        <v>1</v>
      </c>
      <c r="P124" s="69">
        <v>0</v>
      </c>
      <c r="Q124" s="69">
        <f t="shared" si="1416"/>
        <v>1</v>
      </c>
      <c r="R124" s="69">
        <f t="shared" si="1417"/>
        <v>1</v>
      </c>
      <c r="S124" s="69">
        <f t="shared" si="1418"/>
        <v>0</v>
      </c>
      <c r="T124" s="69">
        <f t="shared" si="1419"/>
        <v>1</v>
      </c>
      <c r="U124" s="69">
        <f t="shared" si="1420"/>
        <v>1</v>
      </c>
      <c r="V124" s="70">
        <f t="shared" si="1421"/>
        <v>1</v>
      </c>
      <c r="W124" s="71">
        <f t="shared" si="1422"/>
        <v>0</v>
      </c>
      <c r="X124" s="71">
        <f t="shared" si="1423"/>
        <v>1</v>
      </c>
      <c r="Y124" s="71">
        <f t="shared" si="1424"/>
        <v>1</v>
      </c>
      <c r="Z124" s="71">
        <f t="shared" si="1425"/>
        <v>1</v>
      </c>
      <c r="AA124" s="71">
        <f t="shared" si="1426"/>
        <v>1</v>
      </c>
      <c r="AB124" s="71">
        <f t="shared" si="1427"/>
        <v>1</v>
      </c>
      <c r="AC124" s="71">
        <f t="shared" si="1428"/>
        <v>1</v>
      </c>
      <c r="AD124" s="71">
        <f t="shared" si="1429"/>
        <v>0</v>
      </c>
      <c r="AE124" s="71">
        <f t="shared" si="1430"/>
        <v>1</v>
      </c>
      <c r="AF124" s="71">
        <f t="shared" si="1431"/>
        <v>1</v>
      </c>
      <c r="AG124" s="71">
        <f t="shared" si="1432"/>
        <v>1</v>
      </c>
      <c r="AH124" s="71">
        <f t="shared" si="1433"/>
        <v>1</v>
      </c>
      <c r="AI124" s="71">
        <f t="shared" si="1434"/>
        <v>1</v>
      </c>
      <c r="AJ124" s="71">
        <f t="shared" si="1435"/>
        <v>0</v>
      </c>
      <c r="AK124" s="71">
        <f t="shared" si="1436"/>
        <v>0</v>
      </c>
      <c r="AL124" s="71">
        <f t="shared" si="1437"/>
        <v>0</v>
      </c>
      <c r="AM124" s="71">
        <f t="shared" si="1438"/>
        <v>0</v>
      </c>
      <c r="AN124" s="71">
        <f t="shared" si="1439"/>
        <v>0</v>
      </c>
      <c r="AO124" s="71">
        <f t="shared" si="1440"/>
        <v>0</v>
      </c>
      <c r="AP124" s="71">
        <f t="shared" si="1441"/>
        <v>0</v>
      </c>
      <c r="AQ124" s="71">
        <f t="shared" si="1442"/>
        <v>0</v>
      </c>
      <c r="AR124" s="71">
        <f t="shared" si="1443"/>
        <v>0</v>
      </c>
      <c r="AS124" s="71">
        <f t="shared" si="1444"/>
        <v>0</v>
      </c>
      <c r="AT124" s="71">
        <f t="shared" si="1445"/>
        <v>0</v>
      </c>
      <c r="AU124" s="71">
        <f t="shared" si="1446"/>
        <v>0</v>
      </c>
      <c r="AV124" s="71">
        <f t="shared" si="1447"/>
        <v>0</v>
      </c>
      <c r="AW124" s="71">
        <f t="shared" si="1448"/>
        <v>0</v>
      </c>
      <c r="AX124" s="71">
        <f t="shared" si="1449"/>
        <v>0</v>
      </c>
      <c r="AY124" s="71">
        <f t="shared" si="1450"/>
        <v>0</v>
      </c>
      <c r="AZ124" s="72">
        <f t="shared" si="1451"/>
        <v>0</v>
      </c>
      <c r="BA124" s="70">
        <f t="shared" si="733"/>
        <v>12</v>
      </c>
      <c r="BB124" s="69">
        <f t="shared" ca="1" si="869"/>
        <v>0.92307692307692313</v>
      </c>
      <c r="BC124" s="70">
        <f t="shared" si="1452"/>
        <v>39</v>
      </c>
      <c r="BD124" s="71">
        <f t="shared" si="1453"/>
        <v>0</v>
      </c>
      <c r="BE124" s="71">
        <f t="shared" si="1454"/>
        <v>40</v>
      </c>
      <c r="BF124" s="71">
        <f t="shared" si="1455"/>
        <v>32</v>
      </c>
      <c r="BG124" s="71">
        <f t="shared" si="1456"/>
        <v>39</v>
      </c>
      <c r="BH124" s="71">
        <f t="shared" si="1457"/>
        <v>42</v>
      </c>
      <c r="BI124" s="71">
        <f t="shared" si="1458"/>
        <v>42</v>
      </c>
      <c r="BJ124" s="71">
        <f t="shared" si="1459"/>
        <v>44</v>
      </c>
      <c r="BK124" s="71">
        <f t="shared" si="1460"/>
        <v>0</v>
      </c>
      <c r="BL124" s="71">
        <f t="shared" si="1461"/>
        <v>42</v>
      </c>
      <c r="BM124" s="71">
        <f t="shared" si="1462"/>
        <v>41</v>
      </c>
      <c r="BN124" s="71">
        <f t="shared" si="1463"/>
        <v>58</v>
      </c>
      <c r="BO124" s="71">
        <f t="shared" si="1464"/>
        <v>40</v>
      </c>
      <c r="BP124" s="71">
        <f t="shared" si="1465"/>
        <v>0</v>
      </c>
      <c r="BQ124" s="71">
        <f t="shared" si="1466"/>
        <v>0</v>
      </c>
      <c r="BR124" s="71">
        <f t="shared" si="1467"/>
        <v>0</v>
      </c>
      <c r="BS124" s="71">
        <f t="shared" si="1468"/>
        <v>0</v>
      </c>
      <c r="BT124" s="71">
        <f t="shared" si="1469"/>
        <v>0</v>
      </c>
      <c r="BU124" s="71">
        <f t="shared" si="1470"/>
        <v>0</v>
      </c>
      <c r="BV124" s="71">
        <f t="shared" si="1471"/>
        <v>0</v>
      </c>
      <c r="BW124" s="71">
        <f t="shared" si="1472"/>
        <v>0</v>
      </c>
      <c r="BX124" s="71">
        <f t="shared" si="1473"/>
        <v>0</v>
      </c>
      <c r="BY124" s="71">
        <f t="shared" si="1474"/>
        <v>0</v>
      </c>
      <c r="BZ124" s="71">
        <f t="shared" si="1475"/>
        <v>0</v>
      </c>
      <c r="CA124" s="71">
        <f t="shared" si="1476"/>
        <v>0</v>
      </c>
      <c r="CB124" s="71">
        <f t="shared" si="1477"/>
        <v>0</v>
      </c>
      <c r="CC124" s="71">
        <f t="shared" si="1478"/>
        <v>0</v>
      </c>
      <c r="CD124" s="71">
        <f t="shared" si="1479"/>
        <v>0</v>
      </c>
      <c r="CE124" s="71">
        <f t="shared" si="1480"/>
        <v>0</v>
      </c>
      <c r="CF124" s="71">
        <f t="shared" si="1481"/>
        <v>0</v>
      </c>
      <c r="CG124" s="71">
        <f t="shared" si="1482"/>
        <v>0</v>
      </c>
      <c r="CH124" s="70">
        <f t="shared" si="870"/>
        <v>459</v>
      </c>
      <c r="CI124" s="69">
        <f t="shared" ca="1" si="871"/>
        <v>35.307692307692307</v>
      </c>
      <c r="GM124" s="2" t="s">
        <v>16</v>
      </c>
      <c r="GN124" s="98" t="str">
        <f t="shared" si="732"/>
        <v>MUX01-FMCG02-SPO-02</v>
      </c>
      <c r="GO124" s="4">
        <v>1</v>
      </c>
      <c r="GP124" s="3">
        <v>0</v>
      </c>
      <c r="GQ124" s="3">
        <v>1</v>
      </c>
      <c r="GR124" s="3">
        <v>1</v>
      </c>
      <c r="GS124" s="3">
        <v>1</v>
      </c>
      <c r="GT124" s="3">
        <v>1</v>
      </c>
      <c r="GU124" s="3">
        <v>1</v>
      </c>
      <c r="GV124" s="3">
        <v>1</v>
      </c>
      <c r="GW124" s="3">
        <v>0</v>
      </c>
      <c r="GX124" s="3">
        <v>1</v>
      </c>
      <c r="GY124" s="3">
        <v>1</v>
      </c>
      <c r="GZ124" s="3">
        <v>1</v>
      </c>
      <c r="HA124" s="3">
        <v>1</v>
      </c>
      <c r="HB124" s="3">
        <v>1</v>
      </c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6"/>
      <c r="HT124" s="4">
        <v>39</v>
      </c>
      <c r="HU124" s="3">
        <v>0</v>
      </c>
      <c r="HV124" s="3">
        <v>40</v>
      </c>
      <c r="HW124" s="3">
        <v>32</v>
      </c>
      <c r="HX124" s="3">
        <v>39</v>
      </c>
      <c r="HY124" s="3">
        <v>42</v>
      </c>
      <c r="HZ124" s="3">
        <v>42</v>
      </c>
      <c r="IA124" s="3">
        <v>44</v>
      </c>
      <c r="IB124" s="3">
        <v>0</v>
      </c>
      <c r="IC124" s="3">
        <v>42</v>
      </c>
      <c r="ID124" s="3">
        <v>41</v>
      </c>
      <c r="IE124" s="3">
        <v>58</v>
      </c>
      <c r="IF124" s="3">
        <v>40</v>
      </c>
      <c r="IG124" s="3">
        <v>0</v>
      </c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6"/>
    </row>
    <row r="125" spans="1:258" hidden="1">
      <c r="A125" s="97" t="s">
        <v>25</v>
      </c>
      <c r="B125" s="98" t="s">
        <v>90</v>
      </c>
      <c r="C125" s="98" t="s">
        <v>299</v>
      </c>
      <c r="D125" s="99" t="s">
        <v>1166</v>
      </c>
      <c r="E125" s="98" t="s">
        <v>1008</v>
      </c>
      <c r="F125" s="98" t="s">
        <v>1048</v>
      </c>
      <c r="G125" s="98" t="s">
        <v>350</v>
      </c>
      <c r="H125" s="98" t="s">
        <v>1483</v>
      </c>
      <c r="I125" s="98" t="s">
        <v>1483</v>
      </c>
      <c r="J125" s="98" t="s">
        <v>881</v>
      </c>
      <c r="K125" s="98" t="s">
        <v>1127</v>
      </c>
      <c r="L125" s="98" t="s">
        <v>351</v>
      </c>
      <c r="M125" s="98" t="s">
        <v>1093</v>
      </c>
      <c r="N125" s="108">
        <v>45904</v>
      </c>
      <c r="O125" s="100">
        <v>1</v>
      </c>
      <c r="P125" s="69">
        <v>0</v>
      </c>
      <c r="Q125" s="69">
        <f t="shared" si="1416"/>
        <v>1</v>
      </c>
      <c r="R125" s="69">
        <f t="shared" si="1417"/>
        <v>1</v>
      </c>
      <c r="S125" s="69">
        <f t="shared" si="1418"/>
        <v>0</v>
      </c>
      <c r="T125" s="69">
        <f t="shared" si="1419"/>
        <v>1</v>
      </c>
      <c r="U125" s="69">
        <f t="shared" si="1420"/>
        <v>1</v>
      </c>
      <c r="V125" s="70">
        <f t="shared" si="1421"/>
        <v>1</v>
      </c>
      <c r="W125" s="71">
        <f t="shared" si="1422"/>
        <v>0</v>
      </c>
      <c r="X125" s="71">
        <f t="shared" si="1423"/>
        <v>1</v>
      </c>
      <c r="Y125" s="71">
        <f t="shared" si="1424"/>
        <v>1</v>
      </c>
      <c r="Z125" s="71">
        <f t="shared" si="1425"/>
        <v>1</v>
      </c>
      <c r="AA125" s="71">
        <f t="shared" si="1426"/>
        <v>1</v>
      </c>
      <c r="AB125" s="71">
        <f t="shared" si="1427"/>
        <v>1</v>
      </c>
      <c r="AC125" s="71">
        <f t="shared" si="1428"/>
        <v>1</v>
      </c>
      <c r="AD125" s="71">
        <f t="shared" si="1429"/>
        <v>0</v>
      </c>
      <c r="AE125" s="71">
        <f t="shared" si="1430"/>
        <v>1</v>
      </c>
      <c r="AF125" s="71">
        <f t="shared" si="1431"/>
        <v>1</v>
      </c>
      <c r="AG125" s="71">
        <f t="shared" si="1432"/>
        <v>1</v>
      </c>
      <c r="AH125" s="71">
        <f t="shared" si="1433"/>
        <v>1</v>
      </c>
      <c r="AI125" s="71">
        <f t="shared" si="1434"/>
        <v>1</v>
      </c>
      <c r="AJ125" s="71">
        <f t="shared" si="1435"/>
        <v>0</v>
      </c>
      <c r="AK125" s="71">
        <f t="shared" si="1436"/>
        <v>0</v>
      </c>
      <c r="AL125" s="71">
        <f t="shared" si="1437"/>
        <v>0</v>
      </c>
      <c r="AM125" s="71">
        <f t="shared" si="1438"/>
        <v>0</v>
      </c>
      <c r="AN125" s="71">
        <f t="shared" si="1439"/>
        <v>0</v>
      </c>
      <c r="AO125" s="71">
        <f t="shared" si="1440"/>
        <v>0</v>
      </c>
      <c r="AP125" s="71">
        <f t="shared" si="1441"/>
        <v>0</v>
      </c>
      <c r="AQ125" s="71">
        <f t="shared" si="1442"/>
        <v>0</v>
      </c>
      <c r="AR125" s="71">
        <f t="shared" si="1443"/>
        <v>0</v>
      </c>
      <c r="AS125" s="71">
        <f t="shared" si="1444"/>
        <v>0</v>
      </c>
      <c r="AT125" s="71">
        <f t="shared" si="1445"/>
        <v>0</v>
      </c>
      <c r="AU125" s="71">
        <f t="shared" si="1446"/>
        <v>0</v>
      </c>
      <c r="AV125" s="71">
        <f t="shared" si="1447"/>
        <v>0</v>
      </c>
      <c r="AW125" s="71">
        <f t="shared" si="1448"/>
        <v>0</v>
      </c>
      <c r="AX125" s="71">
        <f t="shared" si="1449"/>
        <v>0</v>
      </c>
      <c r="AY125" s="71">
        <f t="shared" si="1450"/>
        <v>0</v>
      </c>
      <c r="AZ125" s="72">
        <f t="shared" si="1451"/>
        <v>0</v>
      </c>
      <c r="BA125" s="70">
        <f t="shared" si="733"/>
        <v>12</v>
      </c>
      <c r="BB125" s="69">
        <f t="shared" ca="1" si="869"/>
        <v>0.92307692307692313</v>
      </c>
      <c r="BC125" s="70">
        <f t="shared" si="1452"/>
        <v>0</v>
      </c>
      <c r="BD125" s="71">
        <f t="shared" si="1453"/>
        <v>0</v>
      </c>
      <c r="BE125" s="71">
        <f t="shared" si="1454"/>
        <v>0</v>
      </c>
      <c r="BF125" s="71">
        <f t="shared" si="1455"/>
        <v>1</v>
      </c>
      <c r="BG125" s="71">
        <f t="shared" si="1456"/>
        <v>0</v>
      </c>
      <c r="BH125" s="71">
        <f t="shared" si="1457"/>
        <v>19</v>
      </c>
      <c r="BI125" s="71">
        <f t="shared" si="1458"/>
        <v>34</v>
      </c>
      <c r="BJ125" s="71">
        <f t="shared" si="1459"/>
        <v>30</v>
      </c>
      <c r="BK125" s="71">
        <f t="shared" si="1460"/>
        <v>0</v>
      </c>
      <c r="BL125" s="71">
        <f t="shared" si="1461"/>
        <v>40</v>
      </c>
      <c r="BM125" s="71">
        <f t="shared" si="1462"/>
        <v>36</v>
      </c>
      <c r="BN125" s="71">
        <f t="shared" si="1463"/>
        <v>49</v>
      </c>
      <c r="BO125" s="71">
        <f t="shared" si="1464"/>
        <v>38</v>
      </c>
      <c r="BP125" s="71">
        <f t="shared" si="1465"/>
        <v>0</v>
      </c>
      <c r="BQ125" s="71">
        <f t="shared" si="1466"/>
        <v>0</v>
      </c>
      <c r="BR125" s="71">
        <f t="shared" si="1467"/>
        <v>0</v>
      </c>
      <c r="BS125" s="71">
        <f t="shared" si="1468"/>
        <v>0</v>
      </c>
      <c r="BT125" s="71">
        <f t="shared" si="1469"/>
        <v>0</v>
      </c>
      <c r="BU125" s="71">
        <f t="shared" si="1470"/>
        <v>0</v>
      </c>
      <c r="BV125" s="71">
        <f t="shared" si="1471"/>
        <v>0</v>
      </c>
      <c r="BW125" s="71">
        <f t="shared" si="1472"/>
        <v>0</v>
      </c>
      <c r="BX125" s="71">
        <f t="shared" si="1473"/>
        <v>0</v>
      </c>
      <c r="BY125" s="71">
        <f t="shared" si="1474"/>
        <v>0</v>
      </c>
      <c r="BZ125" s="71">
        <f t="shared" si="1475"/>
        <v>0</v>
      </c>
      <c r="CA125" s="71">
        <f t="shared" si="1476"/>
        <v>0</v>
      </c>
      <c r="CB125" s="71">
        <f t="shared" si="1477"/>
        <v>0</v>
      </c>
      <c r="CC125" s="71">
        <f t="shared" si="1478"/>
        <v>0</v>
      </c>
      <c r="CD125" s="71">
        <f t="shared" si="1479"/>
        <v>0</v>
      </c>
      <c r="CE125" s="71">
        <f t="shared" si="1480"/>
        <v>0</v>
      </c>
      <c r="CF125" s="71">
        <f t="shared" si="1481"/>
        <v>0</v>
      </c>
      <c r="CG125" s="71">
        <f t="shared" si="1482"/>
        <v>0</v>
      </c>
      <c r="CH125" s="70">
        <f t="shared" si="870"/>
        <v>247</v>
      </c>
      <c r="CI125" s="69">
        <f t="shared" ca="1" si="871"/>
        <v>19</v>
      </c>
      <c r="GM125" s="2" t="s">
        <v>16</v>
      </c>
      <c r="GN125" s="98" t="str">
        <f t="shared" si="732"/>
        <v>MUX01-FMCG-SPO-01</v>
      </c>
      <c r="GO125" s="4">
        <v>1</v>
      </c>
      <c r="GP125" s="3">
        <v>0</v>
      </c>
      <c r="GQ125" s="3">
        <v>1</v>
      </c>
      <c r="GR125" s="3">
        <v>1</v>
      </c>
      <c r="GS125" s="3">
        <v>1</v>
      </c>
      <c r="GT125" s="3">
        <v>1</v>
      </c>
      <c r="GU125" s="3">
        <v>1</v>
      </c>
      <c r="GV125" s="3">
        <v>1</v>
      </c>
      <c r="GW125" s="3">
        <v>0</v>
      </c>
      <c r="GX125" s="3">
        <v>1</v>
      </c>
      <c r="GY125" s="3">
        <v>1</v>
      </c>
      <c r="GZ125" s="3">
        <v>1</v>
      </c>
      <c r="HA125" s="3">
        <v>1</v>
      </c>
      <c r="HB125" s="3">
        <v>1</v>
      </c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6"/>
      <c r="HT125" s="4">
        <v>0</v>
      </c>
      <c r="HU125" s="3">
        <v>0</v>
      </c>
      <c r="HV125" s="3">
        <v>0</v>
      </c>
      <c r="HW125" s="3">
        <v>1</v>
      </c>
      <c r="HX125" s="3">
        <v>0</v>
      </c>
      <c r="HY125" s="3">
        <v>19</v>
      </c>
      <c r="HZ125" s="3">
        <v>34</v>
      </c>
      <c r="IA125" s="3">
        <v>30</v>
      </c>
      <c r="IB125" s="3">
        <v>0</v>
      </c>
      <c r="IC125" s="3">
        <v>40</v>
      </c>
      <c r="ID125" s="3">
        <v>36</v>
      </c>
      <c r="IE125" s="3">
        <v>49</v>
      </c>
      <c r="IF125" s="3">
        <v>38</v>
      </c>
      <c r="IG125" s="3">
        <v>0</v>
      </c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6"/>
    </row>
    <row r="126" spans="1:258" hidden="1">
      <c r="A126" s="97" t="s">
        <v>1287</v>
      </c>
      <c r="B126" s="98" t="s">
        <v>20</v>
      </c>
      <c r="C126" s="98" t="s">
        <v>299</v>
      </c>
      <c r="D126" s="99" t="s">
        <v>1166</v>
      </c>
      <c r="E126" s="98" t="s">
        <v>1098</v>
      </c>
      <c r="F126" s="98" t="s">
        <v>880</v>
      </c>
      <c r="G126" s="98" t="s">
        <v>879</v>
      </c>
      <c r="H126" s="98" t="s">
        <v>1484</v>
      </c>
      <c r="I126" s="98" t="s">
        <v>1484</v>
      </c>
      <c r="J126" s="98" t="s">
        <v>878</v>
      </c>
      <c r="K126" s="98" t="s">
        <v>1099</v>
      </c>
      <c r="L126" s="98" t="s">
        <v>1099</v>
      </c>
      <c r="M126" s="101" t="s">
        <v>1099</v>
      </c>
      <c r="N126" s="108">
        <v>45474</v>
      </c>
      <c r="O126" s="100">
        <v>0</v>
      </c>
      <c r="P126" s="69">
        <v>0</v>
      </c>
      <c r="Q126" s="69">
        <f t="shared" si="1416"/>
        <v>0</v>
      </c>
      <c r="R126" s="69">
        <f t="shared" si="1417"/>
        <v>0</v>
      </c>
      <c r="S126" s="69">
        <f t="shared" si="1418"/>
        <v>0</v>
      </c>
      <c r="T126" s="69">
        <f t="shared" si="1419"/>
        <v>0</v>
      </c>
      <c r="U126" s="69">
        <f t="shared" si="1420"/>
        <v>0</v>
      </c>
      <c r="V126" s="70">
        <f t="shared" si="1421"/>
        <v>0</v>
      </c>
      <c r="W126" s="71">
        <f t="shared" si="1422"/>
        <v>0</v>
      </c>
      <c r="X126" s="71">
        <f t="shared" si="1423"/>
        <v>0</v>
      </c>
      <c r="Y126" s="71">
        <f t="shared" si="1424"/>
        <v>0</v>
      </c>
      <c r="Z126" s="71">
        <f t="shared" si="1425"/>
        <v>0</v>
      </c>
      <c r="AA126" s="71">
        <f t="shared" si="1426"/>
        <v>0</v>
      </c>
      <c r="AB126" s="71">
        <f t="shared" si="1427"/>
        <v>0</v>
      </c>
      <c r="AC126" s="71">
        <f t="shared" si="1428"/>
        <v>0</v>
      </c>
      <c r="AD126" s="71">
        <f t="shared" si="1429"/>
        <v>0</v>
      </c>
      <c r="AE126" s="71">
        <f t="shared" si="1430"/>
        <v>0</v>
      </c>
      <c r="AF126" s="71">
        <f t="shared" si="1431"/>
        <v>0</v>
      </c>
      <c r="AG126" s="71">
        <f t="shared" si="1432"/>
        <v>0</v>
      </c>
      <c r="AH126" s="71">
        <f t="shared" si="1433"/>
        <v>0</v>
      </c>
      <c r="AI126" s="71">
        <f t="shared" si="1434"/>
        <v>0</v>
      </c>
      <c r="AJ126" s="71">
        <f t="shared" si="1435"/>
        <v>0</v>
      </c>
      <c r="AK126" s="71">
        <f t="shared" si="1436"/>
        <v>0</v>
      </c>
      <c r="AL126" s="71">
        <f t="shared" si="1437"/>
        <v>0</v>
      </c>
      <c r="AM126" s="71">
        <f t="shared" si="1438"/>
        <v>0</v>
      </c>
      <c r="AN126" s="71">
        <f t="shared" si="1439"/>
        <v>0</v>
      </c>
      <c r="AO126" s="71">
        <f t="shared" si="1440"/>
        <v>0</v>
      </c>
      <c r="AP126" s="71">
        <f t="shared" si="1441"/>
        <v>0</v>
      </c>
      <c r="AQ126" s="71">
        <f t="shared" si="1442"/>
        <v>0</v>
      </c>
      <c r="AR126" s="71">
        <f t="shared" si="1443"/>
        <v>0</v>
      </c>
      <c r="AS126" s="71">
        <f t="shared" si="1444"/>
        <v>0</v>
      </c>
      <c r="AT126" s="71">
        <f t="shared" si="1445"/>
        <v>0</v>
      </c>
      <c r="AU126" s="71">
        <f t="shared" si="1446"/>
        <v>0</v>
      </c>
      <c r="AV126" s="71">
        <f t="shared" si="1447"/>
        <v>0</v>
      </c>
      <c r="AW126" s="71">
        <f t="shared" si="1448"/>
        <v>0</v>
      </c>
      <c r="AX126" s="71">
        <f t="shared" si="1449"/>
        <v>0</v>
      </c>
      <c r="AY126" s="71">
        <f t="shared" si="1450"/>
        <v>0</v>
      </c>
      <c r="AZ126" s="72">
        <f t="shared" si="1451"/>
        <v>0</v>
      </c>
      <c r="BA126" s="70">
        <f t="shared" si="733"/>
        <v>0</v>
      </c>
      <c r="BB126" s="69">
        <f t="shared" ca="1" si="869"/>
        <v>0</v>
      </c>
      <c r="BC126" s="70">
        <f t="shared" si="1452"/>
        <v>0</v>
      </c>
      <c r="BD126" s="71">
        <f t="shared" si="1453"/>
        <v>0</v>
      </c>
      <c r="BE126" s="71">
        <f t="shared" si="1454"/>
        <v>0</v>
      </c>
      <c r="BF126" s="71">
        <f t="shared" si="1455"/>
        <v>0</v>
      </c>
      <c r="BG126" s="71">
        <f t="shared" si="1456"/>
        <v>0</v>
      </c>
      <c r="BH126" s="71">
        <f t="shared" si="1457"/>
        <v>0</v>
      </c>
      <c r="BI126" s="71">
        <f t="shared" si="1458"/>
        <v>0</v>
      </c>
      <c r="BJ126" s="71">
        <f t="shared" si="1459"/>
        <v>0</v>
      </c>
      <c r="BK126" s="71">
        <f t="shared" si="1460"/>
        <v>0</v>
      </c>
      <c r="BL126" s="71">
        <f t="shared" si="1461"/>
        <v>0</v>
      </c>
      <c r="BM126" s="71">
        <f t="shared" si="1462"/>
        <v>0</v>
      </c>
      <c r="BN126" s="71">
        <f t="shared" si="1463"/>
        <v>0</v>
      </c>
      <c r="BO126" s="71">
        <f t="shared" si="1464"/>
        <v>0</v>
      </c>
      <c r="BP126" s="71">
        <f t="shared" si="1465"/>
        <v>0</v>
      </c>
      <c r="BQ126" s="71">
        <f t="shared" si="1466"/>
        <v>0</v>
      </c>
      <c r="BR126" s="71">
        <f t="shared" si="1467"/>
        <v>0</v>
      </c>
      <c r="BS126" s="71">
        <f t="shared" si="1468"/>
        <v>0</v>
      </c>
      <c r="BT126" s="71">
        <f t="shared" si="1469"/>
        <v>0</v>
      </c>
      <c r="BU126" s="71">
        <f t="shared" si="1470"/>
        <v>0</v>
      </c>
      <c r="BV126" s="71">
        <f t="shared" si="1471"/>
        <v>0</v>
      </c>
      <c r="BW126" s="71">
        <f t="shared" si="1472"/>
        <v>0</v>
      </c>
      <c r="BX126" s="71">
        <f t="shared" si="1473"/>
        <v>0</v>
      </c>
      <c r="BY126" s="71">
        <f t="shared" si="1474"/>
        <v>0</v>
      </c>
      <c r="BZ126" s="71">
        <f t="shared" si="1475"/>
        <v>0</v>
      </c>
      <c r="CA126" s="71">
        <f t="shared" si="1476"/>
        <v>0</v>
      </c>
      <c r="CB126" s="71">
        <f t="shared" si="1477"/>
        <v>0</v>
      </c>
      <c r="CC126" s="71">
        <f t="shared" si="1478"/>
        <v>0</v>
      </c>
      <c r="CD126" s="71">
        <f t="shared" si="1479"/>
        <v>0</v>
      </c>
      <c r="CE126" s="71">
        <f t="shared" si="1480"/>
        <v>0</v>
      </c>
      <c r="CF126" s="71">
        <f t="shared" si="1481"/>
        <v>0</v>
      </c>
      <c r="CG126" s="71">
        <f t="shared" si="1482"/>
        <v>0</v>
      </c>
      <c r="CH126" s="70">
        <f t="shared" si="870"/>
        <v>0</v>
      </c>
      <c r="CI126" s="69">
        <f t="shared" ca="1" si="871"/>
        <v>0</v>
      </c>
      <c r="GM126" s="2" t="s">
        <v>16</v>
      </c>
      <c r="GN126" s="98" t="str">
        <f t="shared" si="732"/>
        <v>MUX01-FMCG-SPO-00</v>
      </c>
      <c r="GO126" s="4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6"/>
      <c r="HT126" s="4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0</v>
      </c>
      <c r="IC126" s="3">
        <v>0</v>
      </c>
      <c r="ID126" s="3">
        <v>0</v>
      </c>
      <c r="IE126" s="3">
        <v>0</v>
      </c>
      <c r="IF126" s="3">
        <v>0</v>
      </c>
      <c r="IG126" s="3">
        <v>0</v>
      </c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6"/>
    </row>
    <row r="127" spans="1:258" hidden="1">
      <c r="A127" s="97" t="s">
        <v>1380</v>
      </c>
      <c r="B127" s="98" t="s">
        <v>20</v>
      </c>
      <c r="C127" s="98" t="s">
        <v>299</v>
      </c>
      <c r="D127" s="99" t="s">
        <v>1166</v>
      </c>
      <c r="E127" s="98" t="s">
        <v>352</v>
      </c>
      <c r="F127" s="98" t="s">
        <v>353</v>
      </c>
      <c r="G127" s="98" t="s">
        <v>354</v>
      </c>
      <c r="H127" s="98" t="s">
        <v>1168</v>
      </c>
      <c r="I127" s="98" t="s">
        <v>1168</v>
      </c>
      <c r="J127" s="98" t="s">
        <v>878</v>
      </c>
      <c r="K127" s="98" t="s">
        <v>1127</v>
      </c>
      <c r="L127" s="98" t="s">
        <v>355</v>
      </c>
      <c r="M127" s="101" t="s">
        <v>52</v>
      </c>
      <c r="N127" s="108">
        <v>45941</v>
      </c>
      <c r="O127" s="100">
        <v>0</v>
      </c>
      <c r="P127" s="69">
        <v>0</v>
      </c>
      <c r="Q127" s="69">
        <f t="shared" si="1416"/>
        <v>0</v>
      </c>
      <c r="R127" s="69">
        <f t="shared" si="1417"/>
        <v>0</v>
      </c>
      <c r="S127" s="69">
        <f t="shared" si="1418"/>
        <v>0</v>
      </c>
      <c r="T127" s="69">
        <f t="shared" si="1419"/>
        <v>0</v>
      </c>
      <c r="U127" s="69">
        <f t="shared" si="1420"/>
        <v>0</v>
      </c>
      <c r="V127" s="70">
        <f t="shared" si="1421"/>
        <v>0</v>
      </c>
      <c r="W127" s="71">
        <f t="shared" si="1422"/>
        <v>0</v>
      </c>
      <c r="X127" s="71">
        <f t="shared" si="1423"/>
        <v>0</v>
      </c>
      <c r="Y127" s="71">
        <f t="shared" si="1424"/>
        <v>0</v>
      </c>
      <c r="Z127" s="71">
        <f t="shared" si="1425"/>
        <v>0</v>
      </c>
      <c r="AA127" s="71">
        <f t="shared" si="1426"/>
        <v>0</v>
      </c>
      <c r="AB127" s="71">
        <f t="shared" si="1427"/>
        <v>0</v>
      </c>
      <c r="AC127" s="71">
        <f t="shared" si="1428"/>
        <v>0</v>
      </c>
      <c r="AD127" s="71">
        <f t="shared" si="1429"/>
        <v>0</v>
      </c>
      <c r="AE127" s="71">
        <f t="shared" si="1430"/>
        <v>0</v>
      </c>
      <c r="AF127" s="71">
        <f t="shared" si="1431"/>
        <v>0</v>
      </c>
      <c r="AG127" s="71">
        <f t="shared" si="1432"/>
        <v>0</v>
      </c>
      <c r="AH127" s="71">
        <f t="shared" si="1433"/>
        <v>0</v>
      </c>
      <c r="AI127" s="71">
        <f t="shared" si="1434"/>
        <v>0</v>
      </c>
      <c r="AJ127" s="71">
        <f t="shared" si="1435"/>
        <v>0</v>
      </c>
      <c r="AK127" s="71">
        <f t="shared" si="1436"/>
        <v>0</v>
      </c>
      <c r="AL127" s="71">
        <f t="shared" si="1437"/>
        <v>0</v>
      </c>
      <c r="AM127" s="71">
        <f t="shared" si="1438"/>
        <v>0</v>
      </c>
      <c r="AN127" s="71">
        <f t="shared" si="1439"/>
        <v>0</v>
      </c>
      <c r="AO127" s="71">
        <f t="shared" si="1440"/>
        <v>0</v>
      </c>
      <c r="AP127" s="71">
        <f t="shared" si="1441"/>
        <v>0</v>
      </c>
      <c r="AQ127" s="71">
        <f t="shared" si="1442"/>
        <v>0</v>
      </c>
      <c r="AR127" s="71">
        <f t="shared" si="1443"/>
        <v>0</v>
      </c>
      <c r="AS127" s="71">
        <f t="shared" si="1444"/>
        <v>0</v>
      </c>
      <c r="AT127" s="71">
        <f t="shared" si="1445"/>
        <v>0</v>
      </c>
      <c r="AU127" s="71">
        <f t="shared" si="1446"/>
        <v>0</v>
      </c>
      <c r="AV127" s="71">
        <f t="shared" si="1447"/>
        <v>0</v>
      </c>
      <c r="AW127" s="71">
        <f t="shared" si="1448"/>
        <v>0</v>
      </c>
      <c r="AX127" s="71">
        <f t="shared" si="1449"/>
        <v>0</v>
      </c>
      <c r="AY127" s="71">
        <f t="shared" si="1450"/>
        <v>0</v>
      </c>
      <c r="AZ127" s="72">
        <f t="shared" si="1451"/>
        <v>0</v>
      </c>
      <c r="BA127" s="70">
        <f t="shared" si="733"/>
        <v>0</v>
      </c>
      <c r="BB127" s="69">
        <f t="shared" ca="1" si="869"/>
        <v>0</v>
      </c>
      <c r="BC127" s="70">
        <f t="shared" si="1452"/>
        <v>0</v>
      </c>
      <c r="BD127" s="71">
        <f t="shared" si="1453"/>
        <v>0</v>
      </c>
      <c r="BE127" s="71">
        <f t="shared" si="1454"/>
        <v>0</v>
      </c>
      <c r="BF127" s="71">
        <f t="shared" si="1455"/>
        <v>0</v>
      </c>
      <c r="BG127" s="71">
        <f t="shared" si="1456"/>
        <v>0</v>
      </c>
      <c r="BH127" s="71">
        <f t="shared" si="1457"/>
        <v>0</v>
      </c>
      <c r="BI127" s="71">
        <f t="shared" si="1458"/>
        <v>0</v>
      </c>
      <c r="BJ127" s="71">
        <f t="shared" si="1459"/>
        <v>0</v>
      </c>
      <c r="BK127" s="71">
        <f t="shared" si="1460"/>
        <v>0</v>
      </c>
      <c r="BL127" s="71">
        <f t="shared" si="1461"/>
        <v>0</v>
      </c>
      <c r="BM127" s="71">
        <f t="shared" si="1462"/>
        <v>0</v>
      </c>
      <c r="BN127" s="71">
        <f t="shared" si="1463"/>
        <v>0</v>
      </c>
      <c r="BO127" s="71">
        <f t="shared" si="1464"/>
        <v>0</v>
      </c>
      <c r="BP127" s="71">
        <f t="shared" si="1465"/>
        <v>0</v>
      </c>
      <c r="BQ127" s="71">
        <f t="shared" si="1466"/>
        <v>0</v>
      </c>
      <c r="BR127" s="71">
        <f t="shared" si="1467"/>
        <v>0</v>
      </c>
      <c r="BS127" s="71">
        <f t="shared" si="1468"/>
        <v>0</v>
      </c>
      <c r="BT127" s="71">
        <f t="shared" si="1469"/>
        <v>0</v>
      </c>
      <c r="BU127" s="71">
        <f t="shared" si="1470"/>
        <v>0</v>
      </c>
      <c r="BV127" s="71">
        <f t="shared" si="1471"/>
        <v>0</v>
      </c>
      <c r="BW127" s="71">
        <f t="shared" si="1472"/>
        <v>0</v>
      </c>
      <c r="BX127" s="71">
        <f t="shared" si="1473"/>
        <v>0</v>
      </c>
      <c r="BY127" s="71">
        <f t="shared" si="1474"/>
        <v>0</v>
      </c>
      <c r="BZ127" s="71">
        <f t="shared" si="1475"/>
        <v>0</v>
      </c>
      <c r="CA127" s="71">
        <f t="shared" si="1476"/>
        <v>0</v>
      </c>
      <c r="CB127" s="71">
        <f t="shared" si="1477"/>
        <v>0</v>
      </c>
      <c r="CC127" s="71">
        <f t="shared" si="1478"/>
        <v>0</v>
      </c>
      <c r="CD127" s="71">
        <f t="shared" si="1479"/>
        <v>0</v>
      </c>
      <c r="CE127" s="71">
        <f t="shared" si="1480"/>
        <v>0</v>
      </c>
      <c r="CF127" s="71">
        <f t="shared" si="1481"/>
        <v>0</v>
      </c>
      <c r="CG127" s="71">
        <f t="shared" si="1482"/>
        <v>0</v>
      </c>
      <c r="CH127" s="70">
        <f t="shared" si="870"/>
        <v>0</v>
      </c>
      <c r="CI127" s="69">
        <f t="shared" ca="1" si="871"/>
        <v>0</v>
      </c>
      <c r="GM127" s="2" t="s">
        <v>16</v>
      </c>
      <c r="GN127" s="98" t="str">
        <f t="shared" si="732"/>
        <v>MUX01-FMCG-ASM-01</v>
      </c>
      <c r="GO127" s="4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6"/>
      <c r="HT127" s="4">
        <v>0</v>
      </c>
      <c r="HU127" s="3">
        <v>0</v>
      </c>
      <c r="HV127" s="3">
        <v>0</v>
      </c>
      <c r="HW127" s="3">
        <v>0</v>
      </c>
      <c r="HX127" s="3">
        <v>0</v>
      </c>
      <c r="HY127" s="3">
        <v>0</v>
      </c>
      <c r="HZ127" s="3">
        <v>0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6"/>
    </row>
    <row r="128" spans="1:258" hidden="1">
      <c r="A128" s="102" t="s">
        <v>53</v>
      </c>
      <c r="B128" s="103" t="s">
        <v>20</v>
      </c>
      <c r="C128" s="103" t="s">
        <v>299</v>
      </c>
      <c r="D128" s="104" t="s">
        <v>1166</v>
      </c>
      <c r="E128" s="103" t="s">
        <v>352</v>
      </c>
      <c r="F128" s="103" t="s">
        <v>353</v>
      </c>
      <c r="G128" s="103" t="s">
        <v>354</v>
      </c>
      <c r="H128" s="103" t="s">
        <v>1168</v>
      </c>
      <c r="I128" s="103" t="s">
        <v>1168</v>
      </c>
      <c r="J128" s="103" t="s">
        <v>878</v>
      </c>
      <c r="K128" s="103" t="s">
        <v>1127</v>
      </c>
      <c r="L128" s="103" t="s">
        <v>355</v>
      </c>
      <c r="M128" s="103" t="s">
        <v>52</v>
      </c>
      <c r="N128" s="119">
        <v>45941</v>
      </c>
      <c r="O128" s="105">
        <f t="shared" ref="O128:BZ128" si="1483">O126+O125+O124+O123+O122+O121</f>
        <v>5</v>
      </c>
      <c r="P128" s="73">
        <f t="shared" si="1483"/>
        <v>0</v>
      </c>
      <c r="Q128" s="73">
        <f t="shared" si="1483"/>
        <v>4</v>
      </c>
      <c r="R128" s="73">
        <f t="shared" si="1483"/>
        <v>5</v>
      </c>
      <c r="S128" s="73">
        <f t="shared" si="1483"/>
        <v>0</v>
      </c>
      <c r="T128" s="73">
        <f t="shared" si="1483"/>
        <v>5</v>
      </c>
      <c r="U128" s="73">
        <f t="shared" si="1483"/>
        <v>5</v>
      </c>
      <c r="V128" s="74">
        <f t="shared" si="1483"/>
        <v>5</v>
      </c>
      <c r="W128" s="75">
        <f t="shared" si="1483"/>
        <v>2</v>
      </c>
      <c r="X128" s="75">
        <f t="shared" si="1483"/>
        <v>5</v>
      </c>
      <c r="Y128" s="75">
        <f t="shared" si="1483"/>
        <v>3</v>
      </c>
      <c r="Z128" s="75">
        <f t="shared" si="1483"/>
        <v>5</v>
      </c>
      <c r="AA128" s="75">
        <f t="shared" si="1483"/>
        <v>5</v>
      </c>
      <c r="AB128" s="75">
        <f t="shared" si="1483"/>
        <v>5</v>
      </c>
      <c r="AC128" s="75">
        <f t="shared" si="1483"/>
        <v>5</v>
      </c>
      <c r="AD128" s="75">
        <f t="shared" si="1483"/>
        <v>2</v>
      </c>
      <c r="AE128" s="75">
        <f t="shared" si="1483"/>
        <v>5</v>
      </c>
      <c r="AF128" s="75">
        <f t="shared" si="1483"/>
        <v>2</v>
      </c>
      <c r="AG128" s="75">
        <f t="shared" si="1483"/>
        <v>5</v>
      </c>
      <c r="AH128" s="75">
        <f t="shared" si="1483"/>
        <v>5</v>
      </c>
      <c r="AI128" s="75">
        <f t="shared" si="1483"/>
        <v>4</v>
      </c>
      <c r="AJ128" s="75">
        <f t="shared" si="1483"/>
        <v>0</v>
      </c>
      <c r="AK128" s="75">
        <f t="shared" si="1483"/>
        <v>0</v>
      </c>
      <c r="AL128" s="75">
        <f t="shared" si="1483"/>
        <v>0</v>
      </c>
      <c r="AM128" s="75">
        <f t="shared" si="1483"/>
        <v>0</v>
      </c>
      <c r="AN128" s="75">
        <f t="shared" si="1483"/>
        <v>0</v>
      </c>
      <c r="AO128" s="75">
        <f t="shared" si="1483"/>
        <v>0</v>
      </c>
      <c r="AP128" s="75">
        <f t="shared" si="1483"/>
        <v>0</v>
      </c>
      <c r="AQ128" s="75">
        <f t="shared" si="1483"/>
        <v>0</v>
      </c>
      <c r="AR128" s="75">
        <f t="shared" si="1483"/>
        <v>0</v>
      </c>
      <c r="AS128" s="75">
        <f t="shared" si="1483"/>
        <v>0</v>
      </c>
      <c r="AT128" s="75">
        <f t="shared" si="1483"/>
        <v>0</v>
      </c>
      <c r="AU128" s="75">
        <f t="shared" si="1483"/>
        <v>0</v>
      </c>
      <c r="AV128" s="75">
        <f t="shared" si="1483"/>
        <v>0</v>
      </c>
      <c r="AW128" s="75">
        <f t="shared" si="1483"/>
        <v>0</v>
      </c>
      <c r="AX128" s="75">
        <f t="shared" si="1483"/>
        <v>0</v>
      </c>
      <c r="AY128" s="75">
        <f t="shared" si="1483"/>
        <v>0</v>
      </c>
      <c r="AZ128" s="76">
        <f t="shared" si="1483"/>
        <v>0</v>
      </c>
      <c r="BA128" s="74">
        <f t="shared" si="733"/>
        <v>58</v>
      </c>
      <c r="BB128" s="73">
        <f t="shared" ca="1" si="869"/>
        <v>0.89230769230769236</v>
      </c>
      <c r="BC128" s="74">
        <f t="shared" si="1483"/>
        <v>127</v>
      </c>
      <c r="BD128" s="75">
        <f t="shared" si="1483"/>
        <v>52</v>
      </c>
      <c r="BE128" s="75">
        <f t="shared" si="1483"/>
        <v>141</v>
      </c>
      <c r="BF128" s="75">
        <f t="shared" si="1483"/>
        <v>52</v>
      </c>
      <c r="BG128" s="75">
        <f t="shared" si="1483"/>
        <v>115</v>
      </c>
      <c r="BH128" s="75">
        <f t="shared" si="1483"/>
        <v>151</v>
      </c>
      <c r="BI128" s="75">
        <f t="shared" si="1483"/>
        <v>186</v>
      </c>
      <c r="BJ128" s="75">
        <f t="shared" si="1483"/>
        <v>188</v>
      </c>
      <c r="BK128" s="75">
        <f t="shared" si="1483"/>
        <v>58</v>
      </c>
      <c r="BL128" s="75">
        <f t="shared" si="1483"/>
        <v>148</v>
      </c>
      <c r="BM128" s="75">
        <f t="shared" si="1483"/>
        <v>100</v>
      </c>
      <c r="BN128" s="75">
        <f t="shared" si="1483"/>
        <v>277</v>
      </c>
      <c r="BO128" s="75">
        <f t="shared" si="1483"/>
        <v>211</v>
      </c>
      <c r="BP128" s="75">
        <f t="shared" si="1483"/>
        <v>0</v>
      </c>
      <c r="BQ128" s="75">
        <f t="shared" si="1483"/>
        <v>0</v>
      </c>
      <c r="BR128" s="75">
        <f t="shared" si="1483"/>
        <v>0</v>
      </c>
      <c r="BS128" s="75">
        <f t="shared" si="1483"/>
        <v>0</v>
      </c>
      <c r="BT128" s="75">
        <f t="shared" si="1483"/>
        <v>0</v>
      </c>
      <c r="BU128" s="75">
        <f t="shared" si="1483"/>
        <v>0</v>
      </c>
      <c r="BV128" s="75">
        <f t="shared" si="1483"/>
        <v>0</v>
      </c>
      <c r="BW128" s="75">
        <f t="shared" si="1483"/>
        <v>0</v>
      </c>
      <c r="BX128" s="75">
        <f t="shared" si="1483"/>
        <v>0</v>
      </c>
      <c r="BY128" s="75">
        <f t="shared" si="1483"/>
        <v>0</v>
      </c>
      <c r="BZ128" s="75">
        <f t="shared" si="1483"/>
        <v>0</v>
      </c>
      <c r="CA128" s="75">
        <f t="shared" ref="CA128:CG128" si="1484">CA126+CA125+CA124+CA123+CA122+CA121</f>
        <v>0</v>
      </c>
      <c r="CB128" s="75">
        <f t="shared" si="1484"/>
        <v>0</v>
      </c>
      <c r="CC128" s="75">
        <f t="shared" si="1484"/>
        <v>0</v>
      </c>
      <c r="CD128" s="75">
        <f t="shared" si="1484"/>
        <v>0</v>
      </c>
      <c r="CE128" s="75">
        <f t="shared" si="1484"/>
        <v>0</v>
      </c>
      <c r="CF128" s="75">
        <f t="shared" si="1484"/>
        <v>0</v>
      </c>
      <c r="CG128" s="75">
        <f t="shared" si="1484"/>
        <v>0</v>
      </c>
      <c r="CH128" s="74">
        <f t="shared" si="870"/>
        <v>1806</v>
      </c>
      <c r="CI128" s="73">
        <f t="shared" ca="1" si="871"/>
        <v>27.784615384615385</v>
      </c>
      <c r="GM128" s="2" t="s">
        <v>17</v>
      </c>
      <c r="GN128" s="103" t="str">
        <f t="shared" si="732"/>
        <v>MUX01-FMCG-ASM-01</v>
      </c>
      <c r="GO128" s="4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6"/>
      <c r="HT128" s="4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6"/>
    </row>
    <row r="129" spans="1:258" hidden="1">
      <c r="A129" s="97" t="s">
        <v>25</v>
      </c>
      <c r="B129" s="98" t="s">
        <v>26</v>
      </c>
      <c r="C129" s="98" t="s">
        <v>299</v>
      </c>
      <c r="D129" s="99" t="s">
        <v>1169</v>
      </c>
      <c r="E129" s="98" t="s">
        <v>356</v>
      </c>
      <c r="F129" s="98" t="s">
        <v>357</v>
      </c>
      <c r="G129" s="98" t="s">
        <v>358</v>
      </c>
      <c r="H129" s="98" t="s">
        <v>1485</v>
      </c>
      <c r="I129" s="98" t="s">
        <v>1485</v>
      </c>
      <c r="J129" s="98" t="s">
        <v>878</v>
      </c>
      <c r="K129" s="98" t="s">
        <v>1127</v>
      </c>
      <c r="L129" s="98" t="s">
        <v>359</v>
      </c>
      <c r="M129" s="101" t="s">
        <v>1093</v>
      </c>
      <c r="N129" s="139">
        <v>45973</v>
      </c>
      <c r="O129" s="100">
        <v>1</v>
      </c>
      <c r="P129" s="69">
        <v>0</v>
      </c>
      <c r="Q129" s="69">
        <f t="shared" ref="Q129:Q135" si="1485">IFERROR(IF(OR(AI129&gt;0),1,0),0)</f>
        <v>1</v>
      </c>
      <c r="R129" s="69">
        <f t="shared" ref="R129:R135" si="1486">IFERROR(IF(OR(BA129&gt;0),1,0),0)</f>
        <v>1</v>
      </c>
      <c r="S129" s="69">
        <f t="shared" ref="S129:S135" si="1487">IFERROR(IF(OR(BP129&gt;0),1,0),0)</f>
        <v>0</v>
      </c>
      <c r="T129" s="69">
        <f t="shared" ref="T129:T135" si="1488">IFERROR(IF(OR(CH129&gt;0),1,0),0)</f>
        <v>1</v>
      </c>
      <c r="U129" s="69">
        <f t="shared" ref="U129:U135" si="1489">IFERROR(IF(OR(BA129&gt;0,CH129&gt;0),1,0),0)</f>
        <v>1</v>
      </c>
      <c r="V129" s="70">
        <f t="shared" ref="V129:V135" si="1490">GO129</f>
        <v>1</v>
      </c>
      <c r="W129" s="71">
        <f t="shared" ref="W129:W135" si="1491">GP129</f>
        <v>1</v>
      </c>
      <c r="X129" s="71">
        <f t="shared" ref="X129:X135" si="1492">GQ129</f>
        <v>1</v>
      </c>
      <c r="Y129" s="71">
        <f t="shared" ref="Y129:Y135" si="1493">GR129</f>
        <v>0</v>
      </c>
      <c r="Z129" s="71">
        <f t="shared" ref="Z129:Z135" si="1494">GS129</f>
        <v>1</v>
      </c>
      <c r="AA129" s="71">
        <f t="shared" ref="AA129:AA135" si="1495">GT129</f>
        <v>1</v>
      </c>
      <c r="AB129" s="71">
        <f t="shared" ref="AB129:AB135" si="1496">GU129</f>
        <v>1</v>
      </c>
      <c r="AC129" s="71">
        <f t="shared" ref="AC129:AC135" si="1497">GV129</f>
        <v>1</v>
      </c>
      <c r="AD129" s="71">
        <f t="shared" ref="AD129:AD135" si="1498">GW129</f>
        <v>1</v>
      </c>
      <c r="AE129" s="71">
        <f t="shared" ref="AE129:AE135" si="1499">GX129</f>
        <v>1</v>
      </c>
      <c r="AF129" s="71">
        <f t="shared" ref="AF129:AF135" si="1500">GY129</f>
        <v>0</v>
      </c>
      <c r="AG129" s="71">
        <f t="shared" ref="AG129:AG135" si="1501">GZ129</f>
        <v>1</v>
      </c>
      <c r="AH129" s="71">
        <f t="shared" ref="AH129:AH135" si="1502">HA129</f>
        <v>1</v>
      </c>
      <c r="AI129" s="71">
        <f t="shared" ref="AI129:AI135" si="1503">HB129</f>
        <v>1</v>
      </c>
      <c r="AJ129" s="71">
        <f t="shared" ref="AJ129:AJ135" si="1504">HC129</f>
        <v>0</v>
      </c>
      <c r="AK129" s="71">
        <f t="shared" ref="AK129:AK135" si="1505">HD129</f>
        <v>0</v>
      </c>
      <c r="AL129" s="71">
        <f t="shared" ref="AL129:AL135" si="1506">HE129</f>
        <v>0</v>
      </c>
      <c r="AM129" s="71">
        <f t="shared" ref="AM129:AM135" si="1507">HF129</f>
        <v>0</v>
      </c>
      <c r="AN129" s="71">
        <f t="shared" ref="AN129:AN135" si="1508">HG129</f>
        <v>0</v>
      </c>
      <c r="AO129" s="71">
        <f t="shared" ref="AO129:AO135" si="1509">HH129</f>
        <v>0</v>
      </c>
      <c r="AP129" s="71">
        <f t="shared" ref="AP129:AP135" si="1510">HI129</f>
        <v>0</v>
      </c>
      <c r="AQ129" s="71">
        <f t="shared" ref="AQ129:AQ135" si="1511">HJ129</f>
        <v>0</v>
      </c>
      <c r="AR129" s="71">
        <f t="shared" ref="AR129:AR135" si="1512">HK129</f>
        <v>0</v>
      </c>
      <c r="AS129" s="71">
        <f t="shared" ref="AS129:AS135" si="1513">HL129</f>
        <v>0</v>
      </c>
      <c r="AT129" s="71">
        <f t="shared" ref="AT129:AT135" si="1514">HM129</f>
        <v>0</v>
      </c>
      <c r="AU129" s="71">
        <f t="shared" ref="AU129:AU135" si="1515">HN129</f>
        <v>0</v>
      </c>
      <c r="AV129" s="71">
        <f t="shared" ref="AV129:AV135" si="1516">HO129</f>
        <v>0</v>
      </c>
      <c r="AW129" s="71">
        <f t="shared" ref="AW129:AW135" si="1517">HP129</f>
        <v>0</v>
      </c>
      <c r="AX129" s="71">
        <f t="shared" ref="AX129:AX135" si="1518">HQ129</f>
        <v>0</v>
      </c>
      <c r="AY129" s="71">
        <f t="shared" ref="AY129:AY135" si="1519">HR129</f>
        <v>0</v>
      </c>
      <c r="AZ129" s="72">
        <f t="shared" ref="AZ129:AZ135" si="1520">HS129</f>
        <v>0</v>
      </c>
      <c r="BA129" s="70">
        <f t="shared" si="733"/>
        <v>12</v>
      </c>
      <c r="BB129" s="69">
        <f t="shared" ca="1" si="869"/>
        <v>0.92307692307692313</v>
      </c>
      <c r="BC129" s="70">
        <f t="shared" ref="BC129:BC135" si="1521">HT129</f>
        <v>18</v>
      </c>
      <c r="BD129" s="71">
        <f t="shared" ref="BD129:BD135" si="1522">HU129</f>
        <v>25</v>
      </c>
      <c r="BE129" s="71">
        <f t="shared" ref="BE129:BE135" si="1523">HV129</f>
        <v>31</v>
      </c>
      <c r="BF129" s="71">
        <f t="shared" ref="BF129:BF135" si="1524">HW129</f>
        <v>0</v>
      </c>
      <c r="BG129" s="71">
        <f t="shared" ref="BG129:BG135" si="1525">HX129</f>
        <v>36</v>
      </c>
      <c r="BH129" s="71">
        <f t="shared" ref="BH129:BH135" si="1526">HY129</f>
        <v>33</v>
      </c>
      <c r="BI129" s="71">
        <f t="shared" ref="BI129:BI135" si="1527">HZ129</f>
        <v>24</v>
      </c>
      <c r="BJ129" s="71">
        <f t="shared" ref="BJ129:BJ135" si="1528">IA129</f>
        <v>38</v>
      </c>
      <c r="BK129" s="71">
        <f t="shared" ref="BK129:BK135" si="1529">IB129</f>
        <v>47</v>
      </c>
      <c r="BL129" s="71">
        <f t="shared" ref="BL129:BL135" si="1530">IC129</f>
        <v>46</v>
      </c>
      <c r="BM129" s="71">
        <f t="shared" ref="BM129:BM135" si="1531">ID129</f>
        <v>0</v>
      </c>
      <c r="BN129" s="71">
        <f t="shared" ref="BN129:BN135" si="1532">IE129</f>
        <v>50</v>
      </c>
      <c r="BO129" s="71">
        <f t="shared" ref="BO129:BO135" si="1533">IF129</f>
        <v>19</v>
      </c>
      <c r="BP129" s="71">
        <f t="shared" ref="BP129:BP135" si="1534">IG129</f>
        <v>0</v>
      </c>
      <c r="BQ129" s="71">
        <f t="shared" ref="BQ129:BQ135" si="1535">IH129</f>
        <v>0</v>
      </c>
      <c r="BR129" s="71">
        <f t="shared" ref="BR129:BR135" si="1536">II129</f>
        <v>0</v>
      </c>
      <c r="BS129" s="71">
        <f t="shared" ref="BS129:BS135" si="1537">IJ129</f>
        <v>0</v>
      </c>
      <c r="BT129" s="71">
        <f t="shared" ref="BT129:BT135" si="1538">IK129</f>
        <v>0</v>
      </c>
      <c r="BU129" s="71">
        <f t="shared" ref="BU129:BU135" si="1539">IL129</f>
        <v>0</v>
      </c>
      <c r="BV129" s="71">
        <f t="shared" ref="BV129:BV135" si="1540">IM129</f>
        <v>0</v>
      </c>
      <c r="BW129" s="71">
        <f t="shared" ref="BW129:BW135" si="1541">IN129</f>
        <v>0</v>
      </c>
      <c r="BX129" s="71">
        <f t="shared" ref="BX129:BX135" si="1542">IO129</f>
        <v>0</v>
      </c>
      <c r="BY129" s="71">
        <f t="shared" ref="BY129:BY135" si="1543">IP129</f>
        <v>0</v>
      </c>
      <c r="BZ129" s="71">
        <f t="shared" ref="BZ129:BZ135" si="1544">IQ129</f>
        <v>0</v>
      </c>
      <c r="CA129" s="71">
        <f t="shared" ref="CA129:CA135" si="1545">IR129</f>
        <v>0</v>
      </c>
      <c r="CB129" s="71">
        <f t="shared" ref="CB129:CB135" si="1546">IS129</f>
        <v>0</v>
      </c>
      <c r="CC129" s="71">
        <f t="shared" ref="CC129:CC135" si="1547">IT129</f>
        <v>0</v>
      </c>
      <c r="CD129" s="71">
        <f t="shared" ref="CD129:CD135" si="1548">IU129</f>
        <v>0</v>
      </c>
      <c r="CE129" s="71">
        <f t="shared" ref="CE129:CE135" si="1549">IV129</f>
        <v>0</v>
      </c>
      <c r="CF129" s="71">
        <f t="shared" ref="CF129:CF135" si="1550">IW129</f>
        <v>0</v>
      </c>
      <c r="CG129" s="71">
        <f t="shared" ref="CG129:CG135" si="1551">IX129</f>
        <v>0</v>
      </c>
      <c r="CH129" s="70">
        <f t="shared" si="870"/>
        <v>367</v>
      </c>
      <c r="CI129" s="69">
        <f t="shared" ca="1" si="871"/>
        <v>28.23076923076923</v>
      </c>
      <c r="GM129" s="2" t="s">
        <v>16</v>
      </c>
      <c r="GN129" s="98" t="str">
        <f t="shared" si="732"/>
        <v>MUX02-FMCG01-SPO-01</v>
      </c>
      <c r="GO129" s="4">
        <v>1</v>
      </c>
      <c r="GP129" s="3">
        <v>1</v>
      </c>
      <c r="GQ129" s="3">
        <v>1</v>
      </c>
      <c r="GR129" s="3">
        <v>0</v>
      </c>
      <c r="GS129" s="3">
        <v>1</v>
      </c>
      <c r="GT129" s="3">
        <v>1</v>
      </c>
      <c r="GU129" s="3">
        <v>1</v>
      </c>
      <c r="GV129" s="3">
        <v>1</v>
      </c>
      <c r="GW129" s="3">
        <v>1</v>
      </c>
      <c r="GX129" s="3">
        <v>1</v>
      </c>
      <c r="GY129" s="3">
        <v>0</v>
      </c>
      <c r="GZ129" s="3">
        <v>1</v>
      </c>
      <c r="HA129" s="3">
        <v>1</v>
      </c>
      <c r="HB129" s="3">
        <v>1</v>
      </c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6"/>
      <c r="HT129" s="4">
        <v>18</v>
      </c>
      <c r="HU129" s="3">
        <v>25</v>
      </c>
      <c r="HV129" s="3">
        <v>31</v>
      </c>
      <c r="HW129" s="3">
        <v>0</v>
      </c>
      <c r="HX129" s="3">
        <v>36</v>
      </c>
      <c r="HY129" s="3">
        <v>33</v>
      </c>
      <c r="HZ129" s="3">
        <v>24</v>
      </c>
      <c r="IA129" s="3">
        <v>38</v>
      </c>
      <c r="IB129" s="3">
        <v>47</v>
      </c>
      <c r="IC129" s="3">
        <v>46</v>
      </c>
      <c r="ID129" s="3">
        <v>0</v>
      </c>
      <c r="IE129" s="3">
        <v>50</v>
      </c>
      <c r="IF129" s="3">
        <v>19</v>
      </c>
      <c r="IG129" s="3">
        <v>0</v>
      </c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6"/>
    </row>
    <row r="130" spans="1:258" hidden="1">
      <c r="A130" s="106" t="s">
        <v>25</v>
      </c>
      <c r="B130" s="101" t="s">
        <v>26</v>
      </c>
      <c r="C130" s="98" t="s">
        <v>299</v>
      </c>
      <c r="D130" s="107" t="s">
        <v>1169</v>
      </c>
      <c r="E130" s="101" t="s">
        <v>360</v>
      </c>
      <c r="F130" s="101" t="s">
        <v>361</v>
      </c>
      <c r="G130" s="98" t="s">
        <v>378</v>
      </c>
      <c r="H130" s="101" t="s">
        <v>1486</v>
      </c>
      <c r="I130" s="101" t="s">
        <v>1486</v>
      </c>
      <c r="J130" s="101" t="s">
        <v>1170</v>
      </c>
      <c r="K130" s="101" t="s">
        <v>1127</v>
      </c>
      <c r="L130" s="101" t="s">
        <v>379</v>
      </c>
      <c r="M130" s="101" t="s">
        <v>1093</v>
      </c>
      <c r="N130" s="139">
        <v>44602</v>
      </c>
      <c r="O130" s="100">
        <v>1</v>
      </c>
      <c r="P130" s="69">
        <v>0</v>
      </c>
      <c r="Q130" s="69">
        <f t="shared" si="1485"/>
        <v>0</v>
      </c>
      <c r="R130" s="69">
        <f t="shared" si="1486"/>
        <v>1</v>
      </c>
      <c r="S130" s="69">
        <f t="shared" si="1487"/>
        <v>0</v>
      </c>
      <c r="T130" s="69">
        <f t="shared" si="1488"/>
        <v>1</v>
      </c>
      <c r="U130" s="69">
        <f t="shared" si="1489"/>
        <v>1</v>
      </c>
      <c r="V130" s="70">
        <f t="shared" si="1490"/>
        <v>1</v>
      </c>
      <c r="W130" s="71">
        <f t="shared" si="1491"/>
        <v>0</v>
      </c>
      <c r="X130" s="71">
        <f t="shared" si="1492"/>
        <v>1</v>
      </c>
      <c r="Y130" s="71">
        <f t="shared" si="1493"/>
        <v>1</v>
      </c>
      <c r="Z130" s="71">
        <f t="shared" si="1494"/>
        <v>1</v>
      </c>
      <c r="AA130" s="71">
        <f t="shared" si="1495"/>
        <v>1</v>
      </c>
      <c r="AB130" s="71">
        <f t="shared" si="1496"/>
        <v>1</v>
      </c>
      <c r="AC130" s="71">
        <f t="shared" si="1497"/>
        <v>1</v>
      </c>
      <c r="AD130" s="71">
        <f t="shared" si="1498"/>
        <v>0</v>
      </c>
      <c r="AE130" s="71">
        <f t="shared" si="1499"/>
        <v>1</v>
      </c>
      <c r="AF130" s="71">
        <f t="shared" si="1500"/>
        <v>0</v>
      </c>
      <c r="AG130" s="71">
        <f t="shared" si="1501"/>
        <v>1</v>
      </c>
      <c r="AH130" s="71">
        <f t="shared" si="1502"/>
        <v>1</v>
      </c>
      <c r="AI130" s="71">
        <f t="shared" si="1503"/>
        <v>0</v>
      </c>
      <c r="AJ130" s="71">
        <f t="shared" si="1504"/>
        <v>0</v>
      </c>
      <c r="AK130" s="71">
        <f t="shared" si="1505"/>
        <v>0</v>
      </c>
      <c r="AL130" s="71">
        <f t="shared" si="1506"/>
        <v>0</v>
      </c>
      <c r="AM130" s="71">
        <f t="shared" si="1507"/>
        <v>0</v>
      </c>
      <c r="AN130" s="71">
        <f t="shared" si="1508"/>
        <v>0</v>
      </c>
      <c r="AO130" s="71">
        <f t="shared" si="1509"/>
        <v>0</v>
      </c>
      <c r="AP130" s="71">
        <f t="shared" si="1510"/>
        <v>0</v>
      </c>
      <c r="AQ130" s="71">
        <f t="shared" si="1511"/>
        <v>0</v>
      </c>
      <c r="AR130" s="71">
        <f t="shared" si="1512"/>
        <v>0</v>
      </c>
      <c r="AS130" s="71">
        <f t="shared" si="1513"/>
        <v>0</v>
      </c>
      <c r="AT130" s="71">
        <f t="shared" si="1514"/>
        <v>0</v>
      </c>
      <c r="AU130" s="71">
        <f t="shared" si="1515"/>
        <v>0</v>
      </c>
      <c r="AV130" s="71">
        <f t="shared" si="1516"/>
        <v>0</v>
      </c>
      <c r="AW130" s="71">
        <f t="shared" si="1517"/>
        <v>0</v>
      </c>
      <c r="AX130" s="71">
        <f t="shared" si="1518"/>
        <v>0</v>
      </c>
      <c r="AY130" s="71">
        <f t="shared" si="1519"/>
        <v>0</v>
      </c>
      <c r="AZ130" s="72">
        <f t="shared" si="1520"/>
        <v>0</v>
      </c>
      <c r="BA130" s="70">
        <f t="shared" si="733"/>
        <v>10</v>
      </c>
      <c r="BB130" s="69">
        <f t="shared" ca="1" si="869"/>
        <v>0.76923076923076927</v>
      </c>
      <c r="BC130" s="70">
        <f t="shared" si="1521"/>
        <v>30</v>
      </c>
      <c r="BD130" s="71">
        <f t="shared" si="1522"/>
        <v>0</v>
      </c>
      <c r="BE130" s="71">
        <f t="shared" si="1523"/>
        <v>26</v>
      </c>
      <c r="BF130" s="71">
        <f t="shared" si="1524"/>
        <v>40</v>
      </c>
      <c r="BG130" s="71">
        <f t="shared" si="1525"/>
        <v>28</v>
      </c>
      <c r="BH130" s="71">
        <f t="shared" si="1526"/>
        <v>36</v>
      </c>
      <c r="BI130" s="71">
        <f t="shared" si="1527"/>
        <v>31</v>
      </c>
      <c r="BJ130" s="71">
        <f t="shared" si="1528"/>
        <v>0</v>
      </c>
      <c r="BK130" s="71">
        <f t="shared" si="1529"/>
        <v>0</v>
      </c>
      <c r="BL130" s="71">
        <f t="shared" si="1530"/>
        <v>98</v>
      </c>
      <c r="BM130" s="71">
        <f t="shared" si="1531"/>
        <v>59</v>
      </c>
      <c r="BN130" s="71">
        <f t="shared" si="1532"/>
        <v>48</v>
      </c>
      <c r="BO130" s="71">
        <f t="shared" si="1533"/>
        <v>41</v>
      </c>
      <c r="BP130" s="71">
        <f t="shared" si="1534"/>
        <v>0</v>
      </c>
      <c r="BQ130" s="71">
        <f t="shared" si="1535"/>
        <v>0</v>
      </c>
      <c r="BR130" s="71">
        <f t="shared" si="1536"/>
        <v>0</v>
      </c>
      <c r="BS130" s="71">
        <f t="shared" si="1537"/>
        <v>0</v>
      </c>
      <c r="BT130" s="71">
        <f t="shared" si="1538"/>
        <v>0</v>
      </c>
      <c r="BU130" s="71">
        <f t="shared" si="1539"/>
        <v>0</v>
      </c>
      <c r="BV130" s="71">
        <f t="shared" si="1540"/>
        <v>0</v>
      </c>
      <c r="BW130" s="71">
        <f t="shared" si="1541"/>
        <v>0</v>
      </c>
      <c r="BX130" s="71">
        <f t="shared" si="1542"/>
        <v>0</v>
      </c>
      <c r="BY130" s="71">
        <f t="shared" si="1543"/>
        <v>0</v>
      </c>
      <c r="BZ130" s="71">
        <f t="shared" si="1544"/>
        <v>0</v>
      </c>
      <c r="CA130" s="71">
        <f t="shared" si="1545"/>
        <v>0</v>
      </c>
      <c r="CB130" s="71">
        <f t="shared" si="1546"/>
        <v>0</v>
      </c>
      <c r="CC130" s="71">
        <f t="shared" si="1547"/>
        <v>0</v>
      </c>
      <c r="CD130" s="71">
        <f t="shared" si="1548"/>
        <v>0</v>
      </c>
      <c r="CE130" s="71">
        <f t="shared" si="1549"/>
        <v>0</v>
      </c>
      <c r="CF130" s="71">
        <f t="shared" si="1550"/>
        <v>0</v>
      </c>
      <c r="CG130" s="71">
        <f t="shared" si="1551"/>
        <v>0</v>
      </c>
      <c r="CH130" s="70">
        <f t="shared" si="870"/>
        <v>437</v>
      </c>
      <c r="CI130" s="69">
        <f t="shared" ca="1" si="871"/>
        <v>33.615384615384613</v>
      </c>
      <c r="GM130" s="2" t="s">
        <v>16</v>
      </c>
      <c r="GN130" s="101" t="str">
        <f t="shared" si="732"/>
        <v>MUX02-FMCG01-SPO-02</v>
      </c>
      <c r="GO130" s="4">
        <v>1</v>
      </c>
      <c r="GP130" s="3">
        <v>0</v>
      </c>
      <c r="GQ130" s="3">
        <v>1</v>
      </c>
      <c r="GR130" s="3">
        <v>1</v>
      </c>
      <c r="GS130" s="3">
        <v>1</v>
      </c>
      <c r="GT130" s="3">
        <v>1</v>
      </c>
      <c r="GU130" s="3">
        <v>1</v>
      </c>
      <c r="GV130" s="3">
        <v>1</v>
      </c>
      <c r="GW130" s="3">
        <v>0</v>
      </c>
      <c r="GX130" s="3">
        <v>1</v>
      </c>
      <c r="GY130" s="3">
        <v>0</v>
      </c>
      <c r="GZ130" s="3">
        <v>1</v>
      </c>
      <c r="HA130" s="3">
        <v>1</v>
      </c>
      <c r="HB130" s="3">
        <v>0</v>
      </c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6"/>
      <c r="HT130" s="4">
        <v>30</v>
      </c>
      <c r="HU130" s="3">
        <v>0</v>
      </c>
      <c r="HV130" s="3">
        <v>26</v>
      </c>
      <c r="HW130" s="3">
        <v>40</v>
      </c>
      <c r="HX130" s="3">
        <v>28</v>
      </c>
      <c r="HY130" s="3">
        <v>36</v>
      </c>
      <c r="HZ130" s="3">
        <v>31</v>
      </c>
      <c r="IA130" s="3">
        <v>0</v>
      </c>
      <c r="IB130" s="3">
        <v>0</v>
      </c>
      <c r="IC130" s="3">
        <v>98</v>
      </c>
      <c r="ID130" s="3">
        <v>59</v>
      </c>
      <c r="IE130" s="3">
        <v>48</v>
      </c>
      <c r="IF130" s="3">
        <v>41</v>
      </c>
      <c r="IG130" s="3">
        <v>0</v>
      </c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6"/>
    </row>
    <row r="131" spans="1:258" hidden="1">
      <c r="A131" s="97" t="s">
        <v>25</v>
      </c>
      <c r="B131" s="98" t="s">
        <v>90</v>
      </c>
      <c r="C131" s="98" t="s">
        <v>299</v>
      </c>
      <c r="D131" s="99" t="s">
        <v>1169</v>
      </c>
      <c r="E131" s="98" t="s">
        <v>364</v>
      </c>
      <c r="F131" s="98" t="s">
        <v>365</v>
      </c>
      <c r="G131" s="98" t="s">
        <v>366</v>
      </c>
      <c r="H131" s="98" t="s">
        <v>1487</v>
      </c>
      <c r="I131" s="98" t="s">
        <v>1487</v>
      </c>
      <c r="J131" s="98" t="s">
        <v>878</v>
      </c>
      <c r="K131" s="98" t="s">
        <v>1127</v>
      </c>
      <c r="L131" s="98" t="s">
        <v>367</v>
      </c>
      <c r="M131" s="101" t="s">
        <v>1093</v>
      </c>
      <c r="N131" s="139">
        <v>45342</v>
      </c>
      <c r="O131" s="100">
        <v>1</v>
      </c>
      <c r="P131" s="69">
        <v>0</v>
      </c>
      <c r="Q131" s="69">
        <f t="shared" si="1485"/>
        <v>1</v>
      </c>
      <c r="R131" s="69">
        <f t="shared" si="1486"/>
        <v>1</v>
      </c>
      <c r="S131" s="69">
        <f t="shared" si="1487"/>
        <v>0</v>
      </c>
      <c r="T131" s="69">
        <f t="shared" si="1488"/>
        <v>1</v>
      </c>
      <c r="U131" s="69">
        <f t="shared" si="1489"/>
        <v>1</v>
      </c>
      <c r="V131" s="70">
        <f t="shared" si="1490"/>
        <v>1</v>
      </c>
      <c r="W131" s="71">
        <f t="shared" si="1491"/>
        <v>1</v>
      </c>
      <c r="X131" s="71">
        <f t="shared" si="1492"/>
        <v>1</v>
      </c>
      <c r="Y131" s="71">
        <f t="shared" si="1493"/>
        <v>0</v>
      </c>
      <c r="Z131" s="71">
        <f t="shared" si="1494"/>
        <v>1</v>
      </c>
      <c r="AA131" s="71">
        <f t="shared" si="1495"/>
        <v>1</v>
      </c>
      <c r="AB131" s="71">
        <f t="shared" si="1496"/>
        <v>1</v>
      </c>
      <c r="AC131" s="71">
        <f t="shared" si="1497"/>
        <v>1</v>
      </c>
      <c r="AD131" s="71">
        <f t="shared" si="1498"/>
        <v>0</v>
      </c>
      <c r="AE131" s="71">
        <f t="shared" si="1499"/>
        <v>1</v>
      </c>
      <c r="AF131" s="71">
        <f t="shared" si="1500"/>
        <v>0</v>
      </c>
      <c r="AG131" s="71">
        <f t="shared" si="1501"/>
        <v>1</v>
      </c>
      <c r="AH131" s="71">
        <f t="shared" si="1502"/>
        <v>1</v>
      </c>
      <c r="AI131" s="71">
        <f t="shared" si="1503"/>
        <v>1</v>
      </c>
      <c r="AJ131" s="71">
        <f t="shared" si="1504"/>
        <v>0</v>
      </c>
      <c r="AK131" s="71">
        <f t="shared" si="1505"/>
        <v>0</v>
      </c>
      <c r="AL131" s="71">
        <f t="shared" si="1506"/>
        <v>0</v>
      </c>
      <c r="AM131" s="71">
        <f t="shared" si="1507"/>
        <v>0</v>
      </c>
      <c r="AN131" s="71">
        <f t="shared" si="1508"/>
        <v>0</v>
      </c>
      <c r="AO131" s="71">
        <f t="shared" si="1509"/>
        <v>0</v>
      </c>
      <c r="AP131" s="71">
        <f t="shared" si="1510"/>
        <v>0</v>
      </c>
      <c r="AQ131" s="71">
        <f t="shared" si="1511"/>
        <v>0</v>
      </c>
      <c r="AR131" s="71">
        <f t="shared" si="1512"/>
        <v>0</v>
      </c>
      <c r="AS131" s="71">
        <f t="shared" si="1513"/>
        <v>0</v>
      </c>
      <c r="AT131" s="71">
        <f t="shared" si="1514"/>
        <v>0</v>
      </c>
      <c r="AU131" s="71">
        <f t="shared" si="1515"/>
        <v>0</v>
      </c>
      <c r="AV131" s="71">
        <f t="shared" si="1516"/>
        <v>0</v>
      </c>
      <c r="AW131" s="71">
        <f t="shared" si="1517"/>
        <v>0</v>
      </c>
      <c r="AX131" s="71">
        <f t="shared" si="1518"/>
        <v>0</v>
      </c>
      <c r="AY131" s="71">
        <f t="shared" si="1519"/>
        <v>0</v>
      </c>
      <c r="AZ131" s="72">
        <f t="shared" si="1520"/>
        <v>0</v>
      </c>
      <c r="BA131" s="70">
        <f t="shared" si="733"/>
        <v>11</v>
      </c>
      <c r="BB131" s="69">
        <f t="shared" ca="1" si="869"/>
        <v>0.84615384615384615</v>
      </c>
      <c r="BC131" s="70">
        <f t="shared" si="1521"/>
        <v>48</v>
      </c>
      <c r="BD131" s="71">
        <f t="shared" si="1522"/>
        <v>41</v>
      </c>
      <c r="BE131" s="71">
        <f t="shared" si="1523"/>
        <v>42</v>
      </c>
      <c r="BF131" s="71">
        <f t="shared" si="1524"/>
        <v>0</v>
      </c>
      <c r="BG131" s="71">
        <f t="shared" si="1525"/>
        <v>46</v>
      </c>
      <c r="BH131" s="71">
        <f t="shared" si="1526"/>
        <v>38</v>
      </c>
      <c r="BI131" s="71">
        <f t="shared" si="1527"/>
        <v>42</v>
      </c>
      <c r="BJ131" s="71">
        <f t="shared" si="1528"/>
        <v>42</v>
      </c>
      <c r="BK131" s="71">
        <f t="shared" si="1529"/>
        <v>44</v>
      </c>
      <c r="BL131" s="71">
        <f t="shared" si="1530"/>
        <v>14</v>
      </c>
      <c r="BM131" s="71">
        <f t="shared" si="1531"/>
        <v>0</v>
      </c>
      <c r="BN131" s="71">
        <f t="shared" si="1532"/>
        <v>41</v>
      </c>
      <c r="BO131" s="71">
        <f t="shared" si="1533"/>
        <v>45</v>
      </c>
      <c r="BP131" s="71">
        <f t="shared" si="1534"/>
        <v>0</v>
      </c>
      <c r="BQ131" s="71">
        <f t="shared" si="1535"/>
        <v>0</v>
      </c>
      <c r="BR131" s="71">
        <f t="shared" si="1536"/>
        <v>0</v>
      </c>
      <c r="BS131" s="71">
        <f t="shared" si="1537"/>
        <v>0</v>
      </c>
      <c r="BT131" s="71">
        <f t="shared" si="1538"/>
        <v>0</v>
      </c>
      <c r="BU131" s="71">
        <f t="shared" si="1539"/>
        <v>0</v>
      </c>
      <c r="BV131" s="71">
        <f t="shared" si="1540"/>
        <v>0</v>
      </c>
      <c r="BW131" s="71">
        <f t="shared" si="1541"/>
        <v>0</v>
      </c>
      <c r="BX131" s="71">
        <f t="shared" si="1542"/>
        <v>0</v>
      </c>
      <c r="BY131" s="71">
        <f t="shared" si="1543"/>
        <v>0</v>
      </c>
      <c r="BZ131" s="71">
        <f t="shared" si="1544"/>
        <v>0</v>
      </c>
      <c r="CA131" s="71">
        <f t="shared" si="1545"/>
        <v>0</v>
      </c>
      <c r="CB131" s="71">
        <f t="shared" si="1546"/>
        <v>0</v>
      </c>
      <c r="CC131" s="71">
        <f t="shared" si="1547"/>
        <v>0</v>
      </c>
      <c r="CD131" s="71">
        <f t="shared" si="1548"/>
        <v>0</v>
      </c>
      <c r="CE131" s="71">
        <f t="shared" si="1549"/>
        <v>0</v>
      </c>
      <c r="CF131" s="71">
        <f t="shared" si="1550"/>
        <v>0</v>
      </c>
      <c r="CG131" s="71">
        <f t="shared" si="1551"/>
        <v>0</v>
      </c>
      <c r="CH131" s="70">
        <f t="shared" si="870"/>
        <v>443</v>
      </c>
      <c r="CI131" s="69">
        <f t="shared" ca="1" si="871"/>
        <v>34.07692307692308</v>
      </c>
      <c r="GM131" s="2" t="s">
        <v>16</v>
      </c>
      <c r="GN131" s="98" t="str">
        <f t="shared" si="732"/>
        <v>MUX02-FMCG02-SPO-01</v>
      </c>
      <c r="GO131" s="4">
        <v>1</v>
      </c>
      <c r="GP131" s="3">
        <v>1</v>
      </c>
      <c r="GQ131" s="3">
        <v>1</v>
      </c>
      <c r="GR131" s="3">
        <v>0</v>
      </c>
      <c r="GS131" s="3">
        <v>1</v>
      </c>
      <c r="GT131" s="3">
        <v>1</v>
      </c>
      <c r="GU131" s="3">
        <v>1</v>
      </c>
      <c r="GV131" s="3">
        <v>1</v>
      </c>
      <c r="GW131" s="3">
        <v>0</v>
      </c>
      <c r="GX131" s="3">
        <v>1</v>
      </c>
      <c r="GY131" s="3">
        <v>0</v>
      </c>
      <c r="GZ131" s="3">
        <v>1</v>
      </c>
      <c r="HA131" s="3">
        <v>1</v>
      </c>
      <c r="HB131" s="3">
        <v>1</v>
      </c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6"/>
      <c r="HT131" s="4">
        <v>48</v>
      </c>
      <c r="HU131" s="3">
        <v>41</v>
      </c>
      <c r="HV131" s="3">
        <v>42</v>
      </c>
      <c r="HW131" s="3">
        <v>0</v>
      </c>
      <c r="HX131" s="3">
        <v>46</v>
      </c>
      <c r="HY131" s="3">
        <v>38</v>
      </c>
      <c r="HZ131" s="3">
        <v>42</v>
      </c>
      <c r="IA131" s="3">
        <v>42</v>
      </c>
      <c r="IB131" s="3">
        <v>44</v>
      </c>
      <c r="IC131" s="3">
        <v>14</v>
      </c>
      <c r="ID131" s="3">
        <v>0</v>
      </c>
      <c r="IE131" s="3">
        <v>41</v>
      </c>
      <c r="IF131" s="3">
        <v>45</v>
      </c>
      <c r="IG131" s="3">
        <v>0</v>
      </c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6"/>
    </row>
    <row r="132" spans="1:258" hidden="1">
      <c r="A132" s="97" t="s">
        <v>25</v>
      </c>
      <c r="B132" s="98" t="s">
        <v>90</v>
      </c>
      <c r="C132" s="98" t="s">
        <v>299</v>
      </c>
      <c r="D132" s="99" t="s">
        <v>1169</v>
      </c>
      <c r="E132" s="98" t="s">
        <v>368</v>
      </c>
      <c r="F132" s="98" t="s">
        <v>369</v>
      </c>
      <c r="G132" s="98" t="s">
        <v>381</v>
      </c>
      <c r="H132" s="98" t="s">
        <v>1488</v>
      </c>
      <c r="I132" s="98" t="s">
        <v>1488</v>
      </c>
      <c r="J132" s="98" t="s">
        <v>1170</v>
      </c>
      <c r="K132" s="98" t="s">
        <v>1127</v>
      </c>
      <c r="L132" s="98" t="s">
        <v>382</v>
      </c>
      <c r="M132" s="101" t="s">
        <v>1093</v>
      </c>
      <c r="N132" s="139">
        <v>44419</v>
      </c>
      <c r="O132" s="100">
        <v>1</v>
      </c>
      <c r="P132" s="69">
        <v>0</v>
      </c>
      <c r="Q132" s="69">
        <f t="shared" si="1485"/>
        <v>1</v>
      </c>
      <c r="R132" s="69">
        <f t="shared" si="1486"/>
        <v>1</v>
      </c>
      <c r="S132" s="69">
        <f t="shared" si="1487"/>
        <v>0</v>
      </c>
      <c r="T132" s="69">
        <f t="shared" si="1488"/>
        <v>1</v>
      </c>
      <c r="U132" s="69">
        <f t="shared" si="1489"/>
        <v>1</v>
      </c>
      <c r="V132" s="70">
        <f t="shared" si="1490"/>
        <v>1</v>
      </c>
      <c r="W132" s="71">
        <f t="shared" si="1491"/>
        <v>0</v>
      </c>
      <c r="X132" s="71">
        <f t="shared" si="1492"/>
        <v>0</v>
      </c>
      <c r="Y132" s="71">
        <f t="shared" si="1493"/>
        <v>1</v>
      </c>
      <c r="Z132" s="71">
        <f t="shared" si="1494"/>
        <v>1</v>
      </c>
      <c r="AA132" s="71">
        <f t="shared" si="1495"/>
        <v>1</v>
      </c>
      <c r="AB132" s="71">
        <f t="shared" si="1496"/>
        <v>1</v>
      </c>
      <c r="AC132" s="71">
        <f t="shared" si="1497"/>
        <v>1</v>
      </c>
      <c r="AD132" s="71">
        <f t="shared" si="1498"/>
        <v>0</v>
      </c>
      <c r="AE132" s="71">
        <f t="shared" si="1499"/>
        <v>1</v>
      </c>
      <c r="AF132" s="71">
        <f t="shared" si="1500"/>
        <v>1</v>
      </c>
      <c r="AG132" s="71">
        <f t="shared" si="1501"/>
        <v>1</v>
      </c>
      <c r="AH132" s="71">
        <f t="shared" si="1502"/>
        <v>1</v>
      </c>
      <c r="AI132" s="71">
        <f t="shared" si="1503"/>
        <v>1</v>
      </c>
      <c r="AJ132" s="71">
        <f t="shared" si="1504"/>
        <v>0</v>
      </c>
      <c r="AK132" s="71">
        <f t="shared" si="1505"/>
        <v>0</v>
      </c>
      <c r="AL132" s="71">
        <f t="shared" si="1506"/>
        <v>0</v>
      </c>
      <c r="AM132" s="71">
        <f t="shared" si="1507"/>
        <v>0</v>
      </c>
      <c r="AN132" s="71">
        <f t="shared" si="1508"/>
        <v>0</v>
      </c>
      <c r="AO132" s="71">
        <f t="shared" si="1509"/>
        <v>0</v>
      </c>
      <c r="AP132" s="71">
        <f t="shared" si="1510"/>
        <v>0</v>
      </c>
      <c r="AQ132" s="71">
        <f t="shared" si="1511"/>
        <v>0</v>
      </c>
      <c r="AR132" s="71">
        <f t="shared" si="1512"/>
        <v>0</v>
      </c>
      <c r="AS132" s="71">
        <f t="shared" si="1513"/>
        <v>0</v>
      </c>
      <c r="AT132" s="71">
        <f t="shared" si="1514"/>
        <v>0</v>
      </c>
      <c r="AU132" s="71">
        <f t="shared" si="1515"/>
        <v>0</v>
      </c>
      <c r="AV132" s="71">
        <f t="shared" si="1516"/>
        <v>0</v>
      </c>
      <c r="AW132" s="71">
        <f t="shared" si="1517"/>
        <v>0</v>
      </c>
      <c r="AX132" s="71">
        <f t="shared" si="1518"/>
        <v>0</v>
      </c>
      <c r="AY132" s="71">
        <f t="shared" si="1519"/>
        <v>0</v>
      </c>
      <c r="AZ132" s="72">
        <f t="shared" si="1520"/>
        <v>0</v>
      </c>
      <c r="BA132" s="70">
        <f t="shared" si="733"/>
        <v>11</v>
      </c>
      <c r="BB132" s="69">
        <f t="shared" ca="1" si="869"/>
        <v>0.84615384615384615</v>
      </c>
      <c r="BC132" s="70">
        <f t="shared" si="1521"/>
        <v>31</v>
      </c>
      <c r="BD132" s="71">
        <f t="shared" si="1522"/>
        <v>0</v>
      </c>
      <c r="BE132" s="71">
        <f t="shared" si="1523"/>
        <v>0</v>
      </c>
      <c r="BF132" s="71">
        <f t="shared" si="1524"/>
        <v>0</v>
      </c>
      <c r="BG132" s="71">
        <f t="shared" si="1525"/>
        <v>0</v>
      </c>
      <c r="BH132" s="71">
        <f t="shared" si="1526"/>
        <v>22</v>
      </c>
      <c r="BI132" s="71">
        <f t="shared" si="1527"/>
        <v>0</v>
      </c>
      <c r="BJ132" s="71">
        <f t="shared" si="1528"/>
        <v>24</v>
      </c>
      <c r="BK132" s="71">
        <f t="shared" si="1529"/>
        <v>0</v>
      </c>
      <c r="BL132" s="71">
        <f t="shared" si="1530"/>
        <v>74</v>
      </c>
      <c r="BM132" s="71">
        <f t="shared" si="1531"/>
        <v>26</v>
      </c>
      <c r="BN132" s="71">
        <f t="shared" si="1532"/>
        <v>45</v>
      </c>
      <c r="BO132" s="71">
        <f t="shared" si="1533"/>
        <v>43</v>
      </c>
      <c r="BP132" s="71">
        <f t="shared" si="1534"/>
        <v>0</v>
      </c>
      <c r="BQ132" s="71">
        <f t="shared" si="1535"/>
        <v>0</v>
      </c>
      <c r="BR132" s="71">
        <f t="shared" si="1536"/>
        <v>0</v>
      </c>
      <c r="BS132" s="71">
        <f t="shared" si="1537"/>
        <v>0</v>
      </c>
      <c r="BT132" s="71">
        <f t="shared" si="1538"/>
        <v>0</v>
      </c>
      <c r="BU132" s="71">
        <f t="shared" si="1539"/>
        <v>0</v>
      </c>
      <c r="BV132" s="71">
        <f t="shared" si="1540"/>
        <v>0</v>
      </c>
      <c r="BW132" s="71">
        <f t="shared" si="1541"/>
        <v>0</v>
      </c>
      <c r="BX132" s="71">
        <f t="shared" si="1542"/>
        <v>0</v>
      </c>
      <c r="BY132" s="71">
        <f t="shared" si="1543"/>
        <v>0</v>
      </c>
      <c r="BZ132" s="71">
        <f t="shared" si="1544"/>
        <v>0</v>
      </c>
      <c r="CA132" s="71">
        <f t="shared" si="1545"/>
        <v>0</v>
      </c>
      <c r="CB132" s="71">
        <f t="shared" si="1546"/>
        <v>0</v>
      </c>
      <c r="CC132" s="71">
        <f t="shared" si="1547"/>
        <v>0</v>
      </c>
      <c r="CD132" s="71">
        <f t="shared" si="1548"/>
        <v>0</v>
      </c>
      <c r="CE132" s="71">
        <f t="shared" si="1549"/>
        <v>0</v>
      </c>
      <c r="CF132" s="71">
        <f t="shared" si="1550"/>
        <v>0</v>
      </c>
      <c r="CG132" s="71">
        <f t="shared" si="1551"/>
        <v>0</v>
      </c>
      <c r="CH132" s="70">
        <f t="shared" si="870"/>
        <v>265</v>
      </c>
      <c r="CI132" s="69">
        <f t="shared" ca="1" si="871"/>
        <v>20.384615384615383</v>
      </c>
      <c r="GM132" s="2" t="s">
        <v>16</v>
      </c>
      <c r="GN132" s="98" t="str">
        <f t="shared" ref="GN132:GN195" si="1552">F132</f>
        <v>MUX02-FMCG02-SPO-02</v>
      </c>
      <c r="GO132" s="4">
        <v>1</v>
      </c>
      <c r="GP132" s="3">
        <v>0</v>
      </c>
      <c r="GQ132" s="3">
        <v>0</v>
      </c>
      <c r="GR132" s="3">
        <v>1</v>
      </c>
      <c r="GS132" s="3">
        <v>1</v>
      </c>
      <c r="GT132" s="3">
        <v>1</v>
      </c>
      <c r="GU132" s="3">
        <v>1</v>
      </c>
      <c r="GV132" s="3">
        <v>1</v>
      </c>
      <c r="GW132" s="3">
        <v>0</v>
      </c>
      <c r="GX132" s="3">
        <v>1</v>
      </c>
      <c r="GY132" s="3">
        <v>1</v>
      </c>
      <c r="GZ132" s="3">
        <v>1</v>
      </c>
      <c r="HA132" s="3">
        <v>1</v>
      </c>
      <c r="HB132" s="3">
        <v>1</v>
      </c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6"/>
      <c r="HT132" s="4">
        <v>31</v>
      </c>
      <c r="HU132" s="3">
        <v>0</v>
      </c>
      <c r="HV132" s="3">
        <v>0</v>
      </c>
      <c r="HW132" s="3">
        <v>0</v>
      </c>
      <c r="HX132" s="3">
        <v>0</v>
      </c>
      <c r="HY132" s="3">
        <v>22</v>
      </c>
      <c r="HZ132" s="3">
        <v>0</v>
      </c>
      <c r="IA132" s="3">
        <v>24</v>
      </c>
      <c r="IB132" s="3">
        <v>0</v>
      </c>
      <c r="IC132" s="3">
        <v>74</v>
      </c>
      <c r="ID132" s="3">
        <v>26</v>
      </c>
      <c r="IE132" s="3">
        <v>45</v>
      </c>
      <c r="IF132" s="3">
        <v>43</v>
      </c>
      <c r="IG132" s="3">
        <v>0</v>
      </c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6"/>
    </row>
    <row r="133" spans="1:258" hidden="1">
      <c r="A133" s="97" t="s">
        <v>25</v>
      </c>
      <c r="B133" s="98" t="s">
        <v>20</v>
      </c>
      <c r="C133" s="98" t="s">
        <v>299</v>
      </c>
      <c r="D133" s="99" t="s">
        <v>1169</v>
      </c>
      <c r="E133" s="98" t="s">
        <v>1009</v>
      </c>
      <c r="F133" s="98" t="s">
        <v>1049</v>
      </c>
      <c r="G133" s="98" t="s">
        <v>362</v>
      </c>
      <c r="H133" s="98" t="s">
        <v>1489</v>
      </c>
      <c r="I133" s="98" t="s">
        <v>1489</v>
      </c>
      <c r="J133" s="98" t="s">
        <v>1171</v>
      </c>
      <c r="K133" s="98" t="s">
        <v>1127</v>
      </c>
      <c r="L133" s="98" t="s">
        <v>363</v>
      </c>
      <c r="M133" s="98" t="s">
        <v>1093</v>
      </c>
      <c r="N133" s="108">
        <v>45708</v>
      </c>
      <c r="O133" s="100">
        <v>1</v>
      </c>
      <c r="P133" s="69">
        <v>0</v>
      </c>
      <c r="Q133" s="69">
        <f t="shared" si="1485"/>
        <v>0</v>
      </c>
      <c r="R133" s="69">
        <f t="shared" si="1486"/>
        <v>1</v>
      </c>
      <c r="S133" s="69">
        <f t="shared" si="1487"/>
        <v>0</v>
      </c>
      <c r="T133" s="69">
        <f t="shared" si="1488"/>
        <v>1</v>
      </c>
      <c r="U133" s="69">
        <f t="shared" si="1489"/>
        <v>1</v>
      </c>
      <c r="V133" s="70">
        <f t="shared" si="1490"/>
        <v>1</v>
      </c>
      <c r="W133" s="71">
        <f t="shared" si="1491"/>
        <v>0</v>
      </c>
      <c r="X133" s="71">
        <f t="shared" si="1492"/>
        <v>1</v>
      </c>
      <c r="Y133" s="71">
        <f t="shared" si="1493"/>
        <v>1</v>
      </c>
      <c r="Z133" s="71">
        <f t="shared" si="1494"/>
        <v>1</v>
      </c>
      <c r="AA133" s="71">
        <f t="shared" si="1495"/>
        <v>1</v>
      </c>
      <c r="AB133" s="71">
        <f t="shared" si="1496"/>
        <v>1</v>
      </c>
      <c r="AC133" s="71">
        <f t="shared" si="1497"/>
        <v>1</v>
      </c>
      <c r="AD133" s="71">
        <f t="shared" si="1498"/>
        <v>0</v>
      </c>
      <c r="AE133" s="71">
        <f t="shared" si="1499"/>
        <v>1</v>
      </c>
      <c r="AF133" s="71">
        <f t="shared" si="1500"/>
        <v>1</v>
      </c>
      <c r="AG133" s="71">
        <f t="shared" si="1501"/>
        <v>1</v>
      </c>
      <c r="AH133" s="71">
        <f t="shared" si="1502"/>
        <v>1</v>
      </c>
      <c r="AI133" s="71">
        <f t="shared" si="1503"/>
        <v>0</v>
      </c>
      <c r="AJ133" s="71">
        <f t="shared" si="1504"/>
        <v>0</v>
      </c>
      <c r="AK133" s="71">
        <f t="shared" si="1505"/>
        <v>0</v>
      </c>
      <c r="AL133" s="71">
        <f t="shared" si="1506"/>
        <v>0</v>
      </c>
      <c r="AM133" s="71">
        <f t="shared" si="1507"/>
        <v>0</v>
      </c>
      <c r="AN133" s="71">
        <f t="shared" si="1508"/>
        <v>0</v>
      </c>
      <c r="AO133" s="71">
        <f t="shared" si="1509"/>
        <v>0</v>
      </c>
      <c r="AP133" s="71">
        <f t="shared" si="1510"/>
        <v>0</v>
      </c>
      <c r="AQ133" s="71">
        <f t="shared" si="1511"/>
        <v>0</v>
      </c>
      <c r="AR133" s="71">
        <f t="shared" si="1512"/>
        <v>0</v>
      </c>
      <c r="AS133" s="71">
        <f t="shared" si="1513"/>
        <v>0</v>
      </c>
      <c r="AT133" s="71">
        <f t="shared" si="1514"/>
        <v>0</v>
      </c>
      <c r="AU133" s="71">
        <f t="shared" si="1515"/>
        <v>0</v>
      </c>
      <c r="AV133" s="71">
        <f t="shared" si="1516"/>
        <v>0</v>
      </c>
      <c r="AW133" s="71">
        <f t="shared" si="1517"/>
        <v>0</v>
      </c>
      <c r="AX133" s="71">
        <f t="shared" si="1518"/>
        <v>0</v>
      </c>
      <c r="AY133" s="71">
        <f t="shared" si="1519"/>
        <v>0</v>
      </c>
      <c r="AZ133" s="72">
        <f t="shared" si="1520"/>
        <v>0</v>
      </c>
      <c r="BA133" s="70">
        <f t="shared" ref="BA133:BA196" si="1553">SUM(V133:AZ133)</f>
        <v>11</v>
      </c>
      <c r="BB133" s="69">
        <f t="shared" ref="BB133:BB196" ca="1" si="1554">IFERROR(BA133/$CK$3/(O133-P133),0)</f>
        <v>0.84615384615384615</v>
      </c>
      <c r="BC133" s="70">
        <f t="shared" si="1521"/>
        <v>22</v>
      </c>
      <c r="BD133" s="71">
        <f t="shared" si="1522"/>
        <v>0</v>
      </c>
      <c r="BE133" s="71">
        <f t="shared" si="1523"/>
        <v>20</v>
      </c>
      <c r="BF133" s="71">
        <f t="shared" si="1524"/>
        <v>20</v>
      </c>
      <c r="BG133" s="71">
        <f t="shared" si="1525"/>
        <v>16</v>
      </c>
      <c r="BH133" s="71">
        <f t="shared" si="1526"/>
        <v>20</v>
      </c>
      <c r="BI133" s="71">
        <f t="shared" si="1527"/>
        <v>24</v>
      </c>
      <c r="BJ133" s="71">
        <f t="shared" si="1528"/>
        <v>22</v>
      </c>
      <c r="BK133" s="71">
        <f t="shared" si="1529"/>
        <v>0</v>
      </c>
      <c r="BL133" s="71">
        <f t="shared" si="1530"/>
        <v>49</v>
      </c>
      <c r="BM133" s="71">
        <f t="shared" si="1531"/>
        <v>20</v>
      </c>
      <c r="BN133" s="71">
        <f t="shared" si="1532"/>
        <v>26</v>
      </c>
      <c r="BO133" s="71">
        <f t="shared" si="1533"/>
        <v>48</v>
      </c>
      <c r="BP133" s="71">
        <f t="shared" si="1534"/>
        <v>0</v>
      </c>
      <c r="BQ133" s="71">
        <f t="shared" si="1535"/>
        <v>0</v>
      </c>
      <c r="BR133" s="71">
        <f t="shared" si="1536"/>
        <v>0</v>
      </c>
      <c r="BS133" s="71">
        <f t="shared" si="1537"/>
        <v>0</v>
      </c>
      <c r="BT133" s="71">
        <f t="shared" si="1538"/>
        <v>0</v>
      </c>
      <c r="BU133" s="71">
        <f t="shared" si="1539"/>
        <v>0</v>
      </c>
      <c r="BV133" s="71">
        <f t="shared" si="1540"/>
        <v>0</v>
      </c>
      <c r="BW133" s="71">
        <f t="shared" si="1541"/>
        <v>0</v>
      </c>
      <c r="BX133" s="71">
        <f t="shared" si="1542"/>
        <v>0</v>
      </c>
      <c r="BY133" s="71">
        <f t="shared" si="1543"/>
        <v>0</v>
      </c>
      <c r="BZ133" s="71">
        <f t="shared" si="1544"/>
        <v>0</v>
      </c>
      <c r="CA133" s="71">
        <f t="shared" si="1545"/>
        <v>0</v>
      </c>
      <c r="CB133" s="71">
        <f t="shared" si="1546"/>
        <v>0</v>
      </c>
      <c r="CC133" s="71">
        <f t="shared" si="1547"/>
        <v>0</v>
      </c>
      <c r="CD133" s="71">
        <f t="shared" si="1548"/>
        <v>0</v>
      </c>
      <c r="CE133" s="71">
        <f t="shared" si="1549"/>
        <v>0</v>
      </c>
      <c r="CF133" s="71">
        <f t="shared" si="1550"/>
        <v>0</v>
      </c>
      <c r="CG133" s="71">
        <f t="shared" si="1551"/>
        <v>0</v>
      </c>
      <c r="CH133" s="70">
        <f t="shared" ref="CH133:CH196" si="1555">SUM(BC133:CG133)</f>
        <v>287</v>
      </c>
      <c r="CI133" s="69">
        <f t="shared" ref="CI133:CI196" ca="1" si="1556">IFERROR(CH133/$CK$3/(O133-P133),0)</f>
        <v>22.076923076923077</v>
      </c>
      <c r="GM133" s="2" t="s">
        <v>16</v>
      </c>
      <c r="GN133" s="98" t="str">
        <f t="shared" si="1552"/>
        <v>MUX02-FMCG-SPO-01</v>
      </c>
      <c r="GO133" s="4">
        <v>1</v>
      </c>
      <c r="GP133" s="3">
        <v>0</v>
      </c>
      <c r="GQ133" s="3">
        <v>1</v>
      </c>
      <c r="GR133" s="3">
        <v>1</v>
      </c>
      <c r="GS133" s="3">
        <v>1</v>
      </c>
      <c r="GT133" s="3">
        <v>1</v>
      </c>
      <c r="GU133" s="3">
        <v>1</v>
      </c>
      <c r="GV133" s="3">
        <v>1</v>
      </c>
      <c r="GW133" s="3">
        <v>0</v>
      </c>
      <c r="GX133" s="3">
        <v>1</v>
      </c>
      <c r="GY133" s="3">
        <v>1</v>
      </c>
      <c r="GZ133" s="3">
        <v>1</v>
      </c>
      <c r="HA133" s="3">
        <v>1</v>
      </c>
      <c r="HB133" s="3">
        <v>0</v>
      </c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6"/>
      <c r="HT133" s="4">
        <v>22</v>
      </c>
      <c r="HU133" s="3">
        <v>0</v>
      </c>
      <c r="HV133" s="3">
        <v>20</v>
      </c>
      <c r="HW133" s="3">
        <v>20</v>
      </c>
      <c r="HX133" s="3">
        <v>16</v>
      </c>
      <c r="HY133" s="3">
        <v>20</v>
      </c>
      <c r="HZ133" s="3">
        <v>24</v>
      </c>
      <c r="IA133" s="3">
        <v>22</v>
      </c>
      <c r="IB133" s="3">
        <v>0</v>
      </c>
      <c r="IC133" s="3">
        <v>49</v>
      </c>
      <c r="ID133" s="3">
        <v>20</v>
      </c>
      <c r="IE133" s="3">
        <v>26</v>
      </c>
      <c r="IF133" s="3">
        <v>48</v>
      </c>
      <c r="IG133" s="3">
        <v>0</v>
      </c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6"/>
    </row>
    <row r="134" spans="1:258" hidden="1">
      <c r="A134" s="97" t="s">
        <v>1287</v>
      </c>
      <c r="B134" s="98" t="s">
        <v>20</v>
      </c>
      <c r="C134" s="98" t="s">
        <v>299</v>
      </c>
      <c r="D134" s="99" t="s">
        <v>1169</v>
      </c>
      <c r="E134" s="98" t="s">
        <v>1098</v>
      </c>
      <c r="F134" s="98" t="s">
        <v>372</v>
      </c>
      <c r="G134" s="98" t="s">
        <v>373</v>
      </c>
      <c r="H134" s="98" t="s">
        <v>1490</v>
      </c>
      <c r="I134" s="98" t="s">
        <v>1490</v>
      </c>
      <c r="J134" s="98" t="s">
        <v>878</v>
      </c>
      <c r="K134" s="98" t="s">
        <v>1099</v>
      </c>
      <c r="L134" s="98" t="s">
        <v>1099</v>
      </c>
      <c r="M134" s="101" t="s">
        <v>1099</v>
      </c>
      <c r="N134" s="108">
        <v>45474</v>
      </c>
      <c r="O134" s="100">
        <v>0</v>
      </c>
      <c r="P134" s="69">
        <v>0</v>
      </c>
      <c r="Q134" s="69">
        <f t="shared" si="1485"/>
        <v>0</v>
      </c>
      <c r="R134" s="69">
        <f t="shared" si="1486"/>
        <v>0</v>
      </c>
      <c r="S134" s="69">
        <f t="shared" si="1487"/>
        <v>0</v>
      </c>
      <c r="T134" s="69">
        <f t="shared" si="1488"/>
        <v>0</v>
      </c>
      <c r="U134" s="69">
        <f t="shared" si="1489"/>
        <v>0</v>
      </c>
      <c r="V134" s="70">
        <f t="shared" si="1490"/>
        <v>0</v>
      </c>
      <c r="W134" s="71">
        <f t="shared" si="1491"/>
        <v>0</v>
      </c>
      <c r="X134" s="71">
        <f t="shared" si="1492"/>
        <v>0</v>
      </c>
      <c r="Y134" s="71">
        <f t="shared" si="1493"/>
        <v>0</v>
      </c>
      <c r="Z134" s="71">
        <f t="shared" si="1494"/>
        <v>0</v>
      </c>
      <c r="AA134" s="71">
        <f t="shared" si="1495"/>
        <v>0</v>
      </c>
      <c r="AB134" s="71">
        <f t="shared" si="1496"/>
        <v>0</v>
      </c>
      <c r="AC134" s="71">
        <f t="shared" si="1497"/>
        <v>0</v>
      </c>
      <c r="AD134" s="71">
        <f t="shared" si="1498"/>
        <v>0</v>
      </c>
      <c r="AE134" s="71">
        <f t="shared" si="1499"/>
        <v>0</v>
      </c>
      <c r="AF134" s="71">
        <f t="shared" si="1500"/>
        <v>0</v>
      </c>
      <c r="AG134" s="71">
        <f t="shared" si="1501"/>
        <v>0</v>
      </c>
      <c r="AH134" s="71">
        <f t="shared" si="1502"/>
        <v>0</v>
      </c>
      <c r="AI134" s="71">
        <f t="shared" si="1503"/>
        <v>0</v>
      </c>
      <c r="AJ134" s="71">
        <f t="shared" si="1504"/>
        <v>0</v>
      </c>
      <c r="AK134" s="71">
        <f t="shared" si="1505"/>
        <v>0</v>
      </c>
      <c r="AL134" s="71">
        <f t="shared" si="1506"/>
        <v>0</v>
      </c>
      <c r="AM134" s="71">
        <f t="shared" si="1507"/>
        <v>0</v>
      </c>
      <c r="AN134" s="71">
        <f t="shared" si="1508"/>
        <v>0</v>
      </c>
      <c r="AO134" s="71">
        <f t="shared" si="1509"/>
        <v>0</v>
      </c>
      <c r="AP134" s="71">
        <f t="shared" si="1510"/>
        <v>0</v>
      </c>
      <c r="AQ134" s="71">
        <f t="shared" si="1511"/>
        <v>0</v>
      </c>
      <c r="AR134" s="71">
        <f t="shared" si="1512"/>
        <v>0</v>
      </c>
      <c r="AS134" s="71">
        <f t="shared" si="1513"/>
        <v>0</v>
      </c>
      <c r="AT134" s="71">
        <f t="shared" si="1514"/>
        <v>0</v>
      </c>
      <c r="AU134" s="71">
        <f t="shared" si="1515"/>
        <v>0</v>
      </c>
      <c r="AV134" s="71">
        <f t="shared" si="1516"/>
        <v>0</v>
      </c>
      <c r="AW134" s="71">
        <f t="shared" si="1517"/>
        <v>0</v>
      </c>
      <c r="AX134" s="71">
        <f t="shared" si="1518"/>
        <v>0</v>
      </c>
      <c r="AY134" s="71">
        <f t="shared" si="1519"/>
        <v>0</v>
      </c>
      <c r="AZ134" s="72">
        <f t="shared" si="1520"/>
        <v>0</v>
      </c>
      <c r="BA134" s="70">
        <f t="shared" si="1553"/>
        <v>0</v>
      </c>
      <c r="BB134" s="69">
        <f t="shared" ca="1" si="1554"/>
        <v>0</v>
      </c>
      <c r="BC134" s="70">
        <f t="shared" si="1521"/>
        <v>0</v>
      </c>
      <c r="BD134" s="71">
        <f t="shared" si="1522"/>
        <v>0</v>
      </c>
      <c r="BE134" s="71">
        <f t="shared" si="1523"/>
        <v>0</v>
      </c>
      <c r="BF134" s="71">
        <f t="shared" si="1524"/>
        <v>0</v>
      </c>
      <c r="BG134" s="71">
        <f t="shared" si="1525"/>
        <v>0</v>
      </c>
      <c r="BH134" s="71">
        <f t="shared" si="1526"/>
        <v>0</v>
      </c>
      <c r="BI134" s="71">
        <f t="shared" si="1527"/>
        <v>0</v>
      </c>
      <c r="BJ134" s="71">
        <f t="shared" si="1528"/>
        <v>0</v>
      </c>
      <c r="BK134" s="71">
        <f t="shared" si="1529"/>
        <v>0</v>
      </c>
      <c r="BL134" s="71">
        <f t="shared" si="1530"/>
        <v>0</v>
      </c>
      <c r="BM134" s="71">
        <f t="shared" si="1531"/>
        <v>0</v>
      </c>
      <c r="BN134" s="71">
        <f t="shared" si="1532"/>
        <v>0</v>
      </c>
      <c r="BO134" s="71">
        <f t="shared" si="1533"/>
        <v>0</v>
      </c>
      <c r="BP134" s="71">
        <f t="shared" si="1534"/>
        <v>0</v>
      </c>
      <c r="BQ134" s="71">
        <f t="shared" si="1535"/>
        <v>0</v>
      </c>
      <c r="BR134" s="71">
        <f t="shared" si="1536"/>
        <v>0</v>
      </c>
      <c r="BS134" s="71">
        <f t="shared" si="1537"/>
        <v>0</v>
      </c>
      <c r="BT134" s="71">
        <f t="shared" si="1538"/>
        <v>0</v>
      </c>
      <c r="BU134" s="71">
        <f t="shared" si="1539"/>
        <v>0</v>
      </c>
      <c r="BV134" s="71">
        <f t="shared" si="1540"/>
        <v>0</v>
      </c>
      <c r="BW134" s="71">
        <f t="shared" si="1541"/>
        <v>0</v>
      </c>
      <c r="BX134" s="71">
        <f t="shared" si="1542"/>
        <v>0</v>
      </c>
      <c r="BY134" s="71">
        <f t="shared" si="1543"/>
        <v>0</v>
      </c>
      <c r="BZ134" s="71">
        <f t="shared" si="1544"/>
        <v>0</v>
      </c>
      <c r="CA134" s="71">
        <f t="shared" si="1545"/>
        <v>0</v>
      </c>
      <c r="CB134" s="71">
        <f t="shared" si="1546"/>
        <v>0</v>
      </c>
      <c r="CC134" s="71">
        <f t="shared" si="1547"/>
        <v>0</v>
      </c>
      <c r="CD134" s="71">
        <f t="shared" si="1548"/>
        <v>0</v>
      </c>
      <c r="CE134" s="71">
        <f t="shared" si="1549"/>
        <v>0</v>
      </c>
      <c r="CF134" s="71">
        <f t="shared" si="1550"/>
        <v>0</v>
      </c>
      <c r="CG134" s="71">
        <f t="shared" si="1551"/>
        <v>0</v>
      </c>
      <c r="CH134" s="70">
        <f t="shared" si="1555"/>
        <v>0</v>
      </c>
      <c r="CI134" s="69">
        <f t="shared" ca="1" si="1556"/>
        <v>0</v>
      </c>
      <c r="GM134" s="2" t="s">
        <v>16</v>
      </c>
      <c r="GN134" s="98" t="str">
        <f t="shared" si="1552"/>
        <v>MUX02-FMCG-SPO-00</v>
      </c>
      <c r="GO134" s="4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6"/>
      <c r="HT134" s="4">
        <v>0</v>
      </c>
      <c r="HU134" s="3">
        <v>0</v>
      </c>
      <c r="HV134" s="3">
        <v>0</v>
      </c>
      <c r="HW134" s="3">
        <v>0</v>
      </c>
      <c r="HX134" s="3">
        <v>0</v>
      </c>
      <c r="HY134" s="3">
        <v>0</v>
      </c>
      <c r="HZ134" s="3">
        <v>0</v>
      </c>
      <c r="IA134" s="3">
        <v>0</v>
      </c>
      <c r="IB134" s="3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0</v>
      </c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6"/>
    </row>
    <row r="135" spans="1:258" hidden="1">
      <c r="A135" s="97" t="s">
        <v>1380</v>
      </c>
      <c r="B135" s="98" t="s">
        <v>20</v>
      </c>
      <c r="C135" s="98" t="s">
        <v>299</v>
      </c>
      <c r="D135" s="99" t="s">
        <v>1169</v>
      </c>
      <c r="E135" s="98" t="s">
        <v>374</v>
      </c>
      <c r="F135" s="98" t="s">
        <v>375</v>
      </c>
      <c r="G135" s="98" t="s">
        <v>376</v>
      </c>
      <c r="H135" s="98" t="s">
        <v>1172</v>
      </c>
      <c r="I135" s="98" t="s">
        <v>1172</v>
      </c>
      <c r="J135" s="98" t="s">
        <v>878</v>
      </c>
      <c r="K135" s="98" t="s">
        <v>1127</v>
      </c>
      <c r="L135" s="98" t="s">
        <v>1732</v>
      </c>
      <c r="M135" s="101" t="s">
        <v>1093</v>
      </c>
      <c r="N135" s="108">
        <v>46284</v>
      </c>
      <c r="O135" s="100">
        <v>0</v>
      </c>
      <c r="P135" s="69">
        <v>0</v>
      </c>
      <c r="Q135" s="69">
        <f t="shared" si="1485"/>
        <v>0</v>
      </c>
      <c r="R135" s="69">
        <f t="shared" si="1486"/>
        <v>0</v>
      </c>
      <c r="S135" s="69">
        <f t="shared" si="1487"/>
        <v>0</v>
      </c>
      <c r="T135" s="69">
        <f t="shared" si="1488"/>
        <v>0</v>
      </c>
      <c r="U135" s="69">
        <f t="shared" si="1489"/>
        <v>0</v>
      </c>
      <c r="V135" s="70">
        <f t="shared" si="1490"/>
        <v>0</v>
      </c>
      <c r="W135" s="71">
        <f t="shared" si="1491"/>
        <v>0</v>
      </c>
      <c r="X135" s="71">
        <f t="shared" si="1492"/>
        <v>0</v>
      </c>
      <c r="Y135" s="71">
        <f t="shared" si="1493"/>
        <v>0</v>
      </c>
      <c r="Z135" s="71">
        <f t="shared" si="1494"/>
        <v>0</v>
      </c>
      <c r="AA135" s="71">
        <f t="shared" si="1495"/>
        <v>0</v>
      </c>
      <c r="AB135" s="71">
        <f t="shared" si="1496"/>
        <v>0</v>
      </c>
      <c r="AC135" s="71">
        <f t="shared" si="1497"/>
        <v>0</v>
      </c>
      <c r="AD135" s="71">
        <f t="shared" si="1498"/>
        <v>0</v>
      </c>
      <c r="AE135" s="71">
        <f t="shared" si="1499"/>
        <v>0</v>
      </c>
      <c r="AF135" s="71">
        <f t="shared" si="1500"/>
        <v>0</v>
      </c>
      <c r="AG135" s="71">
        <f t="shared" si="1501"/>
        <v>0</v>
      </c>
      <c r="AH135" s="71">
        <f t="shared" si="1502"/>
        <v>0</v>
      </c>
      <c r="AI135" s="71">
        <f t="shared" si="1503"/>
        <v>0</v>
      </c>
      <c r="AJ135" s="71">
        <f t="shared" si="1504"/>
        <v>0</v>
      </c>
      <c r="AK135" s="71">
        <f t="shared" si="1505"/>
        <v>0</v>
      </c>
      <c r="AL135" s="71">
        <f t="shared" si="1506"/>
        <v>0</v>
      </c>
      <c r="AM135" s="71">
        <f t="shared" si="1507"/>
        <v>0</v>
      </c>
      <c r="AN135" s="71">
        <f t="shared" si="1508"/>
        <v>0</v>
      </c>
      <c r="AO135" s="71">
        <f t="shared" si="1509"/>
        <v>0</v>
      </c>
      <c r="AP135" s="71">
        <f t="shared" si="1510"/>
        <v>0</v>
      </c>
      <c r="AQ135" s="71">
        <f t="shared" si="1511"/>
        <v>0</v>
      </c>
      <c r="AR135" s="71">
        <f t="shared" si="1512"/>
        <v>0</v>
      </c>
      <c r="AS135" s="71">
        <f t="shared" si="1513"/>
        <v>0</v>
      </c>
      <c r="AT135" s="71">
        <f t="shared" si="1514"/>
        <v>0</v>
      </c>
      <c r="AU135" s="71">
        <f t="shared" si="1515"/>
        <v>0</v>
      </c>
      <c r="AV135" s="71">
        <f t="shared" si="1516"/>
        <v>0</v>
      </c>
      <c r="AW135" s="71">
        <f t="shared" si="1517"/>
        <v>0</v>
      </c>
      <c r="AX135" s="71">
        <f t="shared" si="1518"/>
        <v>0</v>
      </c>
      <c r="AY135" s="71">
        <f t="shared" si="1519"/>
        <v>0</v>
      </c>
      <c r="AZ135" s="72">
        <f t="shared" si="1520"/>
        <v>0</v>
      </c>
      <c r="BA135" s="70">
        <f t="shared" si="1553"/>
        <v>0</v>
      </c>
      <c r="BB135" s="69">
        <f t="shared" ca="1" si="1554"/>
        <v>0</v>
      </c>
      <c r="BC135" s="70">
        <f t="shared" si="1521"/>
        <v>0</v>
      </c>
      <c r="BD135" s="71">
        <f t="shared" si="1522"/>
        <v>0</v>
      </c>
      <c r="BE135" s="71">
        <f t="shared" si="1523"/>
        <v>0</v>
      </c>
      <c r="BF135" s="71">
        <f t="shared" si="1524"/>
        <v>0</v>
      </c>
      <c r="BG135" s="71">
        <f t="shared" si="1525"/>
        <v>0</v>
      </c>
      <c r="BH135" s="71">
        <f t="shared" si="1526"/>
        <v>0</v>
      </c>
      <c r="BI135" s="71">
        <f t="shared" si="1527"/>
        <v>0</v>
      </c>
      <c r="BJ135" s="71">
        <f t="shared" si="1528"/>
        <v>0</v>
      </c>
      <c r="BK135" s="71">
        <f t="shared" si="1529"/>
        <v>0</v>
      </c>
      <c r="BL135" s="71">
        <f t="shared" si="1530"/>
        <v>0</v>
      </c>
      <c r="BM135" s="71">
        <f t="shared" si="1531"/>
        <v>0</v>
      </c>
      <c r="BN135" s="71">
        <f t="shared" si="1532"/>
        <v>0</v>
      </c>
      <c r="BO135" s="71">
        <f t="shared" si="1533"/>
        <v>0</v>
      </c>
      <c r="BP135" s="71">
        <f t="shared" si="1534"/>
        <v>0</v>
      </c>
      <c r="BQ135" s="71">
        <f t="shared" si="1535"/>
        <v>0</v>
      </c>
      <c r="BR135" s="71">
        <f t="shared" si="1536"/>
        <v>0</v>
      </c>
      <c r="BS135" s="71">
        <f t="shared" si="1537"/>
        <v>0</v>
      </c>
      <c r="BT135" s="71">
        <f t="shared" si="1538"/>
        <v>0</v>
      </c>
      <c r="BU135" s="71">
        <f t="shared" si="1539"/>
        <v>0</v>
      </c>
      <c r="BV135" s="71">
        <f t="shared" si="1540"/>
        <v>0</v>
      </c>
      <c r="BW135" s="71">
        <f t="shared" si="1541"/>
        <v>0</v>
      </c>
      <c r="BX135" s="71">
        <f t="shared" si="1542"/>
        <v>0</v>
      </c>
      <c r="BY135" s="71">
        <f t="shared" si="1543"/>
        <v>0</v>
      </c>
      <c r="BZ135" s="71">
        <f t="shared" si="1544"/>
        <v>0</v>
      </c>
      <c r="CA135" s="71">
        <f t="shared" si="1545"/>
        <v>0</v>
      </c>
      <c r="CB135" s="71">
        <f t="shared" si="1546"/>
        <v>0</v>
      </c>
      <c r="CC135" s="71">
        <f t="shared" si="1547"/>
        <v>0</v>
      </c>
      <c r="CD135" s="71">
        <f t="shared" si="1548"/>
        <v>0</v>
      </c>
      <c r="CE135" s="71">
        <f t="shared" si="1549"/>
        <v>0</v>
      </c>
      <c r="CF135" s="71">
        <f t="shared" si="1550"/>
        <v>0</v>
      </c>
      <c r="CG135" s="71">
        <f t="shared" si="1551"/>
        <v>0</v>
      </c>
      <c r="CH135" s="70">
        <f t="shared" si="1555"/>
        <v>0</v>
      </c>
      <c r="CI135" s="69">
        <f t="shared" ca="1" si="1556"/>
        <v>0</v>
      </c>
      <c r="GM135" s="2" t="s">
        <v>16</v>
      </c>
      <c r="GN135" s="98" t="str">
        <f t="shared" si="1552"/>
        <v>MUX02-FMCG-ASM-01</v>
      </c>
      <c r="GO135" s="4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6"/>
      <c r="HT135" s="4">
        <v>0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0</v>
      </c>
      <c r="IA135" s="3">
        <v>0</v>
      </c>
      <c r="IB135" s="3">
        <v>0</v>
      </c>
      <c r="IC135" s="3">
        <v>0</v>
      </c>
      <c r="ID135" s="3">
        <v>0</v>
      </c>
      <c r="IE135" s="3">
        <v>0</v>
      </c>
      <c r="IF135" s="3">
        <v>0</v>
      </c>
      <c r="IG135" s="3">
        <v>0</v>
      </c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6"/>
    </row>
    <row r="136" spans="1:258" hidden="1">
      <c r="A136" s="102" t="s">
        <v>53</v>
      </c>
      <c r="B136" s="103" t="s">
        <v>20</v>
      </c>
      <c r="C136" s="103" t="s">
        <v>299</v>
      </c>
      <c r="D136" s="104" t="s">
        <v>1169</v>
      </c>
      <c r="E136" s="103" t="s">
        <v>374</v>
      </c>
      <c r="F136" s="103" t="s">
        <v>375</v>
      </c>
      <c r="G136" s="103" t="s">
        <v>376</v>
      </c>
      <c r="H136" s="103" t="s">
        <v>1172</v>
      </c>
      <c r="I136" s="103" t="s">
        <v>1172</v>
      </c>
      <c r="J136" s="103" t="s">
        <v>878</v>
      </c>
      <c r="K136" s="103" t="s">
        <v>1127</v>
      </c>
      <c r="L136" s="103" t="s">
        <v>1732</v>
      </c>
      <c r="M136" s="103" t="s">
        <v>1093</v>
      </c>
      <c r="N136" s="119">
        <v>46284</v>
      </c>
      <c r="O136" s="105">
        <f t="shared" ref="O136:BZ136" si="1557">O134+O133+O132+O131+O130+O129</f>
        <v>5</v>
      </c>
      <c r="P136" s="73">
        <f t="shared" si="1557"/>
        <v>0</v>
      </c>
      <c r="Q136" s="73">
        <f t="shared" si="1557"/>
        <v>3</v>
      </c>
      <c r="R136" s="73">
        <f t="shared" si="1557"/>
        <v>5</v>
      </c>
      <c r="S136" s="73">
        <f t="shared" si="1557"/>
        <v>0</v>
      </c>
      <c r="T136" s="73">
        <f t="shared" si="1557"/>
        <v>5</v>
      </c>
      <c r="U136" s="73">
        <f t="shared" si="1557"/>
        <v>5</v>
      </c>
      <c r="V136" s="74">
        <f t="shared" si="1557"/>
        <v>5</v>
      </c>
      <c r="W136" s="75">
        <f t="shared" si="1557"/>
        <v>2</v>
      </c>
      <c r="X136" s="75">
        <f t="shared" si="1557"/>
        <v>4</v>
      </c>
      <c r="Y136" s="75">
        <f t="shared" si="1557"/>
        <v>3</v>
      </c>
      <c r="Z136" s="75">
        <f t="shared" si="1557"/>
        <v>5</v>
      </c>
      <c r="AA136" s="75">
        <f t="shared" si="1557"/>
        <v>5</v>
      </c>
      <c r="AB136" s="75">
        <f t="shared" si="1557"/>
        <v>5</v>
      </c>
      <c r="AC136" s="75">
        <f t="shared" si="1557"/>
        <v>5</v>
      </c>
      <c r="AD136" s="75">
        <f t="shared" si="1557"/>
        <v>1</v>
      </c>
      <c r="AE136" s="75">
        <f t="shared" si="1557"/>
        <v>5</v>
      </c>
      <c r="AF136" s="75">
        <f t="shared" si="1557"/>
        <v>2</v>
      </c>
      <c r="AG136" s="75">
        <f t="shared" si="1557"/>
        <v>5</v>
      </c>
      <c r="AH136" s="75">
        <f t="shared" si="1557"/>
        <v>5</v>
      </c>
      <c r="AI136" s="75">
        <f t="shared" si="1557"/>
        <v>3</v>
      </c>
      <c r="AJ136" s="75">
        <f t="shared" si="1557"/>
        <v>0</v>
      </c>
      <c r="AK136" s="75">
        <f t="shared" si="1557"/>
        <v>0</v>
      </c>
      <c r="AL136" s="75">
        <f t="shared" si="1557"/>
        <v>0</v>
      </c>
      <c r="AM136" s="75">
        <f t="shared" si="1557"/>
        <v>0</v>
      </c>
      <c r="AN136" s="75">
        <f t="shared" si="1557"/>
        <v>0</v>
      </c>
      <c r="AO136" s="75">
        <f t="shared" si="1557"/>
        <v>0</v>
      </c>
      <c r="AP136" s="75">
        <f t="shared" si="1557"/>
        <v>0</v>
      </c>
      <c r="AQ136" s="75">
        <f t="shared" si="1557"/>
        <v>0</v>
      </c>
      <c r="AR136" s="75">
        <f t="shared" si="1557"/>
        <v>0</v>
      </c>
      <c r="AS136" s="75">
        <f t="shared" si="1557"/>
        <v>0</v>
      </c>
      <c r="AT136" s="75">
        <f t="shared" si="1557"/>
        <v>0</v>
      </c>
      <c r="AU136" s="75">
        <f t="shared" si="1557"/>
        <v>0</v>
      </c>
      <c r="AV136" s="75">
        <f t="shared" si="1557"/>
        <v>0</v>
      </c>
      <c r="AW136" s="75">
        <f t="shared" si="1557"/>
        <v>0</v>
      </c>
      <c r="AX136" s="75">
        <f t="shared" si="1557"/>
        <v>0</v>
      </c>
      <c r="AY136" s="75">
        <f t="shared" si="1557"/>
        <v>0</v>
      </c>
      <c r="AZ136" s="76">
        <f t="shared" si="1557"/>
        <v>0</v>
      </c>
      <c r="BA136" s="74">
        <f t="shared" si="1553"/>
        <v>55</v>
      </c>
      <c r="BB136" s="73">
        <f t="shared" ca="1" si="1554"/>
        <v>0.84615384615384615</v>
      </c>
      <c r="BC136" s="74">
        <f t="shared" si="1557"/>
        <v>149</v>
      </c>
      <c r="BD136" s="75">
        <f t="shared" si="1557"/>
        <v>66</v>
      </c>
      <c r="BE136" s="75">
        <f t="shared" si="1557"/>
        <v>119</v>
      </c>
      <c r="BF136" s="75">
        <f t="shared" si="1557"/>
        <v>60</v>
      </c>
      <c r="BG136" s="75">
        <f t="shared" si="1557"/>
        <v>126</v>
      </c>
      <c r="BH136" s="75">
        <f t="shared" si="1557"/>
        <v>149</v>
      </c>
      <c r="BI136" s="75">
        <f t="shared" si="1557"/>
        <v>121</v>
      </c>
      <c r="BJ136" s="75">
        <f t="shared" si="1557"/>
        <v>126</v>
      </c>
      <c r="BK136" s="75">
        <f t="shared" si="1557"/>
        <v>91</v>
      </c>
      <c r="BL136" s="75">
        <f t="shared" si="1557"/>
        <v>281</v>
      </c>
      <c r="BM136" s="75">
        <f t="shared" si="1557"/>
        <v>105</v>
      </c>
      <c r="BN136" s="75">
        <f t="shared" si="1557"/>
        <v>210</v>
      </c>
      <c r="BO136" s="75">
        <f t="shared" si="1557"/>
        <v>196</v>
      </c>
      <c r="BP136" s="75">
        <f t="shared" si="1557"/>
        <v>0</v>
      </c>
      <c r="BQ136" s="75">
        <f t="shared" si="1557"/>
        <v>0</v>
      </c>
      <c r="BR136" s="75">
        <f t="shared" si="1557"/>
        <v>0</v>
      </c>
      <c r="BS136" s="75">
        <f t="shared" si="1557"/>
        <v>0</v>
      </c>
      <c r="BT136" s="75">
        <f t="shared" si="1557"/>
        <v>0</v>
      </c>
      <c r="BU136" s="75">
        <f t="shared" si="1557"/>
        <v>0</v>
      </c>
      <c r="BV136" s="75">
        <f t="shared" si="1557"/>
        <v>0</v>
      </c>
      <c r="BW136" s="75">
        <f t="shared" si="1557"/>
        <v>0</v>
      </c>
      <c r="BX136" s="75">
        <f t="shared" si="1557"/>
        <v>0</v>
      </c>
      <c r="BY136" s="75">
        <f t="shared" si="1557"/>
        <v>0</v>
      </c>
      <c r="BZ136" s="75">
        <f t="shared" si="1557"/>
        <v>0</v>
      </c>
      <c r="CA136" s="75">
        <f t="shared" ref="CA136:CG136" si="1558">CA134+CA133+CA132+CA131+CA130+CA129</f>
        <v>0</v>
      </c>
      <c r="CB136" s="75">
        <f t="shared" si="1558"/>
        <v>0</v>
      </c>
      <c r="CC136" s="75">
        <f t="shared" si="1558"/>
        <v>0</v>
      </c>
      <c r="CD136" s="75">
        <f t="shared" si="1558"/>
        <v>0</v>
      </c>
      <c r="CE136" s="75">
        <f t="shared" si="1558"/>
        <v>0</v>
      </c>
      <c r="CF136" s="75">
        <f t="shared" si="1558"/>
        <v>0</v>
      </c>
      <c r="CG136" s="75">
        <f t="shared" si="1558"/>
        <v>0</v>
      </c>
      <c r="CH136" s="74">
        <f t="shared" si="1555"/>
        <v>1799</v>
      </c>
      <c r="CI136" s="73">
        <f t="shared" ca="1" si="1556"/>
        <v>27.676923076923078</v>
      </c>
      <c r="GM136" s="2" t="s">
        <v>17</v>
      </c>
      <c r="GN136" s="103" t="str">
        <f t="shared" si="1552"/>
        <v>MUX02-FMCG-ASM-01</v>
      </c>
      <c r="GO136" s="4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6"/>
      <c r="HT136" s="4">
        <v>0</v>
      </c>
      <c r="HU136" s="3">
        <v>0</v>
      </c>
      <c r="HV136" s="3">
        <v>0</v>
      </c>
      <c r="HW136" s="3">
        <v>0</v>
      </c>
      <c r="HX136" s="3">
        <v>0</v>
      </c>
      <c r="HY136" s="3">
        <v>0</v>
      </c>
      <c r="HZ136" s="3">
        <v>0</v>
      </c>
      <c r="IA136" s="3">
        <v>0</v>
      </c>
      <c r="IB136" s="3">
        <v>0</v>
      </c>
      <c r="IC136" s="3">
        <v>0</v>
      </c>
      <c r="ID136" s="3">
        <v>0</v>
      </c>
      <c r="IE136" s="3">
        <v>0</v>
      </c>
      <c r="IF136" s="3">
        <v>0</v>
      </c>
      <c r="IG136" s="3">
        <v>0</v>
      </c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6"/>
    </row>
    <row r="137" spans="1:258" hidden="1">
      <c r="A137" s="97" t="s">
        <v>25</v>
      </c>
      <c r="B137" s="98" t="s">
        <v>20</v>
      </c>
      <c r="C137" s="98" t="s">
        <v>299</v>
      </c>
      <c r="D137" s="99" t="s">
        <v>1173</v>
      </c>
      <c r="E137" s="98" t="s">
        <v>1174</v>
      </c>
      <c r="F137" s="98" t="s">
        <v>1175</v>
      </c>
      <c r="G137" s="98" t="s">
        <v>380</v>
      </c>
      <c r="H137" s="98" t="s">
        <v>1656</v>
      </c>
      <c r="I137" s="98" t="s">
        <v>1656</v>
      </c>
      <c r="J137" s="98" t="s">
        <v>878</v>
      </c>
      <c r="K137" s="98" t="s">
        <v>1127</v>
      </c>
      <c r="L137" s="98" t="s">
        <v>0</v>
      </c>
      <c r="M137" s="101" t="s">
        <v>1093</v>
      </c>
      <c r="N137" s="108">
        <v>46244</v>
      </c>
      <c r="O137" s="100">
        <v>1</v>
      </c>
      <c r="P137" s="69">
        <v>0</v>
      </c>
      <c r="Q137" s="69">
        <f t="shared" ref="Q137:Q142" si="1559">IFERROR(IF(OR(AI137&gt;0),1,0),0)</f>
        <v>1</v>
      </c>
      <c r="R137" s="69">
        <f t="shared" ref="R137:R142" si="1560">IFERROR(IF(OR(BA137&gt;0),1,0),0)</f>
        <v>1</v>
      </c>
      <c r="S137" s="69">
        <f t="shared" ref="S137:S142" si="1561">IFERROR(IF(OR(BP137&gt;0),1,0),0)</f>
        <v>0</v>
      </c>
      <c r="T137" s="69">
        <f t="shared" ref="T137:T142" si="1562">IFERROR(IF(OR(CH137&gt;0),1,0),0)</f>
        <v>1</v>
      </c>
      <c r="U137" s="69">
        <f t="shared" ref="U137:U142" si="1563">IFERROR(IF(OR(BA137&gt;0,CH137&gt;0),1,0),0)</f>
        <v>1</v>
      </c>
      <c r="V137" s="70">
        <f t="shared" ref="V137:V142" si="1564">GO137</f>
        <v>1</v>
      </c>
      <c r="W137" s="71">
        <f t="shared" ref="W137:W142" si="1565">GP137</f>
        <v>1</v>
      </c>
      <c r="X137" s="71">
        <f t="shared" ref="X137:X142" si="1566">GQ137</f>
        <v>1</v>
      </c>
      <c r="Y137" s="71">
        <f t="shared" ref="Y137:Y142" si="1567">GR137</f>
        <v>0</v>
      </c>
      <c r="Z137" s="71">
        <f t="shared" ref="Z137:Z142" si="1568">GS137</f>
        <v>1</v>
      </c>
      <c r="AA137" s="71">
        <f t="shared" ref="AA137:AA142" si="1569">GT137</f>
        <v>1</v>
      </c>
      <c r="AB137" s="71">
        <f t="shared" ref="AB137:AB142" si="1570">GU137</f>
        <v>1</v>
      </c>
      <c r="AC137" s="71">
        <f t="shared" ref="AC137:AC142" si="1571">GV137</f>
        <v>1</v>
      </c>
      <c r="AD137" s="71">
        <f t="shared" ref="AD137:AD142" si="1572">GW137</f>
        <v>1</v>
      </c>
      <c r="AE137" s="71">
        <f t="shared" ref="AE137:AE142" si="1573">GX137</f>
        <v>1</v>
      </c>
      <c r="AF137" s="71">
        <f t="shared" ref="AF137:AF142" si="1574">GY137</f>
        <v>0</v>
      </c>
      <c r="AG137" s="71">
        <f t="shared" ref="AG137:AG142" si="1575">GZ137</f>
        <v>1</v>
      </c>
      <c r="AH137" s="71">
        <f t="shared" ref="AH137:AH142" si="1576">HA137</f>
        <v>1</v>
      </c>
      <c r="AI137" s="71">
        <f t="shared" ref="AI137:AI142" si="1577">HB137</f>
        <v>1</v>
      </c>
      <c r="AJ137" s="71">
        <f t="shared" ref="AJ137:AJ142" si="1578">HC137</f>
        <v>0</v>
      </c>
      <c r="AK137" s="71">
        <f t="shared" ref="AK137:AK142" si="1579">HD137</f>
        <v>0</v>
      </c>
      <c r="AL137" s="71">
        <f t="shared" ref="AL137:AL142" si="1580">HE137</f>
        <v>0</v>
      </c>
      <c r="AM137" s="71">
        <f t="shared" ref="AM137:AM142" si="1581">HF137</f>
        <v>0</v>
      </c>
      <c r="AN137" s="71">
        <f t="shared" ref="AN137:AN142" si="1582">HG137</f>
        <v>0</v>
      </c>
      <c r="AO137" s="71">
        <f t="shared" ref="AO137:AO142" si="1583">HH137</f>
        <v>0</v>
      </c>
      <c r="AP137" s="71">
        <f t="shared" ref="AP137:AP142" si="1584">HI137</f>
        <v>0</v>
      </c>
      <c r="AQ137" s="71">
        <f t="shared" ref="AQ137:AQ142" si="1585">HJ137</f>
        <v>0</v>
      </c>
      <c r="AR137" s="71">
        <f t="shared" ref="AR137:AR142" si="1586">HK137</f>
        <v>0</v>
      </c>
      <c r="AS137" s="71">
        <f t="shared" ref="AS137:AS142" si="1587">HL137</f>
        <v>0</v>
      </c>
      <c r="AT137" s="71">
        <f t="shared" ref="AT137:AT142" si="1588">HM137</f>
        <v>0</v>
      </c>
      <c r="AU137" s="71">
        <f t="shared" ref="AU137:AU142" si="1589">HN137</f>
        <v>0</v>
      </c>
      <c r="AV137" s="71">
        <f t="shared" ref="AV137:AV142" si="1590">HO137</f>
        <v>0</v>
      </c>
      <c r="AW137" s="71">
        <f t="shared" ref="AW137:AW142" si="1591">HP137</f>
        <v>0</v>
      </c>
      <c r="AX137" s="71">
        <f t="shared" ref="AX137:AX142" si="1592">HQ137</f>
        <v>0</v>
      </c>
      <c r="AY137" s="71">
        <f t="shared" ref="AY137:AY142" si="1593">HR137</f>
        <v>0</v>
      </c>
      <c r="AZ137" s="72">
        <f t="shared" ref="AZ137:AZ142" si="1594">HS137</f>
        <v>0</v>
      </c>
      <c r="BA137" s="70">
        <f t="shared" si="1553"/>
        <v>12</v>
      </c>
      <c r="BB137" s="69">
        <f t="shared" ca="1" si="1554"/>
        <v>0.92307692307692313</v>
      </c>
      <c r="BC137" s="70">
        <f t="shared" ref="BC137:BC142" si="1595">HT137</f>
        <v>0</v>
      </c>
      <c r="BD137" s="71">
        <f t="shared" ref="BD137:BD142" si="1596">HU137</f>
        <v>46</v>
      </c>
      <c r="BE137" s="71">
        <f t="shared" ref="BE137:BE142" si="1597">HV137</f>
        <v>35</v>
      </c>
      <c r="BF137" s="71">
        <f t="shared" ref="BF137:BF142" si="1598">HW137</f>
        <v>0</v>
      </c>
      <c r="BG137" s="71">
        <f t="shared" ref="BG137:BG142" si="1599">HX137</f>
        <v>57</v>
      </c>
      <c r="BH137" s="71">
        <f t="shared" ref="BH137:BH142" si="1600">HY137</f>
        <v>75</v>
      </c>
      <c r="BI137" s="71">
        <f t="shared" ref="BI137:BI142" si="1601">HZ137</f>
        <v>67</v>
      </c>
      <c r="BJ137" s="71">
        <f t="shared" ref="BJ137:BJ142" si="1602">IA137</f>
        <v>65</v>
      </c>
      <c r="BK137" s="71">
        <f t="shared" ref="BK137:BK142" si="1603">IB137</f>
        <v>48</v>
      </c>
      <c r="BL137" s="71">
        <f t="shared" ref="BL137:BL142" si="1604">IC137</f>
        <v>62</v>
      </c>
      <c r="BM137" s="71">
        <f t="shared" ref="BM137:BM142" si="1605">ID137</f>
        <v>0</v>
      </c>
      <c r="BN137" s="71">
        <f t="shared" ref="BN137:BN142" si="1606">IE137</f>
        <v>59</v>
      </c>
      <c r="BO137" s="71">
        <f t="shared" ref="BO137:BO142" si="1607">IF137</f>
        <v>42</v>
      </c>
      <c r="BP137" s="71">
        <f t="shared" ref="BP137:BP142" si="1608">IG137</f>
        <v>0</v>
      </c>
      <c r="BQ137" s="71">
        <f t="shared" ref="BQ137:BQ142" si="1609">IH137</f>
        <v>0</v>
      </c>
      <c r="BR137" s="71">
        <f t="shared" ref="BR137:BR142" si="1610">II137</f>
        <v>0</v>
      </c>
      <c r="BS137" s="71">
        <f t="shared" ref="BS137:BS142" si="1611">IJ137</f>
        <v>0</v>
      </c>
      <c r="BT137" s="71">
        <f t="shared" ref="BT137:BT142" si="1612">IK137</f>
        <v>0</v>
      </c>
      <c r="BU137" s="71">
        <f t="shared" ref="BU137:BU142" si="1613">IL137</f>
        <v>0</v>
      </c>
      <c r="BV137" s="71">
        <f t="shared" ref="BV137:BV142" si="1614">IM137</f>
        <v>0</v>
      </c>
      <c r="BW137" s="71">
        <f t="shared" ref="BW137:BW142" si="1615">IN137</f>
        <v>0</v>
      </c>
      <c r="BX137" s="71">
        <f t="shared" ref="BX137:BX142" si="1616">IO137</f>
        <v>0</v>
      </c>
      <c r="BY137" s="71">
        <f t="shared" ref="BY137:BY142" si="1617">IP137</f>
        <v>0</v>
      </c>
      <c r="BZ137" s="71">
        <f t="shared" ref="BZ137:BZ142" si="1618">IQ137</f>
        <v>0</v>
      </c>
      <c r="CA137" s="71">
        <f t="shared" ref="CA137:CA142" si="1619">IR137</f>
        <v>0</v>
      </c>
      <c r="CB137" s="71">
        <f t="shared" ref="CB137:CB142" si="1620">IS137</f>
        <v>0</v>
      </c>
      <c r="CC137" s="71">
        <f t="shared" ref="CC137:CC142" si="1621">IT137</f>
        <v>0</v>
      </c>
      <c r="CD137" s="71">
        <f t="shared" ref="CD137:CD142" si="1622">IU137</f>
        <v>0</v>
      </c>
      <c r="CE137" s="71">
        <f t="shared" ref="CE137:CE142" si="1623">IV137</f>
        <v>0</v>
      </c>
      <c r="CF137" s="71">
        <f t="shared" ref="CF137:CF142" si="1624">IW137</f>
        <v>0</v>
      </c>
      <c r="CG137" s="71">
        <f t="shared" ref="CG137:CG142" si="1625">IX137</f>
        <v>0</v>
      </c>
      <c r="CH137" s="70">
        <f t="shared" si="1555"/>
        <v>556</v>
      </c>
      <c r="CI137" s="69">
        <f t="shared" ca="1" si="1556"/>
        <v>42.769230769230766</v>
      </c>
      <c r="GM137" s="2" t="s">
        <v>16</v>
      </c>
      <c r="GN137" s="98" t="str">
        <f t="shared" si="1552"/>
        <v>MUX03-FMCG03-SPO-01</v>
      </c>
      <c r="GO137" s="4">
        <v>1</v>
      </c>
      <c r="GP137" s="3">
        <v>1</v>
      </c>
      <c r="GQ137" s="3">
        <v>1</v>
      </c>
      <c r="GR137" s="3">
        <v>0</v>
      </c>
      <c r="GS137" s="3">
        <v>1</v>
      </c>
      <c r="GT137" s="3">
        <v>1</v>
      </c>
      <c r="GU137" s="3">
        <v>1</v>
      </c>
      <c r="GV137" s="3">
        <v>1</v>
      </c>
      <c r="GW137" s="3">
        <v>1</v>
      </c>
      <c r="GX137" s="3">
        <v>1</v>
      </c>
      <c r="GY137" s="3">
        <v>0</v>
      </c>
      <c r="GZ137" s="3">
        <v>1</v>
      </c>
      <c r="HA137" s="3">
        <v>1</v>
      </c>
      <c r="HB137" s="3">
        <v>1</v>
      </c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6"/>
      <c r="HT137" s="4">
        <v>0</v>
      </c>
      <c r="HU137" s="3">
        <v>46</v>
      </c>
      <c r="HV137" s="3">
        <v>35</v>
      </c>
      <c r="HW137" s="3">
        <v>0</v>
      </c>
      <c r="HX137" s="3">
        <v>57</v>
      </c>
      <c r="HY137" s="3">
        <v>75</v>
      </c>
      <c r="HZ137" s="3">
        <v>67</v>
      </c>
      <c r="IA137" s="3">
        <v>65</v>
      </c>
      <c r="IB137" s="3">
        <v>48</v>
      </c>
      <c r="IC137" s="3">
        <v>62</v>
      </c>
      <c r="ID137" s="3">
        <v>0</v>
      </c>
      <c r="IE137" s="3">
        <v>59</v>
      </c>
      <c r="IF137" s="3">
        <v>42</v>
      </c>
      <c r="IG137" s="3">
        <v>0</v>
      </c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6"/>
    </row>
    <row r="138" spans="1:258" hidden="1">
      <c r="A138" s="97" t="s">
        <v>25</v>
      </c>
      <c r="B138" s="98" t="s">
        <v>20</v>
      </c>
      <c r="C138" s="98" t="s">
        <v>299</v>
      </c>
      <c r="D138" s="99" t="s">
        <v>1173</v>
      </c>
      <c r="E138" s="98" t="s">
        <v>1176</v>
      </c>
      <c r="F138" s="98" t="s">
        <v>1177</v>
      </c>
      <c r="G138" s="98" t="s">
        <v>370</v>
      </c>
      <c r="H138" s="98" t="s">
        <v>1491</v>
      </c>
      <c r="I138" s="98" t="s">
        <v>1491</v>
      </c>
      <c r="J138" s="98" t="s">
        <v>878</v>
      </c>
      <c r="K138" s="98" t="s">
        <v>1127</v>
      </c>
      <c r="L138" s="98" t="s">
        <v>371</v>
      </c>
      <c r="M138" s="101" t="s">
        <v>1093</v>
      </c>
      <c r="N138" s="108">
        <v>45665</v>
      </c>
      <c r="O138" s="100">
        <v>1</v>
      </c>
      <c r="P138" s="69">
        <v>0</v>
      </c>
      <c r="Q138" s="69">
        <f t="shared" si="1559"/>
        <v>1</v>
      </c>
      <c r="R138" s="69">
        <f t="shared" si="1560"/>
        <v>1</v>
      </c>
      <c r="S138" s="69">
        <f t="shared" si="1561"/>
        <v>0</v>
      </c>
      <c r="T138" s="69">
        <f t="shared" si="1562"/>
        <v>1</v>
      </c>
      <c r="U138" s="69">
        <f t="shared" si="1563"/>
        <v>1</v>
      </c>
      <c r="V138" s="70">
        <f t="shared" si="1564"/>
        <v>1</v>
      </c>
      <c r="W138" s="71">
        <f t="shared" si="1565"/>
        <v>1</v>
      </c>
      <c r="X138" s="71">
        <f t="shared" si="1566"/>
        <v>1</v>
      </c>
      <c r="Y138" s="71">
        <f t="shared" si="1567"/>
        <v>0</v>
      </c>
      <c r="Z138" s="71">
        <f t="shared" si="1568"/>
        <v>1</v>
      </c>
      <c r="AA138" s="71">
        <f t="shared" si="1569"/>
        <v>1</v>
      </c>
      <c r="AB138" s="71">
        <f t="shared" si="1570"/>
        <v>1</v>
      </c>
      <c r="AC138" s="71">
        <f t="shared" si="1571"/>
        <v>1</v>
      </c>
      <c r="AD138" s="71">
        <f t="shared" si="1572"/>
        <v>1</v>
      </c>
      <c r="AE138" s="71">
        <f t="shared" si="1573"/>
        <v>1</v>
      </c>
      <c r="AF138" s="71">
        <f t="shared" si="1574"/>
        <v>0</v>
      </c>
      <c r="AG138" s="71">
        <f t="shared" si="1575"/>
        <v>1</v>
      </c>
      <c r="AH138" s="71">
        <f t="shared" si="1576"/>
        <v>1</v>
      </c>
      <c r="AI138" s="71">
        <f t="shared" si="1577"/>
        <v>1</v>
      </c>
      <c r="AJ138" s="71">
        <f t="shared" si="1578"/>
        <v>0</v>
      </c>
      <c r="AK138" s="71">
        <f t="shared" si="1579"/>
        <v>0</v>
      </c>
      <c r="AL138" s="71">
        <f t="shared" si="1580"/>
        <v>0</v>
      </c>
      <c r="AM138" s="71">
        <f t="shared" si="1581"/>
        <v>0</v>
      </c>
      <c r="AN138" s="71">
        <f t="shared" si="1582"/>
        <v>0</v>
      </c>
      <c r="AO138" s="71">
        <f t="shared" si="1583"/>
        <v>0</v>
      </c>
      <c r="AP138" s="71">
        <f t="shared" si="1584"/>
        <v>0</v>
      </c>
      <c r="AQ138" s="71">
        <f t="shared" si="1585"/>
        <v>0</v>
      </c>
      <c r="AR138" s="71">
        <f t="shared" si="1586"/>
        <v>0</v>
      </c>
      <c r="AS138" s="71">
        <f t="shared" si="1587"/>
        <v>0</v>
      </c>
      <c r="AT138" s="71">
        <f t="shared" si="1588"/>
        <v>0</v>
      </c>
      <c r="AU138" s="71">
        <f t="shared" si="1589"/>
        <v>0</v>
      </c>
      <c r="AV138" s="71">
        <f t="shared" si="1590"/>
        <v>0</v>
      </c>
      <c r="AW138" s="71">
        <f t="shared" si="1591"/>
        <v>0</v>
      </c>
      <c r="AX138" s="71">
        <f t="shared" si="1592"/>
        <v>0</v>
      </c>
      <c r="AY138" s="71">
        <f t="shared" si="1593"/>
        <v>0</v>
      </c>
      <c r="AZ138" s="72">
        <f t="shared" si="1594"/>
        <v>0</v>
      </c>
      <c r="BA138" s="70">
        <f t="shared" si="1553"/>
        <v>12</v>
      </c>
      <c r="BB138" s="69">
        <f t="shared" ca="1" si="1554"/>
        <v>0.92307692307692313</v>
      </c>
      <c r="BC138" s="70">
        <f t="shared" si="1595"/>
        <v>32</v>
      </c>
      <c r="BD138" s="71">
        <f t="shared" si="1596"/>
        <v>42</v>
      </c>
      <c r="BE138" s="71">
        <f t="shared" si="1597"/>
        <v>40</v>
      </c>
      <c r="BF138" s="71">
        <f t="shared" si="1598"/>
        <v>0</v>
      </c>
      <c r="BG138" s="71">
        <f t="shared" si="1599"/>
        <v>0</v>
      </c>
      <c r="BH138" s="71">
        <f t="shared" si="1600"/>
        <v>41</v>
      </c>
      <c r="BI138" s="71">
        <f t="shared" si="1601"/>
        <v>29</v>
      </c>
      <c r="BJ138" s="71">
        <f t="shared" si="1602"/>
        <v>26</v>
      </c>
      <c r="BK138" s="71">
        <f t="shared" si="1603"/>
        <v>29</v>
      </c>
      <c r="BL138" s="71">
        <f t="shared" si="1604"/>
        <v>39</v>
      </c>
      <c r="BM138" s="71">
        <f t="shared" si="1605"/>
        <v>0</v>
      </c>
      <c r="BN138" s="71">
        <f t="shared" si="1606"/>
        <v>42</v>
      </c>
      <c r="BO138" s="71">
        <f t="shared" si="1607"/>
        <v>46</v>
      </c>
      <c r="BP138" s="71">
        <f t="shared" si="1608"/>
        <v>0</v>
      </c>
      <c r="BQ138" s="71">
        <f t="shared" si="1609"/>
        <v>0</v>
      </c>
      <c r="BR138" s="71">
        <f t="shared" si="1610"/>
        <v>0</v>
      </c>
      <c r="BS138" s="71">
        <f t="shared" si="1611"/>
        <v>0</v>
      </c>
      <c r="BT138" s="71">
        <f t="shared" si="1612"/>
        <v>0</v>
      </c>
      <c r="BU138" s="71">
        <f t="shared" si="1613"/>
        <v>0</v>
      </c>
      <c r="BV138" s="71">
        <f t="shared" si="1614"/>
        <v>0</v>
      </c>
      <c r="BW138" s="71">
        <f t="shared" si="1615"/>
        <v>0</v>
      </c>
      <c r="BX138" s="71">
        <f t="shared" si="1616"/>
        <v>0</v>
      </c>
      <c r="BY138" s="71">
        <f t="shared" si="1617"/>
        <v>0</v>
      </c>
      <c r="BZ138" s="71">
        <f t="shared" si="1618"/>
        <v>0</v>
      </c>
      <c r="CA138" s="71">
        <f t="shared" si="1619"/>
        <v>0</v>
      </c>
      <c r="CB138" s="71">
        <f t="shared" si="1620"/>
        <v>0</v>
      </c>
      <c r="CC138" s="71">
        <f t="shared" si="1621"/>
        <v>0</v>
      </c>
      <c r="CD138" s="71">
        <f t="shared" si="1622"/>
        <v>0</v>
      </c>
      <c r="CE138" s="71">
        <f t="shared" si="1623"/>
        <v>0</v>
      </c>
      <c r="CF138" s="71">
        <f t="shared" si="1624"/>
        <v>0</v>
      </c>
      <c r="CG138" s="71">
        <f t="shared" si="1625"/>
        <v>0</v>
      </c>
      <c r="CH138" s="70">
        <f t="shared" si="1555"/>
        <v>366</v>
      </c>
      <c r="CI138" s="69">
        <f t="shared" ca="1" si="1556"/>
        <v>28.153846153846153</v>
      </c>
      <c r="GM138" s="2" t="s">
        <v>16</v>
      </c>
      <c r="GN138" s="98" t="str">
        <f t="shared" si="1552"/>
        <v>MUX03-FMCG03-SPO-02</v>
      </c>
      <c r="GO138" s="4">
        <v>1</v>
      </c>
      <c r="GP138" s="3">
        <v>1</v>
      </c>
      <c r="GQ138" s="3">
        <v>1</v>
      </c>
      <c r="GR138" s="3">
        <v>0</v>
      </c>
      <c r="GS138" s="3">
        <v>1</v>
      </c>
      <c r="GT138" s="3">
        <v>1</v>
      </c>
      <c r="GU138" s="3">
        <v>1</v>
      </c>
      <c r="GV138" s="3">
        <v>1</v>
      </c>
      <c r="GW138" s="3">
        <v>1</v>
      </c>
      <c r="GX138" s="3">
        <v>1</v>
      </c>
      <c r="GY138" s="3">
        <v>0</v>
      </c>
      <c r="GZ138" s="3">
        <v>1</v>
      </c>
      <c r="HA138" s="3">
        <v>1</v>
      </c>
      <c r="HB138" s="3">
        <v>1</v>
      </c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6"/>
      <c r="HT138" s="4">
        <v>32</v>
      </c>
      <c r="HU138" s="3">
        <v>42</v>
      </c>
      <c r="HV138" s="3">
        <v>40</v>
      </c>
      <c r="HW138" s="3">
        <v>0</v>
      </c>
      <c r="HX138" s="3">
        <v>0</v>
      </c>
      <c r="HY138" s="3">
        <v>41</v>
      </c>
      <c r="HZ138" s="3">
        <v>29</v>
      </c>
      <c r="IA138" s="3">
        <v>26</v>
      </c>
      <c r="IB138" s="3">
        <v>29</v>
      </c>
      <c r="IC138" s="3">
        <v>39</v>
      </c>
      <c r="ID138" s="3">
        <v>0</v>
      </c>
      <c r="IE138" s="3">
        <v>42</v>
      </c>
      <c r="IF138" s="3">
        <v>46</v>
      </c>
      <c r="IG138" s="3">
        <v>0</v>
      </c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6"/>
    </row>
    <row r="139" spans="1:258" hidden="1">
      <c r="A139" s="97" t="s">
        <v>25</v>
      </c>
      <c r="B139" s="98" t="s">
        <v>20</v>
      </c>
      <c r="C139" s="98" t="s">
        <v>299</v>
      </c>
      <c r="D139" s="99" t="s">
        <v>1173</v>
      </c>
      <c r="E139" s="98" t="s">
        <v>1178</v>
      </c>
      <c r="F139" s="98" t="s">
        <v>1179</v>
      </c>
      <c r="G139" s="98" t="s">
        <v>314</v>
      </c>
      <c r="H139" s="98" t="s">
        <v>1492</v>
      </c>
      <c r="I139" s="98" t="s">
        <v>1492</v>
      </c>
      <c r="J139" s="98" t="s">
        <v>1158</v>
      </c>
      <c r="K139" s="98" t="s">
        <v>1127</v>
      </c>
      <c r="L139" s="98" t="s">
        <v>315</v>
      </c>
      <c r="M139" s="101" t="s">
        <v>1093</v>
      </c>
      <c r="N139" s="108">
        <v>45667</v>
      </c>
      <c r="O139" s="100">
        <v>1</v>
      </c>
      <c r="P139" s="69">
        <v>0</v>
      </c>
      <c r="Q139" s="69">
        <f t="shared" si="1559"/>
        <v>1</v>
      </c>
      <c r="R139" s="69">
        <f t="shared" si="1560"/>
        <v>1</v>
      </c>
      <c r="S139" s="69">
        <f t="shared" si="1561"/>
        <v>0</v>
      </c>
      <c r="T139" s="69">
        <f t="shared" si="1562"/>
        <v>1</v>
      </c>
      <c r="U139" s="69">
        <f t="shared" si="1563"/>
        <v>1</v>
      </c>
      <c r="V139" s="70">
        <f t="shared" si="1564"/>
        <v>1</v>
      </c>
      <c r="W139" s="71">
        <f t="shared" si="1565"/>
        <v>1</v>
      </c>
      <c r="X139" s="71">
        <f t="shared" si="1566"/>
        <v>1</v>
      </c>
      <c r="Y139" s="71">
        <f t="shared" si="1567"/>
        <v>0</v>
      </c>
      <c r="Z139" s="71">
        <f t="shared" si="1568"/>
        <v>1</v>
      </c>
      <c r="AA139" s="71">
        <f t="shared" si="1569"/>
        <v>1</v>
      </c>
      <c r="AB139" s="71">
        <f t="shared" si="1570"/>
        <v>1</v>
      </c>
      <c r="AC139" s="71">
        <f t="shared" si="1571"/>
        <v>1</v>
      </c>
      <c r="AD139" s="71">
        <f t="shared" si="1572"/>
        <v>1</v>
      </c>
      <c r="AE139" s="71">
        <f t="shared" si="1573"/>
        <v>1</v>
      </c>
      <c r="AF139" s="71">
        <f t="shared" si="1574"/>
        <v>0</v>
      </c>
      <c r="AG139" s="71">
        <f t="shared" si="1575"/>
        <v>1</v>
      </c>
      <c r="AH139" s="71">
        <f t="shared" si="1576"/>
        <v>1</v>
      </c>
      <c r="AI139" s="71">
        <f t="shared" si="1577"/>
        <v>1</v>
      </c>
      <c r="AJ139" s="71">
        <f t="shared" si="1578"/>
        <v>0</v>
      </c>
      <c r="AK139" s="71">
        <f t="shared" si="1579"/>
        <v>0</v>
      </c>
      <c r="AL139" s="71">
        <f t="shared" si="1580"/>
        <v>0</v>
      </c>
      <c r="AM139" s="71">
        <f t="shared" si="1581"/>
        <v>0</v>
      </c>
      <c r="AN139" s="71">
        <f t="shared" si="1582"/>
        <v>0</v>
      </c>
      <c r="AO139" s="71">
        <f t="shared" si="1583"/>
        <v>0</v>
      </c>
      <c r="AP139" s="71">
        <f t="shared" si="1584"/>
        <v>0</v>
      </c>
      <c r="AQ139" s="71">
        <f t="shared" si="1585"/>
        <v>0</v>
      </c>
      <c r="AR139" s="71">
        <f t="shared" si="1586"/>
        <v>0</v>
      </c>
      <c r="AS139" s="71">
        <f t="shared" si="1587"/>
        <v>0</v>
      </c>
      <c r="AT139" s="71">
        <f t="shared" si="1588"/>
        <v>0</v>
      </c>
      <c r="AU139" s="71">
        <f t="shared" si="1589"/>
        <v>0</v>
      </c>
      <c r="AV139" s="71">
        <f t="shared" si="1590"/>
        <v>0</v>
      </c>
      <c r="AW139" s="71">
        <f t="shared" si="1591"/>
        <v>0</v>
      </c>
      <c r="AX139" s="71">
        <f t="shared" si="1592"/>
        <v>0</v>
      </c>
      <c r="AY139" s="71">
        <f t="shared" si="1593"/>
        <v>0</v>
      </c>
      <c r="AZ139" s="72">
        <f t="shared" si="1594"/>
        <v>0</v>
      </c>
      <c r="BA139" s="70">
        <f t="shared" si="1553"/>
        <v>12</v>
      </c>
      <c r="BB139" s="69">
        <f t="shared" ca="1" si="1554"/>
        <v>0.92307692307692313</v>
      </c>
      <c r="BC139" s="70">
        <f t="shared" si="1595"/>
        <v>18</v>
      </c>
      <c r="BD139" s="71">
        <f t="shared" si="1596"/>
        <v>36</v>
      </c>
      <c r="BE139" s="71">
        <f t="shared" si="1597"/>
        <v>42</v>
      </c>
      <c r="BF139" s="71">
        <f t="shared" si="1598"/>
        <v>0</v>
      </c>
      <c r="BG139" s="71">
        <f t="shared" si="1599"/>
        <v>39</v>
      </c>
      <c r="BH139" s="71">
        <f t="shared" si="1600"/>
        <v>14</v>
      </c>
      <c r="BI139" s="71">
        <f t="shared" si="1601"/>
        <v>28</v>
      </c>
      <c r="BJ139" s="71">
        <f t="shared" si="1602"/>
        <v>25</v>
      </c>
      <c r="BK139" s="71">
        <f t="shared" si="1603"/>
        <v>14</v>
      </c>
      <c r="BL139" s="71">
        <f t="shared" si="1604"/>
        <v>15</v>
      </c>
      <c r="BM139" s="71">
        <f t="shared" si="1605"/>
        <v>0</v>
      </c>
      <c r="BN139" s="71">
        <f t="shared" si="1606"/>
        <v>0</v>
      </c>
      <c r="BO139" s="71">
        <f t="shared" si="1607"/>
        <v>51</v>
      </c>
      <c r="BP139" s="71">
        <f t="shared" si="1608"/>
        <v>0</v>
      </c>
      <c r="BQ139" s="71">
        <f t="shared" si="1609"/>
        <v>0</v>
      </c>
      <c r="BR139" s="71">
        <f t="shared" si="1610"/>
        <v>0</v>
      </c>
      <c r="BS139" s="71">
        <f t="shared" si="1611"/>
        <v>0</v>
      </c>
      <c r="BT139" s="71">
        <f t="shared" si="1612"/>
        <v>0</v>
      </c>
      <c r="BU139" s="71">
        <f t="shared" si="1613"/>
        <v>0</v>
      </c>
      <c r="BV139" s="71">
        <f t="shared" si="1614"/>
        <v>0</v>
      </c>
      <c r="BW139" s="71">
        <f t="shared" si="1615"/>
        <v>0</v>
      </c>
      <c r="BX139" s="71">
        <f t="shared" si="1616"/>
        <v>0</v>
      </c>
      <c r="BY139" s="71">
        <f t="shared" si="1617"/>
        <v>0</v>
      </c>
      <c r="BZ139" s="71">
        <f t="shared" si="1618"/>
        <v>0</v>
      </c>
      <c r="CA139" s="71">
        <f t="shared" si="1619"/>
        <v>0</v>
      </c>
      <c r="CB139" s="71">
        <f t="shared" si="1620"/>
        <v>0</v>
      </c>
      <c r="CC139" s="71">
        <f t="shared" si="1621"/>
        <v>0</v>
      </c>
      <c r="CD139" s="71">
        <f t="shared" si="1622"/>
        <v>0</v>
      </c>
      <c r="CE139" s="71">
        <f t="shared" si="1623"/>
        <v>0</v>
      </c>
      <c r="CF139" s="71">
        <f t="shared" si="1624"/>
        <v>0</v>
      </c>
      <c r="CG139" s="71">
        <f t="shared" si="1625"/>
        <v>0</v>
      </c>
      <c r="CH139" s="70">
        <f t="shared" si="1555"/>
        <v>282</v>
      </c>
      <c r="CI139" s="69">
        <f t="shared" ca="1" si="1556"/>
        <v>21.692307692307693</v>
      </c>
      <c r="GM139" s="2" t="s">
        <v>16</v>
      </c>
      <c r="GN139" s="98" t="str">
        <f t="shared" si="1552"/>
        <v>MUX03-FMCG03-SPO-03</v>
      </c>
      <c r="GO139" s="4">
        <v>1</v>
      </c>
      <c r="GP139" s="3">
        <v>1</v>
      </c>
      <c r="GQ139" s="3">
        <v>1</v>
      </c>
      <c r="GR139" s="3">
        <v>0</v>
      </c>
      <c r="GS139" s="3">
        <v>1</v>
      </c>
      <c r="GT139" s="3">
        <v>1</v>
      </c>
      <c r="GU139" s="3">
        <v>1</v>
      </c>
      <c r="GV139" s="3">
        <v>1</v>
      </c>
      <c r="GW139" s="3">
        <v>1</v>
      </c>
      <c r="GX139" s="3">
        <v>1</v>
      </c>
      <c r="GY139" s="3">
        <v>0</v>
      </c>
      <c r="GZ139" s="3">
        <v>1</v>
      </c>
      <c r="HA139" s="3">
        <v>1</v>
      </c>
      <c r="HB139" s="3">
        <v>1</v>
      </c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6"/>
      <c r="HT139" s="4">
        <v>18</v>
      </c>
      <c r="HU139" s="3">
        <v>36</v>
      </c>
      <c r="HV139" s="3">
        <v>42</v>
      </c>
      <c r="HW139" s="3">
        <v>0</v>
      </c>
      <c r="HX139" s="3">
        <v>39</v>
      </c>
      <c r="HY139" s="3">
        <v>14</v>
      </c>
      <c r="HZ139" s="3">
        <v>28</v>
      </c>
      <c r="IA139" s="3">
        <v>25</v>
      </c>
      <c r="IB139" s="3">
        <v>14</v>
      </c>
      <c r="IC139" s="3">
        <v>15</v>
      </c>
      <c r="ID139" s="3">
        <v>0</v>
      </c>
      <c r="IE139" s="3">
        <v>0</v>
      </c>
      <c r="IF139" s="3">
        <v>51</v>
      </c>
      <c r="IG139" s="3">
        <v>0</v>
      </c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6"/>
    </row>
    <row r="140" spans="1:258" hidden="1">
      <c r="A140" s="97" t="s">
        <v>25</v>
      </c>
      <c r="B140" s="98" t="s">
        <v>20</v>
      </c>
      <c r="C140" s="98" t="s">
        <v>299</v>
      </c>
      <c r="D140" s="99" t="s">
        <v>1173</v>
      </c>
      <c r="E140" s="98" t="s">
        <v>1180</v>
      </c>
      <c r="F140" s="98" t="s">
        <v>1181</v>
      </c>
      <c r="G140" s="98" t="s">
        <v>326</v>
      </c>
      <c r="H140" s="98" t="s">
        <v>1657</v>
      </c>
      <c r="I140" s="98" t="s">
        <v>1657</v>
      </c>
      <c r="J140" s="98" t="s">
        <v>1161</v>
      </c>
      <c r="K140" s="98" t="s">
        <v>1127</v>
      </c>
      <c r="L140" s="98" t="s">
        <v>1658</v>
      </c>
      <c r="M140" s="101" t="s">
        <v>1093</v>
      </c>
      <c r="N140" s="108">
        <v>46240</v>
      </c>
      <c r="O140" s="100">
        <v>1</v>
      </c>
      <c r="P140" s="69">
        <v>0</v>
      </c>
      <c r="Q140" s="69">
        <f t="shared" si="1559"/>
        <v>1</v>
      </c>
      <c r="R140" s="69">
        <f t="shared" si="1560"/>
        <v>1</v>
      </c>
      <c r="S140" s="69">
        <f t="shared" si="1561"/>
        <v>1</v>
      </c>
      <c r="T140" s="69">
        <f t="shared" si="1562"/>
        <v>1</v>
      </c>
      <c r="U140" s="69">
        <f t="shared" si="1563"/>
        <v>1</v>
      </c>
      <c r="V140" s="70">
        <f t="shared" si="1564"/>
        <v>1</v>
      </c>
      <c r="W140" s="71">
        <f t="shared" si="1565"/>
        <v>1</v>
      </c>
      <c r="X140" s="71">
        <f t="shared" si="1566"/>
        <v>1</v>
      </c>
      <c r="Y140" s="71">
        <f t="shared" si="1567"/>
        <v>0</v>
      </c>
      <c r="Z140" s="71">
        <f t="shared" si="1568"/>
        <v>1</v>
      </c>
      <c r="AA140" s="71">
        <f t="shared" si="1569"/>
        <v>1</v>
      </c>
      <c r="AB140" s="71">
        <f t="shared" si="1570"/>
        <v>1</v>
      </c>
      <c r="AC140" s="71">
        <f t="shared" si="1571"/>
        <v>1</v>
      </c>
      <c r="AD140" s="71">
        <f t="shared" si="1572"/>
        <v>1</v>
      </c>
      <c r="AE140" s="71">
        <f t="shared" si="1573"/>
        <v>1</v>
      </c>
      <c r="AF140" s="71">
        <f t="shared" si="1574"/>
        <v>0</v>
      </c>
      <c r="AG140" s="71">
        <f t="shared" si="1575"/>
        <v>1</v>
      </c>
      <c r="AH140" s="71">
        <f t="shared" si="1576"/>
        <v>0</v>
      </c>
      <c r="AI140" s="71">
        <f t="shared" si="1577"/>
        <v>1</v>
      </c>
      <c r="AJ140" s="71">
        <f t="shared" si="1578"/>
        <v>0</v>
      </c>
      <c r="AK140" s="71">
        <f t="shared" si="1579"/>
        <v>0</v>
      </c>
      <c r="AL140" s="71">
        <f t="shared" si="1580"/>
        <v>0</v>
      </c>
      <c r="AM140" s="71">
        <f t="shared" si="1581"/>
        <v>0</v>
      </c>
      <c r="AN140" s="71">
        <f t="shared" si="1582"/>
        <v>0</v>
      </c>
      <c r="AO140" s="71">
        <f t="shared" si="1583"/>
        <v>0</v>
      </c>
      <c r="AP140" s="71">
        <f t="shared" si="1584"/>
        <v>0</v>
      </c>
      <c r="AQ140" s="71">
        <f t="shared" si="1585"/>
        <v>0</v>
      </c>
      <c r="AR140" s="71">
        <f t="shared" si="1586"/>
        <v>0</v>
      </c>
      <c r="AS140" s="71">
        <f t="shared" si="1587"/>
        <v>0</v>
      </c>
      <c r="AT140" s="71">
        <f t="shared" si="1588"/>
        <v>0</v>
      </c>
      <c r="AU140" s="71">
        <f t="shared" si="1589"/>
        <v>0</v>
      </c>
      <c r="AV140" s="71">
        <f t="shared" si="1590"/>
        <v>0</v>
      </c>
      <c r="AW140" s="71">
        <f t="shared" si="1591"/>
        <v>0</v>
      </c>
      <c r="AX140" s="71">
        <f t="shared" si="1592"/>
        <v>0</v>
      </c>
      <c r="AY140" s="71">
        <f t="shared" si="1593"/>
        <v>0</v>
      </c>
      <c r="AZ140" s="72">
        <f t="shared" si="1594"/>
        <v>0</v>
      </c>
      <c r="BA140" s="70">
        <f t="shared" si="1553"/>
        <v>11</v>
      </c>
      <c r="BB140" s="69">
        <f t="shared" ca="1" si="1554"/>
        <v>0.84615384615384615</v>
      </c>
      <c r="BC140" s="70">
        <f t="shared" si="1595"/>
        <v>42</v>
      </c>
      <c r="BD140" s="71">
        <f t="shared" si="1596"/>
        <v>40</v>
      </c>
      <c r="BE140" s="71">
        <f t="shared" si="1597"/>
        <v>0</v>
      </c>
      <c r="BF140" s="71">
        <f t="shared" si="1598"/>
        <v>0</v>
      </c>
      <c r="BG140" s="71">
        <f t="shared" si="1599"/>
        <v>40</v>
      </c>
      <c r="BH140" s="71">
        <f t="shared" si="1600"/>
        <v>41</v>
      </c>
      <c r="BI140" s="71">
        <f t="shared" si="1601"/>
        <v>39</v>
      </c>
      <c r="BJ140" s="71">
        <f t="shared" si="1602"/>
        <v>42</v>
      </c>
      <c r="BK140" s="71">
        <f t="shared" si="1603"/>
        <v>40</v>
      </c>
      <c r="BL140" s="71">
        <f t="shared" si="1604"/>
        <v>40</v>
      </c>
      <c r="BM140" s="71">
        <f t="shared" si="1605"/>
        <v>0</v>
      </c>
      <c r="BN140" s="71">
        <f t="shared" si="1606"/>
        <v>33</v>
      </c>
      <c r="BO140" s="71">
        <f t="shared" si="1607"/>
        <v>0</v>
      </c>
      <c r="BP140" s="71">
        <f t="shared" si="1608"/>
        <v>2</v>
      </c>
      <c r="BQ140" s="71">
        <f t="shared" si="1609"/>
        <v>0</v>
      </c>
      <c r="BR140" s="71">
        <f t="shared" si="1610"/>
        <v>0</v>
      </c>
      <c r="BS140" s="71">
        <f t="shared" si="1611"/>
        <v>0</v>
      </c>
      <c r="BT140" s="71">
        <f t="shared" si="1612"/>
        <v>0</v>
      </c>
      <c r="BU140" s="71">
        <f t="shared" si="1613"/>
        <v>0</v>
      </c>
      <c r="BV140" s="71">
        <f t="shared" si="1614"/>
        <v>0</v>
      </c>
      <c r="BW140" s="71">
        <f t="shared" si="1615"/>
        <v>0</v>
      </c>
      <c r="BX140" s="71">
        <f t="shared" si="1616"/>
        <v>0</v>
      </c>
      <c r="BY140" s="71">
        <f t="shared" si="1617"/>
        <v>0</v>
      </c>
      <c r="BZ140" s="71">
        <f t="shared" si="1618"/>
        <v>0</v>
      </c>
      <c r="CA140" s="71">
        <f t="shared" si="1619"/>
        <v>0</v>
      </c>
      <c r="CB140" s="71">
        <f t="shared" si="1620"/>
        <v>0</v>
      </c>
      <c r="CC140" s="71">
        <f t="shared" si="1621"/>
        <v>0</v>
      </c>
      <c r="CD140" s="71">
        <f t="shared" si="1622"/>
        <v>0</v>
      </c>
      <c r="CE140" s="71">
        <f t="shared" si="1623"/>
        <v>0</v>
      </c>
      <c r="CF140" s="71">
        <f t="shared" si="1624"/>
        <v>0</v>
      </c>
      <c r="CG140" s="71">
        <f t="shared" si="1625"/>
        <v>0</v>
      </c>
      <c r="CH140" s="70">
        <f t="shared" si="1555"/>
        <v>359</v>
      </c>
      <c r="CI140" s="69">
        <f t="shared" ca="1" si="1556"/>
        <v>27.615384615384617</v>
      </c>
      <c r="GM140" s="2" t="s">
        <v>16</v>
      </c>
      <c r="GN140" s="98" t="str">
        <f t="shared" si="1552"/>
        <v>MUX03-FMCG03-SPO-04</v>
      </c>
      <c r="GO140" s="4">
        <v>1</v>
      </c>
      <c r="GP140" s="3">
        <v>1</v>
      </c>
      <c r="GQ140" s="3">
        <v>1</v>
      </c>
      <c r="GR140" s="3">
        <v>0</v>
      </c>
      <c r="GS140" s="3">
        <v>1</v>
      </c>
      <c r="GT140" s="3">
        <v>1</v>
      </c>
      <c r="GU140" s="3">
        <v>1</v>
      </c>
      <c r="GV140" s="3">
        <v>1</v>
      </c>
      <c r="GW140" s="3">
        <v>1</v>
      </c>
      <c r="GX140" s="3">
        <v>1</v>
      </c>
      <c r="GY140" s="3">
        <v>0</v>
      </c>
      <c r="GZ140" s="3">
        <v>1</v>
      </c>
      <c r="HA140" s="3">
        <v>0</v>
      </c>
      <c r="HB140" s="3">
        <v>1</v>
      </c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6"/>
      <c r="HT140" s="4">
        <v>42</v>
      </c>
      <c r="HU140" s="3">
        <v>40</v>
      </c>
      <c r="HV140" s="3">
        <v>0</v>
      </c>
      <c r="HW140" s="3">
        <v>0</v>
      </c>
      <c r="HX140" s="3">
        <v>40</v>
      </c>
      <c r="HY140" s="3">
        <v>41</v>
      </c>
      <c r="HZ140" s="3">
        <v>39</v>
      </c>
      <c r="IA140" s="3">
        <v>42</v>
      </c>
      <c r="IB140" s="3">
        <v>40</v>
      </c>
      <c r="IC140" s="3">
        <v>40</v>
      </c>
      <c r="ID140" s="3">
        <v>0</v>
      </c>
      <c r="IE140" s="3">
        <v>33</v>
      </c>
      <c r="IF140" s="3">
        <v>0</v>
      </c>
      <c r="IG140" s="3">
        <v>2</v>
      </c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6"/>
    </row>
    <row r="141" spans="1:258" hidden="1">
      <c r="A141" s="97" t="s">
        <v>1287</v>
      </c>
      <c r="B141" s="98" t="s">
        <v>20</v>
      </c>
      <c r="C141" s="98" t="s">
        <v>299</v>
      </c>
      <c r="D141" s="99" t="s">
        <v>1173</v>
      </c>
      <c r="E141" s="98" t="s">
        <v>1098</v>
      </c>
      <c r="F141" s="98" t="s">
        <v>1182</v>
      </c>
      <c r="G141" s="98" t="s">
        <v>383</v>
      </c>
      <c r="H141" s="98" t="s">
        <v>1493</v>
      </c>
      <c r="I141" s="98" t="s">
        <v>1493</v>
      </c>
      <c r="J141" s="98" t="s">
        <v>1170</v>
      </c>
      <c r="K141" s="98" t="s">
        <v>1099</v>
      </c>
      <c r="L141" s="98" t="s">
        <v>1099</v>
      </c>
      <c r="M141" s="101" t="s">
        <v>1099</v>
      </c>
      <c r="N141" s="108" t="s">
        <v>1099</v>
      </c>
      <c r="O141" s="100">
        <v>0</v>
      </c>
      <c r="P141" s="69">
        <v>0</v>
      </c>
      <c r="Q141" s="69">
        <f t="shared" si="1559"/>
        <v>0</v>
      </c>
      <c r="R141" s="69">
        <f t="shared" si="1560"/>
        <v>0</v>
      </c>
      <c r="S141" s="69">
        <f t="shared" si="1561"/>
        <v>0</v>
      </c>
      <c r="T141" s="69">
        <f t="shared" si="1562"/>
        <v>0</v>
      </c>
      <c r="U141" s="69">
        <f t="shared" si="1563"/>
        <v>0</v>
      </c>
      <c r="V141" s="70">
        <f t="shared" si="1564"/>
        <v>0</v>
      </c>
      <c r="W141" s="71">
        <f t="shared" si="1565"/>
        <v>0</v>
      </c>
      <c r="X141" s="71">
        <f t="shared" si="1566"/>
        <v>0</v>
      </c>
      <c r="Y141" s="71">
        <f t="shared" si="1567"/>
        <v>0</v>
      </c>
      <c r="Z141" s="71">
        <f t="shared" si="1568"/>
        <v>0</v>
      </c>
      <c r="AA141" s="71">
        <f t="shared" si="1569"/>
        <v>0</v>
      </c>
      <c r="AB141" s="71">
        <f t="shared" si="1570"/>
        <v>0</v>
      </c>
      <c r="AC141" s="71">
        <f t="shared" si="1571"/>
        <v>0</v>
      </c>
      <c r="AD141" s="71">
        <f t="shared" si="1572"/>
        <v>0</v>
      </c>
      <c r="AE141" s="71">
        <f t="shared" si="1573"/>
        <v>0</v>
      </c>
      <c r="AF141" s="71">
        <f t="shared" si="1574"/>
        <v>0</v>
      </c>
      <c r="AG141" s="71">
        <f t="shared" si="1575"/>
        <v>0</v>
      </c>
      <c r="AH141" s="71">
        <f t="shared" si="1576"/>
        <v>0</v>
      </c>
      <c r="AI141" s="71">
        <f t="shared" si="1577"/>
        <v>0</v>
      </c>
      <c r="AJ141" s="71">
        <f t="shared" si="1578"/>
        <v>0</v>
      </c>
      <c r="AK141" s="71">
        <f t="shared" si="1579"/>
        <v>0</v>
      </c>
      <c r="AL141" s="71">
        <f t="shared" si="1580"/>
        <v>0</v>
      </c>
      <c r="AM141" s="71">
        <f t="shared" si="1581"/>
        <v>0</v>
      </c>
      <c r="AN141" s="71">
        <f t="shared" si="1582"/>
        <v>0</v>
      </c>
      <c r="AO141" s="71">
        <f t="shared" si="1583"/>
        <v>0</v>
      </c>
      <c r="AP141" s="71">
        <f t="shared" si="1584"/>
        <v>0</v>
      </c>
      <c r="AQ141" s="71">
        <f t="shared" si="1585"/>
        <v>0</v>
      </c>
      <c r="AR141" s="71">
        <f t="shared" si="1586"/>
        <v>0</v>
      </c>
      <c r="AS141" s="71">
        <f t="shared" si="1587"/>
        <v>0</v>
      </c>
      <c r="AT141" s="71">
        <f t="shared" si="1588"/>
        <v>0</v>
      </c>
      <c r="AU141" s="71">
        <f t="shared" si="1589"/>
        <v>0</v>
      </c>
      <c r="AV141" s="71">
        <f t="shared" si="1590"/>
        <v>0</v>
      </c>
      <c r="AW141" s="71">
        <f t="shared" si="1591"/>
        <v>0</v>
      </c>
      <c r="AX141" s="71">
        <f t="shared" si="1592"/>
        <v>0</v>
      </c>
      <c r="AY141" s="71">
        <f t="shared" si="1593"/>
        <v>0</v>
      </c>
      <c r="AZ141" s="72">
        <f t="shared" si="1594"/>
        <v>0</v>
      </c>
      <c r="BA141" s="70">
        <f t="shared" si="1553"/>
        <v>0</v>
      </c>
      <c r="BB141" s="69">
        <f t="shared" ca="1" si="1554"/>
        <v>0</v>
      </c>
      <c r="BC141" s="70">
        <f t="shared" si="1595"/>
        <v>0</v>
      </c>
      <c r="BD141" s="71">
        <f t="shared" si="1596"/>
        <v>0</v>
      </c>
      <c r="BE141" s="71">
        <f t="shared" si="1597"/>
        <v>0</v>
      </c>
      <c r="BF141" s="71">
        <f t="shared" si="1598"/>
        <v>0</v>
      </c>
      <c r="BG141" s="71">
        <f t="shared" si="1599"/>
        <v>0</v>
      </c>
      <c r="BH141" s="71">
        <f t="shared" si="1600"/>
        <v>0</v>
      </c>
      <c r="BI141" s="71">
        <f t="shared" si="1601"/>
        <v>0</v>
      </c>
      <c r="BJ141" s="71">
        <f t="shared" si="1602"/>
        <v>0</v>
      </c>
      <c r="BK141" s="71">
        <f t="shared" si="1603"/>
        <v>0</v>
      </c>
      <c r="BL141" s="71">
        <f t="shared" si="1604"/>
        <v>0</v>
      </c>
      <c r="BM141" s="71">
        <f t="shared" si="1605"/>
        <v>0</v>
      </c>
      <c r="BN141" s="71">
        <f t="shared" si="1606"/>
        <v>0</v>
      </c>
      <c r="BO141" s="71">
        <f t="shared" si="1607"/>
        <v>0</v>
      </c>
      <c r="BP141" s="71">
        <f t="shared" si="1608"/>
        <v>0</v>
      </c>
      <c r="BQ141" s="71">
        <f t="shared" si="1609"/>
        <v>0</v>
      </c>
      <c r="BR141" s="71">
        <f t="shared" si="1610"/>
        <v>0</v>
      </c>
      <c r="BS141" s="71">
        <f t="shared" si="1611"/>
        <v>0</v>
      </c>
      <c r="BT141" s="71">
        <f t="shared" si="1612"/>
        <v>0</v>
      </c>
      <c r="BU141" s="71">
        <f t="shared" si="1613"/>
        <v>0</v>
      </c>
      <c r="BV141" s="71">
        <f t="shared" si="1614"/>
        <v>0</v>
      </c>
      <c r="BW141" s="71">
        <f t="shared" si="1615"/>
        <v>0</v>
      </c>
      <c r="BX141" s="71">
        <f t="shared" si="1616"/>
        <v>0</v>
      </c>
      <c r="BY141" s="71">
        <f t="shared" si="1617"/>
        <v>0</v>
      </c>
      <c r="BZ141" s="71">
        <f t="shared" si="1618"/>
        <v>0</v>
      </c>
      <c r="CA141" s="71">
        <f t="shared" si="1619"/>
        <v>0</v>
      </c>
      <c r="CB141" s="71">
        <f t="shared" si="1620"/>
        <v>0</v>
      </c>
      <c r="CC141" s="71">
        <f t="shared" si="1621"/>
        <v>0</v>
      </c>
      <c r="CD141" s="71">
        <f t="shared" si="1622"/>
        <v>0</v>
      </c>
      <c r="CE141" s="71">
        <f t="shared" si="1623"/>
        <v>0</v>
      </c>
      <c r="CF141" s="71">
        <f t="shared" si="1624"/>
        <v>0</v>
      </c>
      <c r="CG141" s="71">
        <f t="shared" si="1625"/>
        <v>0</v>
      </c>
      <c r="CH141" s="70">
        <f t="shared" si="1555"/>
        <v>0</v>
      </c>
      <c r="CI141" s="69">
        <f t="shared" ca="1" si="1556"/>
        <v>0</v>
      </c>
      <c r="GM141" s="2" t="s">
        <v>16</v>
      </c>
      <c r="GN141" s="98" t="str">
        <f t="shared" si="1552"/>
        <v>MUX03-FMCG-SPO-00</v>
      </c>
      <c r="GO141" s="4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6"/>
      <c r="HT141" s="4">
        <v>0</v>
      </c>
      <c r="HU141" s="3">
        <v>0</v>
      </c>
      <c r="HV141" s="3">
        <v>0</v>
      </c>
      <c r="HW141" s="3">
        <v>0</v>
      </c>
      <c r="HX141" s="3">
        <v>0</v>
      </c>
      <c r="HY141" s="3">
        <v>0</v>
      </c>
      <c r="HZ141" s="3">
        <v>0</v>
      </c>
      <c r="IA141" s="3">
        <v>0</v>
      </c>
      <c r="IB141" s="3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6"/>
    </row>
    <row r="142" spans="1:258" hidden="1">
      <c r="A142" s="97" t="s">
        <v>1380</v>
      </c>
      <c r="B142" s="98" t="s">
        <v>20</v>
      </c>
      <c r="C142" s="98" t="s">
        <v>299</v>
      </c>
      <c r="D142" s="99" t="s">
        <v>1173</v>
      </c>
      <c r="E142" s="98" t="s">
        <v>1183</v>
      </c>
      <c r="F142" s="98" t="s">
        <v>1184</v>
      </c>
      <c r="G142" s="98" t="s">
        <v>384</v>
      </c>
      <c r="H142" s="98" t="s">
        <v>1185</v>
      </c>
      <c r="I142" s="98" t="s">
        <v>1185</v>
      </c>
      <c r="J142" s="98" t="s">
        <v>1170</v>
      </c>
      <c r="K142" s="98" t="s">
        <v>1127</v>
      </c>
      <c r="L142" s="98" t="s">
        <v>385</v>
      </c>
      <c r="M142" s="101" t="s">
        <v>52</v>
      </c>
      <c r="N142" s="108">
        <v>45139</v>
      </c>
      <c r="O142" s="100">
        <v>0</v>
      </c>
      <c r="P142" s="69">
        <v>0</v>
      </c>
      <c r="Q142" s="69">
        <f t="shared" si="1559"/>
        <v>0</v>
      </c>
      <c r="R142" s="69">
        <f t="shared" si="1560"/>
        <v>0</v>
      </c>
      <c r="S142" s="69">
        <f t="shared" si="1561"/>
        <v>0</v>
      </c>
      <c r="T142" s="69">
        <f t="shared" si="1562"/>
        <v>0</v>
      </c>
      <c r="U142" s="69">
        <f t="shared" si="1563"/>
        <v>0</v>
      </c>
      <c r="V142" s="70">
        <f t="shared" si="1564"/>
        <v>0</v>
      </c>
      <c r="W142" s="71">
        <f t="shared" si="1565"/>
        <v>0</v>
      </c>
      <c r="X142" s="71">
        <f t="shared" si="1566"/>
        <v>0</v>
      </c>
      <c r="Y142" s="71">
        <f t="shared" si="1567"/>
        <v>0</v>
      </c>
      <c r="Z142" s="71">
        <f t="shared" si="1568"/>
        <v>0</v>
      </c>
      <c r="AA142" s="71">
        <f t="shared" si="1569"/>
        <v>0</v>
      </c>
      <c r="AB142" s="71">
        <f t="shared" si="1570"/>
        <v>0</v>
      </c>
      <c r="AC142" s="71">
        <f t="shared" si="1571"/>
        <v>0</v>
      </c>
      <c r="AD142" s="71">
        <f t="shared" si="1572"/>
        <v>0</v>
      </c>
      <c r="AE142" s="71">
        <f t="shared" si="1573"/>
        <v>0</v>
      </c>
      <c r="AF142" s="71">
        <f t="shared" si="1574"/>
        <v>0</v>
      </c>
      <c r="AG142" s="71">
        <f t="shared" si="1575"/>
        <v>0</v>
      </c>
      <c r="AH142" s="71">
        <f t="shared" si="1576"/>
        <v>0</v>
      </c>
      <c r="AI142" s="71">
        <f t="shared" si="1577"/>
        <v>0</v>
      </c>
      <c r="AJ142" s="71">
        <f t="shared" si="1578"/>
        <v>0</v>
      </c>
      <c r="AK142" s="71">
        <f t="shared" si="1579"/>
        <v>0</v>
      </c>
      <c r="AL142" s="71">
        <f t="shared" si="1580"/>
        <v>0</v>
      </c>
      <c r="AM142" s="71">
        <f t="shared" si="1581"/>
        <v>0</v>
      </c>
      <c r="AN142" s="71">
        <f t="shared" si="1582"/>
        <v>0</v>
      </c>
      <c r="AO142" s="71">
        <f t="shared" si="1583"/>
        <v>0</v>
      </c>
      <c r="AP142" s="71">
        <f t="shared" si="1584"/>
        <v>0</v>
      </c>
      <c r="AQ142" s="71">
        <f t="shared" si="1585"/>
        <v>0</v>
      </c>
      <c r="AR142" s="71">
        <f t="shared" si="1586"/>
        <v>0</v>
      </c>
      <c r="AS142" s="71">
        <f t="shared" si="1587"/>
        <v>0</v>
      </c>
      <c r="AT142" s="71">
        <f t="shared" si="1588"/>
        <v>0</v>
      </c>
      <c r="AU142" s="71">
        <f t="shared" si="1589"/>
        <v>0</v>
      </c>
      <c r="AV142" s="71">
        <f t="shared" si="1590"/>
        <v>0</v>
      </c>
      <c r="AW142" s="71">
        <f t="shared" si="1591"/>
        <v>0</v>
      </c>
      <c r="AX142" s="71">
        <f t="shared" si="1592"/>
        <v>0</v>
      </c>
      <c r="AY142" s="71">
        <f t="shared" si="1593"/>
        <v>0</v>
      </c>
      <c r="AZ142" s="72">
        <f t="shared" si="1594"/>
        <v>0</v>
      </c>
      <c r="BA142" s="70">
        <f t="shared" si="1553"/>
        <v>0</v>
      </c>
      <c r="BB142" s="69">
        <f t="shared" ca="1" si="1554"/>
        <v>0</v>
      </c>
      <c r="BC142" s="70">
        <f t="shared" si="1595"/>
        <v>0</v>
      </c>
      <c r="BD142" s="71">
        <f t="shared" si="1596"/>
        <v>0</v>
      </c>
      <c r="BE142" s="71">
        <f t="shared" si="1597"/>
        <v>0</v>
      </c>
      <c r="BF142" s="71">
        <f t="shared" si="1598"/>
        <v>0</v>
      </c>
      <c r="BG142" s="71">
        <f t="shared" si="1599"/>
        <v>0</v>
      </c>
      <c r="BH142" s="71">
        <f t="shared" si="1600"/>
        <v>0</v>
      </c>
      <c r="BI142" s="71">
        <f t="shared" si="1601"/>
        <v>0</v>
      </c>
      <c r="BJ142" s="71">
        <f t="shared" si="1602"/>
        <v>0</v>
      </c>
      <c r="BK142" s="71">
        <f t="shared" si="1603"/>
        <v>0</v>
      </c>
      <c r="BL142" s="71">
        <f t="shared" si="1604"/>
        <v>0</v>
      </c>
      <c r="BM142" s="71">
        <f t="shared" si="1605"/>
        <v>0</v>
      </c>
      <c r="BN142" s="71">
        <f t="shared" si="1606"/>
        <v>0</v>
      </c>
      <c r="BO142" s="71">
        <f t="shared" si="1607"/>
        <v>0</v>
      </c>
      <c r="BP142" s="71">
        <f t="shared" si="1608"/>
        <v>0</v>
      </c>
      <c r="BQ142" s="71">
        <f t="shared" si="1609"/>
        <v>0</v>
      </c>
      <c r="BR142" s="71">
        <f t="shared" si="1610"/>
        <v>0</v>
      </c>
      <c r="BS142" s="71">
        <f t="shared" si="1611"/>
        <v>0</v>
      </c>
      <c r="BT142" s="71">
        <f t="shared" si="1612"/>
        <v>0</v>
      </c>
      <c r="BU142" s="71">
        <f t="shared" si="1613"/>
        <v>0</v>
      </c>
      <c r="BV142" s="71">
        <f t="shared" si="1614"/>
        <v>0</v>
      </c>
      <c r="BW142" s="71">
        <f t="shared" si="1615"/>
        <v>0</v>
      </c>
      <c r="BX142" s="71">
        <f t="shared" si="1616"/>
        <v>0</v>
      </c>
      <c r="BY142" s="71">
        <f t="shared" si="1617"/>
        <v>0</v>
      </c>
      <c r="BZ142" s="71">
        <f t="shared" si="1618"/>
        <v>0</v>
      </c>
      <c r="CA142" s="71">
        <f t="shared" si="1619"/>
        <v>0</v>
      </c>
      <c r="CB142" s="71">
        <f t="shared" si="1620"/>
        <v>0</v>
      </c>
      <c r="CC142" s="71">
        <f t="shared" si="1621"/>
        <v>0</v>
      </c>
      <c r="CD142" s="71">
        <f t="shared" si="1622"/>
        <v>0</v>
      </c>
      <c r="CE142" s="71">
        <f t="shared" si="1623"/>
        <v>0</v>
      </c>
      <c r="CF142" s="71">
        <f t="shared" si="1624"/>
        <v>0</v>
      </c>
      <c r="CG142" s="71">
        <f t="shared" si="1625"/>
        <v>0</v>
      </c>
      <c r="CH142" s="70">
        <f t="shared" si="1555"/>
        <v>0</v>
      </c>
      <c r="CI142" s="69">
        <f t="shared" ca="1" si="1556"/>
        <v>0</v>
      </c>
      <c r="GM142" s="2" t="s">
        <v>16</v>
      </c>
      <c r="GN142" s="98" t="str">
        <f t="shared" si="1552"/>
        <v>MUX03-FMCG03-ASM-01</v>
      </c>
      <c r="GO142" s="4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6"/>
      <c r="HT142" s="4">
        <v>0</v>
      </c>
      <c r="HU142" s="3">
        <v>0</v>
      </c>
      <c r="HV142" s="3">
        <v>0</v>
      </c>
      <c r="HW142" s="3">
        <v>0</v>
      </c>
      <c r="HX142" s="3">
        <v>0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6"/>
    </row>
    <row r="143" spans="1:258" hidden="1">
      <c r="A143" s="102" t="s">
        <v>53</v>
      </c>
      <c r="B143" s="103" t="s">
        <v>20</v>
      </c>
      <c r="C143" s="103" t="s">
        <v>299</v>
      </c>
      <c r="D143" s="104" t="s">
        <v>1173</v>
      </c>
      <c r="E143" s="103" t="s">
        <v>1183</v>
      </c>
      <c r="F143" s="103" t="s">
        <v>1184</v>
      </c>
      <c r="G143" s="103" t="s">
        <v>384</v>
      </c>
      <c r="H143" s="103" t="s">
        <v>1185</v>
      </c>
      <c r="I143" s="103" t="s">
        <v>1185</v>
      </c>
      <c r="J143" s="103" t="s">
        <v>1170</v>
      </c>
      <c r="K143" s="103" t="s">
        <v>1127</v>
      </c>
      <c r="L143" s="103" t="s">
        <v>385</v>
      </c>
      <c r="M143" s="103" t="s">
        <v>52</v>
      </c>
      <c r="N143" s="119">
        <v>45139</v>
      </c>
      <c r="O143" s="105">
        <f>O138+O137+O139+O140</f>
        <v>4</v>
      </c>
      <c r="P143" s="73">
        <f t="shared" ref="P143:CA143" si="1626">P138+P137+P139+P140</f>
        <v>0</v>
      </c>
      <c r="Q143" s="73">
        <f t="shared" si="1626"/>
        <v>4</v>
      </c>
      <c r="R143" s="73">
        <f t="shared" si="1626"/>
        <v>4</v>
      </c>
      <c r="S143" s="73">
        <f t="shared" si="1626"/>
        <v>1</v>
      </c>
      <c r="T143" s="73">
        <f t="shared" si="1626"/>
        <v>4</v>
      </c>
      <c r="U143" s="73">
        <f t="shared" si="1626"/>
        <v>4</v>
      </c>
      <c r="V143" s="74">
        <f t="shared" si="1626"/>
        <v>4</v>
      </c>
      <c r="W143" s="75">
        <f t="shared" si="1626"/>
        <v>4</v>
      </c>
      <c r="X143" s="75">
        <f t="shared" si="1626"/>
        <v>4</v>
      </c>
      <c r="Y143" s="75">
        <f t="shared" si="1626"/>
        <v>0</v>
      </c>
      <c r="Z143" s="75">
        <f t="shared" si="1626"/>
        <v>4</v>
      </c>
      <c r="AA143" s="75">
        <f t="shared" si="1626"/>
        <v>4</v>
      </c>
      <c r="AB143" s="75">
        <f t="shared" si="1626"/>
        <v>4</v>
      </c>
      <c r="AC143" s="75">
        <f t="shared" si="1626"/>
        <v>4</v>
      </c>
      <c r="AD143" s="75">
        <f t="shared" si="1626"/>
        <v>4</v>
      </c>
      <c r="AE143" s="75">
        <f t="shared" si="1626"/>
        <v>4</v>
      </c>
      <c r="AF143" s="75">
        <f t="shared" si="1626"/>
        <v>0</v>
      </c>
      <c r="AG143" s="75">
        <f t="shared" si="1626"/>
        <v>4</v>
      </c>
      <c r="AH143" s="75">
        <f t="shared" si="1626"/>
        <v>3</v>
      </c>
      <c r="AI143" s="75">
        <f t="shared" si="1626"/>
        <v>4</v>
      </c>
      <c r="AJ143" s="75">
        <f t="shared" si="1626"/>
        <v>0</v>
      </c>
      <c r="AK143" s="75">
        <f t="shared" si="1626"/>
        <v>0</v>
      </c>
      <c r="AL143" s="75">
        <f t="shared" si="1626"/>
        <v>0</v>
      </c>
      <c r="AM143" s="75">
        <f t="shared" si="1626"/>
        <v>0</v>
      </c>
      <c r="AN143" s="75">
        <f t="shared" si="1626"/>
        <v>0</v>
      </c>
      <c r="AO143" s="75">
        <f t="shared" si="1626"/>
        <v>0</v>
      </c>
      <c r="AP143" s="75">
        <f t="shared" si="1626"/>
        <v>0</v>
      </c>
      <c r="AQ143" s="75">
        <f t="shared" si="1626"/>
        <v>0</v>
      </c>
      <c r="AR143" s="75">
        <f t="shared" si="1626"/>
        <v>0</v>
      </c>
      <c r="AS143" s="75">
        <f t="shared" si="1626"/>
        <v>0</v>
      </c>
      <c r="AT143" s="75">
        <f t="shared" si="1626"/>
        <v>0</v>
      </c>
      <c r="AU143" s="75">
        <f t="shared" si="1626"/>
        <v>0</v>
      </c>
      <c r="AV143" s="75">
        <f t="shared" si="1626"/>
        <v>0</v>
      </c>
      <c r="AW143" s="75">
        <f t="shared" si="1626"/>
        <v>0</v>
      </c>
      <c r="AX143" s="75">
        <f t="shared" si="1626"/>
        <v>0</v>
      </c>
      <c r="AY143" s="75">
        <f t="shared" si="1626"/>
        <v>0</v>
      </c>
      <c r="AZ143" s="76">
        <f t="shared" si="1626"/>
        <v>0</v>
      </c>
      <c r="BA143" s="74">
        <f t="shared" si="1553"/>
        <v>47</v>
      </c>
      <c r="BB143" s="73">
        <f t="shared" ca="1" si="1554"/>
        <v>0.90384615384615385</v>
      </c>
      <c r="BC143" s="74">
        <f t="shared" si="1626"/>
        <v>92</v>
      </c>
      <c r="BD143" s="75">
        <f t="shared" si="1626"/>
        <v>164</v>
      </c>
      <c r="BE143" s="75">
        <f t="shared" si="1626"/>
        <v>117</v>
      </c>
      <c r="BF143" s="75">
        <f t="shared" si="1626"/>
        <v>0</v>
      </c>
      <c r="BG143" s="75">
        <f t="shared" si="1626"/>
        <v>136</v>
      </c>
      <c r="BH143" s="75">
        <f t="shared" si="1626"/>
        <v>171</v>
      </c>
      <c r="BI143" s="75">
        <f t="shared" si="1626"/>
        <v>163</v>
      </c>
      <c r="BJ143" s="75">
        <f t="shared" si="1626"/>
        <v>158</v>
      </c>
      <c r="BK143" s="75">
        <f t="shared" si="1626"/>
        <v>131</v>
      </c>
      <c r="BL143" s="75">
        <f t="shared" si="1626"/>
        <v>156</v>
      </c>
      <c r="BM143" s="75">
        <f t="shared" si="1626"/>
        <v>0</v>
      </c>
      <c r="BN143" s="75">
        <f t="shared" si="1626"/>
        <v>134</v>
      </c>
      <c r="BO143" s="75">
        <f t="shared" si="1626"/>
        <v>139</v>
      </c>
      <c r="BP143" s="75">
        <f t="shared" si="1626"/>
        <v>2</v>
      </c>
      <c r="BQ143" s="75">
        <f t="shared" si="1626"/>
        <v>0</v>
      </c>
      <c r="BR143" s="75">
        <f t="shared" si="1626"/>
        <v>0</v>
      </c>
      <c r="BS143" s="75">
        <f t="shared" si="1626"/>
        <v>0</v>
      </c>
      <c r="BT143" s="75">
        <f t="shared" si="1626"/>
        <v>0</v>
      </c>
      <c r="BU143" s="75">
        <f t="shared" si="1626"/>
        <v>0</v>
      </c>
      <c r="BV143" s="75">
        <f t="shared" si="1626"/>
        <v>0</v>
      </c>
      <c r="BW143" s="75">
        <f t="shared" si="1626"/>
        <v>0</v>
      </c>
      <c r="BX143" s="75">
        <f t="shared" si="1626"/>
        <v>0</v>
      </c>
      <c r="BY143" s="75">
        <f t="shared" si="1626"/>
        <v>0</v>
      </c>
      <c r="BZ143" s="75">
        <f t="shared" si="1626"/>
        <v>0</v>
      </c>
      <c r="CA143" s="75">
        <f t="shared" si="1626"/>
        <v>0</v>
      </c>
      <c r="CB143" s="75">
        <f t="shared" ref="CB143:CG143" si="1627">CB138+CB137+CB139+CB140</f>
        <v>0</v>
      </c>
      <c r="CC143" s="75">
        <f t="shared" si="1627"/>
        <v>0</v>
      </c>
      <c r="CD143" s="75">
        <f t="shared" si="1627"/>
        <v>0</v>
      </c>
      <c r="CE143" s="75">
        <f t="shared" si="1627"/>
        <v>0</v>
      </c>
      <c r="CF143" s="75">
        <f t="shared" si="1627"/>
        <v>0</v>
      </c>
      <c r="CG143" s="75">
        <f t="shared" si="1627"/>
        <v>0</v>
      </c>
      <c r="CH143" s="74">
        <f t="shared" si="1555"/>
        <v>1563</v>
      </c>
      <c r="CI143" s="73">
        <f t="shared" ca="1" si="1556"/>
        <v>30.057692307692307</v>
      </c>
      <c r="GM143" s="2" t="s">
        <v>17</v>
      </c>
      <c r="GN143" s="103" t="str">
        <f t="shared" si="1552"/>
        <v>MUX03-FMCG03-ASM-01</v>
      </c>
      <c r="GO143" s="4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6"/>
      <c r="HT143" s="4">
        <v>0</v>
      </c>
      <c r="HU143" s="3">
        <v>0</v>
      </c>
      <c r="HV143" s="3">
        <v>0</v>
      </c>
      <c r="HW143" s="3">
        <v>0</v>
      </c>
      <c r="HX143" s="3">
        <v>0</v>
      </c>
      <c r="HY143" s="3">
        <v>0</v>
      </c>
      <c r="HZ143" s="3">
        <v>0</v>
      </c>
      <c r="IA143" s="3">
        <v>0</v>
      </c>
      <c r="IB143" s="3">
        <v>0</v>
      </c>
      <c r="IC143" s="3">
        <v>0</v>
      </c>
      <c r="ID143" s="3">
        <v>0</v>
      </c>
      <c r="IE143" s="3">
        <v>0</v>
      </c>
      <c r="IF143" s="3">
        <v>0</v>
      </c>
      <c r="IG143" s="3">
        <v>0</v>
      </c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6"/>
    </row>
    <row r="144" spans="1:258" hidden="1">
      <c r="A144" s="97" t="s">
        <v>19</v>
      </c>
      <c r="B144" s="98" t="s">
        <v>20</v>
      </c>
      <c r="C144" s="98" t="s">
        <v>299</v>
      </c>
      <c r="D144" s="99" t="s">
        <v>1328</v>
      </c>
      <c r="E144" s="98" t="s">
        <v>1325</v>
      </c>
      <c r="F144" s="98" t="s">
        <v>1361</v>
      </c>
      <c r="G144" s="98" t="s">
        <v>1330</v>
      </c>
      <c r="H144" s="98" t="s">
        <v>1494</v>
      </c>
      <c r="I144" s="98" t="s">
        <v>1494</v>
      </c>
      <c r="J144" s="98" t="s">
        <v>878</v>
      </c>
      <c r="K144" s="98" t="s">
        <v>1323</v>
      </c>
      <c r="L144" s="98" t="s">
        <v>1334</v>
      </c>
      <c r="M144" s="101" t="s">
        <v>1093</v>
      </c>
      <c r="N144" s="139">
        <v>44837</v>
      </c>
      <c r="O144" s="100">
        <v>1</v>
      </c>
      <c r="P144" s="69">
        <v>0</v>
      </c>
      <c r="Q144" s="69">
        <f>IFERROR(IF(OR(AI144&gt;0),1,0),0)</f>
        <v>1</v>
      </c>
      <c r="R144" s="69">
        <f t="shared" ref="R144:R145" si="1628">IFERROR(IF(OR(BA144&gt;0),1,0),0)</f>
        <v>1</v>
      </c>
      <c r="S144" s="69">
        <f>IFERROR(IF(OR(BP144&gt;0),1,0),0)</f>
        <v>0</v>
      </c>
      <c r="T144" s="69">
        <f t="shared" ref="T144:T145" si="1629">IFERROR(IF(OR(CH144&gt;0),1,0),0)</f>
        <v>0</v>
      </c>
      <c r="U144" s="69">
        <f t="shared" ref="U144:U145" si="1630">IFERROR(IF(OR(BA144&gt;0,CH144&gt;0),1,0),0)</f>
        <v>1</v>
      </c>
      <c r="V144" s="70">
        <f t="shared" ref="V144:V145" si="1631">GO144</f>
        <v>1</v>
      </c>
      <c r="W144" s="71">
        <f t="shared" ref="W144:W145" si="1632">GP144</f>
        <v>1</v>
      </c>
      <c r="X144" s="71">
        <f t="shared" ref="X144:X145" si="1633">GQ144</f>
        <v>1</v>
      </c>
      <c r="Y144" s="71">
        <f t="shared" ref="Y144:Y145" si="1634">GR144</f>
        <v>0</v>
      </c>
      <c r="Z144" s="71">
        <f t="shared" ref="Z144:Z145" si="1635">GS144</f>
        <v>1</v>
      </c>
      <c r="AA144" s="71">
        <f t="shared" ref="AA144:AA145" si="1636">GT144</f>
        <v>0</v>
      </c>
      <c r="AB144" s="71">
        <f t="shared" ref="AB144:AB145" si="1637">GU144</f>
        <v>1</v>
      </c>
      <c r="AC144" s="71">
        <f t="shared" ref="AC144:AC145" si="1638">GV144</f>
        <v>0</v>
      </c>
      <c r="AD144" s="71">
        <f t="shared" ref="AD144:AD145" si="1639">GW144</f>
        <v>1</v>
      </c>
      <c r="AE144" s="71">
        <f t="shared" ref="AE144:AE145" si="1640">GX144</f>
        <v>1</v>
      </c>
      <c r="AF144" s="71">
        <f t="shared" ref="AF144:AF145" si="1641">GY144</f>
        <v>0</v>
      </c>
      <c r="AG144" s="71">
        <f t="shared" ref="AG144:AG145" si="1642">GZ144</f>
        <v>1</v>
      </c>
      <c r="AH144" s="71">
        <f t="shared" ref="AH144:AH145" si="1643">HA144</f>
        <v>1</v>
      </c>
      <c r="AI144" s="71">
        <f t="shared" ref="AI144:AI145" si="1644">HB144</f>
        <v>1</v>
      </c>
      <c r="AJ144" s="71">
        <f t="shared" ref="AJ144:AJ145" si="1645">HC144</f>
        <v>0</v>
      </c>
      <c r="AK144" s="71">
        <f t="shared" ref="AK144:AK145" si="1646">HD144</f>
        <v>0</v>
      </c>
      <c r="AL144" s="71">
        <f t="shared" ref="AL144:AL145" si="1647">HE144</f>
        <v>0</v>
      </c>
      <c r="AM144" s="71">
        <f t="shared" ref="AM144:AM145" si="1648">HF144</f>
        <v>0</v>
      </c>
      <c r="AN144" s="71">
        <f t="shared" ref="AN144:AN145" si="1649">HG144</f>
        <v>0</v>
      </c>
      <c r="AO144" s="71">
        <f t="shared" ref="AO144:AO145" si="1650">HH144</f>
        <v>0</v>
      </c>
      <c r="AP144" s="71">
        <f t="shared" ref="AP144:AP145" si="1651">HI144</f>
        <v>0</v>
      </c>
      <c r="AQ144" s="71">
        <f t="shared" ref="AQ144:AQ145" si="1652">HJ144</f>
        <v>0</v>
      </c>
      <c r="AR144" s="71">
        <f t="shared" ref="AR144:AR145" si="1653">HK144</f>
        <v>0</v>
      </c>
      <c r="AS144" s="71">
        <f t="shared" ref="AS144:AS145" si="1654">HL144</f>
        <v>0</v>
      </c>
      <c r="AT144" s="71">
        <f t="shared" ref="AT144:AT145" si="1655">HM144</f>
        <v>0</v>
      </c>
      <c r="AU144" s="71">
        <f t="shared" ref="AU144:AU145" si="1656">HN144</f>
        <v>0</v>
      </c>
      <c r="AV144" s="71">
        <f t="shared" ref="AV144:AV145" si="1657">HO144</f>
        <v>0</v>
      </c>
      <c r="AW144" s="71">
        <f t="shared" ref="AW144:AW145" si="1658">HP144</f>
        <v>0</v>
      </c>
      <c r="AX144" s="71">
        <f t="shared" ref="AX144:AX145" si="1659">HQ144</f>
        <v>0</v>
      </c>
      <c r="AY144" s="71">
        <f t="shared" ref="AY144:AY145" si="1660">HR144</f>
        <v>0</v>
      </c>
      <c r="AZ144" s="72">
        <f t="shared" ref="AZ144:AZ145" si="1661">HS144</f>
        <v>0</v>
      </c>
      <c r="BA144" s="70">
        <f t="shared" si="1553"/>
        <v>10</v>
      </c>
      <c r="BB144" s="69">
        <f t="shared" ca="1" si="1554"/>
        <v>0.76923076923076927</v>
      </c>
      <c r="BC144" s="70">
        <f t="shared" ref="BC144:BC145" si="1662">HT144</f>
        <v>0</v>
      </c>
      <c r="BD144" s="71">
        <f t="shared" ref="BD144:BD145" si="1663">HU144</f>
        <v>0</v>
      </c>
      <c r="BE144" s="71">
        <f t="shared" ref="BE144:BE145" si="1664">HV144</f>
        <v>0</v>
      </c>
      <c r="BF144" s="71">
        <f t="shared" ref="BF144:BF145" si="1665">HW144</f>
        <v>0</v>
      </c>
      <c r="BG144" s="71">
        <f t="shared" ref="BG144:BG145" si="1666">HX144</f>
        <v>0</v>
      </c>
      <c r="BH144" s="71">
        <f t="shared" ref="BH144:BH145" si="1667">HY144</f>
        <v>0</v>
      </c>
      <c r="BI144" s="71">
        <f t="shared" ref="BI144:BI145" si="1668">HZ144</f>
        <v>0</v>
      </c>
      <c r="BJ144" s="71">
        <f t="shared" ref="BJ144:BJ145" si="1669">IA144</f>
        <v>0</v>
      </c>
      <c r="BK144" s="71">
        <f t="shared" ref="BK144:BK145" si="1670">IB144</f>
        <v>0</v>
      </c>
      <c r="BL144" s="71">
        <f t="shared" ref="BL144:BL145" si="1671">IC144</f>
        <v>0</v>
      </c>
      <c r="BM144" s="71">
        <f t="shared" ref="BM144:BM145" si="1672">ID144</f>
        <v>0</v>
      </c>
      <c r="BN144" s="71">
        <f t="shared" ref="BN144:BN145" si="1673">IE144</f>
        <v>0</v>
      </c>
      <c r="BO144" s="71">
        <f t="shared" ref="BO144:BO145" si="1674">IF144</f>
        <v>0</v>
      </c>
      <c r="BP144" s="71">
        <f t="shared" ref="BP144:BP145" si="1675">IG144</f>
        <v>0</v>
      </c>
      <c r="BQ144" s="71">
        <f t="shared" ref="BQ144:BQ145" si="1676">IH144</f>
        <v>0</v>
      </c>
      <c r="BR144" s="71">
        <f t="shared" ref="BR144:BR145" si="1677">II144</f>
        <v>0</v>
      </c>
      <c r="BS144" s="71">
        <f t="shared" ref="BS144:BS145" si="1678">IJ144</f>
        <v>0</v>
      </c>
      <c r="BT144" s="71">
        <f t="shared" ref="BT144:BT145" si="1679">IK144</f>
        <v>0</v>
      </c>
      <c r="BU144" s="71">
        <f t="shared" ref="BU144:BU145" si="1680">IL144</f>
        <v>0</v>
      </c>
      <c r="BV144" s="71">
        <f t="shared" ref="BV144:BV145" si="1681">IM144</f>
        <v>0</v>
      </c>
      <c r="BW144" s="71">
        <f t="shared" ref="BW144:BW145" si="1682">IN144</f>
        <v>0</v>
      </c>
      <c r="BX144" s="71">
        <f t="shared" ref="BX144:BX145" si="1683">IO144</f>
        <v>0</v>
      </c>
      <c r="BY144" s="71">
        <f t="shared" ref="BY144:BY145" si="1684">IP144</f>
        <v>0</v>
      </c>
      <c r="BZ144" s="71">
        <f t="shared" ref="BZ144:BZ145" si="1685">IQ144</f>
        <v>0</v>
      </c>
      <c r="CA144" s="71">
        <f t="shared" ref="CA144:CA145" si="1686">IR144</f>
        <v>0</v>
      </c>
      <c r="CB144" s="71">
        <f t="shared" ref="CB144:CB145" si="1687">IS144</f>
        <v>0</v>
      </c>
      <c r="CC144" s="71">
        <f t="shared" ref="CC144:CC145" si="1688">IT144</f>
        <v>0</v>
      </c>
      <c r="CD144" s="71">
        <f t="shared" ref="CD144:CD145" si="1689">IU144</f>
        <v>0</v>
      </c>
      <c r="CE144" s="71">
        <f t="shared" ref="CE144:CE145" si="1690">IV144</f>
        <v>0</v>
      </c>
      <c r="CF144" s="71">
        <f t="shared" ref="CF144:CF145" si="1691">IW144</f>
        <v>0</v>
      </c>
      <c r="CG144" s="71">
        <f t="shared" ref="CG144:CG145" si="1692">IX144</f>
        <v>0</v>
      </c>
      <c r="CH144" s="70">
        <f t="shared" si="1555"/>
        <v>0</v>
      </c>
      <c r="CI144" s="69">
        <f t="shared" ca="1" si="1556"/>
        <v>0</v>
      </c>
      <c r="GM144" s="2" t="s">
        <v>16</v>
      </c>
      <c r="GN144" s="98" t="str">
        <f t="shared" si="1552"/>
        <v>STH-D-FMCG-CM-01</v>
      </c>
      <c r="GO144" s="4">
        <v>1</v>
      </c>
      <c r="GP144" s="3">
        <v>1</v>
      </c>
      <c r="GQ144" s="3">
        <v>1</v>
      </c>
      <c r="GR144" s="3">
        <v>0</v>
      </c>
      <c r="GS144" s="3">
        <v>1</v>
      </c>
      <c r="GT144" s="3">
        <v>0</v>
      </c>
      <c r="GU144" s="3">
        <v>1</v>
      </c>
      <c r="GV144" s="3">
        <v>0</v>
      </c>
      <c r="GW144" s="3">
        <v>1</v>
      </c>
      <c r="GX144" s="3">
        <v>1</v>
      </c>
      <c r="GY144" s="3">
        <v>0</v>
      </c>
      <c r="GZ144" s="3">
        <v>1</v>
      </c>
      <c r="HA144" s="3">
        <v>1</v>
      </c>
      <c r="HB144" s="3">
        <v>1</v>
      </c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6"/>
      <c r="HT144" s="4">
        <v>0</v>
      </c>
      <c r="HU144" s="3">
        <v>0</v>
      </c>
      <c r="HV144" s="3">
        <v>0</v>
      </c>
      <c r="HW144" s="3">
        <v>0</v>
      </c>
      <c r="HX144" s="3">
        <v>0</v>
      </c>
      <c r="HY144" s="3">
        <v>0</v>
      </c>
      <c r="HZ144" s="3">
        <v>0</v>
      </c>
      <c r="IA144" s="3">
        <v>0</v>
      </c>
      <c r="IB144" s="3">
        <v>0</v>
      </c>
      <c r="IC144" s="3">
        <v>0</v>
      </c>
      <c r="ID144" s="3">
        <v>0</v>
      </c>
      <c r="IE144" s="3">
        <v>0</v>
      </c>
      <c r="IF144" s="3">
        <v>0</v>
      </c>
      <c r="IG144" s="3">
        <v>0</v>
      </c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6"/>
    </row>
    <row r="145" spans="1:258" hidden="1">
      <c r="A145" s="97" t="s">
        <v>149</v>
      </c>
      <c r="B145" s="98" t="s">
        <v>20</v>
      </c>
      <c r="C145" s="98" t="s">
        <v>299</v>
      </c>
      <c r="D145" s="99" t="s">
        <v>1329</v>
      </c>
      <c r="E145" s="98" t="s">
        <v>1326</v>
      </c>
      <c r="F145" s="98" t="s">
        <v>1362</v>
      </c>
      <c r="G145" s="98" t="s">
        <v>1331</v>
      </c>
      <c r="H145" s="98" t="s">
        <v>1495</v>
      </c>
      <c r="I145" s="98" t="s">
        <v>1495</v>
      </c>
      <c r="J145" s="98" t="s">
        <v>878</v>
      </c>
      <c r="K145" s="98" t="s">
        <v>1127</v>
      </c>
      <c r="L145" s="98" t="s">
        <v>1335</v>
      </c>
      <c r="M145" s="101" t="s">
        <v>1093</v>
      </c>
      <c r="N145" s="139">
        <v>45537</v>
      </c>
      <c r="O145" s="100">
        <v>1</v>
      </c>
      <c r="P145" s="69">
        <v>0</v>
      </c>
      <c r="Q145" s="69">
        <f>IFERROR(IF(OR(AI145&gt;0),1,0),0)</f>
        <v>1</v>
      </c>
      <c r="R145" s="69">
        <f t="shared" si="1628"/>
        <v>1</v>
      </c>
      <c r="S145" s="69">
        <f>IFERROR(IF(OR(BP145&gt;0),1,0),0)</f>
        <v>0</v>
      </c>
      <c r="T145" s="69">
        <f t="shared" si="1629"/>
        <v>0</v>
      </c>
      <c r="U145" s="69">
        <f t="shared" si="1630"/>
        <v>1</v>
      </c>
      <c r="V145" s="70">
        <f t="shared" si="1631"/>
        <v>1</v>
      </c>
      <c r="W145" s="71">
        <f t="shared" si="1632"/>
        <v>1</v>
      </c>
      <c r="X145" s="71">
        <f t="shared" si="1633"/>
        <v>1</v>
      </c>
      <c r="Y145" s="71">
        <f t="shared" si="1634"/>
        <v>0</v>
      </c>
      <c r="Z145" s="71">
        <f t="shared" si="1635"/>
        <v>1</v>
      </c>
      <c r="AA145" s="71">
        <f t="shared" si="1636"/>
        <v>1</v>
      </c>
      <c r="AB145" s="71">
        <f t="shared" si="1637"/>
        <v>1</v>
      </c>
      <c r="AC145" s="71">
        <f t="shared" si="1638"/>
        <v>1</v>
      </c>
      <c r="AD145" s="71">
        <f t="shared" si="1639"/>
        <v>1</v>
      </c>
      <c r="AE145" s="71">
        <f t="shared" si="1640"/>
        <v>1</v>
      </c>
      <c r="AF145" s="71">
        <f t="shared" si="1641"/>
        <v>0</v>
      </c>
      <c r="AG145" s="71">
        <f t="shared" si="1642"/>
        <v>1</v>
      </c>
      <c r="AH145" s="71">
        <f t="shared" si="1643"/>
        <v>1</v>
      </c>
      <c r="AI145" s="71">
        <f t="shared" si="1644"/>
        <v>1</v>
      </c>
      <c r="AJ145" s="71">
        <f t="shared" si="1645"/>
        <v>0</v>
      </c>
      <c r="AK145" s="71">
        <f t="shared" si="1646"/>
        <v>0</v>
      </c>
      <c r="AL145" s="71">
        <f t="shared" si="1647"/>
        <v>0</v>
      </c>
      <c r="AM145" s="71">
        <f t="shared" si="1648"/>
        <v>0</v>
      </c>
      <c r="AN145" s="71">
        <f t="shared" si="1649"/>
        <v>0</v>
      </c>
      <c r="AO145" s="71">
        <f t="shared" si="1650"/>
        <v>0</v>
      </c>
      <c r="AP145" s="71">
        <f t="shared" si="1651"/>
        <v>0</v>
      </c>
      <c r="AQ145" s="71">
        <f t="shared" si="1652"/>
        <v>0</v>
      </c>
      <c r="AR145" s="71">
        <f t="shared" si="1653"/>
        <v>0</v>
      </c>
      <c r="AS145" s="71">
        <f t="shared" si="1654"/>
        <v>0</v>
      </c>
      <c r="AT145" s="71">
        <f t="shared" si="1655"/>
        <v>0</v>
      </c>
      <c r="AU145" s="71">
        <f t="shared" si="1656"/>
        <v>0</v>
      </c>
      <c r="AV145" s="71">
        <f t="shared" si="1657"/>
        <v>0</v>
      </c>
      <c r="AW145" s="71">
        <f t="shared" si="1658"/>
        <v>0</v>
      </c>
      <c r="AX145" s="71">
        <f t="shared" si="1659"/>
        <v>0</v>
      </c>
      <c r="AY145" s="71">
        <f t="shared" si="1660"/>
        <v>0</v>
      </c>
      <c r="AZ145" s="72">
        <f t="shared" si="1661"/>
        <v>0</v>
      </c>
      <c r="BA145" s="70">
        <f t="shared" si="1553"/>
        <v>12</v>
      </c>
      <c r="BB145" s="69">
        <f t="shared" ca="1" si="1554"/>
        <v>0.92307692307692313</v>
      </c>
      <c r="BC145" s="70">
        <f t="shared" si="1662"/>
        <v>0</v>
      </c>
      <c r="BD145" s="71">
        <f t="shared" si="1663"/>
        <v>0</v>
      </c>
      <c r="BE145" s="71">
        <f t="shared" si="1664"/>
        <v>0</v>
      </c>
      <c r="BF145" s="71">
        <f t="shared" si="1665"/>
        <v>0</v>
      </c>
      <c r="BG145" s="71">
        <f t="shared" si="1666"/>
        <v>0</v>
      </c>
      <c r="BH145" s="71">
        <f t="shared" si="1667"/>
        <v>0</v>
      </c>
      <c r="BI145" s="71">
        <f t="shared" si="1668"/>
        <v>0</v>
      </c>
      <c r="BJ145" s="71">
        <f t="shared" si="1669"/>
        <v>0</v>
      </c>
      <c r="BK145" s="71">
        <f t="shared" si="1670"/>
        <v>0</v>
      </c>
      <c r="BL145" s="71">
        <f t="shared" si="1671"/>
        <v>0</v>
      </c>
      <c r="BM145" s="71">
        <f t="shared" si="1672"/>
        <v>0</v>
      </c>
      <c r="BN145" s="71">
        <f t="shared" si="1673"/>
        <v>0</v>
      </c>
      <c r="BO145" s="71">
        <f t="shared" si="1674"/>
        <v>0</v>
      </c>
      <c r="BP145" s="71">
        <f t="shared" si="1675"/>
        <v>0</v>
      </c>
      <c r="BQ145" s="71">
        <f t="shared" si="1676"/>
        <v>0</v>
      </c>
      <c r="BR145" s="71">
        <f t="shared" si="1677"/>
        <v>0</v>
      </c>
      <c r="BS145" s="71">
        <f t="shared" si="1678"/>
        <v>0</v>
      </c>
      <c r="BT145" s="71">
        <f t="shared" si="1679"/>
        <v>0</v>
      </c>
      <c r="BU145" s="71">
        <f t="shared" si="1680"/>
        <v>0</v>
      </c>
      <c r="BV145" s="71">
        <f t="shared" si="1681"/>
        <v>0</v>
      </c>
      <c r="BW145" s="71">
        <f t="shared" si="1682"/>
        <v>0</v>
      </c>
      <c r="BX145" s="71">
        <f t="shared" si="1683"/>
        <v>0</v>
      </c>
      <c r="BY145" s="71">
        <f t="shared" si="1684"/>
        <v>0</v>
      </c>
      <c r="BZ145" s="71">
        <f t="shared" si="1685"/>
        <v>0</v>
      </c>
      <c r="CA145" s="71">
        <f t="shared" si="1686"/>
        <v>0</v>
      </c>
      <c r="CB145" s="71">
        <f t="shared" si="1687"/>
        <v>0</v>
      </c>
      <c r="CC145" s="71">
        <f t="shared" si="1688"/>
        <v>0</v>
      </c>
      <c r="CD145" s="71">
        <f t="shared" si="1689"/>
        <v>0</v>
      </c>
      <c r="CE145" s="71">
        <f t="shared" si="1690"/>
        <v>0</v>
      </c>
      <c r="CF145" s="71">
        <f t="shared" si="1691"/>
        <v>0</v>
      </c>
      <c r="CG145" s="71">
        <f t="shared" si="1692"/>
        <v>0</v>
      </c>
      <c r="CH145" s="70">
        <f t="shared" si="1555"/>
        <v>0</v>
      </c>
      <c r="CI145" s="69">
        <f t="shared" ca="1" si="1556"/>
        <v>0</v>
      </c>
      <c r="GM145" s="2" t="s">
        <v>16</v>
      </c>
      <c r="GN145" s="98" t="str">
        <f t="shared" si="1552"/>
        <v>STH-D-FMCG01-TE-01</v>
      </c>
      <c r="GO145" s="4">
        <v>1</v>
      </c>
      <c r="GP145" s="3">
        <v>1</v>
      </c>
      <c r="GQ145" s="3">
        <v>1</v>
      </c>
      <c r="GR145" s="3">
        <v>0</v>
      </c>
      <c r="GS145" s="3">
        <v>1</v>
      </c>
      <c r="GT145" s="3">
        <v>1</v>
      </c>
      <c r="GU145" s="3">
        <v>1</v>
      </c>
      <c r="GV145" s="3">
        <v>1</v>
      </c>
      <c r="GW145" s="3">
        <v>1</v>
      </c>
      <c r="GX145" s="3">
        <v>1</v>
      </c>
      <c r="GY145" s="3">
        <v>0</v>
      </c>
      <c r="GZ145" s="3">
        <v>1</v>
      </c>
      <c r="HA145" s="3">
        <v>1</v>
      </c>
      <c r="HB145" s="3">
        <v>1</v>
      </c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6"/>
      <c r="HT145" s="4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0</v>
      </c>
      <c r="IB145" s="3">
        <v>0</v>
      </c>
      <c r="IC145" s="3">
        <v>0</v>
      </c>
      <c r="ID145" s="3">
        <v>0</v>
      </c>
      <c r="IE145" s="3">
        <v>0</v>
      </c>
      <c r="IF145" s="3">
        <v>0</v>
      </c>
      <c r="IG145" s="3">
        <v>0</v>
      </c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6"/>
    </row>
    <row r="146" spans="1:258" hidden="1">
      <c r="A146" s="109" t="s">
        <v>158</v>
      </c>
      <c r="B146" s="110" t="s">
        <v>20</v>
      </c>
      <c r="C146" s="110" t="s">
        <v>299</v>
      </c>
      <c r="D146" s="111" t="s">
        <v>878</v>
      </c>
      <c r="E146" s="110" t="s">
        <v>1327</v>
      </c>
      <c r="F146" s="135" t="s">
        <v>1379</v>
      </c>
      <c r="G146" s="110" t="s">
        <v>1332</v>
      </c>
      <c r="H146" s="110" t="s">
        <v>1333</v>
      </c>
      <c r="I146" s="110" t="s">
        <v>1333</v>
      </c>
      <c r="J146" s="110" t="s">
        <v>878</v>
      </c>
      <c r="K146" s="110" t="s">
        <v>1336</v>
      </c>
      <c r="L146" s="110" t="s">
        <v>1336</v>
      </c>
      <c r="M146" s="110" t="s">
        <v>52</v>
      </c>
      <c r="N146" s="140">
        <v>45139</v>
      </c>
      <c r="O146" s="112">
        <f>O145+O144+O143+O136+O128+O120+O113</f>
        <v>24</v>
      </c>
      <c r="P146" s="77">
        <f t="shared" ref="P146:CA146" si="1693">P145+P144+P143+P136+P128+P120+P113</f>
        <v>0</v>
      </c>
      <c r="Q146" s="77">
        <f t="shared" si="1693"/>
        <v>20</v>
      </c>
      <c r="R146" s="77">
        <f t="shared" si="1693"/>
        <v>24</v>
      </c>
      <c r="S146" s="77">
        <f t="shared" si="1693"/>
        <v>2</v>
      </c>
      <c r="T146" s="77">
        <f t="shared" si="1693"/>
        <v>21</v>
      </c>
      <c r="U146" s="77">
        <f t="shared" si="1693"/>
        <v>24</v>
      </c>
      <c r="V146" s="78">
        <f t="shared" si="1693"/>
        <v>23</v>
      </c>
      <c r="W146" s="79">
        <f t="shared" si="1693"/>
        <v>16</v>
      </c>
      <c r="X146" s="79">
        <f t="shared" si="1693"/>
        <v>23</v>
      </c>
      <c r="Y146" s="79">
        <f t="shared" si="1693"/>
        <v>8</v>
      </c>
      <c r="Z146" s="79">
        <f t="shared" si="1693"/>
        <v>24</v>
      </c>
      <c r="AA146" s="79">
        <f t="shared" si="1693"/>
        <v>23</v>
      </c>
      <c r="AB146" s="79">
        <f t="shared" si="1693"/>
        <v>24</v>
      </c>
      <c r="AC146" s="79">
        <f t="shared" si="1693"/>
        <v>23</v>
      </c>
      <c r="AD146" s="79">
        <f t="shared" si="1693"/>
        <v>14</v>
      </c>
      <c r="AE146" s="79">
        <f t="shared" si="1693"/>
        <v>23</v>
      </c>
      <c r="AF146" s="79">
        <f t="shared" si="1693"/>
        <v>6</v>
      </c>
      <c r="AG146" s="79">
        <f t="shared" si="1693"/>
        <v>24</v>
      </c>
      <c r="AH146" s="79">
        <f t="shared" si="1693"/>
        <v>23</v>
      </c>
      <c r="AI146" s="79">
        <f t="shared" si="1693"/>
        <v>20</v>
      </c>
      <c r="AJ146" s="79">
        <f t="shared" si="1693"/>
        <v>0</v>
      </c>
      <c r="AK146" s="79">
        <f t="shared" si="1693"/>
        <v>0</v>
      </c>
      <c r="AL146" s="79">
        <f t="shared" si="1693"/>
        <v>0</v>
      </c>
      <c r="AM146" s="79">
        <f t="shared" si="1693"/>
        <v>0</v>
      </c>
      <c r="AN146" s="79">
        <f t="shared" si="1693"/>
        <v>0</v>
      </c>
      <c r="AO146" s="79">
        <f t="shared" si="1693"/>
        <v>0</v>
      </c>
      <c r="AP146" s="79">
        <f t="shared" si="1693"/>
        <v>0</v>
      </c>
      <c r="AQ146" s="79">
        <f t="shared" si="1693"/>
        <v>0</v>
      </c>
      <c r="AR146" s="79">
        <f t="shared" si="1693"/>
        <v>0</v>
      </c>
      <c r="AS146" s="79">
        <f t="shared" si="1693"/>
        <v>0</v>
      </c>
      <c r="AT146" s="79">
        <f t="shared" si="1693"/>
        <v>0</v>
      </c>
      <c r="AU146" s="79">
        <f t="shared" si="1693"/>
        <v>0</v>
      </c>
      <c r="AV146" s="79">
        <f t="shared" si="1693"/>
        <v>0</v>
      </c>
      <c r="AW146" s="79">
        <f t="shared" si="1693"/>
        <v>0</v>
      </c>
      <c r="AX146" s="79">
        <f t="shared" si="1693"/>
        <v>0</v>
      </c>
      <c r="AY146" s="79">
        <f t="shared" si="1693"/>
        <v>0</v>
      </c>
      <c r="AZ146" s="80">
        <f t="shared" si="1693"/>
        <v>0</v>
      </c>
      <c r="BA146" s="78">
        <f t="shared" si="1553"/>
        <v>274</v>
      </c>
      <c r="BB146" s="77">
        <f t="shared" ca="1" si="1554"/>
        <v>0.87820512820512819</v>
      </c>
      <c r="BC146" s="78">
        <f t="shared" si="1693"/>
        <v>562</v>
      </c>
      <c r="BD146" s="79">
        <f t="shared" si="1693"/>
        <v>420</v>
      </c>
      <c r="BE146" s="79">
        <f t="shared" si="1693"/>
        <v>522</v>
      </c>
      <c r="BF146" s="79">
        <f t="shared" si="1693"/>
        <v>114</v>
      </c>
      <c r="BG146" s="79">
        <f t="shared" si="1693"/>
        <v>582</v>
      </c>
      <c r="BH146" s="79">
        <f t="shared" si="1693"/>
        <v>688</v>
      </c>
      <c r="BI146" s="79">
        <f t="shared" si="1693"/>
        <v>659</v>
      </c>
      <c r="BJ146" s="79">
        <f t="shared" si="1693"/>
        <v>628</v>
      </c>
      <c r="BK146" s="79">
        <f t="shared" si="1693"/>
        <v>430</v>
      </c>
      <c r="BL146" s="79">
        <f t="shared" si="1693"/>
        <v>745</v>
      </c>
      <c r="BM146" s="79">
        <f t="shared" si="1693"/>
        <v>207</v>
      </c>
      <c r="BN146" s="79">
        <f t="shared" si="1693"/>
        <v>842</v>
      </c>
      <c r="BO146" s="79">
        <f t="shared" si="1693"/>
        <v>768</v>
      </c>
      <c r="BP146" s="79">
        <f t="shared" si="1693"/>
        <v>9</v>
      </c>
      <c r="BQ146" s="79">
        <f t="shared" si="1693"/>
        <v>0</v>
      </c>
      <c r="BR146" s="79">
        <f t="shared" si="1693"/>
        <v>0</v>
      </c>
      <c r="BS146" s="79">
        <f t="shared" si="1693"/>
        <v>0</v>
      </c>
      <c r="BT146" s="79">
        <f t="shared" si="1693"/>
        <v>0</v>
      </c>
      <c r="BU146" s="79">
        <f t="shared" si="1693"/>
        <v>0</v>
      </c>
      <c r="BV146" s="79">
        <f t="shared" si="1693"/>
        <v>0</v>
      </c>
      <c r="BW146" s="79">
        <f t="shared" si="1693"/>
        <v>0</v>
      </c>
      <c r="BX146" s="79">
        <f t="shared" si="1693"/>
        <v>0</v>
      </c>
      <c r="BY146" s="79">
        <f t="shared" si="1693"/>
        <v>0</v>
      </c>
      <c r="BZ146" s="79">
        <f t="shared" si="1693"/>
        <v>0</v>
      </c>
      <c r="CA146" s="79">
        <f t="shared" si="1693"/>
        <v>0</v>
      </c>
      <c r="CB146" s="79">
        <f t="shared" ref="CB146:CG146" si="1694">CB145+CB144+CB143+CB136+CB128+CB120+CB113</f>
        <v>0</v>
      </c>
      <c r="CC146" s="79">
        <f t="shared" si="1694"/>
        <v>0</v>
      </c>
      <c r="CD146" s="79">
        <f t="shared" si="1694"/>
        <v>0</v>
      </c>
      <c r="CE146" s="79">
        <f t="shared" si="1694"/>
        <v>0</v>
      </c>
      <c r="CF146" s="79">
        <f t="shared" si="1694"/>
        <v>0</v>
      </c>
      <c r="CG146" s="79">
        <f t="shared" si="1694"/>
        <v>0</v>
      </c>
      <c r="CH146" s="78">
        <f t="shared" si="1555"/>
        <v>7176</v>
      </c>
      <c r="CI146" s="77">
        <f t="shared" ca="1" si="1556"/>
        <v>23</v>
      </c>
      <c r="GM146" s="2" t="s">
        <v>17</v>
      </c>
      <c r="GN146" s="135" t="str">
        <f t="shared" si="1552"/>
        <v>STH-D-FMCG-RSM-01</v>
      </c>
      <c r="GO146" s="4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6"/>
      <c r="HT146" s="4">
        <v>0</v>
      </c>
      <c r="HU146" s="3">
        <v>0</v>
      </c>
      <c r="HV146" s="3">
        <v>0</v>
      </c>
      <c r="HW146" s="3">
        <v>0</v>
      </c>
      <c r="HX146" s="3">
        <v>0</v>
      </c>
      <c r="HY146" s="3">
        <v>0</v>
      </c>
      <c r="HZ146" s="3">
        <v>0</v>
      </c>
      <c r="IA146" s="3">
        <v>0</v>
      </c>
      <c r="IB146" s="3">
        <v>0</v>
      </c>
      <c r="IC146" s="3">
        <v>0</v>
      </c>
      <c r="ID146" s="3">
        <v>0</v>
      </c>
      <c r="IE146" s="3">
        <v>0</v>
      </c>
      <c r="IF146" s="3">
        <v>0</v>
      </c>
      <c r="IG146" s="3">
        <v>0</v>
      </c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6"/>
    </row>
    <row r="147" spans="1:258" hidden="1">
      <c r="A147" s="97" t="s">
        <v>25</v>
      </c>
      <c r="B147" s="98" t="s">
        <v>26</v>
      </c>
      <c r="C147" s="98" t="s">
        <v>377</v>
      </c>
      <c r="D147" s="99" t="s">
        <v>1186</v>
      </c>
      <c r="E147" s="98" t="s">
        <v>386</v>
      </c>
      <c r="F147" s="98" t="s">
        <v>387</v>
      </c>
      <c r="G147" s="98" t="s">
        <v>388</v>
      </c>
      <c r="H147" s="98" t="s">
        <v>1496</v>
      </c>
      <c r="I147" s="98" t="s">
        <v>1496</v>
      </c>
      <c r="J147" s="98" t="s">
        <v>851</v>
      </c>
      <c r="K147" s="98" t="s">
        <v>1127</v>
      </c>
      <c r="L147" s="98">
        <v>5053</v>
      </c>
      <c r="M147" s="101" t="s">
        <v>1162</v>
      </c>
      <c r="N147" s="139">
        <v>41753</v>
      </c>
      <c r="O147" s="100">
        <v>1</v>
      </c>
      <c r="P147" s="69">
        <v>0</v>
      </c>
      <c r="Q147" s="69">
        <f t="shared" ref="Q147:Q152" si="1695">IFERROR(IF(OR(AI147&gt;0),1,0),0)</f>
        <v>1</v>
      </c>
      <c r="R147" s="69">
        <f t="shared" ref="R147:R152" si="1696">IFERROR(IF(OR(BA147&gt;0),1,0),0)</f>
        <v>1</v>
      </c>
      <c r="S147" s="69">
        <f t="shared" ref="S147:S152" si="1697">IFERROR(IF(OR(BP147&gt;0),1,0),0)</f>
        <v>0</v>
      </c>
      <c r="T147" s="69">
        <f t="shared" ref="T147:T152" si="1698">IFERROR(IF(OR(CH147&gt;0),1,0),0)</f>
        <v>1</v>
      </c>
      <c r="U147" s="69">
        <f t="shared" ref="U147:U152" si="1699">IFERROR(IF(OR(BA147&gt;0,CH147&gt;0),1,0),0)</f>
        <v>1</v>
      </c>
      <c r="V147" s="70">
        <f t="shared" ref="V147:V152" si="1700">GO147</f>
        <v>1</v>
      </c>
      <c r="W147" s="71">
        <f t="shared" ref="W147:W152" si="1701">GP147</f>
        <v>0</v>
      </c>
      <c r="X147" s="71">
        <f t="shared" ref="X147:X152" si="1702">GQ147</f>
        <v>1</v>
      </c>
      <c r="Y147" s="71">
        <f t="shared" ref="Y147:Y152" si="1703">GR147</f>
        <v>1</v>
      </c>
      <c r="Z147" s="71">
        <f t="shared" ref="Z147:Z152" si="1704">GS147</f>
        <v>1</v>
      </c>
      <c r="AA147" s="71">
        <f t="shared" ref="AA147:AA152" si="1705">GT147</f>
        <v>1</v>
      </c>
      <c r="AB147" s="71">
        <f t="shared" ref="AB147:AB152" si="1706">GU147</f>
        <v>1</v>
      </c>
      <c r="AC147" s="71">
        <f t="shared" ref="AC147:AC152" si="1707">GV147</f>
        <v>1</v>
      </c>
      <c r="AD147" s="71">
        <f t="shared" ref="AD147:AD152" si="1708">GW147</f>
        <v>0</v>
      </c>
      <c r="AE147" s="71">
        <f t="shared" ref="AE147:AE152" si="1709">GX147</f>
        <v>1</v>
      </c>
      <c r="AF147" s="71">
        <f t="shared" ref="AF147:AF152" si="1710">GY147</f>
        <v>1</v>
      </c>
      <c r="AG147" s="71">
        <f t="shared" ref="AG147:AG152" si="1711">GZ147</f>
        <v>1</v>
      </c>
      <c r="AH147" s="71">
        <f t="shared" ref="AH147:AH152" si="1712">HA147</f>
        <v>1</v>
      </c>
      <c r="AI147" s="71">
        <f t="shared" ref="AI147:AI152" si="1713">HB147</f>
        <v>1</v>
      </c>
      <c r="AJ147" s="71">
        <f t="shared" ref="AJ147:AJ152" si="1714">HC147</f>
        <v>0</v>
      </c>
      <c r="AK147" s="71">
        <f t="shared" ref="AK147:AK152" si="1715">HD147</f>
        <v>0</v>
      </c>
      <c r="AL147" s="71">
        <f t="shared" ref="AL147:AL152" si="1716">HE147</f>
        <v>0</v>
      </c>
      <c r="AM147" s="71">
        <f t="shared" ref="AM147:AM152" si="1717">HF147</f>
        <v>0</v>
      </c>
      <c r="AN147" s="71">
        <f t="shared" ref="AN147:AN152" si="1718">HG147</f>
        <v>0</v>
      </c>
      <c r="AO147" s="71">
        <f t="shared" ref="AO147:AO152" si="1719">HH147</f>
        <v>0</v>
      </c>
      <c r="AP147" s="71">
        <f t="shared" ref="AP147:AP152" si="1720">HI147</f>
        <v>0</v>
      </c>
      <c r="AQ147" s="71">
        <f t="shared" ref="AQ147:AQ152" si="1721">HJ147</f>
        <v>0</v>
      </c>
      <c r="AR147" s="71">
        <f t="shared" ref="AR147:AR152" si="1722">HK147</f>
        <v>0</v>
      </c>
      <c r="AS147" s="71">
        <f t="shared" ref="AS147:AS152" si="1723">HL147</f>
        <v>0</v>
      </c>
      <c r="AT147" s="71">
        <f t="shared" ref="AT147:AT152" si="1724">HM147</f>
        <v>0</v>
      </c>
      <c r="AU147" s="71">
        <f t="shared" ref="AU147:AU152" si="1725">HN147</f>
        <v>0</v>
      </c>
      <c r="AV147" s="71">
        <f t="shared" ref="AV147:AV152" si="1726">HO147</f>
        <v>0</v>
      </c>
      <c r="AW147" s="71">
        <f t="shared" ref="AW147:AW152" si="1727">HP147</f>
        <v>0</v>
      </c>
      <c r="AX147" s="71">
        <f t="shared" ref="AX147:AX152" si="1728">HQ147</f>
        <v>0</v>
      </c>
      <c r="AY147" s="71">
        <f t="shared" ref="AY147:AY152" si="1729">HR147</f>
        <v>0</v>
      </c>
      <c r="AZ147" s="72">
        <f t="shared" ref="AZ147:AZ152" si="1730">HS147</f>
        <v>0</v>
      </c>
      <c r="BA147" s="70">
        <f t="shared" si="1553"/>
        <v>12</v>
      </c>
      <c r="BB147" s="69">
        <f t="shared" ca="1" si="1554"/>
        <v>0.92307692307692313</v>
      </c>
      <c r="BC147" s="70">
        <f t="shared" ref="BC147:BC152" si="1731">HT147</f>
        <v>0</v>
      </c>
      <c r="BD147" s="71">
        <f t="shared" ref="BD147:BD152" si="1732">HU147</f>
        <v>0</v>
      </c>
      <c r="BE147" s="71">
        <f t="shared" ref="BE147:BE152" si="1733">HV147</f>
        <v>20</v>
      </c>
      <c r="BF147" s="71">
        <f t="shared" ref="BF147:BF152" si="1734">HW147</f>
        <v>16</v>
      </c>
      <c r="BG147" s="71">
        <f t="shared" ref="BG147:BG152" si="1735">HX147</f>
        <v>17</v>
      </c>
      <c r="BH147" s="71">
        <f t="shared" ref="BH147:BH152" si="1736">HY147</f>
        <v>12</v>
      </c>
      <c r="BI147" s="71">
        <f t="shared" ref="BI147:BI152" si="1737">HZ147</f>
        <v>0</v>
      </c>
      <c r="BJ147" s="71">
        <f t="shared" ref="BJ147:BJ152" si="1738">IA147</f>
        <v>25</v>
      </c>
      <c r="BK147" s="71">
        <f t="shared" ref="BK147:BK152" si="1739">IB147</f>
        <v>0</v>
      </c>
      <c r="BL147" s="71">
        <f t="shared" ref="BL147:BL152" si="1740">IC147</f>
        <v>53</v>
      </c>
      <c r="BM147" s="71">
        <f t="shared" ref="BM147:BM152" si="1741">ID147</f>
        <v>6</v>
      </c>
      <c r="BN147" s="71">
        <f t="shared" ref="BN147:BN152" si="1742">IE147</f>
        <v>11</v>
      </c>
      <c r="BO147" s="71">
        <f t="shared" ref="BO147:BO152" si="1743">IF147</f>
        <v>29</v>
      </c>
      <c r="BP147" s="71">
        <f t="shared" ref="BP147:BP152" si="1744">IG147</f>
        <v>0</v>
      </c>
      <c r="BQ147" s="71">
        <f t="shared" ref="BQ147:BQ152" si="1745">IH147</f>
        <v>0</v>
      </c>
      <c r="BR147" s="71">
        <f t="shared" ref="BR147:BR152" si="1746">II147</f>
        <v>0</v>
      </c>
      <c r="BS147" s="71">
        <f t="shared" ref="BS147:BS152" si="1747">IJ147</f>
        <v>0</v>
      </c>
      <c r="BT147" s="71">
        <f t="shared" ref="BT147:BT152" si="1748">IK147</f>
        <v>0</v>
      </c>
      <c r="BU147" s="71">
        <f t="shared" ref="BU147:BU152" si="1749">IL147</f>
        <v>0</v>
      </c>
      <c r="BV147" s="71">
        <f t="shared" ref="BV147:BV152" si="1750">IM147</f>
        <v>0</v>
      </c>
      <c r="BW147" s="71">
        <f t="shared" ref="BW147:BW152" si="1751">IN147</f>
        <v>0</v>
      </c>
      <c r="BX147" s="71">
        <f t="shared" ref="BX147:BX152" si="1752">IO147</f>
        <v>0</v>
      </c>
      <c r="BY147" s="71">
        <f t="shared" ref="BY147:BY152" si="1753">IP147</f>
        <v>0</v>
      </c>
      <c r="BZ147" s="71">
        <f t="shared" ref="BZ147:BZ152" si="1754">IQ147</f>
        <v>0</v>
      </c>
      <c r="CA147" s="71">
        <f t="shared" ref="CA147:CA152" si="1755">IR147</f>
        <v>0</v>
      </c>
      <c r="CB147" s="71">
        <f t="shared" ref="CB147:CB152" si="1756">IS147</f>
        <v>0</v>
      </c>
      <c r="CC147" s="71">
        <f t="shared" ref="CC147:CC152" si="1757">IT147</f>
        <v>0</v>
      </c>
      <c r="CD147" s="71">
        <f t="shared" ref="CD147:CD152" si="1758">IU147</f>
        <v>0</v>
      </c>
      <c r="CE147" s="71">
        <f t="shared" ref="CE147:CE152" si="1759">IV147</f>
        <v>0</v>
      </c>
      <c r="CF147" s="71">
        <f t="shared" ref="CF147:CF152" si="1760">IW147</f>
        <v>0</v>
      </c>
      <c r="CG147" s="71">
        <f t="shared" ref="CG147:CG152" si="1761">IX147</f>
        <v>0</v>
      </c>
      <c r="CH147" s="70">
        <f t="shared" si="1555"/>
        <v>189</v>
      </c>
      <c r="CI147" s="69">
        <f t="shared" ca="1" si="1556"/>
        <v>14.538461538461538</v>
      </c>
      <c r="GM147" s="2" t="s">
        <v>16</v>
      </c>
      <c r="GN147" s="98" t="str">
        <f t="shared" si="1552"/>
        <v>LYH01-FMCG01-SPO-01</v>
      </c>
      <c r="GO147" s="4">
        <v>1</v>
      </c>
      <c r="GP147" s="3">
        <v>0</v>
      </c>
      <c r="GQ147" s="3">
        <v>1</v>
      </c>
      <c r="GR147" s="3">
        <v>1</v>
      </c>
      <c r="GS147" s="3">
        <v>1</v>
      </c>
      <c r="GT147" s="3">
        <v>1</v>
      </c>
      <c r="GU147" s="3">
        <v>1</v>
      </c>
      <c r="GV147" s="3">
        <v>1</v>
      </c>
      <c r="GW147" s="3">
        <v>0</v>
      </c>
      <c r="GX147" s="3">
        <v>1</v>
      </c>
      <c r="GY147" s="3">
        <v>1</v>
      </c>
      <c r="GZ147" s="3">
        <v>1</v>
      </c>
      <c r="HA147" s="3">
        <v>1</v>
      </c>
      <c r="HB147" s="3">
        <v>1</v>
      </c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6"/>
      <c r="HT147" s="4">
        <v>0</v>
      </c>
      <c r="HU147" s="3">
        <v>0</v>
      </c>
      <c r="HV147" s="3">
        <v>20</v>
      </c>
      <c r="HW147" s="3">
        <v>16</v>
      </c>
      <c r="HX147" s="3">
        <v>17</v>
      </c>
      <c r="HY147" s="3">
        <v>12</v>
      </c>
      <c r="HZ147" s="3">
        <v>0</v>
      </c>
      <c r="IA147" s="3">
        <v>25</v>
      </c>
      <c r="IB147" s="3">
        <v>0</v>
      </c>
      <c r="IC147" s="3">
        <v>53</v>
      </c>
      <c r="ID147" s="3">
        <v>6</v>
      </c>
      <c r="IE147" s="3">
        <v>11</v>
      </c>
      <c r="IF147" s="3">
        <v>29</v>
      </c>
      <c r="IG147" s="3">
        <v>0</v>
      </c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6"/>
    </row>
    <row r="148" spans="1:258" hidden="1">
      <c r="A148" s="106" t="s">
        <v>25</v>
      </c>
      <c r="B148" s="101" t="s">
        <v>26</v>
      </c>
      <c r="C148" s="98" t="s">
        <v>377</v>
      </c>
      <c r="D148" s="107" t="s">
        <v>1186</v>
      </c>
      <c r="E148" s="101" t="s">
        <v>389</v>
      </c>
      <c r="F148" s="101" t="s">
        <v>390</v>
      </c>
      <c r="G148" s="98" t="s">
        <v>391</v>
      </c>
      <c r="H148" s="101" t="s">
        <v>1497</v>
      </c>
      <c r="I148" s="101" t="s">
        <v>1497</v>
      </c>
      <c r="J148" s="101" t="s">
        <v>1187</v>
      </c>
      <c r="K148" s="101" t="s">
        <v>1127</v>
      </c>
      <c r="L148" s="101" t="s">
        <v>392</v>
      </c>
      <c r="M148" s="101" t="s">
        <v>1093</v>
      </c>
      <c r="N148" s="139">
        <v>45500</v>
      </c>
      <c r="O148" s="100">
        <v>1</v>
      </c>
      <c r="P148" s="69">
        <v>0</v>
      </c>
      <c r="Q148" s="69">
        <f t="shared" si="1695"/>
        <v>1</v>
      </c>
      <c r="R148" s="69">
        <f t="shared" si="1696"/>
        <v>1</v>
      </c>
      <c r="S148" s="69">
        <f t="shared" si="1697"/>
        <v>0</v>
      </c>
      <c r="T148" s="69">
        <f t="shared" si="1698"/>
        <v>1</v>
      </c>
      <c r="U148" s="69">
        <f t="shared" si="1699"/>
        <v>1</v>
      </c>
      <c r="V148" s="70">
        <f t="shared" si="1700"/>
        <v>1</v>
      </c>
      <c r="W148" s="71">
        <f t="shared" si="1701"/>
        <v>0</v>
      </c>
      <c r="X148" s="71">
        <f t="shared" si="1702"/>
        <v>1</v>
      </c>
      <c r="Y148" s="71">
        <f t="shared" si="1703"/>
        <v>1</v>
      </c>
      <c r="Z148" s="71">
        <f t="shared" si="1704"/>
        <v>1</v>
      </c>
      <c r="AA148" s="71">
        <f t="shared" si="1705"/>
        <v>1</v>
      </c>
      <c r="AB148" s="71">
        <f t="shared" si="1706"/>
        <v>1</v>
      </c>
      <c r="AC148" s="71">
        <f t="shared" si="1707"/>
        <v>1</v>
      </c>
      <c r="AD148" s="71">
        <f t="shared" si="1708"/>
        <v>0</v>
      </c>
      <c r="AE148" s="71">
        <f t="shared" si="1709"/>
        <v>1</v>
      </c>
      <c r="AF148" s="71">
        <f t="shared" si="1710"/>
        <v>1</v>
      </c>
      <c r="AG148" s="71">
        <f t="shared" si="1711"/>
        <v>1</v>
      </c>
      <c r="AH148" s="71">
        <f t="shared" si="1712"/>
        <v>1</v>
      </c>
      <c r="AI148" s="71">
        <f t="shared" si="1713"/>
        <v>1</v>
      </c>
      <c r="AJ148" s="71">
        <f t="shared" si="1714"/>
        <v>0</v>
      </c>
      <c r="AK148" s="71">
        <f t="shared" si="1715"/>
        <v>0</v>
      </c>
      <c r="AL148" s="71">
        <f t="shared" si="1716"/>
        <v>0</v>
      </c>
      <c r="AM148" s="71">
        <f t="shared" si="1717"/>
        <v>0</v>
      </c>
      <c r="AN148" s="71">
        <f t="shared" si="1718"/>
        <v>0</v>
      </c>
      <c r="AO148" s="71">
        <f t="shared" si="1719"/>
        <v>0</v>
      </c>
      <c r="AP148" s="71">
        <f t="shared" si="1720"/>
        <v>0</v>
      </c>
      <c r="AQ148" s="71">
        <f t="shared" si="1721"/>
        <v>0</v>
      </c>
      <c r="AR148" s="71">
        <f t="shared" si="1722"/>
        <v>0</v>
      </c>
      <c r="AS148" s="71">
        <f t="shared" si="1723"/>
        <v>0</v>
      </c>
      <c r="AT148" s="71">
        <f t="shared" si="1724"/>
        <v>0</v>
      </c>
      <c r="AU148" s="71">
        <f t="shared" si="1725"/>
        <v>0</v>
      </c>
      <c r="AV148" s="71">
        <f t="shared" si="1726"/>
        <v>0</v>
      </c>
      <c r="AW148" s="71">
        <f t="shared" si="1727"/>
        <v>0</v>
      </c>
      <c r="AX148" s="71">
        <f t="shared" si="1728"/>
        <v>0</v>
      </c>
      <c r="AY148" s="71">
        <f t="shared" si="1729"/>
        <v>0</v>
      </c>
      <c r="AZ148" s="72">
        <f t="shared" si="1730"/>
        <v>0</v>
      </c>
      <c r="BA148" s="70">
        <f t="shared" si="1553"/>
        <v>12</v>
      </c>
      <c r="BB148" s="69">
        <f t="shared" ca="1" si="1554"/>
        <v>0.92307692307692313</v>
      </c>
      <c r="BC148" s="70">
        <f t="shared" si="1731"/>
        <v>0</v>
      </c>
      <c r="BD148" s="71">
        <f t="shared" si="1732"/>
        <v>0</v>
      </c>
      <c r="BE148" s="71">
        <f t="shared" si="1733"/>
        <v>0</v>
      </c>
      <c r="BF148" s="71">
        <f t="shared" si="1734"/>
        <v>3</v>
      </c>
      <c r="BG148" s="71">
        <f t="shared" si="1735"/>
        <v>8</v>
      </c>
      <c r="BH148" s="71">
        <f t="shared" si="1736"/>
        <v>8</v>
      </c>
      <c r="BI148" s="71">
        <f t="shared" si="1737"/>
        <v>5</v>
      </c>
      <c r="BJ148" s="71">
        <f t="shared" si="1738"/>
        <v>8</v>
      </c>
      <c r="BK148" s="71">
        <f t="shared" si="1739"/>
        <v>0</v>
      </c>
      <c r="BL148" s="71">
        <f t="shared" si="1740"/>
        <v>0</v>
      </c>
      <c r="BM148" s="71">
        <f t="shared" si="1741"/>
        <v>10</v>
      </c>
      <c r="BN148" s="71">
        <f t="shared" si="1742"/>
        <v>0</v>
      </c>
      <c r="BO148" s="71">
        <f t="shared" si="1743"/>
        <v>8</v>
      </c>
      <c r="BP148" s="71">
        <f t="shared" si="1744"/>
        <v>0</v>
      </c>
      <c r="BQ148" s="71">
        <f t="shared" si="1745"/>
        <v>0</v>
      </c>
      <c r="BR148" s="71">
        <f t="shared" si="1746"/>
        <v>0</v>
      </c>
      <c r="BS148" s="71">
        <f t="shared" si="1747"/>
        <v>0</v>
      </c>
      <c r="BT148" s="71">
        <f t="shared" si="1748"/>
        <v>0</v>
      </c>
      <c r="BU148" s="71">
        <f t="shared" si="1749"/>
        <v>0</v>
      </c>
      <c r="BV148" s="71">
        <f t="shared" si="1750"/>
        <v>0</v>
      </c>
      <c r="BW148" s="71">
        <f t="shared" si="1751"/>
        <v>0</v>
      </c>
      <c r="BX148" s="71">
        <f t="shared" si="1752"/>
        <v>0</v>
      </c>
      <c r="BY148" s="71">
        <f t="shared" si="1753"/>
        <v>0</v>
      </c>
      <c r="BZ148" s="71">
        <f t="shared" si="1754"/>
        <v>0</v>
      </c>
      <c r="CA148" s="71">
        <f t="shared" si="1755"/>
        <v>0</v>
      </c>
      <c r="CB148" s="71">
        <f t="shared" si="1756"/>
        <v>0</v>
      </c>
      <c r="CC148" s="71">
        <f t="shared" si="1757"/>
        <v>0</v>
      </c>
      <c r="CD148" s="71">
        <f t="shared" si="1758"/>
        <v>0</v>
      </c>
      <c r="CE148" s="71">
        <f t="shared" si="1759"/>
        <v>0</v>
      </c>
      <c r="CF148" s="71">
        <f t="shared" si="1760"/>
        <v>0</v>
      </c>
      <c r="CG148" s="71">
        <f t="shared" si="1761"/>
        <v>0</v>
      </c>
      <c r="CH148" s="70">
        <f t="shared" si="1555"/>
        <v>50</v>
      </c>
      <c r="CI148" s="69">
        <f t="shared" ca="1" si="1556"/>
        <v>3.8461538461538463</v>
      </c>
      <c r="GM148" s="2" t="s">
        <v>16</v>
      </c>
      <c r="GN148" s="101" t="str">
        <f t="shared" si="1552"/>
        <v>LYH01-FMCG01-SPO-02</v>
      </c>
      <c r="GO148" s="4">
        <v>1</v>
      </c>
      <c r="GP148" s="3">
        <v>0</v>
      </c>
      <c r="GQ148" s="3">
        <v>1</v>
      </c>
      <c r="GR148" s="3">
        <v>1</v>
      </c>
      <c r="GS148" s="3">
        <v>1</v>
      </c>
      <c r="GT148" s="3">
        <v>1</v>
      </c>
      <c r="GU148" s="3">
        <v>1</v>
      </c>
      <c r="GV148" s="3">
        <v>1</v>
      </c>
      <c r="GW148" s="3">
        <v>0</v>
      </c>
      <c r="GX148" s="3">
        <v>1</v>
      </c>
      <c r="GY148" s="3">
        <v>1</v>
      </c>
      <c r="GZ148" s="3">
        <v>1</v>
      </c>
      <c r="HA148" s="3">
        <v>1</v>
      </c>
      <c r="HB148" s="3">
        <v>1</v>
      </c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6"/>
      <c r="HT148" s="4">
        <v>0</v>
      </c>
      <c r="HU148" s="3">
        <v>0</v>
      </c>
      <c r="HV148" s="3">
        <v>0</v>
      </c>
      <c r="HW148" s="3">
        <v>3</v>
      </c>
      <c r="HX148" s="3">
        <v>8</v>
      </c>
      <c r="HY148" s="3">
        <v>8</v>
      </c>
      <c r="HZ148" s="3">
        <v>5</v>
      </c>
      <c r="IA148" s="3">
        <v>8</v>
      </c>
      <c r="IB148" s="3">
        <v>0</v>
      </c>
      <c r="IC148" s="3">
        <v>0</v>
      </c>
      <c r="ID148" s="3">
        <v>10</v>
      </c>
      <c r="IE148" s="3">
        <v>0</v>
      </c>
      <c r="IF148" s="3">
        <v>8</v>
      </c>
      <c r="IG148" s="3">
        <v>0</v>
      </c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6"/>
    </row>
    <row r="149" spans="1:258" hidden="1">
      <c r="A149" s="106" t="s">
        <v>25</v>
      </c>
      <c r="B149" s="98" t="s">
        <v>90</v>
      </c>
      <c r="C149" s="98" t="s">
        <v>377</v>
      </c>
      <c r="D149" s="99" t="s">
        <v>1186</v>
      </c>
      <c r="E149" s="98" t="s">
        <v>393</v>
      </c>
      <c r="F149" s="98" t="s">
        <v>394</v>
      </c>
      <c r="G149" s="98" t="s">
        <v>395</v>
      </c>
      <c r="H149" s="98" t="s">
        <v>1498</v>
      </c>
      <c r="I149" s="98" t="s">
        <v>1498</v>
      </c>
      <c r="J149" s="98" t="s">
        <v>851</v>
      </c>
      <c r="K149" s="98" t="s">
        <v>1127</v>
      </c>
      <c r="L149" s="98" t="s">
        <v>396</v>
      </c>
      <c r="M149" s="101" t="s">
        <v>1093</v>
      </c>
      <c r="N149" s="139">
        <v>45494</v>
      </c>
      <c r="O149" s="100">
        <v>1</v>
      </c>
      <c r="P149" s="69">
        <v>0</v>
      </c>
      <c r="Q149" s="69">
        <f t="shared" si="1695"/>
        <v>1</v>
      </c>
      <c r="R149" s="69">
        <f t="shared" si="1696"/>
        <v>1</v>
      </c>
      <c r="S149" s="69">
        <f t="shared" si="1697"/>
        <v>0</v>
      </c>
      <c r="T149" s="69">
        <f t="shared" si="1698"/>
        <v>1</v>
      </c>
      <c r="U149" s="69">
        <f t="shared" si="1699"/>
        <v>1</v>
      </c>
      <c r="V149" s="70">
        <f t="shared" si="1700"/>
        <v>1</v>
      </c>
      <c r="W149" s="71">
        <f t="shared" si="1701"/>
        <v>0</v>
      </c>
      <c r="X149" s="71">
        <f t="shared" si="1702"/>
        <v>1</v>
      </c>
      <c r="Y149" s="71">
        <f t="shared" si="1703"/>
        <v>1</v>
      </c>
      <c r="Z149" s="71">
        <f t="shared" si="1704"/>
        <v>1</v>
      </c>
      <c r="AA149" s="71">
        <f t="shared" si="1705"/>
        <v>1</v>
      </c>
      <c r="AB149" s="71">
        <f t="shared" si="1706"/>
        <v>1</v>
      </c>
      <c r="AC149" s="71">
        <f t="shared" si="1707"/>
        <v>1</v>
      </c>
      <c r="AD149" s="71">
        <f t="shared" si="1708"/>
        <v>0</v>
      </c>
      <c r="AE149" s="71">
        <f t="shared" si="1709"/>
        <v>1</v>
      </c>
      <c r="AF149" s="71">
        <f t="shared" si="1710"/>
        <v>1</v>
      </c>
      <c r="AG149" s="71">
        <f t="shared" si="1711"/>
        <v>1</v>
      </c>
      <c r="AH149" s="71">
        <f t="shared" si="1712"/>
        <v>1</v>
      </c>
      <c r="AI149" s="71">
        <f t="shared" si="1713"/>
        <v>1</v>
      </c>
      <c r="AJ149" s="71">
        <f t="shared" si="1714"/>
        <v>0</v>
      </c>
      <c r="AK149" s="71">
        <f t="shared" si="1715"/>
        <v>0</v>
      </c>
      <c r="AL149" s="71">
        <f t="shared" si="1716"/>
        <v>0</v>
      </c>
      <c r="AM149" s="71">
        <f t="shared" si="1717"/>
        <v>0</v>
      </c>
      <c r="AN149" s="71">
        <f t="shared" si="1718"/>
        <v>0</v>
      </c>
      <c r="AO149" s="71">
        <f t="shared" si="1719"/>
        <v>0</v>
      </c>
      <c r="AP149" s="71">
        <f t="shared" si="1720"/>
        <v>0</v>
      </c>
      <c r="AQ149" s="71">
        <f t="shared" si="1721"/>
        <v>0</v>
      </c>
      <c r="AR149" s="71">
        <f t="shared" si="1722"/>
        <v>0</v>
      </c>
      <c r="AS149" s="71">
        <f t="shared" si="1723"/>
        <v>0</v>
      </c>
      <c r="AT149" s="71">
        <f t="shared" si="1724"/>
        <v>0</v>
      </c>
      <c r="AU149" s="71">
        <f t="shared" si="1725"/>
        <v>0</v>
      </c>
      <c r="AV149" s="71">
        <f t="shared" si="1726"/>
        <v>0</v>
      </c>
      <c r="AW149" s="71">
        <f t="shared" si="1727"/>
        <v>0</v>
      </c>
      <c r="AX149" s="71">
        <f t="shared" si="1728"/>
        <v>0</v>
      </c>
      <c r="AY149" s="71">
        <f t="shared" si="1729"/>
        <v>0</v>
      </c>
      <c r="AZ149" s="72">
        <f t="shared" si="1730"/>
        <v>0</v>
      </c>
      <c r="BA149" s="70">
        <f t="shared" si="1553"/>
        <v>12</v>
      </c>
      <c r="BB149" s="69">
        <f t="shared" ca="1" si="1554"/>
        <v>0.92307692307692313</v>
      </c>
      <c r="BC149" s="70">
        <f t="shared" si="1731"/>
        <v>0</v>
      </c>
      <c r="BD149" s="71">
        <f t="shared" si="1732"/>
        <v>0</v>
      </c>
      <c r="BE149" s="71">
        <f t="shared" si="1733"/>
        <v>17</v>
      </c>
      <c r="BF149" s="71">
        <f t="shared" si="1734"/>
        <v>17</v>
      </c>
      <c r="BG149" s="71">
        <f t="shared" si="1735"/>
        <v>0</v>
      </c>
      <c r="BH149" s="71">
        <f t="shared" si="1736"/>
        <v>0</v>
      </c>
      <c r="BI149" s="71">
        <f t="shared" si="1737"/>
        <v>16</v>
      </c>
      <c r="BJ149" s="71">
        <f t="shared" si="1738"/>
        <v>0</v>
      </c>
      <c r="BK149" s="71">
        <f t="shared" si="1739"/>
        <v>0</v>
      </c>
      <c r="BL149" s="71">
        <f t="shared" si="1740"/>
        <v>17</v>
      </c>
      <c r="BM149" s="71">
        <f t="shared" si="1741"/>
        <v>25</v>
      </c>
      <c r="BN149" s="71">
        <f t="shared" si="1742"/>
        <v>27</v>
      </c>
      <c r="BO149" s="71">
        <f t="shared" si="1743"/>
        <v>31</v>
      </c>
      <c r="BP149" s="71">
        <f t="shared" si="1744"/>
        <v>0</v>
      </c>
      <c r="BQ149" s="71">
        <f t="shared" si="1745"/>
        <v>0</v>
      </c>
      <c r="BR149" s="71">
        <f t="shared" si="1746"/>
        <v>0</v>
      </c>
      <c r="BS149" s="71">
        <f t="shared" si="1747"/>
        <v>0</v>
      </c>
      <c r="BT149" s="71">
        <f t="shared" si="1748"/>
        <v>0</v>
      </c>
      <c r="BU149" s="71">
        <f t="shared" si="1749"/>
        <v>0</v>
      </c>
      <c r="BV149" s="71">
        <f t="shared" si="1750"/>
        <v>0</v>
      </c>
      <c r="BW149" s="71">
        <f t="shared" si="1751"/>
        <v>0</v>
      </c>
      <c r="BX149" s="71">
        <f t="shared" si="1752"/>
        <v>0</v>
      </c>
      <c r="BY149" s="71">
        <f t="shared" si="1753"/>
        <v>0</v>
      </c>
      <c r="BZ149" s="71">
        <f t="shared" si="1754"/>
        <v>0</v>
      </c>
      <c r="CA149" s="71">
        <f t="shared" si="1755"/>
        <v>0</v>
      </c>
      <c r="CB149" s="71">
        <f t="shared" si="1756"/>
        <v>0</v>
      </c>
      <c r="CC149" s="71">
        <f t="shared" si="1757"/>
        <v>0</v>
      </c>
      <c r="CD149" s="71">
        <f t="shared" si="1758"/>
        <v>0</v>
      </c>
      <c r="CE149" s="71">
        <f t="shared" si="1759"/>
        <v>0</v>
      </c>
      <c r="CF149" s="71">
        <f t="shared" si="1760"/>
        <v>0</v>
      </c>
      <c r="CG149" s="71">
        <f t="shared" si="1761"/>
        <v>0</v>
      </c>
      <c r="CH149" s="70">
        <f t="shared" si="1555"/>
        <v>150</v>
      </c>
      <c r="CI149" s="69">
        <f t="shared" ca="1" si="1556"/>
        <v>11.538461538461538</v>
      </c>
      <c r="GM149" s="2" t="s">
        <v>16</v>
      </c>
      <c r="GN149" s="98" t="str">
        <f t="shared" si="1552"/>
        <v>LYH01-FMCG02-SPO-01</v>
      </c>
      <c r="GO149" s="4">
        <v>1</v>
      </c>
      <c r="GP149" s="3">
        <v>0</v>
      </c>
      <c r="GQ149" s="3">
        <v>1</v>
      </c>
      <c r="GR149" s="3">
        <v>1</v>
      </c>
      <c r="GS149" s="3">
        <v>1</v>
      </c>
      <c r="GT149" s="3">
        <v>1</v>
      </c>
      <c r="GU149" s="3">
        <v>1</v>
      </c>
      <c r="GV149" s="3">
        <v>1</v>
      </c>
      <c r="GW149" s="3">
        <v>0</v>
      </c>
      <c r="GX149" s="3">
        <v>1</v>
      </c>
      <c r="GY149" s="3">
        <v>1</v>
      </c>
      <c r="GZ149" s="3">
        <v>1</v>
      </c>
      <c r="HA149" s="3">
        <v>1</v>
      </c>
      <c r="HB149" s="3">
        <v>1</v>
      </c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6"/>
      <c r="HT149" s="4">
        <v>0</v>
      </c>
      <c r="HU149" s="3">
        <v>0</v>
      </c>
      <c r="HV149" s="3">
        <v>17</v>
      </c>
      <c r="HW149" s="3">
        <v>17</v>
      </c>
      <c r="HX149" s="3">
        <v>0</v>
      </c>
      <c r="HY149" s="3">
        <v>0</v>
      </c>
      <c r="HZ149" s="3">
        <v>16</v>
      </c>
      <c r="IA149" s="3">
        <v>0</v>
      </c>
      <c r="IB149" s="3">
        <v>0</v>
      </c>
      <c r="IC149" s="3">
        <v>17</v>
      </c>
      <c r="ID149" s="3">
        <v>25</v>
      </c>
      <c r="IE149" s="3">
        <v>27</v>
      </c>
      <c r="IF149" s="3">
        <v>31</v>
      </c>
      <c r="IG149" s="3">
        <v>0</v>
      </c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6"/>
    </row>
    <row r="150" spans="1:258" hidden="1">
      <c r="A150" s="106" t="s">
        <v>25</v>
      </c>
      <c r="B150" s="98" t="s">
        <v>90</v>
      </c>
      <c r="C150" s="98" t="s">
        <v>377</v>
      </c>
      <c r="D150" s="99" t="s">
        <v>1186</v>
      </c>
      <c r="E150" s="98" t="s">
        <v>397</v>
      </c>
      <c r="F150" s="98" t="s">
        <v>398</v>
      </c>
      <c r="G150" s="98" t="s">
        <v>399</v>
      </c>
      <c r="H150" s="98" t="s">
        <v>1499</v>
      </c>
      <c r="I150" s="98" t="s">
        <v>1499</v>
      </c>
      <c r="J150" s="98" t="s">
        <v>1187</v>
      </c>
      <c r="K150" s="98" t="s">
        <v>1127</v>
      </c>
      <c r="L150" s="98" t="s">
        <v>400</v>
      </c>
      <c r="M150" s="101" t="s">
        <v>1093</v>
      </c>
      <c r="N150" s="139">
        <v>45500</v>
      </c>
      <c r="O150" s="100">
        <v>1</v>
      </c>
      <c r="P150" s="69">
        <v>0</v>
      </c>
      <c r="Q150" s="69">
        <f t="shared" si="1695"/>
        <v>1</v>
      </c>
      <c r="R150" s="69">
        <f t="shared" si="1696"/>
        <v>1</v>
      </c>
      <c r="S150" s="69">
        <f t="shared" si="1697"/>
        <v>0</v>
      </c>
      <c r="T150" s="69">
        <f t="shared" si="1698"/>
        <v>1</v>
      </c>
      <c r="U150" s="69">
        <f t="shared" si="1699"/>
        <v>1</v>
      </c>
      <c r="V150" s="70">
        <f t="shared" si="1700"/>
        <v>1</v>
      </c>
      <c r="W150" s="71">
        <f t="shared" si="1701"/>
        <v>0</v>
      </c>
      <c r="X150" s="71">
        <f t="shared" si="1702"/>
        <v>1</v>
      </c>
      <c r="Y150" s="71">
        <f t="shared" si="1703"/>
        <v>1</v>
      </c>
      <c r="Z150" s="71">
        <f t="shared" si="1704"/>
        <v>1</v>
      </c>
      <c r="AA150" s="71">
        <f t="shared" si="1705"/>
        <v>1</v>
      </c>
      <c r="AB150" s="71">
        <f t="shared" si="1706"/>
        <v>1</v>
      </c>
      <c r="AC150" s="71">
        <f t="shared" si="1707"/>
        <v>1</v>
      </c>
      <c r="AD150" s="71">
        <f t="shared" si="1708"/>
        <v>0</v>
      </c>
      <c r="AE150" s="71">
        <f t="shared" si="1709"/>
        <v>1</v>
      </c>
      <c r="AF150" s="71">
        <f t="shared" si="1710"/>
        <v>1</v>
      </c>
      <c r="AG150" s="71">
        <f t="shared" si="1711"/>
        <v>1</v>
      </c>
      <c r="AH150" s="71">
        <f t="shared" si="1712"/>
        <v>1</v>
      </c>
      <c r="AI150" s="71">
        <f t="shared" si="1713"/>
        <v>1</v>
      </c>
      <c r="AJ150" s="71">
        <f t="shared" si="1714"/>
        <v>0</v>
      </c>
      <c r="AK150" s="71">
        <f t="shared" si="1715"/>
        <v>0</v>
      </c>
      <c r="AL150" s="71">
        <f t="shared" si="1716"/>
        <v>0</v>
      </c>
      <c r="AM150" s="71">
        <f t="shared" si="1717"/>
        <v>0</v>
      </c>
      <c r="AN150" s="71">
        <f t="shared" si="1718"/>
        <v>0</v>
      </c>
      <c r="AO150" s="71">
        <f t="shared" si="1719"/>
        <v>0</v>
      </c>
      <c r="AP150" s="71">
        <f t="shared" si="1720"/>
        <v>0</v>
      </c>
      <c r="AQ150" s="71">
        <f t="shared" si="1721"/>
        <v>0</v>
      </c>
      <c r="AR150" s="71">
        <f t="shared" si="1722"/>
        <v>0</v>
      </c>
      <c r="AS150" s="71">
        <f t="shared" si="1723"/>
        <v>0</v>
      </c>
      <c r="AT150" s="71">
        <f t="shared" si="1724"/>
        <v>0</v>
      </c>
      <c r="AU150" s="71">
        <f t="shared" si="1725"/>
        <v>0</v>
      </c>
      <c r="AV150" s="71">
        <f t="shared" si="1726"/>
        <v>0</v>
      </c>
      <c r="AW150" s="71">
        <f t="shared" si="1727"/>
        <v>0</v>
      </c>
      <c r="AX150" s="71">
        <f t="shared" si="1728"/>
        <v>0</v>
      </c>
      <c r="AY150" s="71">
        <f t="shared" si="1729"/>
        <v>0</v>
      </c>
      <c r="AZ150" s="72">
        <f t="shared" si="1730"/>
        <v>0</v>
      </c>
      <c r="BA150" s="70">
        <f t="shared" si="1553"/>
        <v>12</v>
      </c>
      <c r="BB150" s="69">
        <f t="shared" ca="1" si="1554"/>
        <v>0.92307692307692313</v>
      </c>
      <c r="BC150" s="70">
        <f t="shared" si="1731"/>
        <v>0</v>
      </c>
      <c r="BD150" s="71">
        <f t="shared" si="1732"/>
        <v>0</v>
      </c>
      <c r="BE150" s="71">
        <f t="shared" si="1733"/>
        <v>0</v>
      </c>
      <c r="BF150" s="71">
        <f t="shared" si="1734"/>
        <v>0</v>
      </c>
      <c r="BG150" s="71">
        <f t="shared" si="1735"/>
        <v>0</v>
      </c>
      <c r="BH150" s="71">
        <f t="shared" si="1736"/>
        <v>8</v>
      </c>
      <c r="BI150" s="71">
        <f t="shared" si="1737"/>
        <v>9</v>
      </c>
      <c r="BJ150" s="71">
        <f t="shared" si="1738"/>
        <v>0</v>
      </c>
      <c r="BK150" s="71">
        <f t="shared" si="1739"/>
        <v>0</v>
      </c>
      <c r="BL150" s="71">
        <f t="shared" si="1740"/>
        <v>6</v>
      </c>
      <c r="BM150" s="71">
        <f t="shared" si="1741"/>
        <v>6</v>
      </c>
      <c r="BN150" s="71">
        <f t="shared" si="1742"/>
        <v>13</v>
      </c>
      <c r="BO150" s="71">
        <f t="shared" si="1743"/>
        <v>13</v>
      </c>
      <c r="BP150" s="71">
        <f t="shared" si="1744"/>
        <v>0</v>
      </c>
      <c r="BQ150" s="71">
        <f t="shared" si="1745"/>
        <v>0</v>
      </c>
      <c r="BR150" s="71">
        <f t="shared" si="1746"/>
        <v>0</v>
      </c>
      <c r="BS150" s="71">
        <f t="shared" si="1747"/>
        <v>0</v>
      </c>
      <c r="BT150" s="71">
        <f t="shared" si="1748"/>
        <v>0</v>
      </c>
      <c r="BU150" s="71">
        <f t="shared" si="1749"/>
        <v>0</v>
      </c>
      <c r="BV150" s="71">
        <f t="shared" si="1750"/>
        <v>0</v>
      </c>
      <c r="BW150" s="71">
        <f t="shared" si="1751"/>
        <v>0</v>
      </c>
      <c r="BX150" s="71">
        <f t="shared" si="1752"/>
        <v>0</v>
      </c>
      <c r="BY150" s="71">
        <f t="shared" si="1753"/>
        <v>0</v>
      </c>
      <c r="BZ150" s="71">
        <f t="shared" si="1754"/>
        <v>0</v>
      </c>
      <c r="CA150" s="71">
        <f t="shared" si="1755"/>
        <v>0</v>
      </c>
      <c r="CB150" s="71">
        <f t="shared" si="1756"/>
        <v>0</v>
      </c>
      <c r="CC150" s="71">
        <f t="shared" si="1757"/>
        <v>0</v>
      </c>
      <c r="CD150" s="71">
        <f t="shared" si="1758"/>
        <v>0</v>
      </c>
      <c r="CE150" s="71">
        <f t="shared" si="1759"/>
        <v>0</v>
      </c>
      <c r="CF150" s="71">
        <f t="shared" si="1760"/>
        <v>0</v>
      </c>
      <c r="CG150" s="71">
        <f t="shared" si="1761"/>
        <v>0</v>
      </c>
      <c r="CH150" s="70">
        <f t="shared" si="1555"/>
        <v>55</v>
      </c>
      <c r="CI150" s="69">
        <f t="shared" ca="1" si="1556"/>
        <v>4.2307692307692308</v>
      </c>
      <c r="GM150" s="2" t="s">
        <v>16</v>
      </c>
      <c r="GN150" s="98" t="str">
        <f t="shared" si="1552"/>
        <v>LYH01-FMCG02-SPO-02</v>
      </c>
      <c r="GO150" s="4">
        <v>1</v>
      </c>
      <c r="GP150" s="3">
        <v>0</v>
      </c>
      <c r="GQ150" s="3">
        <v>1</v>
      </c>
      <c r="GR150" s="3">
        <v>1</v>
      </c>
      <c r="GS150" s="3">
        <v>1</v>
      </c>
      <c r="GT150" s="3">
        <v>1</v>
      </c>
      <c r="GU150" s="3">
        <v>1</v>
      </c>
      <c r="GV150" s="3">
        <v>1</v>
      </c>
      <c r="GW150" s="3">
        <v>0</v>
      </c>
      <c r="GX150" s="3">
        <v>1</v>
      </c>
      <c r="GY150" s="3">
        <v>1</v>
      </c>
      <c r="GZ150" s="3">
        <v>1</v>
      </c>
      <c r="HA150" s="3">
        <v>1</v>
      </c>
      <c r="HB150" s="3">
        <v>1</v>
      </c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6"/>
      <c r="HT150" s="4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8</v>
      </c>
      <c r="HZ150" s="3">
        <v>9</v>
      </c>
      <c r="IA150" s="3">
        <v>0</v>
      </c>
      <c r="IB150" s="3">
        <v>0</v>
      </c>
      <c r="IC150" s="3">
        <v>6</v>
      </c>
      <c r="ID150" s="3">
        <v>6</v>
      </c>
      <c r="IE150" s="3">
        <v>13</v>
      </c>
      <c r="IF150" s="3">
        <v>13</v>
      </c>
      <c r="IG150" s="3">
        <v>0</v>
      </c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6"/>
    </row>
    <row r="151" spans="1:258" hidden="1">
      <c r="A151" s="97" t="s">
        <v>1287</v>
      </c>
      <c r="B151" s="98" t="s">
        <v>20</v>
      </c>
      <c r="C151" s="98" t="s">
        <v>377</v>
      </c>
      <c r="D151" s="99" t="s">
        <v>1186</v>
      </c>
      <c r="E151" s="98" t="s">
        <v>1098</v>
      </c>
      <c r="F151" s="98" t="s">
        <v>401</v>
      </c>
      <c r="G151" s="98" t="s">
        <v>402</v>
      </c>
      <c r="H151" s="98" t="s">
        <v>1500</v>
      </c>
      <c r="I151" s="98" t="s">
        <v>1500</v>
      </c>
      <c r="J151" s="98" t="s">
        <v>851</v>
      </c>
      <c r="K151" s="98" t="s">
        <v>1099</v>
      </c>
      <c r="L151" s="98" t="s">
        <v>1099</v>
      </c>
      <c r="M151" s="101" t="s">
        <v>1099</v>
      </c>
      <c r="N151" s="108">
        <v>45474</v>
      </c>
      <c r="O151" s="100">
        <v>0</v>
      </c>
      <c r="P151" s="69">
        <v>0</v>
      </c>
      <c r="Q151" s="69">
        <f t="shared" si="1695"/>
        <v>0</v>
      </c>
      <c r="R151" s="69">
        <f t="shared" si="1696"/>
        <v>0</v>
      </c>
      <c r="S151" s="69">
        <f t="shared" si="1697"/>
        <v>0</v>
      </c>
      <c r="T151" s="69">
        <f t="shared" si="1698"/>
        <v>0</v>
      </c>
      <c r="U151" s="69">
        <f t="shared" si="1699"/>
        <v>0</v>
      </c>
      <c r="V151" s="70">
        <f t="shared" si="1700"/>
        <v>0</v>
      </c>
      <c r="W151" s="71">
        <f t="shared" si="1701"/>
        <v>0</v>
      </c>
      <c r="X151" s="71">
        <f t="shared" si="1702"/>
        <v>0</v>
      </c>
      <c r="Y151" s="71">
        <f t="shared" si="1703"/>
        <v>0</v>
      </c>
      <c r="Z151" s="71">
        <f t="shared" si="1704"/>
        <v>0</v>
      </c>
      <c r="AA151" s="71">
        <f t="shared" si="1705"/>
        <v>0</v>
      </c>
      <c r="AB151" s="71">
        <f t="shared" si="1706"/>
        <v>0</v>
      </c>
      <c r="AC151" s="71">
        <f t="shared" si="1707"/>
        <v>0</v>
      </c>
      <c r="AD151" s="71">
        <f t="shared" si="1708"/>
        <v>0</v>
      </c>
      <c r="AE151" s="71">
        <f t="shared" si="1709"/>
        <v>0</v>
      </c>
      <c r="AF151" s="71">
        <f t="shared" si="1710"/>
        <v>0</v>
      </c>
      <c r="AG151" s="71">
        <f t="shared" si="1711"/>
        <v>0</v>
      </c>
      <c r="AH151" s="71">
        <f t="shared" si="1712"/>
        <v>0</v>
      </c>
      <c r="AI151" s="71">
        <f t="shared" si="1713"/>
        <v>0</v>
      </c>
      <c r="AJ151" s="71">
        <f t="shared" si="1714"/>
        <v>0</v>
      </c>
      <c r="AK151" s="71">
        <f t="shared" si="1715"/>
        <v>0</v>
      </c>
      <c r="AL151" s="71">
        <f t="shared" si="1716"/>
        <v>0</v>
      </c>
      <c r="AM151" s="71">
        <f t="shared" si="1717"/>
        <v>0</v>
      </c>
      <c r="AN151" s="71">
        <f t="shared" si="1718"/>
        <v>0</v>
      </c>
      <c r="AO151" s="71">
        <f t="shared" si="1719"/>
        <v>0</v>
      </c>
      <c r="AP151" s="71">
        <f t="shared" si="1720"/>
        <v>0</v>
      </c>
      <c r="AQ151" s="71">
        <f t="shared" si="1721"/>
        <v>0</v>
      </c>
      <c r="AR151" s="71">
        <f t="shared" si="1722"/>
        <v>0</v>
      </c>
      <c r="AS151" s="71">
        <f t="shared" si="1723"/>
        <v>0</v>
      </c>
      <c r="AT151" s="71">
        <f t="shared" si="1724"/>
        <v>0</v>
      </c>
      <c r="AU151" s="71">
        <f t="shared" si="1725"/>
        <v>0</v>
      </c>
      <c r="AV151" s="71">
        <f t="shared" si="1726"/>
        <v>0</v>
      </c>
      <c r="AW151" s="71">
        <f t="shared" si="1727"/>
        <v>0</v>
      </c>
      <c r="AX151" s="71">
        <f t="shared" si="1728"/>
        <v>0</v>
      </c>
      <c r="AY151" s="71">
        <f t="shared" si="1729"/>
        <v>0</v>
      </c>
      <c r="AZ151" s="72">
        <f t="shared" si="1730"/>
        <v>0</v>
      </c>
      <c r="BA151" s="70">
        <f t="shared" si="1553"/>
        <v>0</v>
      </c>
      <c r="BB151" s="69">
        <f t="shared" ca="1" si="1554"/>
        <v>0</v>
      </c>
      <c r="BC151" s="70">
        <f t="shared" si="1731"/>
        <v>0</v>
      </c>
      <c r="BD151" s="71">
        <f t="shared" si="1732"/>
        <v>0</v>
      </c>
      <c r="BE151" s="71">
        <f t="shared" si="1733"/>
        <v>0</v>
      </c>
      <c r="BF151" s="71">
        <f t="shared" si="1734"/>
        <v>0</v>
      </c>
      <c r="BG151" s="71">
        <f t="shared" si="1735"/>
        <v>0</v>
      </c>
      <c r="BH151" s="71">
        <f t="shared" si="1736"/>
        <v>0</v>
      </c>
      <c r="BI151" s="71">
        <f t="shared" si="1737"/>
        <v>0</v>
      </c>
      <c r="BJ151" s="71">
        <f t="shared" si="1738"/>
        <v>0</v>
      </c>
      <c r="BK151" s="71">
        <f t="shared" si="1739"/>
        <v>0</v>
      </c>
      <c r="BL151" s="71">
        <f t="shared" si="1740"/>
        <v>0</v>
      </c>
      <c r="BM151" s="71">
        <f t="shared" si="1741"/>
        <v>0</v>
      </c>
      <c r="BN151" s="71">
        <f t="shared" si="1742"/>
        <v>0</v>
      </c>
      <c r="BO151" s="71">
        <f t="shared" si="1743"/>
        <v>0</v>
      </c>
      <c r="BP151" s="71">
        <f t="shared" si="1744"/>
        <v>0</v>
      </c>
      <c r="BQ151" s="71">
        <f t="shared" si="1745"/>
        <v>0</v>
      </c>
      <c r="BR151" s="71">
        <f t="shared" si="1746"/>
        <v>0</v>
      </c>
      <c r="BS151" s="71">
        <f t="shared" si="1747"/>
        <v>0</v>
      </c>
      <c r="BT151" s="71">
        <f t="shared" si="1748"/>
        <v>0</v>
      </c>
      <c r="BU151" s="71">
        <f t="shared" si="1749"/>
        <v>0</v>
      </c>
      <c r="BV151" s="71">
        <f t="shared" si="1750"/>
        <v>0</v>
      </c>
      <c r="BW151" s="71">
        <f t="shared" si="1751"/>
        <v>0</v>
      </c>
      <c r="BX151" s="71">
        <f t="shared" si="1752"/>
        <v>0</v>
      </c>
      <c r="BY151" s="71">
        <f t="shared" si="1753"/>
        <v>0</v>
      </c>
      <c r="BZ151" s="71">
        <f t="shared" si="1754"/>
        <v>0</v>
      </c>
      <c r="CA151" s="71">
        <f t="shared" si="1755"/>
        <v>0</v>
      </c>
      <c r="CB151" s="71">
        <f t="shared" si="1756"/>
        <v>0</v>
      </c>
      <c r="CC151" s="71">
        <f t="shared" si="1757"/>
        <v>0</v>
      </c>
      <c r="CD151" s="71">
        <f t="shared" si="1758"/>
        <v>0</v>
      </c>
      <c r="CE151" s="71">
        <f t="shared" si="1759"/>
        <v>0</v>
      </c>
      <c r="CF151" s="71">
        <f t="shared" si="1760"/>
        <v>0</v>
      </c>
      <c r="CG151" s="71">
        <f t="shared" si="1761"/>
        <v>0</v>
      </c>
      <c r="CH151" s="70">
        <f t="shared" si="1555"/>
        <v>0</v>
      </c>
      <c r="CI151" s="69">
        <f t="shared" ca="1" si="1556"/>
        <v>0</v>
      </c>
      <c r="GM151" s="2" t="s">
        <v>16</v>
      </c>
      <c r="GN151" s="98" t="str">
        <f t="shared" si="1552"/>
        <v>LYH01-FMCG-SPO-00</v>
      </c>
      <c r="GO151" s="4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6"/>
      <c r="HT151" s="4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6"/>
    </row>
    <row r="152" spans="1:258" hidden="1">
      <c r="A152" s="97" t="s">
        <v>1380</v>
      </c>
      <c r="B152" s="98" t="s">
        <v>20</v>
      </c>
      <c r="C152" s="98" t="s">
        <v>377</v>
      </c>
      <c r="D152" s="99" t="s">
        <v>1186</v>
      </c>
      <c r="E152" s="98" t="s">
        <v>403</v>
      </c>
      <c r="F152" s="98" t="s">
        <v>404</v>
      </c>
      <c r="G152" s="98" t="s">
        <v>405</v>
      </c>
      <c r="H152" s="98" t="s">
        <v>1188</v>
      </c>
      <c r="I152" s="98" t="s">
        <v>1188</v>
      </c>
      <c r="J152" s="98" t="s">
        <v>851</v>
      </c>
      <c r="K152" s="98" t="s">
        <v>1127</v>
      </c>
      <c r="L152" s="98" t="s">
        <v>406</v>
      </c>
      <c r="M152" s="101" t="s">
        <v>52</v>
      </c>
      <c r="N152" s="108">
        <v>45941</v>
      </c>
      <c r="O152" s="100">
        <v>0</v>
      </c>
      <c r="P152" s="69">
        <v>0</v>
      </c>
      <c r="Q152" s="69">
        <f t="shared" si="1695"/>
        <v>0</v>
      </c>
      <c r="R152" s="69">
        <f t="shared" si="1696"/>
        <v>0</v>
      </c>
      <c r="S152" s="69">
        <f t="shared" si="1697"/>
        <v>0</v>
      </c>
      <c r="T152" s="69">
        <f t="shared" si="1698"/>
        <v>0</v>
      </c>
      <c r="U152" s="69">
        <f t="shared" si="1699"/>
        <v>0</v>
      </c>
      <c r="V152" s="70">
        <f t="shared" si="1700"/>
        <v>0</v>
      </c>
      <c r="W152" s="71">
        <f t="shared" si="1701"/>
        <v>0</v>
      </c>
      <c r="X152" s="71">
        <f t="shared" si="1702"/>
        <v>0</v>
      </c>
      <c r="Y152" s="71">
        <f t="shared" si="1703"/>
        <v>0</v>
      </c>
      <c r="Z152" s="71">
        <f t="shared" si="1704"/>
        <v>0</v>
      </c>
      <c r="AA152" s="71">
        <f t="shared" si="1705"/>
        <v>0</v>
      </c>
      <c r="AB152" s="71">
        <f t="shared" si="1706"/>
        <v>0</v>
      </c>
      <c r="AC152" s="71">
        <f t="shared" si="1707"/>
        <v>0</v>
      </c>
      <c r="AD152" s="71">
        <f t="shared" si="1708"/>
        <v>0</v>
      </c>
      <c r="AE152" s="71">
        <f t="shared" si="1709"/>
        <v>0</v>
      </c>
      <c r="AF152" s="71">
        <f t="shared" si="1710"/>
        <v>0</v>
      </c>
      <c r="AG152" s="71">
        <f t="shared" si="1711"/>
        <v>0</v>
      </c>
      <c r="AH152" s="71">
        <f t="shared" si="1712"/>
        <v>0</v>
      </c>
      <c r="AI152" s="71">
        <f t="shared" si="1713"/>
        <v>0</v>
      </c>
      <c r="AJ152" s="71">
        <f t="shared" si="1714"/>
        <v>0</v>
      </c>
      <c r="AK152" s="71">
        <f t="shared" si="1715"/>
        <v>0</v>
      </c>
      <c r="AL152" s="71">
        <f t="shared" si="1716"/>
        <v>0</v>
      </c>
      <c r="AM152" s="71">
        <f t="shared" si="1717"/>
        <v>0</v>
      </c>
      <c r="AN152" s="71">
        <f t="shared" si="1718"/>
        <v>0</v>
      </c>
      <c r="AO152" s="71">
        <f t="shared" si="1719"/>
        <v>0</v>
      </c>
      <c r="AP152" s="71">
        <f t="shared" si="1720"/>
        <v>0</v>
      </c>
      <c r="AQ152" s="71">
        <f t="shared" si="1721"/>
        <v>0</v>
      </c>
      <c r="AR152" s="71">
        <f t="shared" si="1722"/>
        <v>0</v>
      </c>
      <c r="AS152" s="71">
        <f t="shared" si="1723"/>
        <v>0</v>
      </c>
      <c r="AT152" s="71">
        <f t="shared" si="1724"/>
        <v>0</v>
      </c>
      <c r="AU152" s="71">
        <f t="shared" si="1725"/>
        <v>0</v>
      </c>
      <c r="AV152" s="71">
        <f t="shared" si="1726"/>
        <v>0</v>
      </c>
      <c r="AW152" s="71">
        <f t="shared" si="1727"/>
        <v>0</v>
      </c>
      <c r="AX152" s="71">
        <f t="shared" si="1728"/>
        <v>0</v>
      </c>
      <c r="AY152" s="71">
        <f t="shared" si="1729"/>
        <v>0</v>
      </c>
      <c r="AZ152" s="72">
        <f t="shared" si="1730"/>
        <v>0</v>
      </c>
      <c r="BA152" s="70">
        <f t="shared" si="1553"/>
        <v>0</v>
      </c>
      <c r="BB152" s="69">
        <f t="shared" ca="1" si="1554"/>
        <v>0</v>
      </c>
      <c r="BC152" s="70">
        <f t="shared" si="1731"/>
        <v>0</v>
      </c>
      <c r="BD152" s="71">
        <f t="shared" si="1732"/>
        <v>0</v>
      </c>
      <c r="BE152" s="71">
        <f t="shared" si="1733"/>
        <v>0</v>
      </c>
      <c r="BF152" s="71">
        <f t="shared" si="1734"/>
        <v>0</v>
      </c>
      <c r="BG152" s="71">
        <f t="shared" si="1735"/>
        <v>0</v>
      </c>
      <c r="BH152" s="71">
        <f t="shared" si="1736"/>
        <v>0</v>
      </c>
      <c r="BI152" s="71">
        <f t="shared" si="1737"/>
        <v>0</v>
      </c>
      <c r="BJ152" s="71">
        <f t="shared" si="1738"/>
        <v>0</v>
      </c>
      <c r="BK152" s="71">
        <f t="shared" si="1739"/>
        <v>0</v>
      </c>
      <c r="BL152" s="71">
        <f t="shared" si="1740"/>
        <v>0</v>
      </c>
      <c r="BM152" s="71">
        <f t="shared" si="1741"/>
        <v>0</v>
      </c>
      <c r="BN152" s="71">
        <f t="shared" si="1742"/>
        <v>0</v>
      </c>
      <c r="BO152" s="71">
        <f t="shared" si="1743"/>
        <v>0</v>
      </c>
      <c r="BP152" s="71">
        <f t="shared" si="1744"/>
        <v>0</v>
      </c>
      <c r="BQ152" s="71">
        <f t="shared" si="1745"/>
        <v>0</v>
      </c>
      <c r="BR152" s="71">
        <f t="shared" si="1746"/>
        <v>0</v>
      </c>
      <c r="BS152" s="71">
        <f t="shared" si="1747"/>
        <v>0</v>
      </c>
      <c r="BT152" s="71">
        <f t="shared" si="1748"/>
        <v>0</v>
      </c>
      <c r="BU152" s="71">
        <f t="shared" si="1749"/>
        <v>0</v>
      </c>
      <c r="BV152" s="71">
        <f t="shared" si="1750"/>
        <v>0</v>
      </c>
      <c r="BW152" s="71">
        <f t="shared" si="1751"/>
        <v>0</v>
      </c>
      <c r="BX152" s="71">
        <f t="shared" si="1752"/>
        <v>0</v>
      </c>
      <c r="BY152" s="71">
        <f t="shared" si="1753"/>
        <v>0</v>
      </c>
      <c r="BZ152" s="71">
        <f t="shared" si="1754"/>
        <v>0</v>
      </c>
      <c r="CA152" s="71">
        <f t="shared" si="1755"/>
        <v>0</v>
      </c>
      <c r="CB152" s="71">
        <f t="shared" si="1756"/>
        <v>0</v>
      </c>
      <c r="CC152" s="71">
        <f t="shared" si="1757"/>
        <v>0</v>
      </c>
      <c r="CD152" s="71">
        <f t="shared" si="1758"/>
        <v>0</v>
      </c>
      <c r="CE152" s="71">
        <f t="shared" si="1759"/>
        <v>0</v>
      </c>
      <c r="CF152" s="71">
        <f t="shared" si="1760"/>
        <v>0</v>
      </c>
      <c r="CG152" s="71">
        <f t="shared" si="1761"/>
        <v>0</v>
      </c>
      <c r="CH152" s="70">
        <f t="shared" si="1555"/>
        <v>0</v>
      </c>
      <c r="CI152" s="69">
        <f t="shared" ca="1" si="1556"/>
        <v>0</v>
      </c>
      <c r="GM152" s="2" t="s">
        <v>16</v>
      </c>
      <c r="GN152" s="98" t="str">
        <f t="shared" si="1552"/>
        <v>LYH01-FMCG-ASM-01</v>
      </c>
      <c r="GO152" s="4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6"/>
      <c r="HT152" s="4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0</v>
      </c>
      <c r="IE152" s="3">
        <v>0</v>
      </c>
      <c r="IF152" s="3">
        <v>0</v>
      </c>
      <c r="IG152" s="3">
        <v>0</v>
      </c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6"/>
    </row>
    <row r="153" spans="1:258" hidden="1">
      <c r="A153" s="102" t="s">
        <v>53</v>
      </c>
      <c r="B153" s="103" t="s">
        <v>20</v>
      </c>
      <c r="C153" s="103" t="s">
        <v>377</v>
      </c>
      <c r="D153" s="104" t="s">
        <v>1186</v>
      </c>
      <c r="E153" s="103" t="s">
        <v>403</v>
      </c>
      <c r="F153" s="103" t="s">
        <v>404</v>
      </c>
      <c r="G153" s="103" t="s">
        <v>405</v>
      </c>
      <c r="H153" s="103" t="s">
        <v>1188</v>
      </c>
      <c r="I153" s="103" t="s">
        <v>1188</v>
      </c>
      <c r="J153" s="103" t="s">
        <v>851</v>
      </c>
      <c r="K153" s="103" t="s">
        <v>1127</v>
      </c>
      <c r="L153" s="103" t="s">
        <v>406</v>
      </c>
      <c r="M153" s="103" t="s">
        <v>52</v>
      </c>
      <c r="N153" s="119">
        <v>45941</v>
      </c>
      <c r="O153" s="105">
        <f>O151+O150+O149+O148+O147</f>
        <v>4</v>
      </c>
      <c r="P153" s="73">
        <f t="shared" ref="P153:CA153" si="1762">P151+P150+P149+P148+P147</f>
        <v>0</v>
      </c>
      <c r="Q153" s="73">
        <f t="shared" si="1762"/>
        <v>4</v>
      </c>
      <c r="R153" s="73">
        <f t="shared" si="1762"/>
        <v>4</v>
      </c>
      <c r="S153" s="73">
        <f t="shared" si="1762"/>
        <v>0</v>
      </c>
      <c r="T153" s="73">
        <f t="shared" si="1762"/>
        <v>4</v>
      </c>
      <c r="U153" s="73">
        <f t="shared" si="1762"/>
        <v>4</v>
      </c>
      <c r="V153" s="74">
        <f t="shared" si="1762"/>
        <v>4</v>
      </c>
      <c r="W153" s="75">
        <f t="shared" si="1762"/>
        <v>0</v>
      </c>
      <c r="X153" s="75">
        <f t="shared" si="1762"/>
        <v>4</v>
      </c>
      <c r="Y153" s="75">
        <f t="shared" si="1762"/>
        <v>4</v>
      </c>
      <c r="Z153" s="75">
        <f t="shared" si="1762"/>
        <v>4</v>
      </c>
      <c r="AA153" s="75">
        <f t="shared" si="1762"/>
        <v>4</v>
      </c>
      <c r="AB153" s="75">
        <f t="shared" si="1762"/>
        <v>4</v>
      </c>
      <c r="AC153" s="75">
        <f t="shared" si="1762"/>
        <v>4</v>
      </c>
      <c r="AD153" s="75">
        <f t="shared" si="1762"/>
        <v>0</v>
      </c>
      <c r="AE153" s="75">
        <f t="shared" si="1762"/>
        <v>4</v>
      </c>
      <c r="AF153" s="75">
        <f t="shared" si="1762"/>
        <v>4</v>
      </c>
      <c r="AG153" s="75">
        <f t="shared" si="1762"/>
        <v>4</v>
      </c>
      <c r="AH153" s="75">
        <f t="shared" si="1762"/>
        <v>4</v>
      </c>
      <c r="AI153" s="75">
        <f t="shared" si="1762"/>
        <v>4</v>
      </c>
      <c r="AJ153" s="75">
        <f t="shared" si="1762"/>
        <v>0</v>
      </c>
      <c r="AK153" s="75">
        <f t="shared" si="1762"/>
        <v>0</v>
      </c>
      <c r="AL153" s="75">
        <f t="shared" si="1762"/>
        <v>0</v>
      </c>
      <c r="AM153" s="75">
        <f t="shared" si="1762"/>
        <v>0</v>
      </c>
      <c r="AN153" s="75">
        <f t="shared" si="1762"/>
        <v>0</v>
      </c>
      <c r="AO153" s="75">
        <f t="shared" si="1762"/>
        <v>0</v>
      </c>
      <c r="AP153" s="75">
        <f t="shared" si="1762"/>
        <v>0</v>
      </c>
      <c r="AQ153" s="75">
        <f t="shared" si="1762"/>
        <v>0</v>
      </c>
      <c r="AR153" s="75">
        <f t="shared" si="1762"/>
        <v>0</v>
      </c>
      <c r="AS153" s="75">
        <f t="shared" si="1762"/>
        <v>0</v>
      </c>
      <c r="AT153" s="75">
        <f t="shared" si="1762"/>
        <v>0</v>
      </c>
      <c r="AU153" s="75">
        <f t="shared" si="1762"/>
        <v>0</v>
      </c>
      <c r="AV153" s="75">
        <f t="shared" si="1762"/>
        <v>0</v>
      </c>
      <c r="AW153" s="75">
        <f t="shared" si="1762"/>
        <v>0</v>
      </c>
      <c r="AX153" s="75">
        <f t="shared" si="1762"/>
        <v>0</v>
      </c>
      <c r="AY153" s="75">
        <f t="shared" si="1762"/>
        <v>0</v>
      </c>
      <c r="AZ153" s="76">
        <f t="shared" si="1762"/>
        <v>0</v>
      </c>
      <c r="BA153" s="74">
        <f t="shared" si="1553"/>
        <v>48</v>
      </c>
      <c r="BB153" s="73">
        <f t="shared" ca="1" si="1554"/>
        <v>0.92307692307692313</v>
      </c>
      <c r="BC153" s="74">
        <f t="shared" si="1762"/>
        <v>0</v>
      </c>
      <c r="BD153" s="75">
        <f t="shared" si="1762"/>
        <v>0</v>
      </c>
      <c r="BE153" s="75">
        <f t="shared" si="1762"/>
        <v>37</v>
      </c>
      <c r="BF153" s="75">
        <f t="shared" si="1762"/>
        <v>36</v>
      </c>
      <c r="BG153" s="75">
        <f t="shared" si="1762"/>
        <v>25</v>
      </c>
      <c r="BH153" s="75">
        <f t="shared" si="1762"/>
        <v>28</v>
      </c>
      <c r="BI153" s="75">
        <f t="shared" si="1762"/>
        <v>30</v>
      </c>
      <c r="BJ153" s="75">
        <f t="shared" si="1762"/>
        <v>33</v>
      </c>
      <c r="BK153" s="75">
        <f t="shared" si="1762"/>
        <v>0</v>
      </c>
      <c r="BL153" s="75">
        <f t="shared" si="1762"/>
        <v>76</v>
      </c>
      <c r="BM153" s="75">
        <f t="shared" si="1762"/>
        <v>47</v>
      </c>
      <c r="BN153" s="75">
        <f t="shared" si="1762"/>
        <v>51</v>
      </c>
      <c r="BO153" s="75">
        <f t="shared" si="1762"/>
        <v>81</v>
      </c>
      <c r="BP153" s="75">
        <f t="shared" si="1762"/>
        <v>0</v>
      </c>
      <c r="BQ153" s="75">
        <f t="shared" si="1762"/>
        <v>0</v>
      </c>
      <c r="BR153" s="75">
        <f t="shared" si="1762"/>
        <v>0</v>
      </c>
      <c r="BS153" s="75">
        <f t="shared" si="1762"/>
        <v>0</v>
      </c>
      <c r="BT153" s="75">
        <f t="shared" si="1762"/>
        <v>0</v>
      </c>
      <c r="BU153" s="75">
        <f t="shared" si="1762"/>
        <v>0</v>
      </c>
      <c r="BV153" s="75">
        <f t="shared" si="1762"/>
        <v>0</v>
      </c>
      <c r="BW153" s="75">
        <f t="shared" si="1762"/>
        <v>0</v>
      </c>
      <c r="BX153" s="75">
        <f t="shared" si="1762"/>
        <v>0</v>
      </c>
      <c r="BY153" s="75">
        <f t="shared" si="1762"/>
        <v>0</v>
      </c>
      <c r="BZ153" s="75">
        <f t="shared" si="1762"/>
        <v>0</v>
      </c>
      <c r="CA153" s="75">
        <f t="shared" si="1762"/>
        <v>0</v>
      </c>
      <c r="CB153" s="75">
        <f t="shared" ref="CB153:CG153" si="1763">CB151+CB150+CB149+CB148+CB147</f>
        <v>0</v>
      </c>
      <c r="CC153" s="75">
        <f t="shared" si="1763"/>
        <v>0</v>
      </c>
      <c r="CD153" s="75">
        <f t="shared" si="1763"/>
        <v>0</v>
      </c>
      <c r="CE153" s="75">
        <f t="shared" si="1763"/>
        <v>0</v>
      </c>
      <c r="CF153" s="75">
        <f t="shared" si="1763"/>
        <v>0</v>
      </c>
      <c r="CG153" s="75">
        <f t="shared" si="1763"/>
        <v>0</v>
      </c>
      <c r="CH153" s="74">
        <f t="shared" si="1555"/>
        <v>444</v>
      </c>
      <c r="CI153" s="73">
        <f t="shared" ca="1" si="1556"/>
        <v>8.5384615384615383</v>
      </c>
      <c r="GM153" s="2" t="s">
        <v>17</v>
      </c>
      <c r="GN153" s="103" t="str">
        <f t="shared" si="1552"/>
        <v>LYH01-FMCG-ASM-01</v>
      </c>
      <c r="GO153" s="4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6"/>
      <c r="HT153" s="4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6"/>
    </row>
    <row r="154" spans="1:258" hidden="1">
      <c r="A154" s="97" t="s">
        <v>25</v>
      </c>
      <c r="B154" s="98" t="s">
        <v>26</v>
      </c>
      <c r="C154" s="98" t="s">
        <v>377</v>
      </c>
      <c r="D154" s="99" t="s">
        <v>1189</v>
      </c>
      <c r="E154" s="98" t="s">
        <v>415</v>
      </c>
      <c r="F154" s="98" t="s">
        <v>407</v>
      </c>
      <c r="G154" s="98" t="s">
        <v>416</v>
      </c>
      <c r="H154" s="98" t="s">
        <v>1501</v>
      </c>
      <c r="I154" s="98" t="s">
        <v>1501</v>
      </c>
      <c r="J154" s="98" t="s">
        <v>845</v>
      </c>
      <c r="K154" s="98" t="s">
        <v>1127</v>
      </c>
      <c r="L154" s="98" t="s">
        <v>417</v>
      </c>
      <c r="M154" s="101" t="s">
        <v>1093</v>
      </c>
      <c r="N154" s="139">
        <v>45486</v>
      </c>
      <c r="O154" s="100">
        <v>1</v>
      </c>
      <c r="P154" s="69">
        <v>0</v>
      </c>
      <c r="Q154" s="69">
        <f t="shared" ref="Q154:Q161" si="1764">IFERROR(IF(OR(AI154&gt;0),1,0),0)</f>
        <v>1</v>
      </c>
      <c r="R154" s="69">
        <f t="shared" ref="R154:R161" si="1765">IFERROR(IF(OR(BA154&gt;0),1,0),0)</f>
        <v>1</v>
      </c>
      <c r="S154" s="69">
        <f t="shared" ref="S154:S161" si="1766">IFERROR(IF(OR(BP154&gt;0),1,0),0)</f>
        <v>0</v>
      </c>
      <c r="T154" s="69">
        <f t="shared" ref="T154:T161" si="1767">IFERROR(IF(OR(CH154&gt;0),1,0),0)</f>
        <v>1</v>
      </c>
      <c r="U154" s="69">
        <f t="shared" ref="U154:U161" si="1768">IFERROR(IF(OR(BA154&gt;0,CH154&gt;0),1,0),0)</f>
        <v>1</v>
      </c>
      <c r="V154" s="70">
        <f t="shared" ref="V154:V161" si="1769">GO154</f>
        <v>1</v>
      </c>
      <c r="W154" s="71">
        <f t="shared" ref="W154:W161" si="1770">GP154</f>
        <v>0</v>
      </c>
      <c r="X154" s="71">
        <f t="shared" ref="X154:X161" si="1771">GQ154</f>
        <v>1</v>
      </c>
      <c r="Y154" s="71">
        <f t="shared" ref="Y154:Y161" si="1772">GR154</f>
        <v>1</v>
      </c>
      <c r="Z154" s="71">
        <f t="shared" ref="Z154:Z161" si="1773">GS154</f>
        <v>1</v>
      </c>
      <c r="AA154" s="71">
        <f t="shared" ref="AA154:AA161" si="1774">GT154</f>
        <v>1</v>
      </c>
      <c r="AB154" s="71">
        <f t="shared" ref="AB154:AB161" si="1775">GU154</f>
        <v>1</v>
      </c>
      <c r="AC154" s="71">
        <f t="shared" ref="AC154:AC161" si="1776">GV154</f>
        <v>1</v>
      </c>
      <c r="AD154" s="71">
        <f t="shared" ref="AD154:AD161" si="1777">GW154</f>
        <v>0</v>
      </c>
      <c r="AE154" s="71">
        <f t="shared" ref="AE154:AE161" si="1778">GX154</f>
        <v>1</v>
      </c>
      <c r="AF154" s="71">
        <f t="shared" ref="AF154:AF161" si="1779">GY154</f>
        <v>1</v>
      </c>
      <c r="AG154" s="71">
        <f t="shared" ref="AG154:AG161" si="1780">GZ154</f>
        <v>1</v>
      </c>
      <c r="AH154" s="71">
        <f t="shared" ref="AH154:AH161" si="1781">HA154</f>
        <v>1</v>
      </c>
      <c r="AI154" s="71">
        <f t="shared" ref="AI154:AI161" si="1782">HB154</f>
        <v>1</v>
      </c>
      <c r="AJ154" s="71">
        <f t="shared" ref="AJ154:AJ161" si="1783">HC154</f>
        <v>0</v>
      </c>
      <c r="AK154" s="71">
        <f t="shared" ref="AK154:AK161" si="1784">HD154</f>
        <v>0</v>
      </c>
      <c r="AL154" s="71">
        <f t="shared" ref="AL154:AL161" si="1785">HE154</f>
        <v>0</v>
      </c>
      <c r="AM154" s="71">
        <f t="shared" ref="AM154:AM161" si="1786">HF154</f>
        <v>0</v>
      </c>
      <c r="AN154" s="71">
        <f t="shared" ref="AN154:AN161" si="1787">HG154</f>
        <v>0</v>
      </c>
      <c r="AO154" s="71">
        <f t="shared" ref="AO154:AO161" si="1788">HH154</f>
        <v>0</v>
      </c>
      <c r="AP154" s="71">
        <f t="shared" ref="AP154:AP161" si="1789">HI154</f>
        <v>0</v>
      </c>
      <c r="AQ154" s="71">
        <f t="shared" ref="AQ154:AQ161" si="1790">HJ154</f>
        <v>0</v>
      </c>
      <c r="AR154" s="71">
        <f t="shared" ref="AR154:AR161" si="1791">HK154</f>
        <v>0</v>
      </c>
      <c r="AS154" s="71">
        <f t="shared" ref="AS154:AS161" si="1792">HL154</f>
        <v>0</v>
      </c>
      <c r="AT154" s="71">
        <f t="shared" ref="AT154:AT161" si="1793">HM154</f>
        <v>0</v>
      </c>
      <c r="AU154" s="71">
        <f t="shared" ref="AU154:AU161" si="1794">HN154</f>
        <v>0</v>
      </c>
      <c r="AV154" s="71">
        <f t="shared" ref="AV154:AV161" si="1795">HO154</f>
        <v>0</v>
      </c>
      <c r="AW154" s="71">
        <f t="shared" ref="AW154:AW161" si="1796">HP154</f>
        <v>0</v>
      </c>
      <c r="AX154" s="71">
        <f t="shared" ref="AX154:AX161" si="1797">HQ154</f>
        <v>0</v>
      </c>
      <c r="AY154" s="71">
        <f t="shared" ref="AY154:AY161" si="1798">HR154</f>
        <v>0</v>
      </c>
      <c r="AZ154" s="72">
        <f t="shared" ref="AZ154:AZ161" si="1799">HS154</f>
        <v>0</v>
      </c>
      <c r="BA154" s="70">
        <f t="shared" si="1553"/>
        <v>12</v>
      </c>
      <c r="BB154" s="69">
        <f t="shared" ca="1" si="1554"/>
        <v>0.92307692307692313</v>
      </c>
      <c r="BC154" s="70">
        <f t="shared" ref="BC154:BC161" si="1800">HT154</f>
        <v>0</v>
      </c>
      <c r="BD154" s="71">
        <f t="shared" ref="BD154:BD161" si="1801">HU154</f>
        <v>0</v>
      </c>
      <c r="BE154" s="71">
        <f t="shared" ref="BE154:BE161" si="1802">HV154</f>
        <v>39</v>
      </c>
      <c r="BF154" s="71">
        <f t="shared" ref="BF154:BF161" si="1803">HW154</f>
        <v>40</v>
      </c>
      <c r="BG154" s="71">
        <f t="shared" ref="BG154:BG161" si="1804">HX154</f>
        <v>45</v>
      </c>
      <c r="BH154" s="71">
        <f t="shared" ref="BH154:BH161" si="1805">HY154</f>
        <v>39</v>
      </c>
      <c r="BI154" s="71">
        <f t="shared" ref="BI154:BI161" si="1806">HZ154</f>
        <v>0</v>
      </c>
      <c r="BJ154" s="71">
        <f t="shared" ref="BJ154:BJ161" si="1807">IA154</f>
        <v>0</v>
      </c>
      <c r="BK154" s="71">
        <f t="shared" ref="BK154:BK161" si="1808">IB154</f>
        <v>0</v>
      </c>
      <c r="BL154" s="71">
        <f t="shared" ref="BL154:BL161" si="1809">IC154</f>
        <v>39</v>
      </c>
      <c r="BM154" s="71">
        <f t="shared" ref="BM154:BM161" si="1810">ID154</f>
        <v>39</v>
      </c>
      <c r="BN154" s="71">
        <f t="shared" ref="BN154:BN161" si="1811">IE154</f>
        <v>44</v>
      </c>
      <c r="BO154" s="71">
        <f t="shared" ref="BO154:BO161" si="1812">IF154</f>
        <v>41</v>
      </c>
      <c r="BP154" s="71">
        <f t="shared" ref="BP154:BP161" si="1813">IG154</f>
        <v>0</v>
      </c>
      <c r="BQ154" s="71">
        <f t="shared" ref="BQ154:BQ161" si="1814">IH154</f>
        <v>0</v>
      </c>
      <c r="BR154" s="71">
        <f t="shared" ref="BR154:BR161" si="1815">II154</f>
        <v>0</v>
      </c>
      <c r="BS154" s="71">
        <f t="shared" ref="BS154:BS161" si="1816">IJ154</f>
        <v>0</v>
      </c>
      <c r="BT154" s="71">
        <f t="shared" ref="BT154:BT161" si="1817">IK154</f>
        <v>0</v>
      </c>
      <c r="BU154" s="71">
        <f t="shared" ref="BU154:BU161" si="1818">IL154</f>
        <v>0</v>
      </c>
      <c r="BV154" s="71">
        <f t="shared" ref="BV154:BV161" si="1819">IM154</f>
        <v>0</v>
      </c>
      <c r="BW154" s="71">
        <f t="shared" ref="BW154:BW161" si="1820">IN154</f>
        <v>0</v>
      </c>
      <c r="BX154" s="71">
        <f t="shared" ref="BX154:BX161" si="1821">IO154</f>
        <v>0</v>
      </c>
      <c r="BY154" s="71">
        <f t="shared" ref="BY154:BY161" si="1822">IP154</f>
        <v>0</v>
      </c>
      <c r="BZ154" s="71">
        <f t="shared" ref="BZ154:BZ161" si="1823">IQ154</f>
        <v>0</v>
      </c>
      <c r="CA154" s="71">
        <f t="shared" ref="CA154:CA161" si="1824">IR154</f>
        <v>0</v>
      </c>
      <c r="CB154" s="71">
        <f t="shared" ref="CB154:CB161" si="1825">IS154</f>
        <v>0</v>
      </c>
      <c r="CC154" s="71">
        <f t="shared" ref="CC154:CC161" si="1826">IT154</f>
        <v>0</v>
      </c>
      <c r="CD154" s="71">
        <f t="shared" ref="CD154:CD161" si="1827">IU154</f>
        <v>0</v>
      </c>
      <c r="CE154" s="71">
        <f t="shared" ref="CE154:CE161" si="1828">IV154</f>
        <v>0</v>
      </c>
      <c r="CF154" s="71">
        <f t="shared" ref="CF154:CF161" si="1829">IW154</f>
        <v>0</v>
      </c>
      <c r="CG154" s="71">
        <f t="shared" ref="CG154:CG161" si="1830">IX154</f>
        <v>0</v>
      </c>
      <c r="CH154" s="70">
        <f t="shared" si="1555"/>
        <v>326</v>
      </c>
      <c r="CI154" s="69">
        <f t="shared" ca="1" si="1556"/>
        <v>25.076923076923077</v>
      </c>
      <c r="GM154" s="2" t="s">
        <v>16</v>
      </c>
      <c r="GN154" s="98" t="str">
        <f t="shared" si="1552"/>
        <v>FSD01-FMCG01-SPO-01</v>
      </c>
      <c r="GO154" s="4">
        <v>1</v>
      </c>
      <c r="GP154" s="3">
        <v>0</v>
      </c>
      <c r="GQ154" s="3">
        <v>1</v>
      </c>
      <c r="GR154" s="3">
        <v>1</v>
      </c>
      <c r="GS154" s="3">
        <v>1</v>
      </c>
      <c r="GT154" s="3">
        <v>1</v>
      </c>
      <c r="GU154" s="3">
        <v>1</v>
      </c>
      <c r="GV154" s="3">
        <v>1</v>
      </c>
      <c r="GW154" s="3">
        <v>0</v>
      </c>
      <c r="GX154" s="3">
        <v>1</v>
      </c>
      <c r="GY154" s="3">
        <v>1</v>
      </c>
      <c r="GZ154" s="3">
        <v>1</v>
      </c>
      <c r="HA154" s="3">
        <v>1</v>
      </c>
      <c r="HB154" s="3">
        <v>1</v>
      </c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6"/>
      <c r="HT154" s="4">
        <v>0</v>
      </c>
      <c r="HU154" s="3">
        <v>0</v>
      </c>
      <c r="HV154" s="3">
        <v>39</v>
      </c>
      <c r="HW154" s="3">
        <v>40</v>
      </c>
      <c r="HX154" s="3">
        <v>45</v>
      </c>
      <c r="HY154" s="3">
        <v>39</v>
      </c>
      <c r="HZ154" s="3">
        <v>0</v>
      </c>
      <c r="IA154" s="3">
        <v>0</v>
      </c>
      <c r="IB154" s="3">
        <v>0</v>
      </c>
      <c r="IC154" s="3">
        <v>39</v>
      </c>
      <c r="ID154" s="3">
        <v>39</v>
      </c>
      <c r="IE154" s="3">
        <v>44</v>
      </c>
      <c r="IF154" s="3">
        <v>41</v>
      </c>
      <c r="IG154" s="3">
        <v>0</v>
      </c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6"/>
    </row>
    <row r="155" spans="1:258" hidden="1">
      <c r="A155" s="97" t="s">
        <v>25</v>
      </c>
      <c r="B155" s="98" t="s">
        <v>26</v>
      </c>
      <c r="C155" s="98" t="s">
        <v>377</v>
      </c>
      <c r="D155" s="99" t="s">
        <v>1189</v>
      </c>
      <c r="E155" s="98" t="s">
        <v>426</v>
      </c>
      <c r="F155" s="98" t="s">
        <v>411</v>
      </c>
      <c r="G155" s="98" t="s">
        <v>427</v>
      </c>
      <c r="H155" s="98" t="s">
        <v>1502</v>
      </c>
      <c r="I155" s="98" t="s">
        <v>1502</v>
      </c>
      <c r="J155" s="98" t="s">
        <v>845</v>
      </c>
      <c r="K155" s="98" t="s">
        <v>1127</v>
      </c>
      <c r="L155" s="98" t="s">
        <v>428</v>
      </c>
      <c r="M155" s="101" t="s">
        <v>1093</v>
      </c>
      <c r="N155" s="139">
        <v>46001</v>
      </c>
      <c r="O155" s="100">
        <v>1</v>
      </c>
      <c r="P155" s="69">
        <v>0</v>
      </c>
      <c r="Q155" s="69">
        <f t="shared" si="1764"/>
        <v>1</v>
      </c>
      <c r="R155" s="69">
        <f t="shared" si="1765"/>
        <v>1</v>
      </c>
      <c r="S155" s="69">
        <f t="shared" si="1766"/>
        <v>1</v>
      </c>
      <c r="T155" s="69">
        <f t="shared" si="1767"/>
        <v>1</v>
      </c>
      <c r="U155" s="69">
        <f t="shared" si="1768"/>
        <v>1</v>
      </c>
      <c r="V155" s="70">
        <f t="shared" si="1769"/>
        <v>1</v>
      </c>
      <c r="W155" s="71">
        <f t="shared" si="1770"/>
        <v>0</v>
      </c>
      <c r="X155" s="71">
        <f t="shared" si="1771"/>
        <v>1</v>
      </c>
      <c r="Y155" s="71">
        <f t="shared" si="1772"/>
        <v>1</v>
      </c>
      <c r="Z155" s="71">
        <f t="shared" si="1773"/>
        <v>0</v>
      </c>
      <c r="AA155" s="71">
        <f t="shared" si="1774"/>
        <v>1</v>
      </c>
      <c r="AB155" s="71">
        <f t="shared" si="1775"/>
        <v>1</v>
      </c>
      <c r="AC155" s="71">
        <f t="shared" si="1776"/>
        <v>1</v>
      </c>
      <c r="AD155" s="71">
        <f t="shared" si="1777"/>
        <v>0</v>
      </c>
      <c r="AE155" s="71">
        <f t="shared" si="1778"/>
        <v>1</v>
      </c>
      <c r="AF155" s="71">
        <f t="shared" si="1779"/>
        <v>1</v>
      </c>
      <c r="AG155" s="71">
        <f t="shared" si="1780"/>
        <v>1</v>
      </c>
      <c r="AH155" s="71">
        <f t="shared" si="1781"/>
        <v>1</v>
      </c>
      <c r="AI155" s="71">
        <f t="shared" si="1782"/>
        <v>1</v>
      </c>
      <c r="AJ155" s="71">
        <f t="shared" si="1783"/>
        <v>0</v>
      </c>
      <c r="AK155" s="71">
        <f t="shared" si="1784"/>
        <v>0</v>
      </c>
      <c r="AL155" s="71">
        <f t="shared" si="1785"/>
        <v>0</v>
      </c>
      <c r="AM155" s="71">
        <f t="shared" si="1786"/>
        <v>0</v>
      </c>
      <c r="AN155" s="71">
        <f t="shared" si="1787"/>
        <v>0</v>
      </c>
      <c r="AO155" s="71">
        <f t="shared" si="1788"/>
        <v>0</v>
      </c>
      <c r="AP155" s="71">
        <f t="shared" si="1789"/>
        <v>0</v>
      </c>
      <c r="AQ155" s="71">
        <f t="shared" si="1790"/>
        <v>0</v>
      </c>
      <c r="AR155" s="71">
        <f t="shared" si="1791"/>
        <v>0</v>
      </c>
      <c r="AS155" s="71">
        <f t="shared" si="1792"/>
        <v>0</v>
      </c>
      <c r="AT155" s="71">
        <f t="shared" si="1793"/>
        <v>0</v>
      </c>
      <c r="AU155" s="71">
        <f t="shared" si="1794"/>
        <v>0</v>
      </c>
      <c r="AV155" s="71">
        <f t="shared" si="1795"/>
        <v>0</v>
      </c>
      <c r="AW155" s="71">
        <f t="shared" si="1796"/>
        <v>0</v>
      </c>
      <c r="AX155" s="71">
        <f t="shared" si="1797"/>
        <v>0</v>
      </c>
      <c r="AY155" s="71">
        <f t="shared" si="1798"/>
        <v>0</v>
      </c>
      <c r="AZ155" s="72">
        <f t="shared" si="1799"/>
        <v>0</v>
      </c>
      <c r="BA155" s="70">
        <f t="shared" si="1553"/>
        <v>11</v>
      </c>
      <c r="BB155" s="69">
        <f t="shared" ca="1" si="1554"/>
        <v>0.84615384615384615</v>
      </c>
      <c r="BC155" s="70">
        <f t="shared" si="1800"/>
        <v>43</v>
      </c>
      <c r="BD155" s="71">
        <f t="shared" si="1801"/>
        <v>0</v>
      </c>
      <c r="BE155" s="71">
        <f t="shared" si="1802"/>
        <v>0</v>
      </c>
      <c r="BF155" s="71">
        <f t="shared" si="1803"/>
        <v>45</v>
      </c>
      <c r="BG155" s="71">
        <f t="shared" si="1804"/>
        <v>48</v>
      </c>
      <c r="BH155" s="71">
        <f t="shared" si="1805"/>
        <v>45</v>
      </c>
      <c r="BI155" s="71">
        <f t="shared" si="1806"/>
        <v>46</v>
      </c>
      <c r="BJ155" s="71">
        <f t="shared" si="1807"/>
        <v>44</v>
      </c>
      <c r="BK155" s="71">
        <f t="shared" si="1808"/>
        <v>0</v>
      </c>
      <c r="BL155" s="71">
        <f t="shared" si="1809"/>
        <v>46</v>
      </c>
      <c r="BM155" s="71">
        <f t="shared" si="1810"/>
        <v>40</v>
      </c>
      <c r="BN155" s="71">
        <f t="shared" si="1811"/>
        <v>46</v>
      </c>
      <c r="BO155" s="71">
        <f t="shared" si="1812"/>
        <v>45</v>
      </c>
      <c r="BP155" s="71">
        <f t="shared" si="1813"/>
        <v>14</v>
      </c>
      <c r="BQ155" s="71">
        <f t="shared" si="1814"/>
        <v>0</v>
      </c>
      <c r="BR155" s="71">
        <f t="shared" si="1815"/>
        <v>0</v>
      </c>
      <c r="BS155" s="71">
        <f t="shared" si="1816"/>
        <v>0</v>
      </c>
      <c r="BT155" s="71">
        <f t="shared" si="1817"/>
        <v>0</v>
      </c>
      <c r="BU155" s="71">
        <f t="shared" si="1818"/>
        <v>0</v>
      </c>
      <c r="BV155" s="71">
        <f t="shared" si="1819"/>
        <v>0</v>
      </c>
      <c r="BW155" s="71">
        <f t="shared" si="1820"/>
        <v>0</v>
      </c>
      <c r="BX155" s="71">
        <f t="shared" si="1821"/>
        <v>0</v>
      </c>
      <c r="BY155" s="71">
        <f t="shared" si="1822"/>
        <v>0</v>
      </c>
      <c r="BZ155" s="71">
        <f t="shared" si="1823"/>
        <v>0</v>
      </c>
      <c r="CA155" s="71">
        <f t="shared" si="1824"/>
        <v>0</v>
      </c>
      <c r="CB155" s="71">
        <f t="shared" si="1825"/>
        <v>0</v>
      </c>
      <c r="CC155" s="71">
        <f t="shared" si="1826"/>
        <v>0</v>
      </c>
      <c r="CD155" s="71">
        <f t="shared" si="1827"/>
        <v>0</v>
      </c>
      <c r="CE155" s="71">
        <f t="shared" si="1828"/>
        <v>0</v>
      </c>
      <c r="CF155" s="71">
        <f t="shared" si="1829"/>
        <v>0</v>
      </c>
      <c r="CG155" s="71">
        <f t="shared" si="1830"/>
        <v>0</v>
      </c>
      <c r="CH155" s="70">
        <f t="shared" si="1555"/>
        <v>462</v>
      </c>
      <c r="CI155" s="69">
        <f t="shared" ca="1" si="1556"/>
        <v>35.53846153846154</v>
      </c>
      <c r="GM155" s="2" t="s">
        <v>16</v>
      </c>
      <c r="GN155" s="98" t="str">
        <f t="shared" si="1552"/>
        <v>FSD01-FMCG01-SPO-02</v>
      </c>
      <c r="GO155" s="4">
        <v>1</v>
      </c>
      <c r="GP155" s="3">
        <v>0</v>
      </c>
      <c r="GQ155" s="3">
        <v>1</v>
      </c>
      <c r="GR155" s="3">
        <v>1</v>
      </c>
      <c r="GS155" s="3">
        <v>0</v>
      </c>
      <c r="GT155" s="3">
        <v>1</v>
      </c>
      <c r="GU155" s="3">
        <v>1</v>
      </c>
      <c r="GV155" s="3">
        <v>1</v>
      </c>
      <c r="GW155" s="3">
        <v>0</v>
      </c>
      <c r="GX155" s="3">
        <v>1</v>
      </c>
      <c r="GY155" s="3">
        <v>1</v>
      </c>
      <c r="GZ155" s="3">
        <v>1</v>
      </c>
      <c r="HA155" s="3">
        <v>1</v>
      </c>
      <c r="HB155" s="3">
        <v>1</v>
      </c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6"/>
      <c r="HT155" s="4">
        <v>43</v>
      </c>
      <c r="HU155" s="3">
        <v>0</v>
      </c>
      <c r="HV155" s="3">
        <v>0</v>
      </c>
      <c r="HW155" s="3">
        <v>45</v>
      </c>
      <c r="HX155" s="3">
        <v>48</v>
      </c>
      <c r="HY155" s="3">
        <v>45</v>
      </c>
      <c r="HZ155" s="3">
        <v>46</v>
      </c>
      <c r="IA155" s="3">
        <v>44</v>
      </c>
      <c r="IB155" s="3">
        <v>0</v>
      </c>
      <c r="IC155" s="3">
        <v>46</v>
      </c>
      <c r="ID155" s="3">
        <v>40</v>
      </c>
      <c r="IE155" s="3">
        <v>46</v>
      </c>
      <c r="IF155" s="3">
        <v>45</v>
      </c>
      <c r="IG155" s="3">
        <v>14</v>
      </c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6"/>
    </row>
    <row r="156" spans="1:258" hidden="1">
      <c r="A156" s="106" t="s">
        <v>25</v>
      </c>
      <c r="B156" s="101" t="s">
        <v>26</v>
      </c>
      <c r="C156" s="98" t="s">
        <v>377</v>
      </c>
      <c r="D156" s="107" t="s">
        <v>1189</v>
      </c>
      <c r="E156" s="101" t="s">
        <v>422</v>
      </c>
      <c r="F156" s="101" t="s">
        <v>918</v>
      </c>
      <c r="G156" s="98" t="s">
        <v>423</v>
      </c>
      <c r="H156" s="101" t="s">
        <v>1503</v>
      </c>
      <c r="I156" s="101" t="s">
        <v>1503</v>
      </c>
      <c r="J156" s="101" t="s">
        <v>845</v>
      </c>
      <c r="K156" s="101" t="s">
        <v>1127</v>
      </c>
      <c r="L156" s="101" t="s">
        <v>424</v>
      </c>
      <c r="M156" s="101" t="s">
        <v>1093</v>
      </c>
      <c r="N156" s="139">
        <v>45965</v>
      </c>
      <c r="O156" s="100">
        <v>1</v>
      </c>
      <c r="P156" s="69">
        <v>0</v>
      </c>
      <c r="Q156" s="69">
        <f t="shared" si="1764"/>
        <v>0</v>
      </c>
      <c r="R156" s="69">
        <f t="shared" si="1765"/>
        <v>1</v>
      </c>
      <c r="S156" s="69">
        <f t="shared" si="1766"/>
        <v>0</v>
      </c>
      <c r="T156" s="69">
        <f t="shared" si="1767"/>
        <v>1</v>
      </c>
      <c r="U156" s="69">
        <f t="shared" si="1768"/>
        <v>1</v>
      </c>
      <c r="V156" s="70">
        <f t="shared" si="1769"/>
        <v>1</v>
      </c>
      <c r="W156" s="71">
        <f t="shared" si="1770"/>
        <v>0</v>
      </c>
      <c r="X156" s="71">
        <f t="shared" si="1771"/>
        <v>1</v>
      </c>
      <c r="Y156" s="71">
        <f t="shared" si="1772"/>
        <v>1</v>
      </c>
      <c r="Z156" s="71">
        <f t="shared" si="1773"/>
        <v>1</v>
      </c>
      <c r="AA156" s="71">
        <f t="shared" si="1774"/>
        <v>1</v>
      </c>
      <c r="AB156" s="71">
        <f t="shared" si="1775"/>
        <v>1</v>
      </c>
      <c r="AC156" s="71">
        <f t="shared" si="1776"/>
        <v>1</v>
      </c>
      <c r="AD156" s="71">
        <f t="shared" si="1777"/>
        <v>0</v>
      </c>
      <c r="AE156" s="71">
        <f t="shared" si="1778"/>
        <v>1</v>
      </c>
      <c r="AF156" s="71">
        <f t="shared" si="1779"/>
        <v>1</v>
      </c>
      <c r="AG156" s="71">
        <f t="shared" si="1780"/>
        <v>1</v>
      </c>
      <c r="AH156" s="71">
        <f t="shared" si="1781"/>
        <v>1</v>
      </c>
      <c r="AI156" s="71">
        <f t="shared" si="1782"/>
        <v>0</v>
      </c>
      <c r="AJ156" s="71">
        <f t="shared" si="1783"/>
        <v>0</v>
      </c>
      <c r="AK156" s="71">
        <f t="shared" si="1784"/>
        <v>0</v>
      </c>
      <c r="AL156" s="71">
        <f t="shared" si="1785"/>
        <v>0</v>
      </c>
      <c r="AM156" s="71">
        <f t="shared" si="1786"/>
        <v>0</v>
      </c>
      <c r="AN156" s="71">
        <f t="shared" si="1787"/>
        <v>0</v>
      </c>
      <c r="AO156" s="71">
        <f t="shared" si="1788"/>
        <v>0</v>
      </c>
      <c r="AP156" s="71">
        <f t="shared" si="1789"/>
        <v>0</v>
      </c>
      <c r="AQ156" s="71">
        <f t="shared" si="1790"/>
        <v>0</v>
      </c>
      <c r="AR156" s="71">
        <f t="shared" si="1791"/>
        <v>0</v>
      </c>
      <c r="AS156" s="71">
        <f t="shared" si="1792"/>
        <v>0</v>
      </c>
      <c r="AT156" s="71">
        <f t="shared" si="1793"/>
        <v>0</v>
      </c>
      <c r="AU156" s="71">
        <f t="shared" si="1794"/>
        <v>0</v>
      </c>
      <c r="AV156" s="71">
        <f t="shared" si="1795"/>
        <v>0</v>
      </c>
      <c r="AW156" s="71">
        <f t="shared" si="1796"/>
        <v>0</v>
      </c>
      <c r="AX156" s="71">
        <f t="shared" si="1797"/>
        <v>0</v>
      </c>
      <c r="AY156" s="71">
        <f t="shared" si="1798"/>
        <v>0</v>
      </c>
      <c r="AZ156" s="72">
        <f t="shared" si="1799"/>
        <v>0</v>
      </c>
      <c r="BA156" s="70">
        <f t="shared" si="1553"/>
        <v>11</v>
      </c>
      <c r="BB156" s="69">
        <f t="shared" ca="1" si="1554"/>
        <v>0.84615384615384615</v>
      </c>
      <c r="BC156" s="70">
        <f t="shared" si="1800"/>
        <v>39</v>
      </c>
      <c r="BD156" s="71">
        <f t="shared" si="1801"/>
        <v>0</v>
      </c>
      <c r="BE156" s="71">
        <f t="shared" si="1802"/>
        <v>48</v>
      </c>
      <c r="BF156" s="71">
        <f t="shared" si="1803"/>
        <v>44</v>
      </c>
      <c r="BG156" s="71">
        <f t="shared" si="1804"/>
        <v>47</v>
      </c>
      <c r="BH156" s="71">
        <f t="shared" si="1805"/>
        <v>38</v>
      </c>
      <c r="BI156" s="71">
        <f t="shared" si="1806"/>
        <v>41</v>
      </c>
      <c r="BJ156" s="71">
        <f t="shared" si="1807"/>
        <v>39</v>
      </c>
      <c r="BK156" s="71">
        <f t="shared" si="1808"/>
        <v>0</v>
      </c>
      <c r="BL156" s="71">
        <f t="shared" si="1809"/>
        <v>45</v>
      </c>
      <c r="BM156" s="71">
        <f t="shared" si="1810"/>
        <v>43</v>
      </c>
      <c r="BN156" s="71">
        <f t="shared" si="1811"/>
        <v>0</v>
      </c>
      <c r="BO156" s="71">
        <f t="shared" si="1812"/>
        <v>40</v>
      </c>
      <c r="BP156" s="71">
        <f t="shared" si="1813"/>
        <v>0</v>
      </c>
      <c r="BQ156" s="71">
        <f t="shared" si="1814"/>
        <v>0</v>
      </c>
      <c r="BR156" s="71">
        <f t="shared" si="1815"/>
        <v>0</v>
      </c>
      <c r="BS156" s="71">
        <f t="shared" si="1816"/>
        <v>0</v>
      </c>
      <c r="BT156" s="71">
        <f t="shared" si="1817"/>
        <v>0</v>
      </c>
      <c r="BU156" s="71">
        <f t="shared" si="1818"/>
        <v>0</v>
      </c>
      <c r="BV156" s="71">
        <f t="shared" si="1819"/>
        <v>0</v>
      </c>
      <c r="BW156" s="71">
        <f t="shared" si="1820"/>
        <v>0</v>
      </c>
      <c r="BX156" s="71">
        <f t="shared" si="1821"/>
        <v>0</v>
      </c>
      <c r="BY156" s="71">
        <f t="shared" si="1822"/>
        <v>0</v>
      </c>
      <c r="BZ156" s="71">
        <f t="shared" si="1823"/>
        <v>0</v>
      </c>
      <c r="CA156" s="71">
        <f t="shared" si="1824"/>
        <v>0</v>
      </c>
      <c r="CB156" s="71">
        <f t="shared" si="1825"/>
        <v>0</v>
      </c>
      <c r="CC156" s="71">
        <f t="shared" si="1826"/>
        <v>0</v>
      </c>
      <c r="CD156" s="71">
        <f t="shared" si="1827"/>
        <v>0</v>
      </c>
      <c r="CE156" s="71">
        <f t="shared" si="1828"/>
        <v>0</v>
      </c>
      <c r="CF156" s="71">
        <f t="shared" si="1829"/>
        <v>0</v>
      </c>
      <c r="CG156" s="71">
        <f t="shared" si="1830"/>
        <v>0</v>
      </c>
      <c r="CH156" s="70">
        <f t="shared" si="1555"/>
        <v>424</v>
      </c>
      <c r="CI156" s="69">
        <f t="shared" ca="1" si="1556"/>
        <v>32.615384615384613</v>
      </c>
      <c r="GM156" s="2" t="s">
        <v>16</v>
      </c>
      <c r="GN156" s="101" t="str">
        <f t="shared" si="1552"/>
        <v>FSD01-FMCG02-SPO-01</v>
      </c>
      <c r="GO156" s="4">
        <v>1</v>
      </c>
      <c r="GP156" s="3">
        <v>0</v>
      </c>
      <c r="GQ156" s="3">
        <v>1</v>
      </c>
      <c r="GR156" s="3">
        <v>1</v>
      </c>
      <c r="GS156" s="3">
        <v>1</v>
      </c>
      <c r="GT156" s="3">
        <v>1</v>
      </c>
      <c r="GU156" s="3">
        <v>1</v>
      </c>
      <c r="GV156" s="3">
        <v>1</v>
      </c>
      <c r="GW156" s="3">
        <v>0</v>
      </c>
      <c r="GX156" s="3">
        <v>1</v>
      </c>
      <c r="GY156" s="3">
        <v>1</v>
      </c>
      <c r="GZ156" s="3">
        <v>1</v>
      </c>
      <c r="HA156" s="3">
        <v>1</v>
      </c>
      <c r="HB156" s="3">
        <v>0</v>
      </c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6"/>
      <c r="HT156" s="4">
        <v>39</v>
      </c>
      <c r="HU156" s="3">
        <v>0</v>
      </c>
      <c r="HV156" s="3">
        <v>48</v>
      </c>
      <c r="HW156" s="3">
        <v>44</v>
      </c>
      <c r="HX156" s="3">
        <v>47</v>
      </c>
      <c r="HY156" s="3">
        <v>38</v>
      </c>
      <c r="HZ156" s="3">
        <v>41</v>
      </c>
      <c r="IA156" s="3">
        <v>39</v>
      </c>
      <c r="IB156" s="3">
        <v>0</v>
      </c>
      <c r="IC156" s="3">
        <v>45</v>
      </c>
      <c r="ID156" s="3">
        <v>43</v>
      </c>
      <c r="IE156" s="3">
        <v>0</v>
      </c>
      <c r="IF156" s="3">
        <v>40</v>
      </c>
      <c r="IG156" s="3">
        <v>0</v>
      </c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6"/>
    </row>
    <row r="157" spans="1:258" hidden="1">
      <c r="A157" s="106" t="s">
        <v>25</v>
      </c>
      <c r="B157" s="98" t="s">
        <v>90</v>
      </c>
      <c r="C157" s="98" t="s">
        <v>377</v>
      </c>
      <c r="D157" s="99" t="s">
        <v>1189</v>
      </c>
      <c r="E157" s="98" t="s">
        <v>429</v>
      </c>
      <c r="F157" s="98" t="s">
        <v>414</v>
      </c>
      <c r="G157" s="98" t="s">
        <v>430</v>
      </c>
      <c r="H157" s="98" t="s">
        <v>1504</v>
      </c>
      <c r="I157" s="98" t="s">
        <v>1504</v>
      </c>
      <c r="J157" s="98" t="s">
        <v>845</v>
      </c>
      <c r="K157" s="98" t="s">
        <v>1127</v>
      </c>
      <c r="L157" s="98" t="s">
        <v>431</v>
      </c>
      <c r="M157" s="101" t="s">
        <v>1093</v>
      </c>
      <c r="N157" s="139">
        <v>45437</v>
      </c>
      <c r="O157" s="100">
        <v>1</v>
      </c>
      <c r="P157" s="69">
        <v>0</v>
      </c>
      <c r="Q157" s="69">
        <f t="shared" si="1764"/>
        <v>1</v>
      </c>
      <c r="R157" s="69">
        <f t="shared" si="1765"/>
        <v>1</v>
      </c>
      <c r="S157" s="69">
        <f t="shared" si="1766"/>
        <v>0</v>
      </c>
      <c r="T157" s="69">
        <f t="shared" si="1767"/>
        <v>1</v>
      </c>
      <c r="U157" s="69">
        <f t="shared" si="1768"/>
        <v>1</v>
      </c>
      <c r="V157" s="70">
        <f t="shared" si="1769"/>
        <v>1</v>
      </c>
      <c r="W157" s="71">
        <f t="shared" si="1770"/>
        <v>0</v>
      </c>
      <c r="X157" s="71">
        <f t="shared" si="1771"/>
        <v>1</v>
      </c>
      <c r="Y157" s="71">
        <f t="shared" si="1772"/>
        <v>1</v>
      </c>
      <c r="Z157" s="71">
        <f t="shared" si="1773"/>
        <v>1</v>
      </c>
      <c r="AA157" s="71">
        <f t="shared" si="1774"/>
        <v>1</v>
      </c>
      <c r="AB157" s="71">
        <f t="shared" si="1775"/>
        <v>1</v>
      </c>
      <c r="AC157" s="71">
        <f t="shared" si="1776"/>
        <v>1</v>
      </c>
      <c r="AD157" s="71">
        <f t="shared" si="1777"/>
        <v>0</v>
      </c>
      <c r="AE157" s="71">
        <f t="shared" si="1778"/>
        <v>1</v>
      </c>
      <c r="AF157" s="71">
        <f t="shared" si="1779"/>
        <v>1</v>
      </c>
      <c r="AG157" s="71">
        <f t="shared" si="1780"/>
        <v>1</v>
      </c>
      <c r="AH157" s="71">
        <f t="shared" si="1781"/>
        <v>1</v>
      </c>
      <c r="AI157" s="71">
        <f t="shared" si="1782"/>
        <v>1</v>
      </c>
      <c r="AJ157" s="71">
        <f t="shared" si="1783"/>
        <v>0</v>
      </c>
      <c r="AK157" s="71">
        <f t="shared" si="1784"/>
        <v>0</v>
      </c>
      <c r="AL157" s="71">
        <f t="shared" si="1785"/>
        <v>0</v>
      </c>
      <c r="AM157" s="71">
        <f t="shared" si="1786"/>
        <v>0</v>
      </c>
      <c r="AN157" s="71">
        <f t="shared" si="1787"/>
        <v>0</v>
      </c>
      <c r="AO157" s="71">
        <f t="shared" si="1788"/>
        <v>0</v>
      </c>
      <c r="AP157" s="71">
        <f t="shared" si="1789"/>
        <v>0</v>
      </c>
      <c r="AQ157" s="71">
        <f t="shared" si="1790"/>
        <v>0</v>
      </c>
      <c r="AR157" s="71">
        <f t="shared" si="1791"/>
        <v>0</v>
      </c>
      <c r="AS157" s="71">
        <f t="shared" si="1792"/>
        <v>0</v>
      </c>
      <c r="AT157" s="71">
        <f t="shared" si="1793"/>
        <v>0</v>
      </c>
      <c r="AU157" s="71">
        <f t="shared" si="1794"/>
        <v>0</v>
      </c>
      <c r="AV157" s="71">
        <f t="shared" si="1795"/>
        <v>0</v>
      </c>
      <c r="AW157" s="71">
        <f t="shared" si="1796"/>
        <v>0</v>
      </c>
      <c r="AX157" s="71">
        <f t="shared" si="1797"/>
        <v>0</v>
      </c>
      <c r="AY157" s="71">
        <f t="shared" si="1798"/>
        <v>0</v>
      </c>
      <c r="AZ157" s="72">
        <f t="shared" si="1799"/>
        <v>0</v>
      </c>
      <c r="BA157" s="70">
        <f t="shared" si="1553"/>
        <v>12</v>
      </c>
      <c r="BB157" s="69">
        <f t="shared" ca="1" si="1554"/>
        <v>0.92307692307692313</v>
      </c>
      <c r="BC157" s="70">
        <f t="shared" si="1800"/>
        <v>4</v>
      </c>
      <c r="BD157" s="71">
        <f t="shared" si="1801"/>
        <v>0</v>
      </c>
      <c r="BE157" s="71">
        <f t="shared" si="1802"/>
        <v>40</v>
      </c>
      <c r="BF157" s="71">
        <f t="shared" si="1803"/>
        <v>40</v>
      </c>
      <c r="BG157" s="71">
        <f t="shared" si="1804"/>
        <v>13</v>
      </c>
      <c r="BH157" s="71">
        <f t="shared" si="1805"/>
        <v>41</v>
      </c>
      <c r="BI157" s="71">
        <f t="shared" si="1806"/>
        <v>33</v>
      </c>
      <c r="BJ157" s="71">
        <f t="shared" si="1807"/>
        <v>48</v>
      </c>
      <c r="BK157" s="71">
        <f t="shared" si="1808"/>
        <v>0</v>
      </c>
      <c r="BL157" s="71">
        <f t="shared" si="1809"/>
        <v>40</v>
      </c>
      <c r="BM157" s="71">
        <f t="shared" si="1810"/>
        <v>39</v>
      </c>
      <c r="BN157" s="71">
        <f t="shared" si="1811"/>
        <v>12</v>
      </c>
      <c r="BO157" s="71">
        <f t="shared" si="1812"/>
        <v>39</v>
      </c>
      <c r="BP157" s="71">
        <f t="shared" si="1813"/>
        <v>0</v>
      </c>
      <c r="BQ157" s="71">
        <f t="shared" si="1814"/>
        <v>0</v>
      </c>
      <c r="BR157" s="71">
        <f t="shared" si="1815"/>
        <v>0</v>
      </c>
      <c r="BS157" s="71">
        <f t="shared" si="1816"/>
        <v>0</v>
      </c>
      <c r="BT157" s="71">
        <f t="shared" si="1817"/>
        <v>0</v>
      </c>
      <c r="BU157" s="71">
        <f t="shared" si="1818"/>
        <v>0</v>
      </c>
      <c r="BV157" s="71">
        <f t="shared" si="1819"/>
        <v>0</v>
      </c>
      <c r="BW157" s="71">
        <f t="shared" si="1820"/>
        <v>0</v>
      </c>
      <c r="BX157" s="71">
        <f t="shared" si="1821"/>
        <v>0</v>
      </c>
      <c r="BY157" s="71">
        <f t="shared" si="1822"/>
        <v>0</v>
      </c>
      <c r="BZ157" s="71">
        <f t="shared" si="1823"/>
        <v>0</v>
      </c>
      <c r="CA157" s="71">
        <f t="shared" si="1824"/>
        <v>0</v>
      </c>
      <c r="CB157" s="71">
        <f t="shared" si="1825"/>
        <v>0</v>
      </c>
      <c r="CC157" s="71">
        <f t="shared" si="1826"/>
        <v>0</v>
      </c>
      <c r="CD157" s="71">
        <f t="shared" si="1827"/>
        <v>0</v>
      </c>
      <c r="CE157" s="71">
        <f t="shared" si="1828"/>
        <v>0</v>
      </c>
      <c r="CF157" s="71">
        <f t="shared" si="1829"/>
        <v>0</v>
      </c>
      <c r="CG157" s="71">
        <f t="shared" si="1830"/>
        <v>0</v>
      </c>
      <c r="CH157" s="70">
        <f t="shared" si="1555"/>
        <v>349</v>
      </c>
      <c r="CI157" s="69">
        <f t="shared" ca="1" si="1556"/>
        <v>26.846153846153847</v>
      </c>
      <c r="GM157" s="2" t="s">
        <v>16</v>
      </c>
      <c r="GN157" s="98" t="str">
        <f t="shared" si="1552"/>
        <v>FSD01-FMCG02-SPO-02</v>
      </c>
      <c r="GO157" s="4">
        <v>1</v>
      </c>
      <c r="GP157" s="3">
        <v>0</v>
      </c>
      <c r="GQ157" s="3">
        <v>1</v>
      </c>
      <c r="GR157" s="3">
        <v>1</v>
      </c>
      <c r="GS157" s="3">
        <v>1</v>
      </c>
      <c r="GT157" s="3">
        <v>1</v>
      </c>
      <c r="GU157" s="3">
        <v>1</v>
      </c>
      <c r="GV157" s="3">
        <v>1</v>
      </c>
      <c r="GW157" s="3">
        <v>0</v>
      </c>
      <c r="GX157" s="3">
        <v>1</v>
      </c>
      <c r="GY157" s="3">
        <v>1</v>
      </c>
      <c r="GZ157" s="3">
        <v>1</v>
      </c>
      <c r="HA157" s="3">
        <v>1</v>
      </c>
      <c r="HB157" s="3">
        <v>1</v>
      </c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6"/>
      <c r="HT157" s="4">
        <v>4</v>
      </c>
      <c r="HU157" s="3">
        <v>0</v>
      </c>
      <c r="HV157" s="3">
        <v>40</v>
      </c>
      <c r="HW157" s="3">
        <v>40</v>
      </c>
      <c r="HX157" s="3">
        <v>13</v>
      </c>
      <c r="HY157" s="3">
        <v>41</v>
      </c>
      <c r="HZ157" s="3">
        <v>33</v>
      </c>
      <c r="IA157" s="3">
        <v>48</v>
      </c>
      <c r="IB157" s="3">
        <v>0</v>
      </c>
      <c r="IC157" s="3">
        <v>40</v>
      </c>
      <c r="ID157" s="3">
        <v>39</v>
      </c>
      <c r="IE157" s="3">
        <v>12</v>
      </c>
      <c r="IF157" s="3">
        <v>39</v>
      </c>
      <c r="IG157" s="3">
        <v>0</v>
      </c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6"/>
    </row>
    <row r="158" spans="1:258" hidden="1">
      <c r="A158" s="106" t="s">
        <v>25</v>
      </c>
      <c r="B158" s="101" t="s">
        <v>90</v>
      </c>
      <c r="C158" s="98" t="s">
        <v>377</v>
      </c>
      <c r="D158" s="107" t="s">
        <v>1189</v>
      </c>
      <c r="E158" s="101" t="s">
        <v>976</v>
      </c>
      <c r="F158" s="101" t="s">
        <v>1050</v>
      </c>
      <c r="G158" s="98" t="s">
        <v>408</v>
      </c>
      <c r="H158" s="101" t="s">
        <v>1505</v>
      </c>
      <c r="I158" s="101" t="s">
        <v>1505</v>
      </c>
      <c r="J158" s="101" t="s">
        <v>848</v>
      </c>
      <c r="K158" s="101" t="s">
        <v>1127</v>
      </c>
      <c r="L158" s="101" t="s">
        <v>849</v>
      </c>
      <c r="M158" s="101" t="s">
        <v>1093</v>
      </c>
      <c r="N158" s="139">
        <v>46175</v>
      </c>
      <c r="O158" s="100">
        <v>1</v>
      </c>
      <c r="P158" s="69">
        <v>0</v>
      </c>
      <c r="Q158" s="69">
        <f t="shared" si="1764"/>
        <v>1</v>
      </c>
      <c r="R158" s="69">
        <f t="shared" si="1765"/>
        <v>1</v>
      </c>
      <c r="S158" s="69">
        <f t="shared" si="1766"/>
        <v>0</v>
      </c>
      <c r="T158" s="69">
        <f t="shared" si="1767"/>
        <v>1</v>
      </c>
      <c r="U158" s="69">
        <f t="shared" si="1768"/>
        <v>1</v>
      </c>
      <c r="V158" s="70">
        <f t="shared" si="1769"/>
        <v>1</v>
      </c>
      <c r="W158" s="71">
        <f t="shared" si="1770"/>
        <v>0</v>
      </c>
      <c r="X158" s="71">
        <f t="shared" si="1771"/>
        <v>1</v>
      </c>
      <c r="Y158" s="71">
        <f t="shared" si="1772"/>
        <v>1</v>
      </c>
      <c r="Z158" s="71">
        <f t="shared" si="1773"/>
        <v>1</v>
      </c>
      <c r="AA158" s="71">
        <f t="shared" si="1774"/>
        <v>1</v>
      </c>
      <c r="AB158" s="71">
        <f t="shared" si="1775"/>
        <v>1</v>
      </c>
      <c r="AC158" s="71">
        <f t="shared" si="1776"/>
        <v>1</v>
      </c>
      <c r="AD158" s="71">
        <f t="shared" si="1777"/>
        <v>0</v>
      </c>
      <c r="AE158" s="71">
        <f t="shared" si="1778"/>
        <v>1</v>
      </c>
      <c r="AF158" s="71">
        <f t="shared" si="1779"/>
        <v>1</v>
      </c>
      <c r="AG158" s="71">
        <f t="shared" si="1780"/>
        <v>1</v>
      </c>
      <c r="AH158" s="71">
        <f t="shared" si="1781"/>
        <v>1</v>
      </c>
      <c r="AI158" s="71">
        <f t="shared" si="1782"/>
        <v>1</v>
      </c>
      <c r="AJ158" s="71">
        <f t="shared" si="1783"/>
        <v>0</v>
      </c>
      <c r="AK158" s="71">
        <f t="shared" si="1784"/>
        <v>0</v>
      </c>
      <c r="AL158" s="71">
        <f t="shared" si="1785"/>
        <v>0</v>
      </c>
      <c r="AM158" s="71">
        <f t="shared" si="1786"/>
        <v>0</v>
      </c>
      <c r="AN158" s="71">
        <f t="shared" si="1787"/>
        <v>0</v>
      </c>
      <c r="AO158" s="71">
        <f t="shared" si="1788"/>
        <v>0</v>
      </c>
      <c r="AP158" s="71">
        <f t="shared" si="1789"/>
        <v>0</v>
      </c>
      <c r="AQ158" s="71">
        <f t="shared" si="1790"/>
        <v>0</v>
      </c>
      <c r="AR158" s="71">
        <f t="shared" si="1791"/>
        <v>0</v>
      </c>
      <c r="AS158" s="71">
        <f t="shared" si="1792"/>
        <v>0</v>
      </c>
      <c r="AT158" s="71">
        <f t="shared" si="1793"/>
        <v>0</v>
      </c>
      <c r="AU158" s="71">
        <f t="shared" si="1794"/>
        <v>0</v>
      </c>
      <c r="AV158" s="71">
        <f t="shared" si="1795"/>
        <v>0</v>
      </c>
      <c r="AW158" s="71">
        <f t="shared" si="1796"/>
        <v>0</v>
      </c>
      <c r="AX158" s="71">
        <f t="shared" si="1797"/>
        <v>0</v>
      </c>
      <c r="AY158" s="71">
        <f t="shared" si="1798"/>
        <v>0</v>
      </c>
      <c r="AZ158" s="72">
        <f t="shared" si="1799"/>
        <v>0</v>
      </c>
      <c r="BA158" s="70">
        <f t="shared" si="1553"/>
        <v>12</v>
      </c>
      <c r="BB158" s="69">
        <f t="shared" ca="1" si="1554"/>
        <v>0.92307692307692313</v>
      </c>
      <c r="BC158" s="70">
        <f t="shared" si="1800"/>
        <v>0</v>
      </c>
      <c r="BD158" s="71">
        <f t="shared" si="1801"/>
        <v>0</v>
      </c>
      <c r="BE158" s="71">
        <f t="shared" si="1802"/>
        <v>43</v>
      </c>
      <c r="BF158" s="71">
        <f t="shared" si="1803"/>
        <v>48</v>
      </c>
      <c r="BG158" s="71">
        <f t="shared" si="1804"/>
        <v>51</v>
      </c>
      <c r="BH158" s="71">
        <f t="shared" si="1805"/>
        <v>42</v>
      </c>
      <c r="BI158" s="71">
        <f t="shared" si="1806"/>
        <v>58</v>
      </c>
      <c r="BJ158" s="71">
        <f t="shared" si="1807"/>
        <v>27</v>
      </c>
      <c r="BK158" s="71">
        <f t="shared" si="1808"/>
        <v>0</v>
      </c>
      <c r="BL158" s="71">
        <f t="shared" si="1809"/>
        <v>42</v>
      </c>
      <c r="BM158" s="71">
        <f t="shared" si="1810"/>
        <v>6</v>
      </c>
      <c r="BN158" s="71">
        <f t="shared" si="1811"/>
        <v>63</v>
      </c>
      <c r="BO158" s="71">
        <f t="shared" si="1812"/>
        <v>54</v>
      </c>
      <c r="BP158" s="71">
        <f t="shared" si="1813"/>
        <v>0</v>
      </c>
      <c r="BQ158" s="71">
        <f t="shared" si="1814"/>
        <v>0</v>
      </c>
      <c r="BR158" s="71">
        <f t="shared" si="1815"/>
        <v>0</v>
      </c>
      <c r="BS158" s="71">
        <f t="shared" si="1816"/>
        <v>0</v>
      </c>
      <c r="BT158" s="71">
        <f t="shared" si="1817"/>
        <v>0</v>
      </c>
      <c r="BU158" s="71">
        <f t="shared" si="1818"/>
        <v>0</v>
      </c>
      <c r="BV158" s="71">
        <f t="shared" si="1819"/>
        <v>0</v>
      </c>
      <c r="BW158" s="71">
        <f t="shared" si="1820"/>
        <v>0</v>
      </c>
      <c r="BX158" s="71">
        <f t="shared" si="1821"/>
        <v>0</v>
      </c>
      <c r="BY158" s="71">
        <f t="shared" si="1822"/>
        <v>0</v>
      </c>
      <c r="BZ158" s="71">
        <f t="shared" si="1823"/>
        <v>0</v>
      </c>
      <c r="CA158" s="71">
        <f t="shared" si="1824"/>
        <v>0</v>
      </c>
      <c r="CB158" s="71">
        <f t="shared" si="1825"/>
        <v>0</v>
      </c>
      <c r="CC158" s="71">
        <f t="shared" si="1826"/>
        <v>0</v>
      </c>
      <c r="CD158" s="71">
        <f t="shared" si="1827"/>
        <v>0</v>
      </c>
      <c r="CE158" s="71">
        <f t="shared" si="1828"/>
        <v>0</v>
      </c>
      <c r="CF158" s="71">
        <f t="shared" si="1829"/>
        <v>0</v>
      </c>
      <c r="CG158" s="71">
        <f t="shared" si="1830"/>
        <v>0</v>
      </c>
      <c r="CH158" s="70">
        <f t="shared" si="1555"/>
        <v>434</v>
      </c>
      <c r="CI158" s="69">
        <f t="shared" ca="1" si="1556"/>
        <v>33.384615384615387</v>
      </c>
      <c r="GM158" s="2" t="s">
        <v>16</v>
      </c>
      <c r="GN158" s="101" t="str">
        <f t="shared" si="1552"/>
        <v>FSD01-FMCG-SPO-01</v>
      </c>
      <c r="GO158" s="4">
        <v>1</v>
      </c>
      <c r="GP158" s="3">
        <v>0</v>
      </c>
      <c r="GQ158" s="3">
        <v>1</v>
      </c>
      <c r="GR158" s="3">
        <v>1</v>
      </c>
      <c r="GS158" s="3">
        <v>1</v>
      </c>
      <c r="GT158" s="3">
        <v>1</v>
      </c>
      <c r="GU158" s="3">
        <v>1</v>
      </c>
      <c r="GV158" s="3">
        <v>1</v>
      </c>
      <c r="GW158" s="3">
        <v>0</v>
      </c>
      <c r="GX158" s="3">
        <v>1</v>
      </c>
      <c r="GY158" s="3">
        <v>1</v>
      </c>
      <c r="GZ158" s="3">
        <v>1</v>
      </c>
      <c r="HA158" s="3">
        <v>1</v>
      </c>
      <c r="HB158" s="3">
        <v>1</v>
      </c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6"/>
      <c r="HT158" s="4">
        <v>0</v>
      </c>
      <c r="HU158" s="3">
        <v>0</v>
      </c>
      <c r="HV158" s="3">
        <v>43</v>
      </c>
      <c r="HW158" s="3">
        <v>48</v>
      </c>
      <c r="HX158" s="3">
        <v>51</v>
      </c>
      <c r="HY158" s="3">
        <v>42</v>
      </c>
      <c r="HZ158" s="3">
        <v>58</v>
      </c>
      <c r="IA158" s="3">
        <v>27</v>
      </c>
      <c r="IB158" s="3">
        <v>0</v>
      </c>
      <c r="IC158" s="3">
        <v>42</v>
      </c>
      <c r="ID158" s="3">
        <v>6</v>
      </c>
      <c r="IE158" s="3">
        <v>63</v>
      </c>
      <c r="IF158" s="3">
        <v>54</v>
      </c>
      <c r="IG158" s="3">
        <v>0</v>
      </c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6"/>
    </row>
    <row r="159" spans="1:258" hidden="1">
      <c r="A159" s="97" t="s">
        <v>25</v>
      </c>
      <c r="B159" s="98" t="s">
        <v>26</v>
      </c>
      <c r="C159" s="98" t="s">
        <v>377</v>
      </c>
      <c r="D159" s="99" t="s">
        <v>1189</v>
      </c>
      <c r="E159" s="98" t="s">
        <v>977</v>
      </c>
      <c r="F159" s="98" t="s">
        <v>1051</v>
      </c>
      <c r="G159" s="98" t="s">
        <v>409</v>
      </c>
      <c r="H159" s="98" t="s">
        <v>1506</v>
      </c>
      <c r="I159" s="98" t="s">
        <v>1506</v>
      </c>
      <c r="J159" s="98" t="s">
        <v>850</v>
      </c>
      <c r="K159" s="98" t="s">
        <v>1127</v>
      </c>
      <c r="L159" s="98" t="s">
        <v>410</v>
      </c>
      <c r="M159" s="98" t="s">
        <v>1093</v>
      </c>
      <c r="N159" s="108">
        <v>45494</v>
      </c>
      <c r="O159" s="100">
        <v>1</v>
      </c>
      <c r="P159" s="69">
        <v>0</v>
      </c>
      <c r="Q159" s="69">
        <f t="shared" si="1764"/>
        <v>1</v>
      </c>
      <c r="R159" s="69">
        <f t="shared" si="1765"/>
        <v>1</v>
      </c>
      <c r="S159" s="69">
        <f t="shared" si="1766"/>
        <v>0</v>
      </c>
      <c r="T159" s="69">
        <f t="shared" si="1767"/>
        <v>1</v>
      </c>
      <c r="U159" s="69">
        <f t="shared" si="1768"/>
        <v>1</v>
      </c>
      <c r="V159" s="70">
        <f t="shared" si="1769"/>
        <v>1</v>
      </c>
      <c r="W159" s="71">
        <f t="shared" si="1770"/>
        <v>0</v>
      </c>
      <c r="X159" s="71">
        <f t="shared" si="1771"/>
        <v>1</v>
      </c>
      <c r="Y159" s="71">
        <f t="shared" si="1772"/>
        <v>0</v>
      </c>
      <c r="Z159" s="71">
        <f t="shared" si="1773"/>
        <v>1</v>
      </c>
      <c r="AA159" s="71">
        <f t="shared" si="1774"/>
        <v>1</v>
      </c>
      <c r="AB159" s="71">
        <f t="shared" si="1775"/>
        <v>1</v>
      </c>
      <c r="AC159" s="71">
        <f t="shared" si="1776"/>
        <v>1</v>
      </c>
      <c r="AD159" s="71">
        <f t="shared" si="1777"/>
        <v>0</v>
      </c>
      <c r="AE159" s="71">
        <f t="shared" si="1778"/>
        <v>1</v>
      </c>
      <c r="AF159" s="71">
        <f t="shared" si="1779"/>
        <v>1</v>
      </c>
      <c r="AG159" s="71">
        <f t="shared" si="1780"/>
        <v>1</v>
      </c>
      <c r="AH159" s="71">
        <f t="shared" si="1781"/>
        <v>1</v>
      </c>
      <c r="AI159" s="71">
        <f t="shared" si="1782"/>
        <v>1</v>
      </c>
      <c r="AJ159" s="71">
        <f t="shared" si="1783"/>
        <v>0</v>
      </c>
      <c r="AK159" s="71">
        <f t="shared" si="1784"/>
        <v>0</v>
      </c>
      <c r="AL159" s="71">
        <f t="shared" si="1785"/>
        <v>0</v>
      </c>
      <c r="AM159" s="71">
        <f t="shared" si="1786"/>
        <v>0</v>
      </c>
      <c r="AN159" s="71">
        <f t="shared" si="1787"/>
        <v>0</v>
      </c>
      <c r="AO159" s="71">
        <f t="shared" si="1788"/>
        <v>0</v>
      </c>
      <c r="AP159" s="71">
        <f t="shared" si="1789"/>
        <v>0</v>
      </c>
      <c r="AQ159" s="71">
        <f t="shared" si="1790"/>
        <v>0</v>
      </c>
      <c r="AR159" s="71">
        <f t="shared" si="1791"/>
        <v>0</v>
      </c>
      <c r="AS159" s="71">
        <f t="shared" si="1792"/>
        <v>0</v>
      </c>
      <c r="AT159" s="71">
        <f t="shared" si="1793"/>
        <v>0</v>
      </c>
      <c r="AU159" s="71">
        <f t="shared" si="1794"/>
        <v>0</v>
      </c>
      <c r="AV159" s="71">
        <f t="shared" si="1795"/>
        <v>0</v>
      </c>
      <c r="AW159" s="71">
        <f t="shared" si="1796"/>
        <v>0</v>
      </c>
      <c r="AX159" s="71">
        <f t="shared" si="1797"/>
        <v>0</v>
      </c>
      <c r="AY159" s="71">
        <f t="shared" si="1798"/>
        <v>0</v>
      </c>
      <c r="AZ159" s="72">
        <f t="shared" si="1799"/>
        <v>0</v>
      </c>
      <c r="BA159" s="70">
        <f t="shared" si="1553"/>
        <v>11</v>
      </c>
      <c r="BB159" s="69">
        <f t="shared" ca="1" si="1554"/>
        <v>0.84615384615384615</v>
      </c>
      <c r="BC159" s="70">
        <f t="shared" si="1800"/>
        <v>0</v>
      </c>
      <c r="BD159" s="71">
        <f t="shared" si="1801"/>
        <v>0</v>
      </c>
      <c r="BE159" s="71">
        <f t="shared" si="1802"/>
        <v>0</v>
      </c>
      <c r="BF159" s="71">
        <f t="shared" si="1803"/>
        <v>0</v>
      </c>
      <c r="BG159" s="71">
        <f t="shared" si="1804"/>
        <v>0</v>
      </c>
      <c r="BH159" s="71">
        <f t="shared" si="1805"/>
        <v>63</v>
      </c>
      <c r="BI159" s="71">
        <f t="shared" si="1806"/>
        <v>26</v>
      </c>
      <c r="BJ159" s="71">
        <f t="shared" si="1807"/>
        <v>0</v>
      </c>
      <c r="BK159" s="71">
        <f t="shared" si="1808"/>
        <v>0</v>
      </c>
      <c r="BL159" s="71">
        <f t="shared" si="1809"/>
        <v>0</v>
      </c>
      <c r="BM159" s="71">
        <f t="shared" si="1810"/>
        <v>0</v>
      </c>
      <c r="BN159" s="71">
        <f t="shared" si="1811"/>
        <v>0</v>
      </c>
      <c r="BO159" s="71">
        <f t="shared" si="1812"/>
        <v>0</v>
      </c>
      <c r="BP159" s="71">
        <f t="shared" si="1813"/>
        <v>0</v>
      </c>
      <c r="BQ159" s="71">
        <f t="shared" si="1814"/>
        <v>0</v>
      </c>
      <c r="BR159" s="71">
        <f t="shared" si="1815"/>
        <v>0</v>
      </c>
      <c r="BS159" s="71">
        <f t="shared" si="1816"/>
        <v>0</v>
      </c>
      <c r="BT159" s="71">
        <f t="shared" si="1817"/>
        <v>0</v>
      </c>
      <c r="BU159" s="71">
        <f t="shared" si="1818"/>
        <v>0</v>
      </c>
      <c r="BV159" s="71">
        <f t="shared" si="1819"/>
        <v>0</v>
      </c>
      <c r="BW159" s="71">
        <f t="shared" si="1820"/>
        <v>0</v>
      </c>
      <c r="BX159" s="71">
        <f t="shared" si="1821"/>
        <v>0</v>
      </c>
      <c r="BY159" s="71">
        <f t="shared" si="1822"/>
        <v>0</v>
      </c>
      <c r="BZ159" s="71">
        <f t="shared" si="1823"/>
        <v>0</v>
      </c>
      <c r="CA159" s="71">
        <f t="shared" si="1824"/>
        <v>0</v>
      </c>
      <c r="CB159" s="71">
        <f t="shared" si="1825"/>
        <v>0</v>
      </c>
      <c r="CC159" s="71">
        <f t="shared" si="1826"/>
        <v>0</v>
      </c>
      <c r="CD159" s="71">
        <f t="shared" si="1827"/>
        <v>0</v>
      </c>
      <c r="CE159" s="71">
        <f t="shared" si="1828"/>
        <v>0</v>
      </c>
      <c r="CF159" s="71">
        <f t="shared" si="1829"/>
        <v>0</v>
      </c>
      <c r="CG159" s="71">
        <f t="shared" si="1830"/>
        <v>0</v>
      </c>
      <c r="CH159" s="70">
        <f t="shared" si="1555"/>
        <v>89</v>
      </c>
      <c r="CI159" s="69">
        <f t="shared" ca="1" si="1556"/>
        <v>6.8461538461538458</v>
      </c>
      <c r="GM159" s="2" t="s">
        <v>16</v>
      </c>
      <c r="GN159" s="98" t="str">
        <f t="shared" si="1552"/>
        <v>FSD01-FMCG-SPO-02</v>
      </c>
      <c r="GO159" s="4">
        <v>1</v>
      </c>
      <c r="GP159" s="3">
        <v>0</v>
      </c>
      <c r="GQ159" s="3">
        <v>1</v>
      </c>
      <c r="GR159" s="3">
        <v>0</v>
      </c>
      <c r="GS159" s="3">
        <v>1</v>
      </c>
      <c r="GT159" s="3">
        <v>1</v>
      </c>
      <c r="GU159" s="3">
        <v>1</v>
      </c>
      <c r="GV159" s="3">
        <v>1</v>
      </c>
      <c r="GW159" s="3">
        <v>0</v>
      </c>
      <c r="GX159" s="3">
        <v>1</v>
      </c>
      <c r="GY159" s="3">
        <v>1</v>
      </c>
      <c r="GZ159" s="3">
        <v>1</v>
      </c>
      <c r="HA159" s="3">
        <v>1</v>
      </c>
      <c r="HB159" s="3">
        <v>1</v>
      </c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6"/>
      <c r="HT159" s="4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63</v>
      </c>
      <c r="HZ159" s="3">
        <v>26</v>
      </c>
      <c r="IA159" s="3">
        <v>0</v>
      </c>
      <c r="IB159" s="3">
        <v>0</v>
      </c>
      <c r="IC159" s="3">
        <v>0</v>
      </c>
      <c r="ID159" s="3">
        <v>0</v>
      </c>
      <c r="IE159" s="3">
        <v>0</v>
      </c>
      <c r="IF159" s="3">
        <v>0</v>
      </c>
      <c r="IG159" s="3">
        <v>0</v>
      </c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6"/>
    </row>
    <row r="160" spans="1:258" hidden="1">
      <c r="A160" s="97" t="s">
        <v>1287</v>
      </c>
      <c r="B160" s="98" t="s">
        <v>20</v>
      </c>
      <c r="C160" s="98" t="s">
        <v>377</v>
      </c>
      <c r="D160" s="99" t="s">
        <v>1189</v>
      </c>
      <c r="E160" s="98" t="s">
        <v>1098</v>
      </c>
      <c r="F160" s="98" t="s">
        <v>847</v>
      </c>
      <c r="G160" s="98" t="s">
        <v>846</v>
      </c>
      <c r="H160" s="98" t="s">
        <v>1507</v>
      </c>
      <c r="I160" s="98" t="s">
        <v>1507</v>
      </c>
      <c r="J160" s="98" t="s">
        <v>845</v>
      </c>
      <c r="K160" s="98" t="s">
        <v>1099</v>
      </c>
      <c r="L160" s="98" t="s">
        <v>1099</v>
      </c>
      <c r="M160" s="101" t="s">
        <v>1099</v>
      </c>
      <c r="N160" s="108">
        <v>45474</v>
      </c>
      <c r="O160" s="100">
        <v>0</v>
      </c>
      <c r="P160" s="69">
        <v>0</v>
      </c>
      <c r="Q160" s="69">
        <f t="shared" si="1764"/>
        <v>0</v>
      </c>
      <c r="R160" s="69">
        <f t="shared" si="1765"/>
        <v>0</v>
      </c>
      <c r="S160" s="69">
        <f t="shared" si="1766"/>
        <v>0</v>
      </c>
      <c r="T160" s="69">
        <f t="shared" si="1767"/>
        <v>0</v>
      </c>
      <c r="U160" s="69">
        <f t="shared" si="1768"/>
        <v>0</v>
      </c>
      <c r="V160" s="70">
        <f t="shared" si="1769"/>
        <v>0</v>
      </c>
      <c r="W160" s="71">
        <f t="shared" si="1770"/>
        <v>0</v>
      </c>
      <c r="X160" s="71">
        <f t="shared" si="1771"/>
        <v>0</v>
      </c>
      <c r="Y160" s="71">
        <f t="shared" si="1772"/>
        <v>0</v>
      </c>
      <c r="Z160" s="71">
        <f t="shared" si="1773"/>
        <v>0</v>
      </c>
      <c r="AA160" s="71">
        <f t="shared" si="1774"/>
        <v>0</v>
      </c>
      <c r="AB160" s="71">
        <f t="shared" si="1775"/>
        <v>0</v>
      </c>
      <c r="AC160" s="71">
        <f t="shared" si="1776"/>
        <v>0</v>
      </c>
      <c r="AD160" s="71">
        <f t="shared" si="1777"/>
        <v>0</v>
      </c>
      <c r="AE160" s="71">
        <f t="shared" si="1778"/>
        <v>0</v>
      </c>
      <c r="AF160" s="71">
        <f t="shared" si="1779"/>
        <v>0</v>
      </c>
      <c r="AG160" s="71">
        <f t="shared" si="1780"/>
        <v>0</v>
      </c>
      <c r="AH160" s="71">
        <f t="shared" si="1781"/>
        <v>0</v>
      </c>
      <c r="AI160" s="71">
        <f t="shared" si="1782"/>
        <v>0</v>
      </c>
      <c r="AJ160" s="71">
        <f t="shared" si="1783"/>
        <v>0</v>
      </c>
      <c r="AK160" s="71">
        <f t="shared" si="1784"/>
        <v>0</v>
      </c>
      <c r="AL160" s="71">
        <f t="shared" si="1785"/>
        <v>0</v>
      </c>
      <c r="AM160" s="71">
        <f t="shared" si="1786"/>
        <v>0</v>
      </c>
      <c r="AN160" s="71">
        <f t="shared" si="1787"/>
        <v>0</v>
      </c>
      <c r="AO160" s="71">
        <f t="shared" si="1788"/>
        <v>0</v>
      </c>
      <c r="AP160" s="71">
        <f t="shared" si="1789"/>
        <v>0</v>
      </c>
      <c r="AQ160" s="71">
        <f t="shared" si="1790"/>
        <v>0</v>
      </c>
      <c r="AR160" s="71">
        <f t="shared" si="1791"/>
        <v>0</v>
      </c>
      <c r="AS160" s="71">
        <f t="shared" si="1792"/>
        <v>0</v>
      </c>
      <c r="AT160" s="71">
        <f t="shared" si="1793"/>
        <v>0</v>
      </c>
      <c r="AU160" s="71">
        <f t="shared" si="1794"/>
        <v>0</v>
      </c>
      <c r="AV160" s="71">
        <f t="shared" si="1795"/>
        <v>0</v>
      </c>
      <c r="AW160" s="71">
        <f t="shared" si="1796"/>
        <v>0</v>
      </c>
      <c r="AX160" s="71">
        <f t="shared" si="1797"/>
        <v>0</v>
      </c>
      <c r="AY160" s="71">
        <f t="shared" si="1798"/>
        <v>0</v>
      </c>
      <c r="AZ160" s="72">
        <f t="shared" si="1799"/>
        <v>0</v>
      </c>
      <c r="BA160" s="70">
        <f t="shared" si="1553"/>
        <v>0</v>
      </c>
      <c r="BB160" s="69">
        <f t="shared" ca="1" si="1554"/>
        <v>0</v>
      </c>
      <c r="BC160" s="70">
        <f t="shared" si="1800"/>
        <v>0</v>
      </c>
      <c r="BD160" s="71">
        <f t="shared" si="1801"/>
        <v>0</v>
      </c>
      <c r="BE160" s="71">
        <f t="shared" si="1802"/>
        <v>0</v>
      </c>
      <c r="BF160" s="71">
        <f t="shared" si="1803"/>
        <v>0</v>
      </c>
      <c r="BG160" s="71">
        <f t="shared" si="1804"/>
        <v>0</v>
      </c>
      <c r="BH160" s="71">
        <f t="shared" si="1805"/>
        <v>0</v>
      </c>
      <c r="BI160" s="71">
        <f t="shared" si="1806"/>
        <v>0</v>
      </c>
      <c r="BJ160" s="71">
        <f t="shared" si="1807"/>
        <v>0</v>
      </c>
      <c r="BK160" s="71">
        <f t="shared" si="1808"/>
        <v>0</v>
      </c>
      <c r="BL160" s="71">
        <f t="shared" si="1809"/>
        <v>0</v>
      </c>
      <c r="BM160" s="71">
        <f t="shared" si="1810"/>
        <v>0</v>
      </c>
      <c r="BN160" s="71">
        <f t="shared" si="1811"/>
        <v>0</v>
      </c>
      <c r="BO160" s="71">
        <f t="shared" si="1812"/>
        <v>0</v>
      </c>
      <c r="BP160" s="71">
        <f t="shared" si="1813"/>
        <v>0</v>
      </c>
      <c r="BQ160" s="71">
        <f t="shared" si="1814"/>
        <v>0</v>
      </c>
      <c r="BR160" s="71">
        <f t="shared" si="1815"/>
        <v>0</v>
      </c>
      <c r="BS160" s="71">
        <f t="shared" si="1816"/>
        <v>0</v>
      </c>
      <c r="BT160" s="71">
        <f t="shared" si="1817"/>
        <v>0</v>
      </c>
      <c r="BU160" s="71">
        <f t="shared" si="1818"/>
        <v>0</v>
      </c>
      <c r="BV160" s="71">
        <f t="shared" si="1819"/>
        <v>0</v>
      </c>
      <c r="BW160" s="71">
        <f t="shared" si="1820"/>
        <v>0</v>
      </c>
      <c r="BX160" s="71">
        <f t="shared" si="1821"/>
        <v>0</v>
      </c>
      <c r="BY160" s="71">
        <f t="shared" si="1822"/>
        <v>0</v>
      </c>
      <c r="BZ160" s="71">
        <f t="shared" si="1823"/>
        <v>0</v>
      </c>
      <c r="CA160" s="71">
        <f t="shared" si="1824"/>
        <v>0</v>
      </c>
      <c r="CB160" s="71">
        <f t="shared" si="1825"/>
        <v>0</v>
      </c>
      <c r="CC160" s="71">
        <f t="shared" si="1826"/>
        <v>0</v>
      </c>
      <c r="CD160" s="71">
        <f t="shared" si="1827"/>
        <v>0</v>
      </c>
      <c r="CE160" s="71">
        <f t="shared" si="1828"/>
        <v>0</v>
      </c>
      <c r="CF160" s="71">
        <f t="shared" si="1829"/>
        <v>0</v>
      </c>
      <c r="CG160" s="71">
        <f t="shared" si="1830"/>
        <v>0</v>
      </c>
      <c r="CH160" s="70">
        <f t="shared" si="1555"/>
        <v>0</v>
      </c>
      <c r="CI160" s="69">
        <f t="shared" ca="1" si="1556"/>
        <v>0</v>
      </c>
      <c r="GM160" s="2" t="s">
        <v>16</v>
      </c>
      <c r="GN160" s="98" t="str">
        <f t="shared" si="1552"/>
        <v>FSD01-FMCG-SPO-00</v>
      </c>
      <c r="GO160" s="4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6"/>
      <c r="HT160" s="4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6"/>
    </row>
    <row r="161" spans="1:258" hidden="1">
      <c r="A161" s="97" t="s">
        <v>1380</v>
      </c>
      <c r="B161" s="98" t="s">
        <v>20</v>
      </c>
      <c r="C161" s="98" t="s">
        <v>377</v>
      </c>
      <c r="D161" s="99" t="s">
        <v>1189</v>
      </c>
      <c r="E161" s="98" t="s">
        <v>418</v>
      </c>
      <c r="F161" s="98" t="s">
        <v>419</v>
      </c>
      <c r="G161" s="98" t="s">
        <v>420</v>
      </c>
      <c r="H161" s="98" t="s">
        <v>1190</v>
      </c>
      <c r="I161" s="98" t="s">
        <v>1190</v>
      </c>
      <c r="J161" s="98" t="s">
        <v>845</v>
      </c>
      <c r="K161" s="98" t="s">
        <v>1127</v>
      </c>
      <c r="L161" s="98" t="s">
        <v>421</v>
      </c>
      <c r="M161" s="101" t="s">
        <v>52</v>
      </c>
      <c r="N161" s="108">
        <v>45139</v>
      </c>
      <c r="O161" s="100">
        <v>0</v>
      </c>
      <c r="P161" s="69">
        <v>0</v>
      </c>
      <c r="Q161" s="69">
        <f t="shared" si="1764"/>
        <v>0</v>
      </c>
      <c r="R161" s="69">
        <f t="shared" si="1765"/>
        <v>0</v>
      </c>
      <c r="S161" s="69">
        <f t="shared" si="1766"/>
        <v>0</v>
      </c>
      <c r="T161" s="69">
        <f t="shared" si="1767"/>
        <v>0</v>
      </c>
      <c r="U161" s="69">
        <f t="shared" si="1768"/>
        <v>0</v>
      </c>
      <c r="V161" s="70">
        <f t="shared" si="1769"/>
        <v>0</v>
      </c>
      <c r="W161" s="71">
        <f t="shared" si="1770"/>
        <v>0</v>
      </c>
      <c r="X161" s="71">
        <f t="shared" si="1771"/>
        <v>0</v>
      </c>
      <c r="Y161" s="71">
        <f t="shared" si="1772"/>
        <v>0</v>
      </c>
      <c r="Z161" s="71">
        <f t="shared" si="1773"/>
        <v>0</v>
      </c>
      <c r="AA161" s="71">
        <f t="shared" si="1774"/>
        <v>0</v>
      </c>
      <c r="AB161" s="71">
        <f t="shared" si="1775"/>
        <v>0</v>
      </c>
      <c r="AC161" s="71">
        <f t="shared" si="1776"/>
        <v>0</v>
      </c>
      <c r="AD161" s="71">
        <f t="shared" si="1777"/>
        <v>0</v>
      </c>
      <c r="AE161" s="71">
        <f t="shared" si="1778"/>
        <v>0</v>
      </c>
      <c r="AF161" s="71">
        <f t="shared" si="1779"/>
        <v>0</v>
      </c>
      <c r="AG161" s="71">
        <f t="shared" si="1780"/>
        <v>0</v>
      </c>
      <c r="AH161" s="71">
        <f t="shared" si="1781"/>
        <v>0</v>
      </c>
      <c r="AI161" s="71">
        <f t="shared" si="1782"/>
        <v>0</v>
      </c>
      <c r="AJ161" s="71">
        <f t="shared" si="1783"/>
        <v>0</v>
      </c>
      <c r="AK161" s="71">
        <f t="shared" si="1784"/>
        <v>0</v>
      </c>
      <c r="AL161" s="71">
        <f t="shared" si="1785"/>
        <v>0</v>
      </c>
      <c r="AM161" s="71">
        <f t="shared" si="1786"/>
        <v>0</v>
      </c>
      <c r="AN161" s="71">
        <f t="shared" si="1787"/>
        <v>0</v>
      </c>
      <c r="AO161" s="71">
        <f t="shared" si="1788"/>
        <v>0</v>
      </c>
      <c r="AP161" s="71">
        <f t="shared" si="1789"/>
        <v>0</v>
      </c>
      <c r="AQ161" s="71">
        <f t="shared" si="1790"/>
        <v>0</v>
      </c>
      <c r="AR161" s="71">
        <f t="shared" si="1791"/>
        <v>0</v>
      </c>
      <c r="AS161" s="71">
        <f t="shared" si="1792"/>
        <v>0</v>
      </c>
      <c r="AT161" s="71">
        <f t="shared" si="1793"/>
        <v>0</v>
      </c>
      <c r="AU161" s="71">
        <f t="shared" si="1794"/>
        <v>0</v>
      </c>
      <c r="AV161" s="71">
        <f t="shared" si="1795"/>
        <v>0</v>
      </c>
      <c r="AW161" s="71">
        <f t="shared" si="1796"/>
        <v>0</v>
      </c>
      <c r="AX161" s="71">
        <f t="shared" si="1797"/>
        <v>0</v>
      </c>
      <c r="AY161" s="71">
        <f t="shared" si="1798"/>
        <v>0</v>
      </c>
      <c r="AZ161" s="72">
        <f t="shared" si="1799"/>
        <v>0</v>
      </c>
      <c r="BA161" s="70">
        <f t="shared" si="1553"/>
        <v>0</v>
      </c>
      <c r="BB161" s="69">
        <f t="shared" ca="1" si="1554"/>
        <v>0</v>
      </c>
      <c r="BC161" s="70">
        <f t="shared" si="1800"/>
        <v>0</v>
      </c>
      <c r="BD161" s="71">
        <f t="shared" si="1801"/>
        <v>0</v>
      </c>
      <c r="BE161" s="71">
        <f t="shared" si="1802"/>
        <v>0</v>
      </c>
      <c r="BF161" s="71">
        <f t="shared" si="1803"/>
        <v>0</v>
      </c>
      <c r="BG161" s="71">
        <f t="shared" si="1804"/>
        <v>0</v>
      </c>
      <c r="BH161" s="71">
        <f t="shared" si="1805"/>
        <v>0</v>
      </c>
      <c r="BI161" s="71">
        <f t="shared" si="1806"/>
        <v>0</v>
      </c>
      <c r="BJ161" s="71">
        <f t="shared" si="1807"/>
        <v>0</v>
      </c>
      <c r="BK161" s="71">
        <f t="shared" si="1808"/>
        <v>0</v>
      </c>
      <c r="BL161" s="71">
        <f t="shared" si="1809"/>
        <v>0</v>
      </c>
      <c r="BM161" s="71">
        <f t="shared" si="1810"/>
        <v>0</v>
      </c>
      <c r="BN161" s="71">
        <f t="shared" si="1811"/>
        <v>0</v>
      </c>
      <c r="BO161" s="71">
        <f t="shared" si="1812"/>
        <v>0</v>
      </c>
      <c r="BP161" s="71">
        <f t="shared" si="1813"/>
        <v>0</v>
      </c>
      <c r="BQ161" s="71">
        <f t="shared" si="1814"/>
        <v>0</v>
      </c>
      <c r="BR161" s="71">
        <f t="shared" si="1815"/>
        <v>0</v>
      </c>
      <c r="BS161" s="71">
        <f t="shared" si="1816"/>
        <v>0</v>
      </c>
      <c r="BT161" s="71">
        <f t="shared" si="1817"/>
        <v>0</v>
      </c>
      <c r="BU161" s="71">
        <f t="shared" si="1818"/>
        <v>0</v>
      </c>
      <c r="BV161" s="71">
        <f t="shared" si="1819"/>
        <v>0</v>
      </c>
      <c r="BW161" s="71">
        <f t="shared" si="1820"/>
        <v>0</v>
      </c>
      <c r="BX161" s="71">
        <f t="shared" si="1821"/>
        <v>0</v>
      </c>
      <c r="BY161" s="71">
        <f t="shared" si="1822"/>
        <v>0</v>
      </c>
      <c r="BZ161" s="71">
        <f t="shared" si="1823"/>
        <v>0</v>
      </c>
      <c r="CA161" s="71">
        <f t="shared" si="1824"/>
        <v>0</v>
      </c>
      <c r="CB161" s="71">
        <f t="shared" si="1825"/>
        <v>0</v>
      </c>
      <c r="CC161" s="71">
        <f t="shared" si="1826"/>
        <v>0</v>
      </c>
      <c r="CD161" s="71">
        <f t="shared" si="1827"/>
        <v>0</v>
      </c>
      <c r="CE161" s="71">
        <f t="shared" si="1828"/>
        <v>0</v>
      </c>
      <c r="CF161" s="71">
        <f t="shared" si="1829"/>
        <v>0</v>
      </c>
      <c r="CG161" s="71">
        <f t="shared" si="1830"/>
        <v>0</v>
      </c>
      <c r="CH161" s="70">
        <f t="shared" si="1555"/>
        <v>0</v>
      </c>
      <c r="CI161" s="69">
        <f t="shared" ca="1" si="1556"/>
        <v>0</v>
      </c>
      <c r="GM161" s="2" t="s">
        <v>16</v>
      </c>
      <c r="GN161" s="98" t="str">
        <f t="shared" si="1552"/>
        <v>FSD01-FMCG-ASM-01</v>
      </c>
      <c r="GO161" s="4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6"/>
      <c r="HT161" s="4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0</v>
      </c>
      <c r="IB161" s="3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6"/>
    </row>
    <row r="162" spans="1:258" hidden="1">
      <c r="A162" s="102" t="s">
        <v>53</v>
      </c>
      <c r="B162" s="103" t="s">
        <v>20</v>
      </c>
      <c r="C162" s="103" t="s">
        <v>377</v>
      </c>
      <c r="D162" s="104" t="s">
        <v>1189</v>
      </c>
      <c r="E162" s="103" t="s">
        <v>418</v>
      </c>
      <c r="F162" s="103" t="s">
        <v>419</v>
      </c>
      <c r="G162" s="103" t="s">
        <v>420</v>
      </c>
      <c r="H162" s="103" t="s">
        <v>1190</v>
      </c>
      <c r="I162" s="103" t="s">
        <v>1190</v>
      </c>
      <c r="J162" s="103" t="s">
        <v>845</v>
      </c>
      <c r="K162" s="103" t="s">
        <v>1127</v>
      </c>
      <c r="L162" s="103" t="s">
        <v>421</v>
      </c>
      <c r="M162" s="103" t="s">
        <v>52</v>
      </c>
      <c r="N162" s="119">
        <v>45139</v>
      </c>
      <c r="O162" s="105">
        <f t="shared" ref="O162:BZ162" si="1831">O160+O159+O158+O157+O156+O155+O154</f>
        <v>6</v>
      </c>
      <c r="P162" s="73">
        <f t="shared" si="1831"/>
        <v>0</v>
      </c>
      <c r="Q162" s="73">
        <f t="shared" si="1831"/>
        <v>5</v>
      </c>
      <c r="R162" s="73">
        <f t="shared" si="1831"/>
        <v>6</v>
      </c>
      <c r="S162" s="73">
        <f t="shared" si="1831"/>
        <v>1</v>
      </c>
      <c r="T162" s="73">
        <f t="shared" si="1831"/>
        <v>6</v>
      </c>
      <c r="U162" s="73">
        <f t="shared" si="1831"/>
        <v>6</v>
      </c>
      <c r="V162" s="74">
        <f t="shared" si="1831"/>
        <v>6</v>
      </c>
      <c r="W162" s="75">
        <f t="shared" si="1831"/>
        <v>0</v>
      </c>
      <c r="X162" s="75">
        <f t="shared" si="1831"/>
        <v>6</v>
      </c>
      <c r="Y162" s="75">
        <f t="shared" si="1831"/>
        <v>5</v>
      </c>
      <c r="Z162" s="75">
        <f t="shared" si="1831"/>
        <v>5</v>
      </c>
      <c r="AA162" s="75">
        <f t="shared" si="1831"/>
        <v>6</v>
      </c>
      <c r="AB162" s="75">
        <f t="shared" si="1831"/>
        <v>6</v>
      </c>
      <c r="AC162" s="75">
        <f t="shared" si="1831"/>
        <v>6</v>
      </c>
      <c r="AD162" s="75">
        <f t="shared" si="1831"/>
        <v>0</v>
      </c>
      <c r="AE162" s="75">
        <f t="shared" si="1831"/>
        <v>6</v>
      </c>
      <c r="AF162" s="75">
        <f t="shared" si="1831"/>
        <v>6</v>
      </c>
      <c r="AG162" s="75">
        <f t="shared" si="1831"/>
        <v>6</v>
      </c>
      <c r="AH162" s="75">
        <f t="shared" si="1831"/>
        <v>6</v>
      </c>
      <c r="AI162" s="75">
        <f t="shared" si="1831"/>
        <v>5</v>
      </c>
      <c r="AJ162" s="75">
        <f t="shared" si="1831"/>
        <v>0</v>
      </c>
      <c r="AK162" s="75">
        <f t="shared" si="1831"/>
        <v>0</v>
      </c>
      <c r="AL162" s="75">
        <f t="shared" si="1831"/>
        <v>0</v>
      </c>
      <c r="AM162" s="75">
        <f t="shared" si="1831"/>
        <v>0</v>
      </c>
      <c r="AN162" s="75">
        <f t="shared" si="1831"/>
        <v>0</v>
      </c>
      <c r="AO162" s="75">
        <f t="shared" si="1831"/>
        <v>0</v>
      </c>
      <c r="AP162" s="75">
        <f t="shared" si="1831"/>
        <v>0</v>
      </c>
      <c r="AQ162" s="75">
        <f t="shared" si="1831"/>
        <v>0</v>
      </c>
      <c r="AR162" s="75">
        <f t="shared" si="1831"/>
        <v>0</v>
      </c>
      <c r="AS162" s="75">
        <f t="shared" si="1831"/>
        <v>0</v>
      </c>
      <c r="AT162" s="75">
        <f t="shared" si="1831"/>
        <v>0</v>
      </c>
      <c r="AU162" s="75">
        <f t="shared" si="1831"/>
        <v>0</v>
      </c>
      <c r="AV162" s="75">
        <f t="shared" si="1831"/>
        <v>0</v>
      </c>
      <c r="AW162" s="75">
        <f t="shared" si="1831"/>
        <v>0</v>
      </c>
      <c r="AX162" s="75">
        <f t="shared" si="1831"/>
        <v>0</v>
      </c>
      <c r="AY162" s="75">
        <f t="shared" si="1831"/>
        <v>0</v>
      </c>
      <c r="AZ162" s="76">
        <f t="shared" si="1831"/>
        <v>0</v>
      </c>
      <c r="BA162" s="74">
        <f t="shared" si="1553"/>
        <v>69</v>
      </c>
      <c r="BB162" s="73">
        <f t="shared" ca="1" si="1554"/>
        <v>0.88461538461538458</v>
      </c>
      <c r="BC162" s="74">
        <f t="shared" si="1831"/>
        <v>86</v>
      </c>
      <c r="BD162" s="75">
        <f t="shared" si="1831"/>
        <v>0</v>
      </c>
      <c r="BE162" s="75">
        <f t="shared" si="1831"/>
        <v>170</v>
      </c>
      <c r="BF162" s="75">
        <f t="shared" si="1831"/>
        <v>217</v>
      </c>
      <c r="BG162" s="75">
        <f t="shared" si="1831"/>
        <v>204</v>
      </c>
      <c r="BH162" s="75">
        <f t="shared" si="1831"/>
        <v>268</v>
      </c>
      <c r="BI162" s="75">
        <f t="shared" si="1831"/>
        <v>204</v>
      </c>
      <c r="BJ162" s="75">
        <f t="shared" si="1831"/>
        <v>158</v>
      </c>
      <c r="BK162" s="75">
        <f t="shared" si="1831"/>
        <v>0</v>
      </c>
      <c r="BL162" s="75">
        <f t="shared" si="1831"/>
        <v>212</v>
      </c>
      <c r="BM162" s="75">
        <f t="shared" si="1831"/>
        <v>167</v>
      </c>
      <c r="BN162" s="75">
        <f t="shared" si="1831"/>
        <v>165</v>
      </c>
      <c r="BO162" s="75">
        <f t="shared" si="1831"/>
        <v>219</v>
      </c>
      <c r="BP162" s="75">
        <f t="shared" si="1831"/>
        <v>14</v>
      </c>
      <c r="BQ162" s="75">
        <f t="shared" si="1831"/>
        <v>0</v>
      </c>
      <c r="BR162" s="75">
        <f t="shared" si="1831"/>
        <v>0</v>
      </c>
      <c r="BS162" s="75">
        <f t="shared" si="1831"/>
        <v>0</v>
      </c>
      <c r="BT162" s="75">
        <f t="shared" si="1831"/>
        <v>0</v>
      </c>
      <c r="BU162" s="75">
        <f t="shared" si="1831"/>
        <v>0</v>
      </c>
      <c r="BV162" s="75">
        <f t="shared" si="1831"/>
        <v>0</v>
      </c>
      <c r="BW162" s="75">
        <f t="shared" si="1831"/>
        <v>0</v>
      </c>
      <c r="BX162" s="75">
        <f t="shared" si="1831"/>
        <v>0</v>
      </c>
      <c r="BY162" s="75">
        <f t="shared" si="1831"/>
        <v>0</v>
      </c>
      <c r="BZ162" s="75">
        <f t="shared" si="1831"/>
        <v>0</v>
      </c>
      <c r="CA162" s="75">
        <f t="shared" ref="CA162:CG162" si="1832">CA160+CA159+CA158+CA157+CA156+CA155+CA154</f>
        <v>0</v>
      </c>
      <c r="CB162" s="75">
        <f t="shared" si="1832"/>
        <v>0</v>
      </c>
      <c r="CC162" s="75">
        <f t="shared" si="1832"/>
        <v>0</v>
      </c>
      <c r="CD162" s="75">
        <f t="shared" si="1832"/>
        <v>0</v>
      </c>
      <c r="CE162" s="75">
        <f t="shared" si="1832"/>
        <v>0</v>
      </c>
      <c r="CF162" s="75">
        <f t="shared" si="1832"/>
        <v>0</v>
      </c>
      <c r="CG162" s="75">
        <f t="shared" si="1832"/>
        <v>0</v>
      </c>
      <c r="CH162" s="74">
        <f t="shared" si="1555"/>
        <v>2084</v>
      </c>
      <c r="CI162" s="73">
        <f t="shared" ca="1" si="1556"/>
        <v>26.717948717948719</v>
      </c>
      <c r="GM162" s="2" t="s">
        <v>17</v>
      </c>
      <c r="GN162" s="103" t="str">
        <f t="shared" si="1552"/>
        <v>FSD01-FMCG-ASM-01</v>
      </c>
      <c r="GO162" s="4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6"/>
      <c r="HT162" s="4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6"/>
    </row>
    <row r="163" spans="1:258" hidden="1">
      <c r="A163" s="106" t="s">
        <v>25</v>
      </c>
      <c r="B163" s="101" t="s">
        <v>1289</v>
      </c>
      <c r="C163" s="98" t="s">
        <v>377</v>
      </c>
      <c r="D163" s="107" t="s">
        <v>1292</v>
      </c>
      <c r="E163" s="101" t="s">
        <v>1293</v>
      </c>
      <c r="F163" s="101" t="s">
        <v>1363</v>
      </c>
      <c r="G163" s="98" t="s">
        <v>1299</v>
      </c>
      <c r="H163" s="101" t="s">
        <v>1508</v>
      </c>
      <c r="I163" s="101" t="s">
        <v>1508</v>
      </c>
      <c r="J163" s="101" t="s">
        <v>845</v>
      </c>
      <c r="K163" s="101" t="s">
        <v>1305</v>
      </c>
      <c r="L163" s="101" t="s">
        <v>1306</v>
      </c>
      <c r="M163" s="98" t="s">
        <v>1093</v>
      </c>
      <c r="N163" s="139">
        <v>44606</v>
      </c>
      <c r="O163" s="100">
        <v>1</v>
      </c>
      <c r="P163" s="69">
        <v>0</v>
      </c>
      <c r="Q163" s="69">
        <f t="shared" ref="Q163:Q168" si="1833">IFERROR(IF(OR(AI163&gt;0),1,0),0)</f>
        <v>1</v>
      </c>
      <c r="R163" s="69">
        <f t="shared" ref="R163:R168" si="1834">IFERROR(IF(OR(BA163&gt;0),1,0),0)</f>
        <v>1</v>
      </c>
      <c r="S163" s="69">
        <f t="shared" ref="S163:S168" si="1835">IFERROR(IF(OR(BP163&gt;0),1,0),0)</f>
        <v>0</v>
      </c>
      <c r="T163" s="69">
        <f t="shared" ref="T163:T168" si="1836">IFERROR(IF(OR(CH163&gt;0),1,0),0)</f>
        <v>1</v>
      </c>
      <c r="U163" s="69">
        <f t="shared" ref="U163:U168" si="1837">IFERROR(IF(OR(BA163&gt;0,CH163&gt;0),1,0),0)</f>
        <v>1</v>
      </c>
      <c r="V163" s="70">
        <f t="shared" ref="V163:V168" si="1838">GO163</f>
        <v>1</v>
      </c>
      <c r="W163" s="71">
        <f t="shared" ref="W163:W168" si="1839">GP163</f>
        <v>0</v>
      </c>
      <c r="X163" s="71">
        <f t="shared" ref="X163:X168" si="1840">GQ163</f>
        <v>1</v>
      </c>
      <c r="Y163" s="71">
        <f t="shared" ref="Y163:Y168" si="1841">GR163</f>
        <v>1</v>
      </c>
      <c r="Z163" s="71">
        <f t="shared" ref="Z163:Z168" si="1842">GS163</f>
        <v>1</v>
      </c>
      <c r="AA163" s="71">
        <f t="shared" ref="AA163:AA168" si="1843">GT163</f>
        <v>1</v>
      </c>
      <c r="AB163" s="71">
        <f t="shared" ref="AB163:AB168" si="1844">GU163</f>
        <v>1</v>
      </c>
      <c r="AC163" s="71">
        <f t="shared" ref="AC163:AC168" si="1845">GV163</f>
        <v>1</v>
      </c>
      <c r="AD163" s="71">
        <f t="shared" ref="AD163:AD168" si="1846">GW163</f>
        <v>0</v>
      </c>
      <c r="AE163" s="71">
        <f t="shared" ref="AE163:AE168" si="1847">GX163</f>
        <v>1</v>
      </c>
      <c r="AF163" s="71">
        <f t="shared" ref="AF163:AF168" si="1848">GY163</f>
        <v>1</v>
      </c>
      <c r="AG163" s="71">
        <f t="shared" ref="AG163:AG168" si="1849">GZ163</f>
        <v>1</v>
      </c>
      <c r="AH163" s="71">
        <f t="shared" ref="AH163:AH168" si="1850">HA163</f>
        <v>1</v>
      </c>
      <c r="AI163" s="71">
        <f t="shared" ref="AI163:AI168" si="1851">HB163</f>
        <v>1</v>
      </c>
      <c r="AJ163" s="71">
        <f t="shared" ref="AJ163:AJ168" si="1852">HC163</f>
        <v>0</v>
      </c>
      <c r="AK163" s="71">
        <f t="shared" ref="AK163:AK168" si="1853">HD163</f>
        <v>0</v>
      </c>
      <c r="AL163" s="71">
        <f t="shared" ref="AL163:AL168" si="1854">HE163</f>
        <v>0</v>
      </c>
      <c r="AM163" s="71">
        <f t="shared" ref="AM163:AM168" si="1855">HF163</f>
        <v>0</v>
      </c>
      <c r="AN163" s="71">
        <f t="shared" ref="AN163:AN168" si="1856">HG163</f>
        <v>0</v>
      </c>
      <c r="AO163" s="71">
        <f t="shared" ref="AO163:AO168" si="1857">HH163</f>
        <v>0</v>
      </c>
      <c r="AP163" s="71">
        <f t="shared" ref="AP163:AP168" si="1858">HI163</f>
        <v>0</v>
      </c>
      <c r="AQ163" s="71">
        <f t="shared" ref="AQ163:AQ168" si="1859">HJ163</f>
        <v>0</v>
      </c>
      <c r="AR163" s="71">
        <f t="shared" ref="AR163:AR168" si="1860">HK163</f>
        <v>0</v>
      </c>
      <c r="AS163" s="71">
        <f t="shared" ref="AS163:AS168" si="1861">HL163</f>
        <v>0</v>
      </c>
      <c r="AT163" s="71">
        <f t="shared" ref="AT163:AT168" si="1862">HM163</f>
        <v>0</v>
      </c>
      <c r="AU163" s="71">
        <f t="shared" ref="AU163:AU168" si="1863">HN163</f>
        <v>0</v>
      </c>
      <c r="AV163" s="71">
        <f t="shared" ref="AV163:AV168" si="1864">HO163</f>
        <v>0</v>
      </c>
      <c r="AW163" s="71">
        <f t="shared" ref="AW163:AW168" si="1865">HP163</f>
        <v>0</v>
      </c>
      <c r="AX163" s="71">
        <f t="shared" ref="AX163:AX168" si="1866">HQ163</f>
        <v>0</v>
      </c>
      <c r="AY163" s="71">
        <f t="shared" ref="AY163:AY168" si="1867">HR163</f>
        <v>0</v>
      </c>
      <c r="AZ163" s="72">
        <f t="shared" ref="AZ163:AZ168" si="1868">HS163</f>
        <v>0</v>
      </c>
      <c r="BA163" s="70">
        <f t="shared" si="1553"/>
        <v>12</v>
      </c>
      <c r="BB163" s="69">
        <f t="shared" ca="1" si="1554"/>
        <v>0.92307692307692313</v>
      </c>
      <c r="BC163" s="70">
        <f t="shared" ref="BC163:BC168" si="1869">HT163</f>
        <v>40</v>
      </c>
      <c r="BD163" s="71">
        <f t="shared" ref="BD163:BD168" si="1870">HU163</f>
        <v>0</v>
      </c>
      <c r="BE163" s="71">
        <f t="shared" ref="BE163:BE168" si="1871">HV163</f>
        <v>36</v>
      </c>
      <c r="BF163" s="71">
        <f t="shared" ref="BF163:BF168" si="1872">HW163</f>
        <v>41</v>
      </c>
      <c r="BG163" s="71">
        <f t="shared" ref="BG163:BG168" si="1873">HX163</f>
        <v>0</v>
      </c>
      <c r="BH163" s="71">
        <f t="shared" ref="BH163:BH168" si="1874">HY163</f>
        <v>39</v>
      </c>
      <c r="BI163" s="71">
        <f t="shared" ref="BI163:BI168" si="1875">HZ163</f>
        <v>36</v>
      </c>
      <c r="BJ163" s="71">
        <f t="shared" ref="BJ163:BJ168" si="1876">IA163</f>
        <v>36</v>
      </c>
      <c r="BK163" s="71">
        <f t="shared" ref="BK163:BK168" si="1877">IB163</f>
        <v>0</v>
      </c>
      <c r="BL163" s="71">
        <f t="shared" ref="BL163:BL168" si="1878">IC163</f>
        <v>40</v>
      </c>
      <c r="BM163" s="71">
        <f t="shared" ref="BM163:BM168" si="1879">ID163</f>
        <v>34</v>
      </c>
      <c r="BN163" s="71">
        <f t="shared" ref="BN163:BN168" si="1880">IE163</f>
        <v>41</v>
      </c>
      <c r="BO163" s="71">
        <f t="shared" ref="BO163:BO168" si="1881">IF163</f>
        <v>35</v>
      </c>
      <c r="BP163" s="71">
        <f t="shared" ref="BP163:BP168" si="1882">IG163</f>
        <v>0</v>
      </c>
      <c r="BQ163" s="71">
        <f t="shared" ref="BQ163:BQ168" si="1883">IH163</f>
        <v>0</v>
      </c>
      <c r="BR163" s="71">
        <f t="shared" ref="BR163:BR168" si="1884">II163</f>
        <v>0</v>
      </c>
      <c r="BS163" s="71">
        <f t="shared" ref="BS163:BS168" si="1885">IJ163</f>
        <v>0</v>
      </c>
      <c r="BT163" s="71">
        <f t="shared" ref="BT163:BT168" si="1886">IK163</f>
        <v>0</v>
      </c>
      <c r="BU163" s="71">
        <f t="shared" ref="BU163:BU168" si="1887">IL163</f>
        <v>0</v>
      </c>
      <c r="BV163" s="71">
        <f t="shared" ref="BV163:BV168" si="1888">IM163</f>
        <v>0</v>
      </c>
      <c r="BW163" s="71">
        <f t="shared" ref="BW163:BW168" si="1889">IN163</f>
        <v>0</v>
      </c>
      <c r="BX163" s="71">
        <f t="shared" ref="BX163:BX168" si="1890">IO163</f>
        <v>0</v>
      </c>
      <c r="BY163" s="71">
        <f t="shared" ref="BY163:BY168" si="1891">IP163</f>
        <v>0</v>
      </c>
      <c r="BZ163" s="71">
        <f t="shared" ref="BZ163:BZ168" si="1892">IQ163</f>
        <v>0</v>
      </c>
      <c r="CA163" s="71">
        <f t="shared" ref="CA163:CA168" si="1893">IR163</f>
        <v>0</v>
      </c>
      <c r="CB163" s="71">
        <f t="shared" ref="CB163:CB168" si="1894">IS163</f>
        <v>0</v>
      </c>
      <c r="CC163" s="71">
        <f t="shared" ref="CC163:CC168" si="1895">IT163</f>
        <v>0</v>
      </c>
      <c r="CD163" s="71">
        <f t="shared" ref="CD163:CD168" si="1896">IU163</f>
        <v>0</v>
      </c>
      <c r="CE163" s="71">
        <f t="shared" ref="CE163:CE168" si="1897">IV163</f>
        <v>0</v>
      </c>
      <c r="CF163" s="71">
        <f t="shared" ref="CF163:CF168" si="1898">IW163</f>
        <v>0</v>
      </c>
      <c r="CG163" s="71">
        <f t="shared" ref="CG163:CG168" si="1899">IX163</f>
        <v>0</v>
      </c>
      <c r="CH163" s="70">
        <f t="shared" si="1555"/>
        <v>378</v>
      </c>
      <c r="CI163" s="69">
        <f t="shared" ca="1" si="1556"/>
        <v>29.076923076923077</v>
      </c>
      <c r="GM163" s="2" t="s">
        <v>16</v>
      </c>
      <c r="GN163" s="101" t="str">
        <f t="shared" si="1552"/>
        <v>FSD02-FMCG02-SPO-02</v>
      </c>
      <c r="GO163" s="4">
        <v>1</v>
      </c>
      <c r="GP163" s="3">
        <v>0</v>
      </c>
      <c r="GQ163" s="3">
        <v>1</v>
      </c>
      <c r="GR163" s="3">
        <v>1</v>
      </c>
      <c r="GS163" s="3">
        <v>1</v>
      </c>
      <c r="GT163" s="3">
        <v>1</v>
      </c>
      <c r="GU163" s="3">
        <v>1</v>
      </c>
      <c r="GV163" s="3">
        <v>1</v>
      </c>
      <c r="GW163" s="3">
        <v>0</v>
      </c>
      <c r="GX163" s="3">
        <v>1</v>
      </c>
      <c r="GY163" s="3">
        <v>1</v>
      </c>
      <c r="GZ163" s="3">
        <v>1</v>
      </c>
      <c r="HA163" s="3">
        <v>1</v>
      </c>
      <c r="HB163" s="3">
        <v>1</v>
      </c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6"/>
      <c r="HT163" s="4">
        <v>40</v>
      </c>
      <c r="HU163" s="3">
        <v>0</v>
      </c>
      <c r="HV163" s="3">
        <v>36</v>
      </c>
      <c r="HW163" s="3">
        <v>41</v>
      </c>
      <c r="HX163" s="3">
        <v>0</v>
      </c>
      <c r="HY163" s="3">
        <v>39</v>
      </c>
      <c r="HZ163" s="3">
        <v>36</v>
      </c>
      <c r="IA163" s="3">
        <v>36</v>
      </c>
      <c r="IB163" s="3">
        <v>0</v>
      </c>
      <c r="IC163" s="3">
        <v>40</v>
      </c>
      <c r="ID163" s="3">
        <v>34</v>
      </c>
      <c r="IE163" s="3">
        <v>41</v>
      </c>
      <c r="IF163" s="3">
        <v>35</v>
      </c>
      <c r="IG163" s="3">
        <v>0</v>
      </c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6"/>
    </row>
    <row r="164" spans="1:258" hidden="1">
      <c r="A164" s="106" t="s">
        <v>25</v>
      </c>
      <c r="B164" s="101" t="s">
        <v>1290</v>
      </c>
      <c r="C164" s="98" t="s">
        <v>377</v>
      </c>
      <c r="D164" s="107" t="s">
        <v>1292</v>
      </c>
      <c r="E164" s="101" t="s">
        <v>1294</v>
      </c>
      <c r="F164" s="101" t="s">
        <v>1364</v>
      </c>
      <c r="G164" s="98" t="s">
        <v>1300</v>
      </c>
      <c r="H164" s="101" t="s">
        <v>1509</v>
      </c>
      <c r="I164" s="101" t="s">
        <v>1509</v>
      </c>
      <c r="J164" s="101" t="s">
        <v>1304</v>
      </c>
      <c r="K164" s="101" t="s">
        <v>1305</v>
      </c>
      <c r="L164" s="101" t="s">
        <v>1307</v>
      </c>
      <c r="M164" s="98" t="s">
        <v>1093</v>
      </c>
      <c r="N164" s="139">
        <v>45561</v>
      </c>
      <c r="O164" s="100">
        <v>1</v>
      </c>
      <c r="P164" s="69">
        <v>0</v>
      </c>
      <c r="Q164" s="69">
        <f t="shared" si="1833"/>
        <v>1</v>
      </c>
      <c r="R164" s="69">
        <f t="shared" si="1834"/>
        <v>1</v>
      </c>
      <c r="S164" s="69">
        <f t="shared" si="1835"/>
        <v>0</v>
      </c>
      <c r="T164" s="69">
        <f t="shared" si="1836"/>
        <v>0</v>
      </c>
      <c r="U164" s="69">
        <f t="shared" si="1837"/>
        <v>1</v>
      </c>
      <c r="V164" s="70">
        <f t="shared" si="1838"/>
        <v>1</v>
      </c>
      <c r="W164" s="71">
        <f t="shared" si="1839"/>
        <v>0</v>
      </c>
      <c r="X164" s="71">
        <f t="shared" si="1840"/>
        <v>1</v>
      </c>
      <c r="Y164" s="71">
        <f t="shared" si="1841"/>
        <v>1</v>
      </c>
      <c r="Z164" s="71">
        <f t="shared" si="1842"/>
        <v>1</v>
      </c>
      <c r="AA164" s="71">
        <f t="shared" si="1843"/>
        <v>1</v>
      </c>
      <c r="AB164" s="71">
        <f t="shared" si="1844"/>
        <v>1</v>
      </c>
      <c r="AC164" s="71">
        <f t="shared" si="1845"/>
        <v>1</v>
      </c>
      <c r="AD164" s="71">
        <f t="shared" si="1846"/>
        <v>0</v>
      </c>
      <c r="AE164" s="71">
        <f t="shared" si="1847"/>
        <v>1</v>
      </c>
      <c r="AF164" s="71">
        <f t="shared" si="1848"/>
        <v>1</v>
      </c>
      <c r="AG164" s="71">
        <f t="shared" si="1849"/>
        <v>1</v>
      </c>
      <c r="AH164" s="71">
        <f t="shared" si="1850"/>
        <v>1</v>
      </c>
      <c r="AI164" s="71">
        <f t="shared" si="1851"/>
        <v>1</v>
      </c>
      <c r="AJ164" s="71">
        <f t="shared" si="1852"/>
        <v>0</v>
      </c>
      <c r="AK164" s="71">
        <f t="shared" si="1853"/>
        <v>0</v>
      </c>
      <c r="AL164" s="71">
        <f t="shared" si="1854"/>
        <v>0</v>
      </c>
      <c r="AM164" s="71">
        <f t="shared" si="1855"/>
        <v>0</v>
      </c>
      <c r="AN164" s="71">
        <f t="shared" si="1856"/>
        <v>0</v>
      </c>
      <c r="AO164" s="71">
        <f t="shared" si="1857"/>
        <v>0</v>
      </c>
      <c r="AP164" s="71">
        <f t="shared" si="1858"/>
        <v>0</v>
      </c>
      <c r="AQ164" s="71">
        <f t="shared" si="1859"/>
        <v>0</v>
      </c>
      <c r="AR164" s="71">
        <f t="shared" si="1860"/>
        <v>0</v>
      </c>
      <c r="AS164" s="71">
        <f t="shared" si="1861"/>
        <v>0</v>
      </c>
      <c r="AT164" s="71">
        <f t="shared" si="1862"/>
        <v>0</v>
      </c>
      <c r="AU164" s="71">
        <f t="shared" si="1863"/>
        <v>0</v>
      </c>
      <c r="AV164" s="71">
        <f t="shared" si="1864"/>
        <v>0</v>
      </c>
      <c r="AW164" s="71">
        <f t="shared" si="1865"/>
        <v>0</v>
      </c>
      <c r="AX164" s="71">
        <f t="shared" si="1866"/>
        <v>0</v>
      </c>
      <c r="AY164" s="71">
        <f t="shared" si="1867"/>
        <v>0</v>
      </c>
      <c r="AZ164" s="72">
        <f t="shared" si="1868"/>
        <v>0</v>
      </c>
      <c r="BA164" s="70">
        <f t="shared" si="1553"/>
        <v>12</v>
      </c>
      <c r="BB164" s="69">
        <f t="shared" ca="1" si="1554"/>
        <v>0.92307692307692313</v>
      </c>
      <c r="BC164" s="70">
        <f t="shared" si="1869"/>
        <v>0</v>
      </c>
      <c r="BD164" s="71">
        <f t="shared" si="1870"/>
        <v>0</v>
      </c>
      <c r="BE164" s="71">
        <f t="shared" si="1871"/>
        <v>0</v>
      </c>
      <c r="BF164" s="71">
        <f t="shared" si="1872"/>
        <v>0</v>
      </c>
      <c r="BG164" s="71">
        <f t="shared" si="1873"/>
        <v>0</v>
      </c>
      <c r="BH164" s="71">
        <f t="shared" si="1874"/>
        <v>0</v>
      </c>
      <c r="BI164" s="71">
        <f t="shared" si="1875"/>
        <v>0</v>
      </c>
      <c r="BJ164" s="71">
        <f t="shared" si="1876"/>
        <v>0</v>
      </c>
      <c r="BK164" s="71">
        <f t="shared" si="1877"/>
        <v>0</v>
      </c>
      <c r="BL164" s="71">
        <f t="shared" si="1878"/>
        <v>0</v>
      </c>
      <c r="BM164" s="71">
        <f t="shared" si="1879"/>
        <v>0</v>
      </c>
      <c r="BN164" s="71">
        <f t="shared" si="1880"/>
        <v>0</v>
      </c>
      <c r="BO164" s="71">
        <f t="shared" si="1881"/>
        <v>0</v>
      </c>
      <c r="BP164" s="71">
        <f t="shared" si="1882"/>
        <v>0</v>
      </c>
      <c r="BQ164" s="71">
        <f t="shared" si="1883"/>
        <v>0</v>
      </c>
      <c r="BR164" s="71">
        <f t="shared" si="1884"/>
        <v>0</v>
      </c>
      <c r="BS164" s="71">
        <f t="shared" si="1885"/>
        <v>0</v>
      </c>
      <c r="BT164" s="71">
        <f t="shared" si="1886"/>
        <v>0</v>
      </c>
      <c r="BU164" s="71">
        <f t="shared" si="1887"/>
        <v>0</v>
      </c>
      <c r="BV164" s="71">
        <f t="shared" si="1888"/>
        <v>0</v>
      </c>
      <c r="BW164" s="71">
        <f t="shared" si="1889"/>
        <v>0</v>
      </c>
      <c r="BX164" s="71">
        <f t="shared" si="1890"/>
        <v>0</v>
      </c>
      <c r="BY164" s="71">
        <f t="shared" si="1891"/>
        <v>0</v>
      </c>
      <c r="BZ164" s="71">
        <f t="shared" si="1892"/>
        <v>0</v>
      </c>
      <c r="CA164" s="71">
        <f t="shared" si="1893"/>
        <v>0</v>
      </c>
      <c r="CB164" s="71">
        <f t="shared" si="1894"/>
        <v>0</v>
      </c>
      <c r="CC164" s="71">
        <f t="shared" si="1895"/>
        <v>0</v>
      </c>
      <c r="CD164" s="71">
        <f t="shared" si="1896"/>
        <v>0</v>
      </c>
      <c r="CE164" s="71">
        <f t="shared" si="1897"/>
        <v>0</v>
      </c>
      <c r="CF164" s="71">
        <f t="shared" si="1898"/>
        <v>0</v>
      </c>
      <c r="CG164" s="71">
        <f t="shared" si="1899"/>
        <v>0</v>
      </c>
      <c r="CH164" s="70">
        <f t="shared" si="1555"/>
        <v>0</v>
      </c>
      <c r="CI164" s="69">
        <f t="shared" ca="1" si="1556"/>
        <v>0</v>
      </c>
      <c r="GM164" s="2" t="s">
        <v>16</v>
      </c>
      <c r="GN164" s="101" t="str">
        <f t="shared" si="1552"/>
        <v>FSD02-FMCG01-SPO-01</v>
      </c>
      <c r="GO164" s="4">
        <v>1</v>
      </c>
      <c r="GP164" s="3">
        <v>0</v>
      </c>
      <c r="GQ164" s="3">
        <v>1</v>
      </c>
      <c r="GR164" s="3">
        <v>1</v>
      </c>
      <c r="GS164" s="3">
        <v>1</v>
      </c>
      <c r="GT164" s="3">
        <v>1</v>
      </c>
      <c r="GU164" s="3">
        <v>1</v>
      </c>
      <c r="GV164" s="3">
        <v>1</v>
      </c>
      <c r="GW164" s="3">
        <v>0</v>
      </c>
      <c r="GX164" s="3">
        <v>1</v>
      </c>
      <c r="GY164" s="3">
        <v>1</v>
      </c>
      <c r="GZ164" s="3">
        <v>1</v>
      </c>
      <c r="HA164" s="3">
        <v>1</v>
      </c>
      <c r="HB164" s="3">
        <v>1</v>
      </c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6"/>
      <c r="HT164" s="4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6"/>
    </row>
    <row r="165" spans="1:258" hidden="1">
      <c r="A165" s="106" t="s">
        <v>25</v>
      </c>
      <c r="B165" s="101" t="s">
        <v>1290</v>
      </c>
      <c r="C165" s="98" t="s">
        <v>377</v>
      </c>
      <c r="D165" s="107" t="s">
        <v>1292</v>
      </c>
      <c r="E165" s="101" t="s">
        <v>1295</v>
      </c>
      <c r="F165" s="101" t="s">
        <v>1365</v>
      </c>
      <c r="G165" s="98" t="s">
        <v>1301</v>
      </c>
      <c r="H165" s="101" t="s">
        <v>1510</v>
      </c>
      <c r="I165" s="101" t="s">
        <v>1510</v>
      </c>
      <c r="J165" s="101" t="s">
        <v>845</v>
      </c>
      <c r="K165" s="101" t="s">
        <v>1305</v>
      </c>
      <c r="L165" s="101">
        <v>5076</v>
      </c>
      <c r="M165" s="98" t="s">
        <v>1093</v>
      </c>
      <c r="N165" s="139">
        <v>41852</v>
      </c>
      <c r="O165" s="100">
        <v>1</v>
      </c>
      <c r="P165" s="69">
        <v>0</v>
      </c>
      <c r="Q165" s="69">
        <f t="shared" si="1833"/>
        <v>1</v>
      </c>
      <c r="R165" s="69">
        <f t="shared" si="1834"/>
        <v>1</v>
      </c>
      <c r="S165" s="69">
        <f t="shared" si="1835"/>
        <v>0</v>
      </c>
      <c r="T165" s="69">
        <f t="shared" si="1836"/>
        <v>1</v>
      </c>
      <c r="U165" s="69">
        <f t="shared" si="1837"/>
        <v>1</v>
      </c>
      <c r="V165" s="70">
        <f t="shared" si="1838"/>
        <v>1</v>
      </c>
      <c r="W165" s="71">
        <f t="shared" si="1839"/>
        <v>0</v>
      </c>
      <c r="X165" s="71">
        <f t="shared" si="1840"/>
        <v>1</v>
      </c>
      <c r="Y165" s="71">
        <f t="shared" si="1841"/>
        <v>1</v>
      </c>
      <c r="Z165" s="71">
        <f t="shared" si="1842"/>
        <v>1</v>
      </c>
      <c r="AA165" s="71">
        <f t="shared" si="1843"/>
        <v>1</v>
      </c>
      <c r="AB165" s="71">
        <f t="shared" si="1844"/>
        <v>1</v>
      </c>
      <c r="AC165" s="71">
        <f t="shared" si="1845"/>
        <v>1</v>
      </c>
      <c r="AD165" s="71">
        <f t="shared" si="1846"/>
        <v>0</v>
      </c>
      <c r="AE165" s="71">
        <f t="shared" si="1847"/>
        <v>1</v>
      </c>
      <c r="AF165" s="71">
        <f t="shared" si="1848"/>
        <v>1</v>
      </c>
      <c r="AG165" s="71">
        <f t="shared" si="1849"/>
        <v>1</v>
      </c>
      <c r="AH165" s="71">
        <f t="shared" si="1850"/>
        <v>0</v>
      </c>
      <c r="AI165" s="71">
        <f t="shared" si="1851"/>
        <v>1</v>
      </c>
      <c r="AJ165" s="71">
        <f t="shared" si="1852"/>
        <v>0</v>
      </c>
      <c r="AK165" s="71">
        <f t="shared" si="1853"/>
        <v>0</v>
      </c>
      <c r="AL165" s="71">
        <f t="shared" si="1854"/>
        <v>0</v>
      </c>
      <c r="AM165" s="71">
        <f t="shared" si="1855"/>
        <v>0</v>
      </c>
      <c r="AN165" s="71">
        <f t="shared" si="1856"/>
        <v>0</v>
      </c>
      <c r="AO165" s="71">
        <f t="shared" si="1857"/>
        <v>0</v>
      </c>
      <c r="AP165" s="71">
        <f t="shared" si="1858"/>
        <v>0</v>
      </c>
      <c r="AQ165" s="71">
        <f t="shared" si="1859"/>
        <v>0</v>
      </c>
      <c r="AR165" s="71">
        <f t="shared" si="1860"/>
        <v>0</v>
      </c>
      <c r="AS165" s="71">
        <f t="shared" si="1861"/>
        <v>0</v>
      </c>
      <c r="AT165" s="71">
        <f t="shared" si="1862"/>
        <v>0</v>
      </c>
      <c r="AU165" s="71">
        <f t="shared" si="1863"/>
        <v>0</v>
      </c>
      <c r="AV165" s="71">
        <f t="shared" si="1864"/>
        <v>0</v>
      </c>
      <c r="AW165" s="71">
        <f t="shared" si="1865"/>
        <v>0</v>
      </c>
      <c r="AX165" s="71">
        <f t="shared" si="1866"/>
        <v>0</v>
      </c>
      <c r="AY165" s="71">
        <f t="shared" si="1867"/>
        <v>0</v>
      </c>
      <c r="AZ165" s="72">
        <f t="shared" si="1868"/>
        <v>0</v>
      </c>
      <c r="BA165" s="70">
        <f t="shared" si="1553"/>
        <v>11</v>
      </c>
      <c r="BB165" s="69">
        <f t="shared" ca="1" si="1554"/>
        <v>0.84615384615384615</v>
      </c>
      <c r="BC165" s="70">
        <f t="shared" si="1869"/>
        <v>31</v>
      </c>
      <c r="BD165" s="71">
        <f t="shared" si="1870"/>
        <v>0</v>
      </c>
      <c r="BE165" s="71">
        <f t="shared" si="1871"/>
        <v>20</v>
      </c>
      <c r="BF165" s="71">
        <f t="shared" si="1872"/>
        <v>0</v>
      </c>
      <c r="BG165" s="71">
        <f t="shared" si="1873"/>
        <v>44</v>
      </c>
      <c r="BH165" s="71">
        <f t="shared" si="1874"/>
        <v>50</v>
      </c>
      <c r="BI165" s="71">
        <f t="shared" si="1875"/>
        <v>44</v>
      </c>
      <c r="BJ165" s="71">
        <f t="shared" si="1876"/>
        <v>39</v>
      </c>
      <c r="BK165" s="71">
        <f t="shared" si="1877"/>
        <v>0</v>
      </c>
      <c r="BL165" s="71">
        <f t="shared" si="1878"/>
        <v>39</v>
      </c>
      <c r="BM165" s="71">
        <f t="shared" si="1879"/>
        <v>8</v>
      </c>
      <c r="BN165" s="71">
        <f t="shared" si="1880"/>
        <v>42</v>
      </c>
      <c r="BO165" s="71">
        <f t="shared" si="1881"/>
        <v>0</v>
      </c>
      <c r="BP165" s="71">
        <f t="shared" si="1882"/>
        <v>0</v>
      </c>
      <c r="BQ165" s="71">
        <f t="shared" si="1883"/>
        <v>0</v>
      </c>
      <c r="BR165" s="71">
        <f t="shared" si="1884"/>
        <v>0</v>
      </c>
      <c r="BS165" s="71">
        <f t="shared" si="1885"/>
        <v>0</v>
      </c>
      <c r="BT165" s="71">
        <f t="shared" si="1886"/>
        <v>0</v>
      </c>
      <c r="BU165" s="71">
        <f t="shared" si="1887"/>
        <v>0</v>
      </c>
      <c r="BV165" s="71">
        <f t="shared" si="1888"/>
        <v>0</v>
      </c>
      <c r="BW165" s="71">
        <f t="shared" si="1889"/>
        <v>0</v>
      </c>
      <c r="BX165" s="71">
        <f t="shared" si="1890"/>
        <v>0</v>
      </c>
      <c r="BY165" s="71">
        <f t="shared" si="1891"/>
        <v>0</v>
      </c>
      <c r="BZ165" s="71">
        <f t="shared" si="1892"/>
        <v>0</v>
      </c>
      <c r="CA165" s="71">
        <f t="shared" si="1893"/>
        <v>0</v>
      </c>
      <c r="CB165" s="71">
        <f t="shared" si="1894"/>
        <v>0</v>
      </c>
      <c r="CC165" s="71">
        <f t="shared" si="1895"/>
        <v>0</v>
      </c>
      <c r="CD165" s="71">
        <f t="shared" si="1896"/>
        <v>0</v>
      </c>
      <c r="CE165" s="71">
        <f t="shared" si="1897"/>
        <v>0</v>
      </c>
      <c r="CF165" s="71">
        <f t="shared" si="1898"/>
        <v>0</v>
      </c>
      <c r="CG165" s="71">
        <f t="shared" si="1899"/>
        <v>0</v>
      </c>
      <c r="CH165" s="70">
        <f t="shared" si="1555"/>
        <v>317</v>
      </c>
      <c r="CI165" s="69">
        <f t="shared" ca="1" si="1556"/>
        <v>24.384615384615383</v>
      </c>
      <c r="GM165" s="2" t="s">
        <v>16</v>
      </c>
      <c r="GN165" s="101" t="str">
        <f t="shared" si="1552"/>
        <v>FSD02-FMCG01-SPO-02</v>
      </c>
      <c r="GO165" s="4">
        <v>1</v>
      </c>
      <c r="GP165" s="3">
        <v>0</v>
      </c>
      <c r="GQ165" s="3">
        <v>1</v>
      </c>
      <c r="GR165" s="3">
        <v>1</v>
      </c>
      <c r="GS165" s="3">
        <v>1</v>
      </c>
      <c r="GT165" s="3">
        <v>1</v>
      </c>
      <c r="GU165" s="3">
        <v>1</v>
      </c>
      <c r="GV165" s="3">
        <v>1</v>
      </c>
      <c r="GW165" s="3">
        <v>0</v>
      </c>
      <c r="GX165" s="3">
        <v>1</v>
      </c>
      <c r="GY165" s="3">
        <v>1</v>
      </c>
      <c r="GZ165" s="3">
        <v>1</v>
      </c>
      <c r="HA165" s="3">
        <v>0</v>
      </c>
      <c r="HB165" s="3">
        <v>1</v>
      </c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6"/>
      <c r="HT165" s="4">
        <v>31</v>
      </c>
      <c r="HU165" s="3">
        <v>0</v>
      </c>
      <c r="HV165" s="3">
        <v>20</v>
      </c>
      <c r="HW165" s="3">
        <v>0</v>
      </c>
      <c r="HX165" s="3">
        <v>44</v>
      </c>
      <c r="HY165" s="3">
        <v>50</v>
      </c>
      <c r="HZ165" s="3">
        <v>44</v>
      </c>
      <c r="IA165" s="3">
        <v>39</v>
      </c>
      <c r="IB165" s="3">
        <v>0</v>
      </c>
      <c r="IC165" s="3">
        <v>39</v>
      </c>
      <c r="ID165" s="3">
        <v>8</v>
      </c>
      <c r="IE165" s="3">
        <v>42</v>
      </c>
      <c r="IF165" s="3">
        <v>0</v>
      </c>
      <c r="IG165" s="3">
        <v>0</v>
      </c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6"/>
    </row>
    <row r="166" spans="1:258" hidden="1">
      <c r="A166" s="106" t="s">
        <v>25</v>
      </c>
      <c r="B166" s="101" t="s">
        <v>1289</v>
      </c>
      <c r="C166" s="98" t="s">
        <v>377</v>
      </c>
      <c r="D166" s="107" t="s">
        <v>1292</v>
      </c>
      <c r="E166" s="101" t="s">
        <v>1296</v>
      </c>
      <c r="F166" s="101" t="s">
        <v>1366</v>
      </c>
      <c r="G166" s="98" t="s">
        <v>1302</v>
      </c>
      <c r="H166" s="101" t="s">
        <v>1511</v>
      </c>
      <c r="I166" s="101" t="s">
        <v>1511</v>
      </c>
      <c r="J166" s="101" t="s">
        <v>1304</v>
      </c>
      <c r="K166" s="101" t="s">
        <v>1305</v>
      </c>
      <c r="L166" s="101" t="s">
        <v>1308</v>
      </c>
      <c r="M166" s="98" t="s">
        <v>1093</v>
      </c>
      <c r="N166" s="139">
        <v>45561</v>
      </c>
      <c r="O166" s="100">
        <v>1</v>
      </c>
      <c r="P166" s="69">
        <v>0</v>
      </c>
      <c r="Q166" s="69">
        <f t="shared" si="1833"/>
        <v>1</v>
      </c>
      <c r="R166" s="69">
        <f t="shared" si="1834"/>
        <v>1</v>
      </c>
      <c r="S166" s="69">
        <f t="shared" si="1835"/>
        <v>0</v>
      </c>
      <c r="T166" s="69">
        <f t="shared" si="1836"/>
        <v>1</v>
      </c>
      <c r="U166" s="69">
        <f t="shared" si="1837"/>
        <v>1</v>
      </c>
      <c r="V166" s="70">
        <f t="shared" si="1838"/>
        <v>1</v>
      </c>
      <c r="W166" s="71">
        <f t="shared" si="1839"/>
        <v>0</v>
      </c>
      <c r="X166" s="71">
        <f t="shared" si="1840"/>
        <v>1</v>
      </c>
      <c r="Y166" s="71">
        <f t="shared" si="1841"/>
        <v>1</v>
      </c>
      <c r="Z166" s="71">
        <f t="shared" si="1842"/>
        <v>1</v>
      </c>
      <c r="AA166" s="71">
        <f t="shared" si="1843"/>
        <v>1</v>
      </c>
      <c r="AB166" s="71">
        <f t="shared" si="1844"/>
        <v>1</v>
      </c>
      <c r="AC166" s="71">
        <f t="shared" si="1845"/>
        <v>1</v>
      </c>
      <c r="AD166" s="71">
        <f t="shared" si="1846"/>
        <v>0</v>
      </c>
      <c r="AE166" s="71">
        <f t="shared" si="1847"/>
        <v>1</v>
      </c>
      <c r="AF166" s="71">
        <f t="shared" si="1848"/>
        <v>1</v>
      </c>
      <c r="AG166" s="71">
        <f t="shared" si="1849"/>
        <v>1</v>
      </c>
      <c r="AH166" s="71">
        <f t="shared" si="1850"/>
        <v>1</v>
      </c>
      <c r="AI166" s="71">
        <f t="shared" si="1851"/>
        <v>1</v>
      </c>
      <c r="AJ166" s="71">
        <f t="shared" si="1852"/>
        <v>0</v>
      </c>
      <c r="AK166" s="71">
        <f t="shared" si="1853"/>
        <v>0</v>
      </c>
      <c r="AL166" s="71">
        <f t="shared" si="1854"/>
        <v>0</v>
      </c>
      <c r="AM166" s="71">
        <f t="shared" si="1855"/>
        <v>0</v>
      </c>
      <c r="AN166" s="71">
        <f t="shared" si="1856"/>
        <v>0</v>
      </c>
      <c r="AO166" s="71">
        <f t="shared" si="1857"/>
        <v>0</v>
      </c>
      <c r="AP166" s="71">
        <f t="shared" si="1858"/>
        <v>0</v>
      </c>
      <c r="AQ166" s="71">
        <f t="shared" si="1859"/>
        <v>0</v>
      </c>
      <c r="AR166" s="71">
        <f t="shared" si="1860"/>
        <v>0</v>
      </c>
      <c r="AS166" s="71">
        <f t="shared" si="1861"/>
        <v>0</v>
      </c>
      <c r="AT166" s="71">
        <f t="shared" si="1862"/>
        <v>0</v>
      </c>
      <c r="AU166" s="71">
        <f t="shared" si="1863"/>
        <v>0</v>
      </c>
      <c r="AV166" s="71">
        <f t="shared" si="1864"/>
        <v>0</v>
      </c>
      <c r="AW166" s="71">
        <f t="shared" si="1865"/>
        <v>0</v>
      </c>
      <c r="AX166" s="71">
        <f t="shared" si="1866"/>
        <v>0</v>
      </c>
      <c r="AY166" s="71">
        <f t="shared" si="1867"/>
        <v>0</v>
      </c>
      <c r="AZ166" s="72">
        <f t="shared" si="1868"/>
        <v>0</v>
      </c>
      <c r="BA166" s="70">
        <f t="shared" si="1553"/>
        <v>12</v>
      </c>
      <c r="BB166" s="69">
        <f t="shared" ca="1" si="1554"/>
        <v>0.92307692307692313</v>
      </c>
      <c r="BC166" s="70">
        <f t="shared" si="1869"/>
        <v>0</v>
      </c>
      <c r="BD166" s="71">
        <f t="shared" si="1870"/>
        <v>0</v>
      </c>
      <c r="BE166" s="71">
        <f t="shared" si="1871"/>
        <v>0</v>
      </c>
      <c r="BF166" s="71">
        <f t="shared" si="1872"/>
        <v>0</v>
      </c>
      <c r="BG166" s="71">
        <f t="shared" si="1873"/>
        <v>0</v>
      </c>
      <c r="BH166" s="71">
        <f t="shared" si="1874"/>
        <v>0</v>
      </c>
      <c r="BI166" s="71">
        <f t="shared" si="1875"/>
        <v>0</v>
      </c>
      <c r="BJ166" s="71">
        <f t="shared" si="1876"/>
        <v>0</v>
      </c>
      <c r="BK166" s="71">
        <f t="shared" si="1877"/>
        <v>0</v>
      </c>
      <c r="BL166" s="71">
        <f t="shared" si="1878"/>
        <v>17</v>
      </c>
      <c r="BM166" s="71">
        <f t="shared" si="1879"/>
        <v>28</v>
      </c>
      <c r="BN166" s="71">
        <f t="shared" si="1880"/>
        <v>0</v>
      </c>
      <c r="BO166" s="71">
        <f t="shared" si="1881"/>
        <v>0</v>
      </c>
      <c r="BP166" s="71">
        <f t="shared" si="1882"/>
        <v>0</v>
      </c>
      <c r="BQ166" s="71">
        <f t="shared" si="1883"/>
        <v>0</v>
      </c>
      <c r="BR166" s="71">
        <f t="shared" si="1884"/>
        <v>0</v>
      </c>
      <c r="BS166" s="71">
        <f t="shared" si="1885"/>
        <v>0</v>
      </c>
      <c r="BT166" s="71">
        <f t="shared" si="1886"/>
        <v>0</v>
      </c>
      <c r="BU166" s="71">
        <f t="shared" si="1887"/>
        <v>0</v>
      </c>
      <c r="BV166" s="71">
        <f t="shared" si="1888"/>
        <v>0</v>
      </c>
      <c r="BW166" s="71">
        <f t="shared" si="1889"/>
        <v>0</v>
      </c>
      <c r="BX166" s="71">
        <f t="shared" si="1890"/>
        <v>0</v>
      </c>
      <c r="BY166" s="71">
        <f t="shared" si="1891"/>
        <v>0</v>
      </c>
      <c r="BZ166" s="71">
        <f t="shared" si="1892"/>
        <v>0</v>
      </c>
      <c r="CA166" s="71">
        <f t="shared" si="1893"/>
        <v>0</v>
      </c>
      <c r="CB166" s="71">
        <f t="shared" si="1894"/>
        <v>0</v>
      </c>
      <c r="CC166" s="71">
        <f t="shared" si="1895"/>
        <v>0</v>
      </c>
      <c r="CD166" s="71">
        <f t="shared" si="1896"/>
        <v>0</v>
      </c>
      <c r="CE166" s="71">
        <f t="shared" si="1897"/>
        <v>0</v>
      </c>
      <c r="CF166" s="71">
        <f t="shared" si="1898"/>
        <v>0</v>
      </c>
      <c r="CG166" s="71">
        <f t="shared" si="1899"/>
        <v>0</v>
      </c>
      <c r="CH166" s="70">
        <f t="shared" si="1555"/>
        <v>45</v>
      </c>
      <c r="CI166" s="69">
        <f t="shared" ca="1" si="1556"/>
        <v>3.4615384615384617</v>
      </c>
      <c r="GM166" s="2" t="s">
        <v>16</v>
      </c>
      <c r="GN166" s="101" t="str">
        <f t="shared" si="1552"/>
        <v>FSD02-FMCG02-SPO-01</v>
      </c>
      <c r="GO166" s="4">
        <v>1</v>
      </c>
      <c r="GP166" s="3">
        <v>0</v>
      </c>
      <c r="GQ166" s="3">
        <v>1</v>
      </c>
      <c r="GR166" s="3">
        <v>1</v>
      </c>
      <c r="GS166" s="3">
        <v>1</v>
      </c>
      <c r="GT166" s="3">
        <v>1</v>
      </c>
      <c r="GU166" s="3">
        <v>1</v>
      </c>
      <c r="GV166" s="3">
        <v>1</v>
      </c>
      <c r="GW166" s="3">
        <v>0</v>
      </c>
      <c r="GX166" s="3">
        <v>1</v>
      </c>
      <c r="GY166" s="3">
        <v>1</v>
      </c>
      <c r="GZ166" s="3">
        <v>1</v>
      </c>
      <c r="HA166" s="3">
        <v>1</v>
      </c>
      <c r="HB166" s="3">
        <v>1</v>
      </c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6"/>
      <c r="HT166" s="4">
        <v>0</v>
      </c>
      <c r="HU166" s="3">
        <v>0</v>
      </c>
      <c r="HV166" s="3">
        <v>0</v>
      </c>
      <c r="HW166" s="3">
        <v>0</v>
      </c>
      <c r="HX166" s="3">
        <v>0</v>
      </c>
      <c r="HY166" s="3">
        <v>0</v>
      </c>
      <c r="HZ166" s="3">
        <v>0</v>
      </c>
      <c r="IA166" s="3">
        <v>0</v>
      </c>
      <c r="IB166" s="3">
        <v>0</v>
      </c>
      <c r="IC166" s="3">
        <v>17</v>
      </c>
      <c r="ID166" s="3">
        <v>28</v>
      </c>
      <c r="IE166" s="3">
        <v>0</v>
      </c>
      <c r="IF166" s="3">
        <v>0</v>
      </c>
      <c r="IG166" s="3">
        <v>0</v>
      </c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6"/>
    </row>
    <row r="167" spans="1:258" hidden="1">
      <c r="A167" s="106" t="s">
        <v>25</v>
      </c>
      <c r="B167" s="101" t="s">
        <v>1289</v>
      </c>
      <c r="C167" s="98" t="s">
        <v>377</v>
      </c>
      <c r="D167" s="107" t="s">
        <v>1292</v>
      </c>
      <c r="E167" s="101" t="s">
        <v>1297</v>
      </c>
      <c r="F167" s="136" t="s">
        <v>1378</v>
      </c>
      <c r="G167" s="98" t="s">
        <v>1303</v>
      </c>
      <c r="H167" s="101" t="s">
        <v>1512</v>
      </c>
      <c r="I167" s="101" t="s">
        <v>1512</v>
      </c>
      <c r="J167" s="101" t="s">
        <v>845</v>
      </c>
      <c r="K167" s="101" t="s">
        <v>1305</v>
      </c>
      <c r="L167" s="101" t="s">
        <v>1309</v>
      </c>
      <c r="M167" s="98" t="s">
        <v>1093</v>
      </c>
      <c r="N167" s="139">
        <v>45269</v>
      </c>
      <c r="O167" s="100">
        <v>1</v>
      </c>
      <c r="P167" s="69">
        <v>0</v>
      </c>
      <c r="Q167" s="69">
        <f t="shared" si="1833"/>
        <v>1</v>
      </c>
      <c r="R167" s="69">
        <f t="shared" si="1834"/>
        <v>1</v>
      </c>
      <c r="S167" s="69">
        <f t="shared" si="1835"/>
        <v>0</v>
      </c>
      <c r="T167" s="69">
        <f t="shared" si="1836"/>
        <v>1</v>
      </c>
      <c r="U167" s="69">
        <f t="shared" si="1837"/>
        <v>1</v>
      </c>
      <c r="V167" s="70">
        <f t="shared" si="1838"/>
        <v>1</v>
      </c>
      <c r="W167" s="71">
        <f t="shared" si="1839"/>
        <v>0</v>
      </c>
      <c r="X167" s="71">
        <f t="shared" si="1840"/>
        <v>1</v>
      </c>
      <c r="Y167" s="71">
        <f t="shared" si="1841"/>
        <v>1</v>
      </c>
      <c r="Z167" s="71">
        <f t="shared" si="1842"/>
        <v>1</v>
      </c>
      <c r="AA167" s="71">
        <f t="shared" si="1843"/>
        <v>1</v>
      </c>
      <c r="AB167" s="71">
        <f t="shared" si="1844"/>
        <v>0</v>
      </c>
      <c r="AC167" s="71">
        <f t="shared" si="1845"/>
        <v>1</v>
      </c>
      <c r="AD167" s="71">
        <f t="shared" si="1846"/>
        <v>0</v>
      </c>
      <c r="AE167" s="71">
        <f t="shared" si="1847"/>
        <v>1</v>
      </c>
      <c r="AF167" s="71">
        <f t="shared" si="1848"/>
        <v>1</v>
      </c>
      <c r="AG167" s="71">
        <f t="shared" si="1849"/>
        <v>1</v>
      </c>
      <c r="AH167" s="71">
        <f t="shared" si="1850"/>
        <v>1</v>
      </c>
      <c r="AI167" s="71">
        <f t="shared" si="1851"/>
        <v>1</v>
      </c>
      <c r="AJ167" s="71">
        <f t="shared" si="1852"/>
        <v>0</v>
      </c>
      <c r="AK167" s="71">
        <f t="shared" si="1853"/>
        <v>0</v>
      </c>
      <c r="AL167" s="71">
        <f t="shared" si="1854"/>
        <v>0</v>
      </c>
      <c r="AM167" s="71">
        <f t="shared" si="1855"/>
        <v>0</v>
      </c>
      <c r="AN167" s="71">
        <f t="shared" si="1856"/>
        <v>0</v>
      </c>
      <c r="AO167" s="71">
        <f t="shared" si="1857"/>
        <v>0</v>
      </c>
      <c r="AP167" s="71">
        <f t="shared" si="1858"/>
        <v>0</v>
      </c>
      <c r="AQ167" s="71">
        <f t="shared" si="1859"/>
        <v>0</v>
      </c>
      <c r="AR167" s="71">
        <f t="shared" si="1860"/>
        <v>0</v>
      </c>
      <c r="AS167" s="71">
        <f t="shared" si="1861"/>
        <v>0</v>
      </c>
      <c r="AT167" s="71">
        <f t="shared" si="1862"/>
        <v>0</v>
      </c>
      <c r="AU167" s="71">
        <f t="shared" si="1863"/>
        <v>0</v>
      </c>
      <c r="AV167" s="71">
        <f t="shared" si="1864"/>
        <v>0</v>
      </c>
      <c r="AW167" s="71">
        <f t="shared" si="1865"/>
        <v>0</v>
      </c>
      <c r="AX167" s="71">
        <f t="shared" si="1866"/>
        <v>0</v>
      </c>
      <c r="AY167" s="71">
        <f t="shared" si="1867"/>
        <v>0</v>
      </c>
      <c r="AZ167" s="72">
        <f t="shared" si="1868"/>
        <v>0</v>
      </c>
      <c r="BA167" s="70">
        <f t="shared" si="1553"/>
        <v>11</v>
      </c>
      <c r="BB167" s="69">
        <f t="shared" ca="1" si="1554"/>
        <v>0.84615384615384615</v>
      </c>
      <c r="BC167" s="70">
        <f t="shared" si="1869"/>
        <v>45</v>
      </c>
      <c r="BD167" s="71">
        <f t="shared" si="1870"/>
        <v>0</v>
      </c>
      <c r="BE167" s="71">
        <f t="shared" si="1871"/>
        <v>0</v>
      </c>
      <c r="BF167" s="71">
        <f t="shared" si="1872"/>
        <v>60</v>
      </c>
      <c r="BG167" s="71">
        <f t="shared" si="1873"/>
        <v>40</v>
      </c>
      <c r="BH167" s="71">
        <f t="shared" si="1874"/>
        <v>35</v>
      </c>
      <c r="BI167" s="71">
        <f t="shared" si="1875"/>
        <v>0</v>
      </c>
      <c r="BJ167" s="71">
        <f t="shared" si="1876"/>
        <v>39</v>
      </c>
      <c r="BK167" s="71">
        <f t="shared" si="1877"/>
        <v>0</v>
      </c>
      <c r="BL167" s="71">
        <f t="shared" si="1878"/>
        <v>0</v>
      </c>
      <c r="BM167" s="71">
        <f t="shared" si="1879"/>
        <v>48</v>
      </c>
      <c r="BN167" s="71">
        <f t="shared" si="1880"/>
        <v>33</v>
      </c>
      <c r="BO167" s="71">
        <f t="shared" si="1881"/>
        <v>33</v>
      </c>
      <c r="BP167" s="71">
        <f t="shared" si="1882"/>
        <v>0</v>
      </c>
      <c r="BQ167" s="71">
        <f t="shared" si="1883"/>
        <v>0</v>
      </c>
      <c r="BR167" s="71">
        <f t="shared" si="1884"/>
        <v>0</v>
      </c>
      <c r="BS167" s="71">
        <f t="shared" si="1885"/>
        <v>0</v>
      </c>
      <c r="BT167" s="71">
        <f t="shared" si="1886"/>
        <v>0</v>
      </c>
      <c r="BU167" s="71">
        <f t="shared" si="1887"/>
        <v>0</v>
      </c>
      <c r="BV167" s="71">
        <f t="shared" si="1888"/>
        <v>0</v>
      </c>
      <c r="BW167" s="71">
        <f t="shared" si="1889"/>
        <v>0</v>
      </c>
      <c r="BX167" s="71">
        <f t="shared" si="1890"/>
        <v>0</v>
      </c>
      <c r="BY167" s="71">
        <f t="shared" si="1891"/>
        <v>0</v>
      </c>
      <c r="BZ167" s="71">
        <f t="shared" si="1892"/>
        <v>0</v>
      </c>
      <c r="CA167" s="71">
        <f t="shared" si="1893"/>
        <v>0</v>
      </c>
      <c r="CB167" s="71">
        <f t="shared" si="1894"/>
        <v>0</v>
      </c>
      <c r="CC167" s="71">
        <f t="shared" si="1895"/>
        <v>0</v>
      </c>
      <c r="CD167" s="71">
        <f t="shared" si="1896"/>
        <v>0</v>
      </c>
      <c r="CE167" s="71">
        <f t="shared" si="1897"/>
        <v>0</v>
      </c>
      <c r="CF167" s="71">
        <f t="shared" si="1898"/>
        <v>0</v>
      </c>
      <c r="CG167" s="71">
        <f t="shared" si="1899"/>
        <v>0</v>
      </c>
      <c r="CH167" s="70">
        <f t="shared" si="1555"/>
        <v>333</v>
      </c>
      <c r="CI167" s="69">
        <f t="shared" ca="1" si="1556"/>
        <v>25.615384615384617</v>
      </c>
      <c r="GM167" s="2" t="s">
        <v>16</v>
      </c>
      <c r="GN167" s="136" t="str">
        <f t="shared" si="1552"/>
        <v>FSD02-FMCG02-SPO-03</v>
      </c>
      <c r="GO167" s="4">
        <v>1</v>
      </c>
      <c r="GP167" s="3">
        <v>0</v>
      </c>
      <c r="GQ167" s="3">
        <v>1</v>
      </c>
      <c r="GR167" s="3">
        <v>1</v>
      </c>
      <c r="GS167" s="3">
        <v>1</v>
      </c>
      <c r="GT167" s="3">
        <v>1</v>
      </c>
      <c r="GU167" s="3">
        <v>0</v>
      </c>
      <c r="GV167" s="3">
        <v>1</v>
      </c>
      <c r="GW167" s="3">
        <v>0</v>
      </c>
      <c r="GX167" s="3">
        <v>1</v>
      </c>
      <c r="GY167" s="3">
        <v>1</v>
      </c>
      <c r="GZ167" s="3">
        <v>1</v>
      </c>
      <c r="HA167" s="3">
        <v>1</v>
      </c>
      <c r="HB167" s="3">
        <v>1</v>
      </c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6"/>
      <c r="HT167" s="4">
        <v>45</v>
      </c>
      <c r="HU167" s="3">
        <v>0</v>
      </c>
      <c r="HV167" s="3">
        <v>0</v>
      </c>
      <c r="HW167" s="3">
        <v>60</v>
      </c>
      <c r="HX167" s="3">
        <v>40</v>
      </c>
      <c r="HY167" s="3">
        <v>35</v>
      </c>
      <c r="HZ167" s="3">
        <v>0</v>
      </c>
      <c r="IA167" s="3">
        <v>39</v>
      </c>
      <c r="IB167" s="3">
        <v>0</v>
      </c>
      <c r="IC167" s="3">
        <v>0</v>
      </c>
      <c r="ID167" s="3">
        <v>48</v>
      </c>
      <c r="IE167" s="3">
        <v>33</v>
      </c>
      <c r="IF167" s="3">
        <v>33</v>
      </c>
      <c r="IG167" s="3">
        <v>0</v>
      </c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6"/>
    </row>
    <row r="168" spans="1:258" hidden="1">
      <c r="A168" s="97" t="s">
        <v>1380</v>
      </c>
      <c r="B168" s="101" t="s">
        <v>1291</v>
      </c>
      <c r="C168" s="98" t="s">
        <v>377</v>
      </c>
      <c r="D168" s="107" t="s">
        <v>1292</v>
      </c>
      <c r="E168" s="101" t="s">
        <v>1298</v>
      </c>
      <c r="F168" s="136" t="s">
        <v>1367</v>
      </c>
      <c r="G168" s="98" t="s">
        <v>1310</v>
      </c>
      <c r="H168" s="101" t="s">
        <v>1699</v>
      </c>
      <c r="I168" s="101" t="s">
        <v>1513</v>
      </c>
      <c r="J168" s="101" t="s">
        <v>845</v>
      </c>
      <c r="K168" s="101" t="s">
        <v>1305</v>
      </c>
      <c r="L168" s="101" t="s">
        <v>1311</v>
      </c>
      <c r="M168" s="98" t="s">
        <v>52</v>
      </c>
      <c r="N168" s="139">
        <v>43754</v>
      </c>
      <c r="O168" s="100">
        <v>0</v>
      </c>
      <c r="P168" s="69">
        <v>0</v>
      </c>
      <c r="Q168" s="69">
        <f t="shared" si="1833"/>
        <v>0</v>
      </c>
      <c r="R168" s="69">
        <f t="shared" si="1834"/>
        <v>0</v>
      </c>
      <c r="S168" s="69">
        <f t="shared" si="1835"/>
        <v>0</v>
      </c>
      <c r="T168" s="69">
        <f t="shared" si="1836"/>
        <v>0</v>
      </c>
      <c r="U168" s="69">
        <f t="shared" si="1837"/>
        <v>0</v>
      </c>
      <c r="V168" s="70">
        <f t="shared" si="1838"/>
        <v>0</v>
      </c>
      <c r="W168" s="71">
        <f t="shared" si="1839"/>
        <v>0</v>
      </c>
      <c r="X168" s="71">
        <f t="shared" si="1840"/>
        <v>0</v>
      </c>
      <c r="Y168" s="71">
        <f t="shared" si="1841"/>
        <v>0</v>
      </c>
      <c r="Z168" s="71">
        <f t="shared" si="1842"/>
        <v>0</v>
      </c>
      <c r="AA168" s="71">
        <f t="shared" si="1843"/>
        <v>0</v>
      </c>
      <c r="AB168" s="71">
        <f t="shared" si="1844"/>
        <v>0</v>
      </c>
      <c r="AC168" s="71">
        <f t="shared" si="1845"/>
        <v>0</v>
      </c>
      <c r="AD168" s="71">
        <f t="shared" si="1846"/>
        <v>0</v>
      </c>
      <c r="AE168" s="71">
        <f t="shared" si="1847"/>
        <v>0</v>
      </c>
      <c r="AF168" s="71">
        <f t="shared" si="1848"/>
        <v>0</v>
      </c>
      <c r="AG168" s="71">
        <f t="shared" si="1849"/>
        <v>0</v>
      </c>
      <c r="AH168" s="71">
        <f t="shared" si="1850"/>
        <v>0</v>
      </c>
      <c r="AI168" s="71">
        <f t="shared" si="1851"/>
        <v>0</v>
      </c>
      <c r="AJ168" s="71">
        <f t="shared" si="1852"/>
        <v>0</v>
      </c>
      <c r="AK168" s="71">
        <f t="shared" si="1853"/>
        <v>0</v>
      </c>
      <c r="AL168" s="71">
        <f t="shared" si="1854"/>
        <v>0</v>
      </c>
      <c r="AM168" s="71">
        <f t="shared" si="1855"/>
        <v>0</v>
      </c>
      <c r="AN168" s="71">
        <f t="shared" si="1856"/>
        <v>0</v>
      </c>
      <c r="AO168" s="71">
        <f t="shared" si="1857"/>
        <v>0</v>
      </c>
      <c r="AP168" s="71">
        <f t="shared" si="1858"/>
        <v>0</v>
      </c>
      <c r="AQ168" s="71">
        <f t="shared" si="1859"/>
        <v>0</v>
      </c>
      <c r="AR168" s="71">
        <f t="shared" si="1860"/>
        <v>0</v>
      </c>
      <c r="AS168" s="71">
        <f t="shared" si="1861"/>
        <v>0</v>
      </c>
      <c r="AT168" s="71">
        <f t="shared" si="1862"/>
        <v>0</v>
      </c>
      <c r="AU168" s="71">
        <f t="shared" si="1863"/>
        <v>0</v>
      </c>
      <c r="AV168" s="71">
        <f t="shared" si="1864"/>
        <v>0</v>
      </c>
      <c r="AW168" s="71">
        <f t="shared" si="1865"/>
        <v>0</v>
      </c>
      <c r="AX168" s="71">
        <f t="shared" si="1866"/>
        <v>0</v>
      </c>
      <c r="AY168" s="71">
        <f t="shared" si="1867"/>
        <v>0</v>
      </c>
      <c r="AZ168" s="72">
        <f t="shared" si="1868"/>
        <v>0</v>
      </c>
      <c r="BA168" s="70">
        <f t="shared" si="1553"/>
        <v>0</v>
      </c>
      <c r="BB168" s="69">
        <f t="shared" ca="1" si="1554"/>
        <v>0</v>
      </c>
      <c r="BC168" s="70">
        <f t="shared" si="1869"/>
        <v>0</v>
      </c>
      <c r="BD168" s="71">
        <f t="shared" si="1870"/>
        <v>0</v>
      </c>
      <c r="BE168" s="71">
        <f t="shared" si="1871"/>
        <v>0</v>
      </c>
      <c r="BF168" s="71">
        <f t="shared" si="1872"/>
        <v>0</v>
      </c>
      <c r="BG168" s="71">
        <f t="shared" si="1873"/>
        <v>0</v>
      </c>
      <c r="BH168" s="71">
        <f t="shared" si="1874"/>
        <v>0</v>
      </c>
      <c r="BI168" s="71">
        <f t="shared" si="1875"/>
        <v>0</v>
      </c>
      <c r="BJ168" s="71">
        <f t="shared" si="1876"/>
        <v>0</v>
      </c>
      <c r="BK168" s="71">
        <f t="shared" si="1877"/>
        <v>0</v>
      </c>
      <c r="BL168" s="71">
        <f t="shared" si="1878"/>
        <v>0</v>
      </c>
      <c r="BM168" s="71">
        <f t="shared" si="1879"/>
        <v>0</v>
      </c>
      <c r="BN168" s="71">
        <f t="shared" si="1880"/>
        <v>0</v>
      </c>
      <c r="BO168" s="71">
        <f t="shared" si="1881"/>
        <v>0</v>
      </c>
      <c r="BP168" s="71">
        <f t="shared" si="1882"/>
        <v>0</v>
      </c>
      <c r="BQ168" s="71">
        <f t="shared" si="1883"/>
        <v>0</v>
      </c>
      <c r="BR168" s="71">
        <f t="shared" si="1884"/>
        <v>0</v>
      </c>
      <c r="BS168" s="71">
        <f t="shared" si="1885"/>
        <v>0</v>
      </c>
      <c r="BT168" s="71">
        <f t="shared" si="1886"/>
        <v>0</v>
      </c>
      <c r="BU168" s="71">
        <f t="shared" si="1887"/>
        <v>0</v>
      </c>
      <c r="BV168" s="71">
        <f t="shared" si="1888"/>
        <v>0</v>
      </c>
      <c r="BW168" s="71">
        <f t="shared" si="1889"/>
        <v>0</v>
      </c>
      <c r="BX168" s="71">
        <f t="shared" si="1890"/>
        <v>0</v>
      </c>
      <c r="BY168" s="71">
        <f t="shared" si="1891"/>
        <v>0</v>
      </c>
      <c r="BZ168" s="71">
        <f t="shared" si="1892"/>
        <v>0</v>
      </c>
      <c r="CA168" s="71">
        <f t="shared" si="1893"/>
        <v>0</v>
      </c>
      <c r="CB168" s="71">
        <f t="shared" si="1894"/>
        <v>0</v>
      </c>
      <c r="CC168" s="71">
        <f t="shared" si="1895"/>
        <v>0</v>
      </c>
      <c r="CD168" s="71">
        <f t="shared" si="1896"/>
        <v>0</v>
      </c>
      <c r="CE168" s="71">
        <f t="shared" si="1897"/>
        <v>0</v>
      </c>
      <c r="CF168" s="71">
        <f t="shared" si="1898"/>
        <v>0</v>
      </c>
      <c r="CG168" s="71">
        <f t="shared" si="1899"/>
        <v>0</v>
      </c>
      <c r="CH168" s="70">
        <f t="shared" si="1555"/>
        <v>0</v>
      </c>
      <c r="CI168" s="69">
        <f t="shared" ca="1" si="1556"/>
        <v>0</v>
      </c>
      <c r="GM168" s="2" t="s">
        <v>16</v>
      </c>
      <c r="GN168" s="136" t="str">
        <f t="shared" si="1552"/>
        <v>FSD02-FMCG-ASM-01</v>
      </c>
      <c r="GO168" s="4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6"/>
      <c r="HT168" s="4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6"/>
    </row>
    <row r="169" spans="1:258" hidden="1">
      <c r="A169" s="102" t="s">
        <v>53</v>
      </c>
      <c r="B169" s="103" t="s">
        <v>1291</v>
      </c>
      <c r="C169" s="103" t="s">
        <v>377</v>
      </c>
      <c r="D169" s="104" t="s">
        <v>1292</v>
      </c>
      <c r="E169" s="103" t="s">
        <v>1298</v>
      </c>
      <c r="F169" s="103" t="s">
        <v>1367</v>
      </c>
      <c r="G169" s="103" t="s">
        <v>1310</v>
      </c>
      <c r="H169" s="103" t="s">
        <v>1699</v>
      </c>
      <c r="I169" s="103" t="s">
        <v>1513</v>
      </c>
      <c r="J169" s="103" t="s">
        <v>845</v>
      </c>
      <c r="K169" s="103" t="s">
        <v>1305</v>
      </c>
      <c r="L169" s="103" t="s">
        <v>1311</v>
      </c>
      <c r="M169" s="103" t="s">
        <v>52</v>
      </c>
      <c r="N169" s="119">
        <v>43754</v>
      </c>
      <c r="O169" s="105">
        <f>SUM(O163:O168)</f>
        <v>5</v>
      </c>
      <c r="P169" s="73">
        <f t="shared" ref="P169:CA169" si="1900">SUM(P163:P168)</f>
        <v>0</v>
      </c>
      <c r="Q169" s="73">
        <f t="shared" si="1900"/>
        <v>5</v>
      </c>
      <c r="R169" s="73">
        <f t="shared" si="1900"/>
        <v>5</v>
      </c>
      <c r="S169" s="73">
        <f t="shared" si="1900"/>
        <v>0</v>
      </c>
      <c r="T169" s="73">
        <f t="shared" si="1900"/>
        <v>4</v>
      </c>
      <c r="U169" s="73">
        <f t="shared" si="1900"/>
        <v>5</v>
      </c>
      <c r="V169" s="74">
        <f t="shared" si="1900"/>
        <v>5</v>
      </c>
      <c r="W169" s="75">
        <f t="shared" si="1900"/>
        <v>0</v>
      </c>
      <c r="X169" s="75">
        <f t="shared" si="1900"/>
        <v>5</v>
      </c>
      <c r="Y169" s="75">
        <f t="shared" si="1900"/>
        <v>5</v>
      </c>
      <c r="Z169" s="75">
        <f t="shared" si="1900"/>
        <v>5</v>
      </c>
      <c r="AA169" s="75">
        <f t="shared" si="1900"/>
        <v>5</v>
      </c>
      <c r="AB169" s="75">
        <f t="shared" si="1900"/>
        <v>4</v>
      </c>
      <c r="AC169" s="75">
        <f t="shared" si="1900"/>
        <v>5</v>
      </c>
      <c r="AD169" s="75">
        <f t="shared" si="1900"/>
        <v>0</v>
      </c>
      <c r="AE169" s="75">
        <f t="shared" si="1900"/>
        <v>5</v>
      </c>
      <c r="AF169" s="75">
        <f t="shared" si="1900"/>
        <v>5</v>
      </c>
      <c r="AG169" s="75">
        <f t="shared" si="1900"/>
        <v>5</v>
      </c>
      <c r="AH169" s="75">
        <f t="shared" si="1900"/>
        <v>4</v>
      </c>
      <c r="AI169" s="75">
        <f t="shared" si="1900"/>
        <v>5</v>
      </c>
      <c r="AJ169" s="75">
        <f t="shared" si="1900"/>
        <v>0</v>
      </c>
      <c r="AK169" s="75">
        <f t="shared" si="1900"/>
        <v>0</v>
      </c>
      <c r="AL169" s="75">
        <f t="shared" si="1900"/>
        <v>0</v>
      </c>
      <c r="AM169" s="75">
        <f t="shared" si="1900"/>
        <v>0</v>
      </c>
      <c r="AN169" s="75">
        <f t="shared" si="1900"/>
        <v>0</v>
      </c>
      <c r="AO169" s="75">
        <f t="shared" si="1900"/>
        <v>0</v>
      </c>
      <c r="AP169" s="75">
        <f t="shared" si="1900"/>
        <v>0</v>
      </c>
      <c r="AQ169" s="75">
        <f t="shared" si="1900"/>
        <v>0</v>
      </c>
      <c r="AR169" s="75">
        <f t="shared" si="1900"/>
        <v>0</v>
      </c>
      <c r="AS169" s="75">
        <f t="shared" si="1900"/>
        <v>0</v>
      </c>
      <c r="AT169" s="75">
        <f t="shared" si="1900"/>
        <v>0</v>
      </c>
      <c r="AU169" s="75">
        <f t="shared" si="1900"/>
        <v>0</v>
      </c>
      <c r="AV169" s="75">
        <f t="shared" si="1900"/>
        <v>0</v>
      </c>
      <c r="AW169" s="75">
        <f t="shared" si="1900"/>
        <v>0</v>
      </c>
      <c r="AX169" s="75">
        <f t="shared" si="1900"/>
        <v>0</v>
      </c>
      <c r="AY169" s="75">
        <f t="shared" si="1900"/>
        <v>0</v>
      </c>
      <c r="AZ169" s="76">
        <f t="shared" si="1900"/>
        <v>0</v>
      </c>
      <c r="BA169" s="74">
        <f t="shared" si="1553"/>
        <v>58</v>
      </c>
      <c r="BB169" s="73">
        <f t="shared" ca="1" si="1554"/>
        <v>0.89230769230769236</v>
      </c>
      <c r="BC169" s="74">
        <f t="shared" si="1900"/>
        <v>116</v>
      </c>
      <c r="BD169" s="75">
        <f t="shared" si="1900"/>
        <v>0</v>
      </c>
      <c r="BE169" s="75">
        <f t="shared" si="1900"/>
        <v>56</v>
      </c>
      <c r="BF169" s="75">
        <f t="shared" si="1900"/>
        <v>101</v>
      </c>
      <c r="BG169" s="75">
        <f t="shared" si="1900"/>
        <v>84</v>
      </c>
      <c r="BH169" s="75">
        <f t="shared" si="1900"/>
        <v>124</v>
      </c>
      <c r="BI169" s="75">
        <f t="shared" si="1900"/>
        <v>80</v>
      </c>
      <c r="BJ169" s="75">
        <f t="shared" si="1900"/>
        <v>114</v>
      </c>
      <c r="BK169" s="75">
        <f t="shared" si="1900"/>
        <v>0</v>
      </c>
      <c r="BL169" s="75">
        <f t="shared" si="1900"/>
        <v>96</v>
      </c>
      <c r="BM169" s="75">
        <f t="shared" si="1900"/>
        <v>118</v>
      </c>
      <c r="BN169" s="75">
        <f t="shared" si="1900"/>
        <v>116</v>
      </c>
      <c r="BO169" s="75">
        <f t="shared" si="1900"/>
        <v>68</v>
      </c>
      <c r="BP169" s="75">
        <f t="shared" si="1900"/>
        <v>0</v>
      </c>
      <c r="BQ169" s="75">
        <f t="shared" si="1900"/>
        <v>0</v>
      </c>
      <c r="BR169" s="75">
        <f t="shared" si="1900"/>
        <v>0</v>
      </c>
      <c r="BS169" s="75">
        <f t="shared" si="1900"/>
        <v>0</v>
      </c>
      <c r="BT169" s="75">
        <f t="shared" si="1900"/>
        <v>0</v>
      </c>
      <c r="BU169" s="75">
        <f t="shared" si="1900"/>
        <v>0</v>
      </c>
      <c r="BV169" s="75">
        <f t="shared" si="1900"/>
        <v>0</v>
      </c>
      <c r="BW169" s="75">
        <f t="shared" si="1900"/>
        <v>0</v>
      </c>
      <c r="BX169" s="75">
        <f t="shared" si="1900"/>
        <v>0</v>
      </c>
      <c r="BY169" s="75">
        <f t="shared" si="1900"/>
        <v>0</v>
      </c>
      <c r="BZ169" s="75">
        <f t="shared" si="1900"/>
        <v>0</v>
      </c>
      <c r="CA169" s="75">
        <f t="shared" si="1900"/>
        <v>0</v>
      </c>
      <c r="CB169" s="75">
        <f t="shared" ref="CB169:CG169" si="1901">SUM(CB163:CB168)</f>
        <v>0</v>
      </c>
      <c r="CC169" s="75">
        <f t="shared" si="1901"/>
        <v>0</v>
      </c>
      <c r="CD169" s="75">
        <f t="shared" si="1901"/>
        <v>0</v>
      </c>
      <c r="CE169" s="75">
        <f t="shared" si="1901"/>
        <v>0</v>
      </c>
      <c r="CF169" s="75">
        <f t="shared" si="1901"/>
        <v>0</v>
      </c>
      <c r="CG169" s="75">
        <f t="shared" si="1901"/>
        <v>0</v>
      </c>
      <c r="CH169" s="74">
        <f t="shared" si="1555"/>
        <v>1073</v>
      </c>
      <c r="CI169" s="73">
        <f t="shared" ca="1" si="1556"/>
        <v>16.507692307692306</v>
      </c>
      <c r="GM169" s="2" t="s">
        <v>17</v>
      </c>
      <c r="GN169" s="103" t="str">
        <f t="shared" si="1552"/>
        <v>FSD02-FMCG-ASM-01</v>
      </c>
      <c r="GO169" s="4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6"/>
      <c r="HT169" s="4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6"/>
    </row>
    <row r="170" spans="1:258" hidden="1">
      <c r="A170" s="106" t="s">
        <v>25</v>
      </c>
      <c r="B170" s="101" t="s">
        <v>26</v>
      </c>
      <c r="C170" s="98" t="s">
        <v>377</v>
      </c>
      <c r="D170" s="107" t="s">
        <v>1191</v>
      </c>
      <c r="E170" s="101" t="s">
        <v>979</v>
      </c>
      <c r="F170" s="101" t="s">
        <v>1052</v>
      </c>
      <c r="G170" s="98" t="s">
        <v>412</v>
      </c>
      <c r="H170" s="101" t="s">
        <v>1690</v>
      </c>
      <c r="I170" s="101" t="s">
        <v>1514</v>
      </c>
      <c r="J170" s="101" t="s">
        <v>845</v>
      </c>
      <c r="K170" s="101" t="s">
        <v>1127</v>
      </c>
      <c r="L170" s="101" t="s">
        <v>1691</v>
      </c>
      <c r="M170" s="101" t="s">
        <v>1093</v>
      </c>
      <c r="N170" s="139">
        <v>46258</v>
      </c>
      <c r="O170" s="100">
        <v>1</v>
      </c>
      <c r="P170" s="69">
        <v>0</v>
      </c>
      <c r="Q170" s="69">
        <f>IFERROR(IF(OR(AI170&gt;0),1,0),0)</f>
        <v>1</v>
      </c>
      <c r="R170" s="69">
        <f t="shared" ref="R170:R174" si="1902">IFERROR(IF(OR(BA170&gt;0),1,0),0)</f>
        <v>1</v>
      </c>
      <c r="S170" s="69">
        <f>IFERROR(IF(OR(BP170&gt;0),1,0),0)</f>
        <v>0</v>
      </c>
      <c r="T170" s="69">
        <f t="shared" ref="T170:T174" si="1903">IFERROR(IF(OR(CH170&gt;0),1,0),0)</f>
        <v>1</v>
      </c>
      <c r="U170" s="69">
        <f t="shared" ref="U170:U174" si="1904">IFERROR(IF(OR(BA170&gt;0,CH170&gt;0),1,0),0)</f>
        <v>1</v>
      </c>
      <c r="V170" s="70">
        <f t="shared" ref="V170:V174" si="1905">GO170</f>
        <v>1</v>
      </c>
      <c r="W170" s="71">
        <f t="shared" ref="W170:W174" si="1906">GP170</f>
        <v>0</v>
      </c>
      <c r="X170" s="71">
        <f t="shared" ref="X170:X174" si="1907">GQ170</f>
        <v>1</v>
      </c>
      <c r="Y170" s="71">
        <f t="shared" ref="Y170:Y174" si="1908">GR170</f>
        <v>1</v>
      </c>
      <c r="Z170" s="71">
        <f t="shared" ref="Z170:Z174" si="1909">GS170</f>
        <v>1</v>
      </c>
      <c r="AA170" s="71">
        <f t="shared" ref="AA170:AA174" si="1910">GT170</f>
        <v>1</v>
      </c>
      <c r="AB170" s="71">
        <f t="shared" ref="AB170:AB174" si="1911">GU170</f>
        <v>1</v>
      </c>
      <c r="AC170" s="71">
        <f t="shared" ref="AC170:AC174" si="1912">GV170</f>
        <v>1</v>
      </c>
      <c r="AD170" s="71">
        <f t="shared" ref="AD170:AD174" si="1913">GW170</f>
        <v>0</v>
      </c>
      <c r="AE170" s="71">
        <f t="shared" ref="AE170:AE174" si="1914">GX170</f>
        <v>1</v>
      </c>
      <c r="AF170" s="71">
        <f t="shared" ref="AF170:AF174" si="1915">GY170</f>
        <v>1</v>
      </c>
      <c r="AG170" s="71">
        <f t="shared" ref="AG170:AG174" si="1916">GZ170</f>
        <v>1</v>
      </c>
      <c r="AH170" s="71">
        <f t="shared" ref="AH170:AH174" si="1917">HA170</f>
        <v>1</v>
      </c>
      <c r="AI170" s="71">
        <f t="shared" ref="AI170:AI174" si="1918">HB170</f>
        <v>1</v>
      </c>
      <c r="AJ170" s="71">
        <f t="shared" ref="AJ170:AJ174" si="1919">HC170</f>
        <v>0</v>
      </c>
      <c r="AK170" s="71">
        <f t="shared" ref="AK170:AK174" si="1920">HD170</f>
        <v>0</v>
      </c>
      <c r="AL170" s="71">
        <f t="shared" ref="AL170:AL174" si="1921">HE170</f>
        <v>0</v>
      </c>
      <c r="AM170" s="71">
        <f t="shared" ref="AM170:AM174" si="1922">HF170</f>
        <v>0</v>
      </c>
      <c r="AN170" s="71">
        <f t="shared" ref="AN170:AN174" si="1923">HG170</f>
        <v>0</v>
      </c>
      <c r="AO170" s="71">
        <f t="shared" ref="AO170:AO174" si="1924">HH170</f>
        <v>0</v>
      </c>
      <c r="AP170" s="71">
        <f t="shared" ref="AP170:AP174" si="1925">HI170</f>
        <v>0</v>
      </c>
      <c r="AQ170" s="71">
        <f t="shared" ref="AQ170:AQ174" si="1926">HJ170</f>
        <v>0</v>
      </c>
      <c r="AR170" s="71">
        <f t="shared" ref="AR170:AR174" si="1927">HK170</f>
        <v>0</v>
      </c>
      <c r="AS170" s="71">
        <f t="shared" ref="AS170:AS174" si="1928">HL170</f>
        <v>0</v>
      </c>
      <c r="AT170" s="71">
        <f t="shared" ref="AT170:AT174" si="1929">HM170</f>
        <v>0</v>
      </c>
      <c r="AU170" s="71">
        <f t="shared" ref="AU170:AU174" si="1930">HN170</f>
        <v>0</v>
      </c>
      <c r="AV170" s="71">
        <f t="shared" ref="AV170:AV174" si="1931">HO170</f>
        <v>0</v>
      </c>
      <c r="AW170" s="71">
        <f t="shared" ref="AW170:AW174" si="1932">HP170</f>
        <v>0</v>
      </c>
      <c r="AX170" s="71">
        <f t="shared" ref="AX170:AX174" si="1933">HQ170</f>
        <v>0</v>
      </c>
      <c r="AY170" s="71">
        <f t="shared" ref="AY170:AY174" si="1934">HR170</f>
        <v>0</v>
      </c>
      <c r="AZ170" s="72">
        <f t="shared" ref="AZ170:AZ174" si="1935">HS170</f>
        <v>0</v>
      </c>
      <c r="BA170" s="70">
        <f t="shared" si="1553"/>
        <v>12</v>
      </c>
      <c r="BB170" s="69">
        <f t="shared" ca="1" si="1554"/>
        <v>0.92307692307692313</v>
      </c>
      <c r="BC170" s="70">
        <f t="shared" ref="BC170:BC174" si="1936">HT170</f>
        <v>0</v>
      </c>
      <c r="BD170" s="71">
        <f t="shared" ref="BD170:BD174" si="1937">HU170</f>
        <v>0</v>
      </c>
      <c r="BE170" s="71">
        <f t="shared" ref="BE170:BE174" si="1938">HV170</f>
        <v>10</v>
      </c>
      <c r="BF170" s="71">
        <f t="shared" ref="BF170:BF174" si="1939">HW170</f>
        <v>24</v>
      </c>
      <c r="BG170" s="71">
        <f t="shared" ref="BG170:BG174" si="1940">HX170</f>
        <v>18</v>
      </c>
      <c r="BH170" s="71">
        <f t="shared" ref="BH170:BH174" si="1941">HY170</f>
        <v>8</v>
      </c>
      <c r="BI170" s="71">
        <f t="shared" ref="BI170:BI174" si="1942">HZ170</f>
        <v>49</v>
      </c>
      <c r="BJ170" s="71">
        <f t="shared" ref="BJ170:BJ174" si="1943">IA170</f>
        <v>39</v>
      </c>
      <c r="BK170" s="71">
        <f t="shared" ref="BK170:BK174" si="1944">IB170</f>
        <v>0</v>
      </c>
      <c r="BL170" s="71">
        <f t="shared" ref="BL170:BL174" si="1945">IC170</f>
        <v>42</v>
      </c>
      <c r="BM170" s="71">
        <f t="shared" ref="BM170:BM174" si="1946">ID170</f>
        <v>41</v>
      </c>
      <c r="BN170" s="71">
        <f t="shared" ref="BN170:BN174" si="1947">IE170</f>
        <v>33</v>
      </c>
      <c r="BO170" s="71">
        <f t="shared" ref="BO170:BO174" si="1948">IF170</f>
        <v>48</v>
      </c>
      <c r="BP170" s="71">
        <f t="shared" ref="BP170:BP174" si="1949">IG170</f>
        <v>0</v>
      </c>
      <c r="BQ170" s="71">
        <f t="shared" ref="BQ170:BQ174" si="1950">IH170</f>
        <v>0</v>
      </c>
      <c r="BR170" s="71">
        <f t="shared" ref="BR170:BR174" si="1951">II170</f>
        <v>0</v>
      </c>
      <c r="BS170" s="71">
        <f t="shared" ref="BS170:BS174" si="1952">IJ170</f>
        <v>0</v>
      </c>
      <c r="BT170" s="71">
        <f t="shared" ref="BT170:BT174" si="1953">IK170</f>
        <v>0</v>
      </c>
      <c r="BU170" s="71">
        <f t="shared" ref="BU170:BU174" si="1954">IL170</f>
        <v>0</v>
      </c>
      <c r="BV170" s="71">
        <f t="shared" ref="BV170:BV174" si="1955">IM170</f>
        <v>0</v>
      </c>
      <c r="BW170" s="71">
        <f t="shared" ref="BW170:BW174" si="1956">IN170</f>
        <v>0</v>
      </c>
      <c r="BX170" s="71">
        <f t="shared" ref="BX170:BX174" si="1957">IO170</f>
        <v>0</v>
      </c>
      <c r="BY170" s="71">
        <f t="shared" ref="BY170:BY174" si="1958">IP170</f>
        <v>0</v>
      </c>
      <c r="BZ170" s="71">
        <f t="shared" ref="BZ170:BZ174" si="1959">IQ170</f>
        <v>0</v>
      </c>
      <c r="CA170" s="71">
        <f t="shared" ref="CA170:CA174" si="1960">IR170</f>
        <v>0</v>
      </c>
      <c r="CB170" s="71">
        <f t="shared" ref="CB170:CB174" si="1961">IS170</f>
        <v>0</v>
      </c>
      <c r="CC170" s="71">
        <f t="shared" ref="CC170:CC174" si="1962">IT170</f>
        <v>0</v>
      </c>
      <c r="CD170" s="71">
        <f t="shared" ref="CD170:CD174" si="1963">IU170</f>
        <v>0</v>
      </c>
      <c r="CE170" s="71">
        <f t="shared" ref="CE170:CE174" si="1964">IV170</f>
        <v>0</v>
      </c>
      <c r="CF170" s="71">
        <f t="shared" ref="CF170:CF174" si="1965">IW170</f>
        <v>0</v>
      </c>
      <c r="CG170" s="71">
        <f t="shared" ref="CG170:CG174" si="1966">IX170</f>
        <v>0</v>
      </c>
      <c r="CH170" s="70">
        <f t="shared" si="1555"/>
        <v>312</v>
      </c>
      <c r="CI170" s="69">
        <f t="shared" ca="1" si="1556"/>
        <v>24</v>
      </c>
      <c r="GM170" s="2" t="s">
        <v>16</v>
      </c>
      <c r="GN170" s="101" t="str">
        <f t="shared" si="1552"/>
        <v>FSD03-FMCG03-SPO-01</v>
      </c>
      <c r="GO170" s="4">
        <v>1</v>
      </c>
      <c r="GP170" s="3">
        <v>0</v>
      </c>
      <c r="GQ170" s="3">
        <v>1</v>
      </c>
      <c r="GR170" s="3">
        <v>1</v>
      </c>
      <c r="GS170" s="3">
        <v>1</v>
      </c>
      <c r="GT170" s="3">
        <v>1</v>
      </c>
      <c r="GU170" s="3">
        <v>1</v>
      </c>
      <c r="GV170" s="3">
        <v>1</v>
      </c>
      <c r="GW170" s="3">
        <v>0</v>
      </c>
      <c r="GX170" s="3">
        <v>1</v>
      </c>
      <c r="GY170" s="3">
        <v>1</v>
      </c>
      <c r="GZ170" s="3">
        <v>1</v>
      </c>
      <c r="HA170" s="3">
        <v>1</v>
      </c>
      <c r="HB170" s="3">
        <v>1</v>
      </c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6"/>
      <c r="HT170" s="4">
        <v>0</v>
      </c>
      <c r="HU170" s="3">
        <v>0</v>
      </c>
      <c r="HV170" s="3">
        <v>10</v>
      </c>
      <c r="HW170" s="3">
        <v>24</v>
      </c>
      <c r="HX170" s="3">
        <v>18</v>
      </c>
      <c r="HY170" s="3">
        <v>8</v>
      </c>
      <c r="HZ170" s="3">
        <v>49</v>
      </c>
      <c r="IA170" s="3">
        <v>39</v>
      </c>
      <c r="IB170" s="3">
        <v>0</v>
      </c>
      <c r="IC170" s="3">
        <v>42</v>
      </c>
      <c r="ID170" s="3">
        <v>41</v>
      </c>
      <c r="IE170" s="3">
        <v>33</v>
      </c>
      <c r="IF170" s="3">
        <v>48</v>
      </c>
      <c r="IG170" s="3">
        <v>0</v>
      </c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6"/>
    </row>
    <row r="171" spans="1:258" hidden="1">
      <c r="A171" s="97" t="s">
        <v>25</v>
      </c>
      <c r="B171" s="98" t="s">
        <v>26</v>
      </c>
      <c r="C171" s="98" t="s">
        <v>377</v>
      </c>
      <c r="D171" s="99" t="s">
        <v>1191</v>
      </c>
      <c r="E171" s="98" t="s">
        <v>980</v>
      </c>
      <c r="F171" s="98" t="s">
        <v>1053</v>
      </c>
      <c r="G171" s="98" t="s">
        <v>432</v>
      </c>
      <c r="H171" s="98" t="s">
        <v>1515</v>
      </c>
      <c r="I171" s="98" t="s">
        <v>1515</v>
      </c>
      <c r="J171" s="98" t="s">
        <v>845</v>
      </c>
      <c r="K171" s="98" t="s">
        <v>1127</v>
      </c>
      <c r="L171" s="98">
        <v>46232</v>
      </c>
      <c r="M171" s="101" t="s">
        <v>950</v>
      </c>
      <c r="N171" s="139">
        <v>46232</v>
      </c>
      <c r="O171" s="100">
        <v>1</v>
      </c>
      <c r="P171" s="69">
        <v>0</v>
      </c>
      <c r="Q171" s="69">
        <f>IFERROR(IF(OR(AI171&gt;0),1,0),0)</f>
        <v>1</v>
      </c>
      <c r="R171" s="69">
        <f t="shared" si="1902"/>
        <v>1</v>
      </c>
      <c r="S171" s="69">
        <f>IFERROR(IF(OR(BP171&gt;0),1,0),0)</f>
        <v>0</v>
      </c>
      <c r="T171" s="69">
        <f t="shared" si="1903"/>
        <v>0</v>
      </c>
      <c r="U171" s="69">
        <f t="shared" si="1904"/>
        <v>1</v>
      </c>
      <c r="V171" s="70">
        <f t="shared" si="1905"/>
        <v>1</v>
      </c>
      <c r="W171" s="71">
        <f t="shared" si="1906"/>
        <v>0</v>
      </c>
      <c r="X171" s="71">
        <f t="shared" si="1907"/>
        <v>1</v>
      </c>
      <c r="Y171" s="71">
        <f t="shared" si="1908"/>
        <v>1</v>
      </c>
      <c r="Z171" s="71">
        <f t="shared" si="1909"/>
        <v>1</v>
      </c>
      <c r="AA171" s="71">
        <f t="shared" si="1910"/>
        <v>1</v>
      </c>
      <c r="AB171" s="71">
        <f t="shared" si="1911"/>
        <v>1</v>
      </c>
      <c r="AC171" s="71">
        <f t="shared" si="1912"/>
        <v>1</v>
      </c>
      <c r="AD171" s="71">
        <f t="shared" si="1913"/>
        <v>0</v>
      </c>
      <c r="AE171" s="71">
        <f t="shared" si="1914"/>
        <v>1</v>
      </c>
      <c r="AF171" s="71">
        <f t="shared" si="1915"/>
        <v>1</v>
      </c>
      <c r="AG171" s="71">
        <f t="shared" si="1916"/>
        <v>1</v>
      </c>
      <c r="AH171" s="71">
        <f t="shared" si="1917"/>
        <v>1</v>
      </c>
      <c r="AI171" s="71">
        <f t="shared" si="1918"/>
        <v>1</v>
      </c>
      <c r="AJ171" s="71">
        <f t="shared" si="1919"/>
        <v>0</v>
      </c>
      <c r="AK171" s="71">
        <f t="shared" si="1920"/>
        <v>0</v>
      </c>
      <c r="AL171" s="71">
        <f t="shared" si="1921"/>
        <v>0</v>
      </c>
      <c r="AM171" s="71">
        <f t="shared" si="1922"/>
        <v>0</v>
      </c>
      <c r="AN171" s="71">
        <f t="shared" si="1923"/>
        <v>0</v>
      </c>
      <c r="AO171" s="71">
        <f t="shared" si="1924"/>
        <v>0</v>
      </c>
      <c r="AP171" s="71">
        <f t="shared" si="1925"/>
        <v>0</v>
      </c>
      <c r="AQ171" s="71">
        <f t="shared" si="1926"/>
        <v>0</v>
      </c>
      <c r="AR171" s="71">
        <f t="shared" si="1927"/>
        <v>0</v>
      </c>
      <c r="AS171" s="71">
        <f t="shared" si="1928"/>
        <v>0</v>
      </c>
      <c r="AT171" s="71">
        <f t="shared" si="1929"/>
        <v>0</v>
      </c>
      <c r="AU171" s="71">
        <f t="shared" si="1930"/>
        <v>0</v>
      </c>
      <c r="AV171" s="71">
        <f t="shared" si="1931"/>
        <v>0</v>
      </c>
      <c r="AW171" s="71">
        <f t="shared" si="1932"/>
        <v>0</v>
      </c>
      <c r="AX171" s="71">
        <f t="shared" si="1933"/>
        <v>0</v>
      </c>
      <c r="AY171" s="71">
        <f t="shared" si="1934"/>
        <v>0</v>
      </c>
      <c r="AZ171" s="72">
        <f t="shared" si="1935"/>
        <v>0</v>
      </c>
      <c r="BA171" s="70">
        <f t="shared" si="1553"/>
        <v>12</v>
      </c>
      <c r="BB171" s="69">
        <f t="shared" ca="1" si="1554"/>
        <v>0.92307692307692313</v>
      </c>
      <c r="BC171" s="70">
        <f t="shared" si="1936"/>
        <v>0</v>
      </c>
      <c r="BD171" s="71">
        <f t="shared" si="1937"/>
        <v>0</v>
      </c>
      <c r="BE171" s="71">
        <f t="shared" si="1938"/>
        <v>0</v>
      </c>
      <c r="BF171" s="71">
        <f t="shared" si="1939"/>
        <v>0</v>
      </c>
      <c r="BG171" s="71">
        <f t="shared" si="1940"/>
        <v>0</v>
      </c>
      <c r="BH171" s="71">
        <f t="shared" si="1941"/>
        <v>0</v>
      </c>
      <c r="BI171" s="71">
        <f t="shared" si="1942"/>
        <v>0</v>
      </c>
      <c r="BJ171" s="71">
        <f t="shared" si="1943"/>
        <v>0</v>
      </c>
      <c r="BK171" s="71">
        <f t="shared" si="1944"/>
        <v>0</v>
      </c>
      <c r="BL171" s="71">
        <f t="shared" si="1945"/>
        <v>0</v>
      </c>
      <c r="BM171" s="71">
        <f t="shared" si="1946"/>
        <v>0</v>
      </c>
      <c r="BN171" s="71">
        <f t="shared" si="1947"/>
        <v>0</v>
      </c>
      <c r="BO171" s="71">
        <f t="shared" si="1948"/>
        <v>0</v>
      </c>
      <c r="BP171" s="71">
        <f t="shared" si="1949"/>
        <v>0</v>
      </c>
      <c r="BQ171" s="71">
        <f t="shared" si="1950"/>
        <v>0</v>
      </c>
      <c r="BR171" s="71">
        <f t="shared" si="1951"/>
        <v>0</v>
      </c>
      <c r="BS171" s="71">
        <f t="shared" si="1952"/>
        <v>0</v>
      </c>
      <c r="BT171" s="71">
        <f t="shared" si="1953"/>
        <v>0</v>
      </c>
      <c r="BU171" s="71">
        <f t="shared" si="1954"/>
        <v>0</v>
      </c>
      <c r="BV171" s="71">
        <f t="shared" si="1955"/>
        <v>0</v>
      </c>
      <c r="BW171" s="71">
        <f t="shared" si="1956"/>
        <v>0</v>
      </c>
      <c r="BX171" s="71">
        <f t="shared" si="1957"/>
        <v>0</v>
      </c>
      <c r="BY171" s="71">
        <f t="shared" si="1958"/>
        <v>0</v>
      </c>
      <c r="BZ171" s="71">
        <f t="shared" si="1959"/>
        <v>0</v>
      </c>
      <c r="CA171" s="71">
        <f t="shared" si="1960"/>
        <v>0</v>
      </c>
      <c r="CB171" s="71">
        <f t="shared" si="1961"/>
        <v>0</v>
      </c>
      <c r="CC171" s="71">
        <f t="shared" si="1962"/>
        <v>0</v>
      </c>
      <c r="CD171" s="71">
        <f t="shared" si="1963"/>
        <v>0</v>
      </c>
      <c r="CE171" s="71">
        <f t="shared" si="1964"/>
        <v>0</v>
      </c>
      <c r="CF171" s="71">
        <f t="shared" si="1965"/>
        <v>0</v>
      </c>
      <c r="CG171" s="71">
        <f t="shared" si="1966"/>
        <v>0</v>
      </c>
      <c r="CH171" s="70">
        <f t="shared" si="1555"/>
        <v>0</v>
      </c>
      <c r="CI171" s="69">
        <f t="shared" ca="1" si="1556"/>
        <v>0</v>
      </c>
      <c r="GM171" s="2" t="s">
        <v>16</v>
      </c>
      <c r="GN171" s="98" t="str">
        <f t="shared" si="1552"/>
        <v>FSD03-FMCG03-SPO-02</v>
      </c>
      <c r="GO171" s="4">
        <v>1</v>
      </c>
      <c r="GP171" s="3">
        <v>0</v>
      </c>
      <c r="GQ171" s="3">
        <v>1</v>
      </c>
      <c r="GR171" s="3">
        <v>1</v>
      </c>
      <c r="GS171" s="3">
        <v>1</v>
      </c>
      <c r="GT171" s="3">
        <v>1</v>
      </c>
      <c r="GU171" s="3">
        <v>1</v>
      </c>
      <c r="GV171" s="3">
        <v>1</v>
      </c>
      <c r="GW171" s="3">
        <v>0</v>
      </c>
      <c r="GX171" s="3">
        <v>1</v>
      </c>
      <c r="GY171" s="3">
        <v>1</v>
      </c>
      <c r="GZ171" s="3">
        <v>1</v>
      </c>
      <c r="HA171" s="3">
        <v>1</v>
      </c>
      <c r="HB171" s="3">
        <v>1</v>
      </c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6"/>
      <c r="HT171" s="4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0</v>
      </c>
      <c r="IB171" s="3">
        <v>0</v>
      </c>
      <c r="IC171" s="3">
        <v>0</v>
      </c>
      <c r="ID171" s="3">
        <v>0</v>
      </c>
      <c r="IE171" s="3">
        <v>0</v>
      </c>
      <c r="IF171" s="3">
        <v>0</v>
      </c>
      <c r="IG171" s="3">
        <v>0</v>
      </c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6"/>
    </row>
    <row r="172" spans="1:258" hidden="1">
      <c r="A172" s="106" t="s">
        <v>25</v>
      </c>
      <c r="B172" s="101" t="s">
        <v>90</v>
      </c>
      <c r="C172" s="98" t="s">
        <v>377</v>
      </c>
      <c r="D172" s="107" t="s">
        <v>1191</v>
      </c>
      <c r="E172" s="101" t="s">
        <v>981</v>
      </c>
      <c r="F172" s="101" t="s">
        <v>1054</v>
      </c>
      <c r="G172" s="98" t="s">
        <v>413</v>
      </c>
      <c r="H172" s="101" t="s">
        <v>1516</v>
      </c>
      <c r="I172" s="101" t="s">
        <v>1516</v>
      </c>
      <c r="J172" s="101" t="s">
        <v>851</v>
      </c>
      <c r="K172" s="101" t="s">
        <v>1127</v>
      </c>
      <c r="L172" s="101" t="s">
        <v>919</v>
      </c>
      <c r="M172" s="101" t="s">
        <v>1093</v>
      </c>
      <c r="N172" s="139">
        <v>46211</v>
      </c>
      <c r="O172" s="100">
        <v>1</v>
      </c>
      <c r="P172" s="69">
        <v>0</v>
      </c>
      <c r="Q172" s="69">
        <f>IFERROR(IF(OR(AI172&gt;0),1,0),0)</f>
        <v>1</v>
      </c>
      <c r="R172" s="69">
        <f t="shared" si="1902"/>
        <v>1</v>
      </c>
      <c r="S172" s="69">
        <f>IFERROR(IF(OR(BP172&gt;0),1,0),0)</f>
        <v>0</v>
      </c>
      <c r="T172" s="69">
        <f t="shared" si="1903"/>
        <v>1</v>
      </c>
      <c r="U172" s="69">
        <f t="shared" si="1904"/>
        <v>1</v>
      </c>
      <c r="V172" s="70">
        <f t="shared" si="1905"/>
        <v>1</v>
      </c>
      <c r="W172" s="71">
        <f t="shared" si="1906"/>
        <v>0</v>
      </c>
      <c r="X172" s="71">
        <f t="shared" si="1907"/>
        <v>1</v>
      </c>
      <c r="Y172" s="71">
        <f t="shared" si="1908"/>
        <v>1</v>
      </c>
      <c r="Z172" s="71">
        <f t="shared" si="1909"/>
        <v>1</v>
      </c>
      <c r="AA172" s="71">
        <f t="shared" si="1910"/>
        <v>1</v>
      </c>
      <c r="AB172" s="71">
        <f t="shared" si="1911"/>
        <v>1</v>
      </c>
      <c r="AC172" s="71">
        <f t="shared" si="1912"/>
        <v>1</v>
      </c>
      <c r="AD172" s="71">
        <f t="shared" si="1913"/>
        <v>0</v>
      </c>
      <c r="AE172" s="71">
        <f t="shared" si="1914"/>
        <v>1</v>
      </c>
      <c r="AF172" s="71">
        <f t="shared" si="1915"/>
        <v>1</v>
      </c>
      <c r="AG172" s="71">
        <f t="shared" si="1916"/>
        <v>1</v>
      </c>
      <c r="AH172" s="71">
        <f t="shared" si="1917"/>
        <v>1</v>
      </c>
      <c r="AI172" s="71">
        <f t="shared" si="1918"/>
        <v>1</v>
      </c>
      <c r="AJ172" s="71">
        <f t="shared" si="1919"/>
        <v>0</v>
      </c>
      <c r="AK172" s="71">
        <f t="shared" si="1920"/>
        <v>0</v>
      </c>
      <c r="AL172" s="71">
        <f t="shared" si="1921"/>
        <v>0</v>
      </c>
      <c r="AM172" s="71">
        <f t="shared" si="1922"/>
        <v>0</v>
      </c>
      <c r="AN172" s="71">
        <f t="shared" si="1923"/>
        <v>0</v>
      </c>
      <c r="AO172" s="71">
        <f t="shared" si="1924"/>
        <v>0</v>
      </c>
      <c r="AP172" s="71">
        <f t="shared" si="1925"/>
        <v>0</v>
      </c>
      <c r="AQ172" s="71">
        <f t="shared" si="1926"/>
        <v>0</v>
      </c>
      <c r="AR172" s="71">
        <f t="shared" si="1927"/>
        <v>0</v>
      </c>
      <c r="AS172" s="71">
        <f t="shared" si="1928"/>
        <v>0</v>
      </c>
      <c r="AT172" s="71">
        <f t="shared" si="1929"/>
        <v>0</v>
      </c>
      <c r="AU172" s="71">
        <f t="shared" si="1930"/>
        <v>0</v>
      </c>
      <c r="AV172" s="71">
        <f t="shared" si="1931"/>
        <v>0</v>
      </c>
      <c r="AW172" s="71">
        <f t="shared" si="1932"/>
        <v>0</v>
      </c>
      <c r="AX172" s="71">
        <f t="shared" si="1933"/>
        <v>0</v>
      </c>
      <c r="AY172" s="71">
        <f t="shared" si="1934"/>
        <v>0</v>
      </c>
      <c r="AZ172" s="72">
        <f t="shared" si="1935"/>
        <v>0</v>
      </c>
      <c r="BA172" s="70">
        <f t="shared" si="1553"/>
        <v>12</v>
      </c>
      <c r="BB172" s="69">
        <f t="shared" ca="1" si="1554"/>
        <v>0.92307692307692313</v>
      </c>
      <c r="BC172" s="70">
        <f t="shared" si="1936"/>
        <v>0</v>
      </c>
      <c r="BD172" s="71">
        <f t="shared" si="1937"/>
        <v>0</v>
      </c>
      <c r="BE172" s="71">
        <f t="shared" si="1938"/>
        <v>0</v>
      </c>
      <c r="BF172" s="71">
        <f t="shared" si="1939"/>
        <v>0</v>
      </c>
      <c r="BG172" s="71">
        <f t="shared" si="1940"/>
        <v>0</v>
      </c>
      <c r="BH172" s="71">
        <f t="shared" si="1941"/>
        <v>0</v>
      </c>
      <c r="BI172" s="71">
        <f t="shared" si="1942"/>
        <v>0</v>
      </c>
      <c r="BJ172" s="71">
        <f t="shared" si="1943"/>
        <v>0</v>
      </c>
      <c r="BK172" s="71">
        <f t="shared" si="1944"/>
        <v>0</v>
      </c>
      <c r="BL172" s="71">
        <f t="shared" si="1945"/>
        <v>0</v>
      </c>
      <c r="BM172" s="71">
        <f t="shared" si="1946"/>
        <v>0</v>
      </c>
      <c r="BN172" s="71">
        <f t="shared" si="1947"/>
        <v>35</v>
      </c>
      <c r="BO172" s="71">
        <f t="shared" si="1948"/>
        <v>41</v>
      </c>
      <c r="BP172" s="71">
        <f t="shared" si="1949"/>
        <v>0</v>
      </c>
      <c r="BQ172" s="71">
        <f t="shared" si="1950"/>
        <v>0</v>
      </c>
      <c r="BR172" s="71">
        <f t="shared" si="1951"/>
        <v>0</v>
      </c>
      <c r="BS172" s="71">
        <f t="shared" si="1952"/>
        <v>0</v>
      </c>
      <c r="BT172" s="71">
        <f t="shared" si="1953"/>
        <v>0</v>
      </c>
      <c r="BU172" s="71">
        <f t="shared" si="1954"/>
        <v>0</v>
      </c>
      <c r="BV172" s="71">
        <f t="shared" si="1955"/>
        <v>0</v>
      </c>
      <c r="BW172" s="71">
        <f t="shared" si="1956"/>
        <v>0</v>
      </c>
      <c r="BX172" s="71">
        <f t="shared" si="1957"/>
        <v>0</v>
      </c>
      <c r="BY172" s="71">
        <f t="shared" si="1958"/>
        <v>0</v>
      </c>
      <c r="BZ172" s="71">
        <f t="shared" si="1959"/>
        <v>0</v>
      </c>
      <c r="CA172" s="71">
        <f t="shared" si="1960"/>
        <v>0</v>
      </c>
      <c r="CB172" s="71">
        <f t="shared" si="1961"/>
        <v>0</v>
      </c>
      <c r="CC172" s="71">
        <f t="shared" si="1962"/>
        <v>0</v>
      </c>
      <c r="CD172" s="71">
        <f t="shared" si="1963"/>
        <v>0</v>
      </c>
      <c r="CE172" s="71">
        <f t="shared" si="1964"/>
        <v>0</v>
      </c>
      <c r="CF172" s="71">
        <f t="shared" si="1965"/>
        <v>0</v>
      </c>
      <c r="CG172" s="71">
        <f t="shared" si="1966"/>
        <v>0</v>
      </c>
      <c r="CH172" s="70">
        <f t="shared" si="1555"/>
        <v>76</v>
      </c>
      <c r="CI172" s="69">
        <f t="shared" ca="1" si="1556"/>
        <v>5.8461538461538458</v>
      </c>
      <c r="GM172" s="2" t="s">
        <v>16</v>
      </c>
      <c r="GN172" s="101" t="str">
        <f t="shared" si="1552"/>
        <v>FSD03-FMCG03-SPO-03</v>
      </c>
      <c r="GO172" s="4">
        <v>1</v>
      </c>
      <c r="GP172" s="3">
        <v>0</v>
      </c>
      <c r="GQ172" s="3">
        <v>1</v>
      </c>
      <c r="GR172" s="3">
        <v>1</v>
      </c>
      <c r="GS172" s="3">
        <v>1</v>
      </c>
      <c r="GT172" s="3">
        <v>1</v>
      </c>
      <c r="GU172" s="3">
        <v>1</v>
      </c>
      <c r="GV172" s="3">
        <v>1</v>
      </c>
      <c r="GW172" s="3">
        <v>0</v>
      </c>
      <c r="GX172" s="3">
        <v>1</v>
      </c>
      <c r="GY172" s="3">
        <v>1</v>
      </c>
      <c r="GZ172" s="3">
        <v>1</v>
      </c>
      <c r="HA172" s="3">
        <v>1</v>
      </c>
      <c r="HB172" s="3">
        <v>1</v>
      </c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6"/>
      <c r="HT172" s="4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35</v>
      </c>
      <c r="IF172" s="3">
        <v>41</v>
      </c>
      <c r="IG172" s="3">
        <v>0</v>
      </c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6"/>
    </row>
    <row r="173" spans="1:258" hidden="1">
      <c r="A173" s="97" t="s">
        <v>1287</v>
      </c>
      <c r="B173" s="98" t="s">
        <v>90</v>
      </c>
      <c r="C173" s="98" t="s">
        <v>377</v>
      </c>
      <c r="D173" s="99" t="s">
        <v>1191</v>
      </c>
      <c r="E173" s="98" t="s">
        <v>1098</v>
      </c>
      <c r="F173" s="98" t="s">
        <v>433</v>
      </c>
      <c r="G173" s="98" t="s">
        <v>434</v>
      </c>
      <c r="H173" s="98" t="s">
        <v>1517</v>
      </c>
      <c r="I173" s="98" t="s">
        <v>1517</v>
      </c>
      <c r="J173" s="98" t="s">
        <v>845</v>
      </c>
      <c r="K173" s="98" t="s">
        <v>1099</v>
      </c>
      <c r="L173" s="98" t="s">
        <v>1099</v>
      </c>
      <c r="M173" s="101" t="s">
        <v>1099</v>
      </c>
      <c r="N173" s="139">
        <v>45474</v>
      </c>
      <c r="O173" s="100">
        <v>0</v>
      </c>
      <c r="P173" s="69">
        <v>0</v>
      </c>
      <c r="Q173" s="69">
        <f>IFERROR(IF(OR(AI173&gt;0),1,0),0)</f>
        <v>0</v>
      </c>
      <c r="R173" s="69">
        <f t="shared" si="1902"/>
        <v>0</v>
      </c>
      <c r="S173" s="69">
        <f>IFERROR(IF(OR(BP173&gt;0),1,0),0)</f>
        <v>0</v>
      </c>
      <c r="T173" s="69">
        <f t="shared" si="1903"/>
        <v>0</v>
      </c>
      <c r="U173" s="69">
        <f t="shared" si="1904"/>
        <v>0</v>
      </c>
      <c r="V173" s="70">
        <f t="shared" si="1905"/>
        <v>0</v>
      </c>
      <c r="W173" s="71">
        <f t="shared" si="1906"/>
        <v>0</v>
      </c>
      <c r="X173" s="71">
        <f t="shared" si="1907"/>
        <v>0</v>
      </c>
      <c r="Y173" s="71">
        <f t="shared" si="1908"/>
        <v>0</v>
      </c>
      <c r="Z173" s="71">
        <f t="shared" si="1909"/>
        <v>0</v>
      </c>
      <c r="AA173" s="71">
        <f t="shared" si="1910"/>
        <v>0</v>
      </c>
      <c r="AB173" s="71">
        <f t="shared" si="1911"/>
        <v>0</v>
      </c>
      <c r="AC173" s="71">
        <f t="shared" si="1912"/>
        <v>0</v>
      </c>
      <c r="AD173" s="71">
        <f t="shared" si="1913"/>
        <v>0</v>
      </c>
      <c r="AE173" s="71">
        <f t="shared" si="1914"/>
        <v>0</v>
      </c>
      <c r="AF173" s="71">
        <f t="shared" si="1915"/>
        <v>0</v>
      </c>
      <c r="AG173" s="71">
        <f t="shared" si="1916"/>
        <v>0</v>
      </c>
      <c r="AH173" s="71">
        <f t="shared" si="1917"/>
        <v>0</v>
      </c>
      <c r="AI173" s="71">
        <f t="shared" si="1918"/>
        <v>0</v>
      </c>
      <c r="AJ173" s="71">
        <f t="shared" si="1919"/>
        <v>0</v>
      </c>
      <c r="AK173" s="71">
        <f t="shared" si="1920"/>
        <v>0</v>
      </c>
      <c r="AL173" s="71">
        <f t="shared" si="1921"/>
        <v>0</v>
      </c>
      <c r="AM173" s="71">
        <f t="shared" si="1922"/>
        <v>0</v>
      </c>
      <c r="AN173" s="71">
        <f t="shared" si="1923"/>
        <v>0</v>
      </c>
      <c r="AO173" s="71">
        <f t="shared" si="1924"/>
        <v>0</v>
      </c>
      <c r="AP173" s="71">
        <f t="shared" si="1925"/>
        <v>0</v>
      </c>
      <c r="AQ173" s="71">
        <f t="shared" si="1926"/>
        <v>0</v>
      </c>
      <c r="AR173" s="71">
        <f t="shared" si="1927"/>
        <v>0</v>
      </c>
      <c r="AS173" s="71">
        <f t="shared" si="1928"/>
        <v>0</v>
      </c>
      <c r="AT173" s="71">
        <f t="shared" si="1929"/>
        <v>0</v>
      </c>
      <c r="AU173" s="71">
        <f t="shared" si="1930"/>
        <v>0</v>
      </c>
      <c r="AV173" s="71">
        <f t="shared" si="1931"/>
        <v>0</v>
      </c>
      <c r="AW173" s="71">
        <f t="shared" si="1932"/>
        <v>0</v>
      </c>
      <c r="AX173" s="71">
        <f t="shared" si="1933"/>
        <v>0</v>
      </c>
      <c r="AY173" s="71">
        <f t="shared" si="1934"/>
        <v>0</v>
      </c>
      <c r="AZ173" s="72">
        <f t="shared" si="1935"/>
        <v>0</v>
      </c>
      <c r="BA173" s="70">
        <f t="shared" si="1553"/>
        <v>0</v>
      </c>
      <c r="BB173" s="69">
        <f t="shared" ca="1" si="1554"/>
        <v>0</v>
      </c>
      <c r="BC173" s="70">
        <f t="shared" si="1936"/>
        <v>0</v>
      </c>
      <c r="BD173" s="71">
        <f t="shared" si="1937"/>
        <v>0</v>
      </c>
      <c r="BE173" s="71">
        <f t="shared" si="1938"/>
        <v>0</v>
      </c>
      <c r="BF173" s="71">
        <f t="shared" si="1939"/>
        <v>0</v>
      </c>
      <c r="BG173" s="71">
        <f t="shared" si="1940"/>
        <v>0</v>
      </c>
      <c r="BH173" s="71">
        <f t="shared" si="1941"/>
        <v>0</v>
      </c>
      <c r="BI173" s="71">
        <f t="shared" si="1942"/>
        <v>0</v>
      </c>
      <c r="BJ173" s="71">
        <f t="shared" si="1943"/>
        <v>0</v>
      </c>
      <c r="BK173" s="71">
        <f t="shared" si="1944"/>
        <v>0</v>
      </c>
      <c r="BL173" s="71">
        <f t="shared" si="1945"/>
        <v>0</v>
      </c>
      <c r="BM173" s="71">
        <f t="shared" si="1946"/>
        <v>0</v>
      </c>
      <c r="BN173" s="71">
        <f t="shared" si="1947"/>
        <v>0</v>
      </c>
      <c r="BO173" s="71">
        <f t="shared" si="1948"/>
        <v>0</v>
      </c>
      <c r="BP173" s="71">
        <f t="shared" si="1949"/>
        <v>0</v>
      </c>
      <c r="BQ173" s="71">
        <f t="shared" si="1950"/>
        <v>0</v>
      </c>
      <c r="BR173" s="71">
        <f t="shared" si="1951"/>
        <v>0</v>
      </c>
      <c r="BS173" s="71">
        <f t="shared" si="1952"/>
        <v>0</v>
      </c>
      <c r="BT173" s="71">
        <f t="shared" si="1953"/>
        <v>0</v>
      </c>
      <c r="BU173" s="71">
        <f t="shared" si="1954"/>
        <v>0</v>
      </c>
      <c r="BV173" s="71">
        <f t="shared" si="1955"/>
        <v>0</v>
      </c>
      <c r="BW173" s="71">
        <f t="shared" si="1956"/>
        <v>0</v>
      </c>
      <c r="BX173" s="71">
        <f t="shared" si="1957"/>
        <v>0</v>
      </c>
      <c r="BY173" s="71">
        <f t="shared" si="1958"/>
        <v>0</v>
      </c>
      <c r="BZ173" s="71">
        <f t="shared" si="1959"/>
        <v>0</v>
      </c>
      <c r="CA173" s="71">
        <f t="shared" si="1960"/>
        <v>0</v>
      </c>
      <c r="CB173" s="71">
        <f t="shared" si="1961"/>
        <v>0</v>
      </c>
      <c r="CC173" s="71">
        <f t="shared" si="1962"/>
        <v>0</v>
      </c>
      <c r="CD173" s="71">
        <f t="shared" si="1963"/>
        <v>0</v>
      </c>
      <c r="CE173" s="71">
        <f t="shared" si="1964"/>
        <v>0</v>
      </c>
      <c r="CF173" s="71">
        <f t="shared" si="1965"/>
        <v>0</v>
      </c>
      <c r="CG173" s="71">
        <f t="shared" si="1966"/>
        <v>0</v>
      </c>
      <c r="CH173" s="70">
        <f t="shared" si="1555"/>
        <v>0</v>
      </c>
      <c r="CI173" s="69">
        <f t="shared" ca="1" si="1556"/>
        <v>0</v>
      </c>
      <c r="GM173" s="2" t="s">
        <v>16</v>
      </c>
      <c r="GN173" s="98" t="str">
        <f t="shared" si="1552"/>
        <v>FSD03-FMCG-SPO-00</v>
      </c>
      <c r="GO173" s="4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6"/>
      <c r="HT173" s="4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6"/>
    </row>
    <row r="174" spans="1:258" hidden="1">
      <c r="A174" s="97" t="s">
        <v>1380</v>
      </c>
      <c r="B174" s="98" t="s">
        <v>20</v>
      </c>
      <c r="C174" s="98" t="s">
        <v>377</v>
      </c>
      <c r="D174" s="99" t="s">
        <v>1191</v>
      </c>
      <c r="E174" s="98" t="s">
        <v>1192</v>
      </c>
      <c r="F174" s="98" t="s">
        <v>1193</v>
      </c>
      <c r="G174" s="98" t="s">
        <v>435</v>
      </c>
      <c r="H174" s="98" t="s">
        <v>978</v>
      </c>
      <c r="I174" s="98" t="s">
        <v>978</v>
      </c>
      <c r="J174" s="98" t="s">
        <v>845</v>
      </c>
      <c r="K174" s="98" t="s">
        <v>1127</v>
      </c>
      <c r="L174" s="98" t="s">
        <v>1194</v>
      </c>
      <c r="M174" s="101" t="s">
        <v>1093</v>
      </c>
      <c r="N174" s="139">
        <v>46228</v>
      </c>
      <c r="O174" s="100">
        <v>0</v>
      </c>
      <c r="P174" s="69">
        <v>0</v>
      </c>
      <c r="Q174" s="69">
        <f>IFERROR(IF(OR(AI174&gt;0),1,0),0)</f>
        <v>0</v>
      </c>
      <c r="R174" s="69">
        <f t="shared" si="1902"/>
        <v>0</v>
      </c>
      <c r="S174" s="69">
        <f>IFERROR(IF(OR(BP174&gt;0),1,0),0)</f>
        <v>0</v>
      </c>
      <c r="T174" s="69">
        <f t="shared" si="1903"/>
        <v>0</v>
      </c>
      <c r="U174" s="69">
        <f t="shared" si="1904"/>
        <v>0</v>
      </c>
      <c r="V174" s="70">
        <f t="shared" si="1905"/>
        <v>0</v>
      </c>
      <c r="W174" s="71">
        <f t="shared" si="1906"/>
        <v>0</v>
      </c>
      <c r="X174" s="71">
        <f t="shared" si="1907"/>
        <v>0</v>
      </c>
      <c r="Y174" s="71">
        <f t="shared" si="1908"/>
        <v>0</v>
      </c>
      <c r="Z174" s="71">
        <f t="shared" si="1909"/>
        <v>0</v>
      </c>
      <c r="AA174" s="71">
        <f t="shared" si="1910"/>
        <v>0</v>
      </c>
      <c r="AB174" s="71">
        <f t="shared" si="1911"/>
        <v>0</v>
      </c>
      <c r="AC174" s="71">
        <f t="shared" si="1912"/>
        <v>0</v>
      </c>
      <c r="AD174" s="71">
        <f t="shared" si="1913"/>
        <v>0</v>
      </c>
      <c r="AE174" s="71">
        <f t="shared" si="1914"/>
        <v>0</v>
      </c>
      <c r="AF174" s="71">
        <f t="shared" si="1915"/>
        <v>0</v>
      </c>
      <c r="AG174" s="71">
        <f t="shared" si="1916"/>
        <v>0</v>
      </c>
      <c r="AH174" s="71">
        <f t="shared" si="1917"/>
        <v>0</v>
      </c>
      <c r="AI174" s="71">
        <f t="shared" si="1918"/>
        <v>0</v>
      </c>
      <c r="AJ174" s="71">
        <f t="shared" si="1919"/>
        <v>0</v>
      </c>
      <c r="AK174" s="71">
        <f t="shared" si="1920"/>
        <v>0</v>
      </c>
      <c r="AL174" s="71">
        <f t="shared" si="1921"/>
        <v>0</v>
      </c>
      <c r="AM174" s="71">
        <f t="shared" si="1922"/>
        <v>0</v>
      </c>
      <c r="AN174" s="71">
        <f t="shared" si="1923"/>
        <v>0</v>
      </c>
      <c r="AO174" s="71">
        <f t="shared" si="1924"/>
        <v>0</v>
      </c>
      <c r="AP174" s="71">
        <f t="shared" si="1925"/>
        <v>0</v>
      </c>
      <c r="AQ174" s="71">
        <f t="shared" si="1926"/>
        <v>0</v>
      </c>
      <c r="AR174" s="71">
        <f t="shared" si="1927"/>
        <v>0</v>
      </c>
      <c r="AS174" s="71">
        <f t="shared" si="1928"/>
        <v>0</v>
      </c>
      <c r="AT174" s="71">
        <f t="shared" si="1929"/>
        <v>0</v>
      </c>
      <c r="AU174" s="71">
        <f t="shared" si="1930"/>
        <v>0</v>
      </c>
      <c r="AV174" s="71">
        <f t="shared" si="1931"/>
        <v>0</v>
      </c>
      <c r="AW174" s="71">
        <f t="shared" si="1932"/>
        <v>0</v>
      </c>
      <c r="AX174" s="71">
        <f t="shared" si="1933"/>
        <v>0</v>
      </c>
      <c r="AY174" s="71">
        <f t="shared" si="1934"/>
        <v>0</v>
      </c>
      <c r="AZ174" s="72">
        <f t="shared" si="1935"/>
        <v>0</v>
      </c>
      <c r="BA174" s="70">
        <f t="shared" si="1553"/>
        <v>0</v>
      </c>
      <c r="BB174" s="69">
        <f t="shared" ca="1" si="1554"/>
        <v>0</v>
      </c>
      <c r="BC174" s="70">
        <f t="shared" si="1936"/>
        <v>0</v>
      </c>
      <c r="BD174" s="71">
        <f t="shared" si="1937"/>
        <v>0</v>
      </c>
      <c r="BE174" s="71">
        <f t="shared" si="1938"/>
        <v>0</v>
      </c>
      <c r="BF174" s="71">
        <f t="shared" si="1939"/>
        <v>0</v>
      </c>
      <c r="BG174" s="71">
        <f t="shared" si="1940"/>
        <v>0</v>
      </c>
      <c r="BH174" s="71">
        <f t="shared" si="1941"/>
        <v>0</v>
      </c>
      <c r="BI174" s="71">
        <f t="shared" si="1942"/>
        <v>0</v>
      </c>
      <c r="BJ174" s="71">
        <f t="shared" si="1943"/>
        <v>0</v>
      </c>
      <c r="BK174" s="71">
        <f t="shared" si="1944"/>
        <v>0</v>
      </c>
      <c r="BL174" s="71">
        <f t="shared" si="1945"/>
        <v>0</v>
      </c>
      <c r="BM174" s="71">
        <f t="shared" si="1946"/>
        <v>0</v>
      </c>
      <c r="BN174" s="71">
        <f t="shared" si="1947"/>
        <v>0</v>
      </c>
      <c r="BO174" s="71">
        <f t="shared" si="1948"/>
        <v>0</v>
      </c>
      <c r="BP174" s="71">
        <f t="shared" si="1949"/>
        <v>0</v>
      </c>
      <c r="BQ174" s="71">
        <f t="shared" si="1950"/>
        <v>0</v>
      </c>
      <c r="BR174" s="71">
        <f t="shared" si="1951"/>
        <v>0</v>
      </c>
      <c r="BS174" s="71">
        <f t="shared" si="1952"/>
        <v>0</v>
      </c>
      <c r="BT174" s="71">
        <f t="shared" si="1953"/>
        <v>0</v>
      </c>
      <c r="BU174" s="71">
        <f t="shared" si="1954"/>
        <v>0</v>
      </c>
      <c r="BV174" s="71">
        <f t="shared" si="1955"/>
        <v>0</v>
      </c>
      <c r="BW174" s="71">
        <f t="shared" si="1956"/>
        <v>0</v>
      </c>
      <c r="BX174" s="71">
        <f t="shared" si="1957"/>
        <v>0</v>
      </c>
      <c r="BY174" s="71">
        <f t="shared" si="1958"/>
        <v>0</v>
      </c>
      <c r="BZ174" s="71">
        <f t="shared" si="1959"/>
        <v>0</v>
      </c>
      <c r="CA174" s="71">
        <f t="shared" si="1960"/>
        <v>0</v>
      </c>
      <c r="CB174" s="71">
        <f t="shared" si="1961"/>
        <v>0</v>
      </c>
      <c r="CC174" s="71">
        <f t="shared" si="1962"/>
        <v>0</v>
      </c>
      <c r="CD174" s="71">
        <f t="shared" si="1963"/>
        <v>0</v>
      </c>
      <c r="CE174" s="71">
        <f t="shared" si="1964"/>
        <v>0</v>
      </c>
      <c r="CF174" s="71">
        <f t="shared" si="1965"/>
        <v>0</v>
      </c>
      <c r="CG174" s="71">
        <f t="shared" si="1966"/>
        <v>0</v>
      </c>
      <c r="CH174" s="70">
        <f t="shared" si="1555"/>
        <v>0</v>
      </c>
      <c r="CI174" s="69">
        <f t="shared" ca="1" si="1556"/>
        <v>0</v>
      </c>
      <c r="GM174" s="2" t="s">
        <v>16</v>
      </c>
      <c r="GN174" s="98" t="str">
        <f t="shared" si="1552"/>
        <v>FSD03-FMCG03-ASM-01</v>
      </c>
      <c r="GO174" s="4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6"/>
      <c r="HT174" s="4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0</v>
      </c>
      <c r="IB174" s="3">
        <v>0</v>
      </c>
      <c r="IC174" s="3">
        <v>0</v>
      </c>
      <c r="ID174" s="3">
        <v>0</v>
      </c>
      <c r="IE174" s="3">
        <v>0</v>
      </c>
      <c r="IF174" s="3">
        <v>0</v>
      </c>
      <c r="IG174" s="3">
        <v>0</v>
      </c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6"/>
    </row>
    <row r="175" spans="1:258" hidden="1">
      <c r="A175" s="102" t="s">
        <v>53</v>
      </c>
      <c r="B175" s="103" t="s">
        <v>20</v>
      </c>
      <c r="C175" s="103" t="s">
        <v>377</v>
      </c>
      <c r="D175" s="104" t="s">
        <v>1191</v>
      </c>
      <c r="E175" s="103" t="s">
        <v>1192</v>
      </c>
      <c r="F175" s="103" t="s">
        <v>1193</v>
      </c>
      <c r="G175" s="103" t="s">
        <v>435</v>
      </c>
      <c r="H175" s="103" t="s">
        <v>978</v>
      </c>
      <c r="I175" s="103" t="s">
        <v>978</v>
      </c>
      <c r="J175" s="103" t="s">
        <v>845</v>
      </c>
      <c r="K175" s="103" t="s">
        <v>1127</v>
      </c>
      <c r="L175" s="103" t="s">
        <v>1194</v>
      </c>
      <c r="M175" s="103" t="s">
        <v>1093</v>
      </c>
      <c r="N175" s="119">
        <v>46228</v>
      </c>
      <c r="O175" s="105">
        <f>O173+O172+O171+O170</f>
        <v>3</v>
      </c>
      <c r="P175" s="73">
        <f t="shared" ref="P175:CA175" si="1967">P173+P172+P171+P170</f>
        <v>0</v>
      </c>
      <c r="Q175" s="73">
        <f t="shared" si="1967"/>
        <v>3</v>
      </c>
      <c r="R175" s="73">
        <f t="shared" si="1967"/>
        <v>3</v>
      </c>
      <c r="S175" s="73">
        <f t="shared" si="1967"/>
        <v>0</v>
      </c>
      <c r="T175" s="73">
        <f t="shared" si="1967"/>
        <v>2</v>
      </c>
      <c r="U175" s="73">
        <f t="shared" si="1967"/>
        <v>3</v>
      </c>
      <c r="V175" s="74">
        <f t="shared" si="1967"/>
        <v>3</v>
      </c>
      <c r="W175" s="75">
        <f t="shared" si="1967"/>
        <v>0</v>
      </c>
      <c r="X175" s="75">
        <f t="shared" si="1967"/>
        <v>3</v>
      </c>
      <c r="Y175" s="75">
        <f t="shared" si="1967"/>
        <v>3</v>
      </c>
      <c r="Z175" s="75">
        <f t="shared" si="1967"/>
        <v>3</v>
      </c>
      <c r="AA175" s="75">
        <f t="shared" si="1967"/>
        <v>3</v>
      </c>
      <c r="AB175" s="75">
        <f t="shared" si="1967"/>
        <v>3</v>
      </c>
      <c r="AC175" s="75">
        <f t="shared" si="1967"/>
        <v>3</v>
      </c>
      <c r="AD175" s="75">
        <f t="shared" si="1967"/>
        <v>0</v>
      </c>
      <c r="AE175" s="75">
        <f t="shared" si="1967"/>
        <v>3</v>
      </c>
      <c r="AF175" s="75">
        <f t="shared" si="1967"/>
        <v>3</v>
      </c>
      <c r="AG175" s="75">
        <f t="shared" si="1967"/>
        <v>3</v>
      </c>
      <c r="AH175" s="75">
        <f t="shared" si="1967"/>
        <v>3</v>
      </c>
      <c r="AI175" s="75">
        <f t="shared" si="1967"/>
        <v>3</v>
      </c>
      <c r="AJ175" s="75">
        <f t="shared" si="1967"/>
        <v>0</v>
      </c>
      <c r="AK175" s="75">
        <f t="shared" si="1967"/>
        <v>0</v>
      </c>
      <c r="AL175" s="75">
        <f t="shared" si="1967"/>
        <v>0</v>
      </c>
      <c r="AM175" s="75">
        <f t="shared" si="1967"/>
        <v>0</v>
      </c>
      <c r="AN175" s="75">
        <f t="shared" si="1967"/>
        <v>0</v>
      </c>
      <c r="AO175" s="75">
        <f t="shared" si="1967"/>
        <v>0</v>
      </c>
      <c r="AP175" s="75">
        <f t="shared" si="1967"/>
        <v>0</v>
      </c>
      <c r="AQ175" s="75">
        <f t="shared" si="1967"/>
        <v>0</v>
      </c>
      <c r="AR175" s="75">
        <f t="shared" si="1967"/>
        <v>0</v>
      </c>
      <c r="AS175" s="75">
        <f t="shared" si="1967"/>
        <v>0</v>
      </c>
      <c r="AT175" s="75">
        <f t="shared" si="1967"/>
        <v>0</v>
      </c>
      <c r="AU175" s="75">
        <f t="shared" si="1967"/>
        <v>0</v>
      </c>
      <c r="AV175" s="75">
        <f t="shared" si="1967"/>
        <v>0</v>
      </c>
      <c r="AW175" s="75">
        <f t="shared" si="1967"/>
        <v>0</v>
      </c>
      <c r="AX175" s="75">
        <f t="shared" si="1967"/>
        <v>0</v>
      </c>
      <c r="AY175" s="75">
        <f t="shared" si="1967"/>
        <v>0</v>
      </c>
      <c r="AZ175" s="76">
        <f t="shared" si="1967"/>
        <v>0</v>
      </c>
      <c r="BA175" s="74">
        <f t="shared" si="1553"/>
        <v>36</v>
      </c>
      <c r="BB175" s="73">
        <f t="shared" ca="1" si="1554"/>
        <v>0.92307692307692302</v>
      </c>
      <c r="BC175" s="74">
        <f t="shared" si="1967"/>
        <v>0</v>
      </c>
      <c r="BD175" s="75">
        <f t="shared" si="1967"/>
        <v>0</v>
      </c>
      <c r="BE175" s="75">
        <f t="shared" si="1967"/>
        <v>10</v>
      </c>
      <c r="BF175" s="75">
        <f t="shared" si="1967"/>
        <v>24</v>
      </c>
      <c r="BG175" s="75">
        <f t="shared" si="1967"/>
        <v>18</v>
      </c>
      <c r="BH175" s="75">
        <f t="shared" si="1967"/>
        <v>8</v>
      </c>
      <c r="BI175" s="75">
        <f t="shared" si="1967"/>
        <v>49</v>
      </c>
      <c r="BJ175" s="75">
        <f t="shared" si="1967"/>
        <v>39</v>
      </c>
      <c r="BK175" s="75">
        <f t="shared" si="1967"/>
        <v>0</v>
      </c>
      <c r="BL175" s="75">
        <f t="shared" si="1967"/>
        <v>42</v>
      </c>
      <c r="BM175" s="75">
        <f t="shared" si="1967"/>
        <v>41</v>
      </c>
      <c r="BN175" s="75">
        <f t="shared" si="1967"/>
        <v>68</v>
      </c>
      <c r="BO175" s="75">
        <f t="shared" si="1967"/>
        <v>89</v>
      </c>
      <c r="BP175" s="75">
        <f t="shared" si="1967"/>
        <v>0</v>
      </c>
      <c r="BQ175" s="75">
        <f t="shared" si="1967"/>
        <v>0</v>
      </c>
      <c r="BR175" s="75">
        <f t="shared" si="1967"/>
        <v>0</v>
      </c>
      <c r="BS175" s="75">
        <f t="shared" si="1967"/>
        <v>0</v>
      </c>
      <c r="BT175" s="75">
        <f t="shared" si="1967"/>
        <v>0</v>
      </c>
      <c r="BU175" s="75">
        <f t="shared" si="1967"/>
        <v>0</v>
      </c>
      <c r="BV175" s="75">
        <f t="shared" si="1967"/>
        <v>0</v>
      </c>
      <c r="BW175" s="75">
        <f t="shared" si="1967"/>
        <v>0</v>
      </c>
      <c r="BX175" s="75">
        <f t="shared" si="1967"/>
        <v>0</v>
      </c>
      <c r="BY175" s="75">
        <f t="shared" si="1967"/>
        <v>0</v>
      </c>
      <c r="BZ175" s="75">
        <f t="shared" si="1967"/>
        <v>0</v>
      </c>
      <c r="CA175" s="75">
        <f t="shared" si="1967"/>
        <v>0</v>
      </c>
      <c r="CB175" s="75">
        <f t="shared" ref="CB175:CG175" si="1968">CB173+CB172+CB171+CB170</f>
        <v>0</v>
      </c>
      <c r="CC175" s="75">
        <f t="shared" si="1968"/>
        <v>0</v>
      </c>
      <c r="CD175" s="75">
        <f t="shared" si="1968"/>
        <v>0</v>
      </c>
      <c r="CE175" s="75">
        <f t="shared" si="1968"/>
        <v>0</v>
      </c>
      <c r="CF175" s="75">
        <f t="shared" si="1968"/>
        <v>0</v>
      </c>
      <c r="CG175" s="75">
        <f t="shared" si="1968"/>
        <v>0</v>
      </c>
      <c r="CH175" s="74">
        <f t="shared" si="1555"/>
        <v>388</v>
      </c>
      <c r="CI175" s="73">
        <f t="shared" ca="1" si="1556"/>
        <v>9.9487179487179489</v>
      </c>
      <c r="GM175" s="2" t="s">
        <v>17</v>
      </c>
      <c r="GN175" s="103" t="str">
        <f t="shared" si="1552"/>
        <v>FSD03-FMCG03-ASM-01</v>
      </c>
      <c r="GO175" s="4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6"/>
      <c r="HT175" s="4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6"/>
    </row>
    <row r="176" spans="1:258" hidden="1">
      <c r="A176" s="106" t="s">
        <v>19</v>
      </c>
      <c r="B176" s="101" t="s">
        <v>26</v>
      </c>
      <c r="C176" s="98" t="s">
        <v>377</v>
      </c>
      <c r="D176" s="99" t="s">
        <v>1337</v>
      </c>
      <c r="E176" s="101" t="s">
        <v>1339</v>
      </c>
      <c r="F176" s="101" t="s">
        <v>1368</v>
      </c>
      <c r="G176" s="98" t="s">
        <v>1338</v>
      </c>
      <c r="H176" s="101" t="s">
        <v>1518</v>
      </c>
      <c r="I176" s="101" t="s">
        <v>1518</v>
      </c>
      <c r="J176" s="101" t="s">
        <v>845</v>
      </c>
      <c r="K176" s="101" t="s">
        <v>1323</v>
      </c>
      <c r="L176" s="101" t="s">
        <v>1340</v>
      </c>
      <c r="M176" s="101" t="s">
        <v>1093</v>
      </c>
      <c r="N176" s="108">
        <v>45139</v>
      </c>
      <c r="O176" s="100">
        <v>1</v>
      </c>
      <c r="P176" s="69">
        <v>0</v>
      </c>
      <c r="Q176" s="69">
        <f>IFERROR(IF(OR(AI176&gt;0),1,0),0)</f>
        <v>1</v>
      </c>
      <c r="R176" s="69">
        <f t="shared" ref="R176:R178" si="1969">IFERROR(IF(OR(BA176&gt;0),1,0),0)</f>
        <v>1</v>
      </c>
      <c r="S176" s="69">
        <f>IFERROR(IF(OR(BP176&gt;0),1,0),0)</f>
        <v>0</v>
      </c>
      <c r="T176" s="69">
        <f t="shared" ref="T176:T178" si="1970">IFERROR(IF(OR(CH176&gt;0),1,0),0)</f>
        <v>0</v>
      </c>
      <c r="U176" s="69">
        <f t="shared" ref="U176:U178" si="1971">IFERROR(IF(OR(BA176&gt;0,CH176&gt;0),1,0),0)</f>
        <v>1</v>
      </c>
      <c r="V176" s="70">
        <f t="shared" ref="V176:V178" si="1972">GO176</f>
        <v>1</v>
      </c>
      <c r="W176" s="71">
        <f t="shared" ref="W176:W178" si="1973">GP176</f>
        <v>0</v>
      </c>
      <c r="X176" s="71">
        <f t="shared" ref="X176:X178" si="1974">GQ176</f>
        <v>1</v>
      </c>
      <c r="Y176" s="71">
        <f t="shared" ref="Y176:Y178" si="1975">GR176</f>
        <v>1</v>
      </c>
      <c r="Z176" s="71">
        <f t="shared" ref="Z176:Z178" si="1976">GS176</f>
        <v>1</v>
      </c>
      <c r="AA176" s="71">
        <f t="shared" ref="AA176:AA178" si="1977">GT176</f>
        <v>0</v>
      </c>
      <c r="AB176" s="71">
        <f t="shared" ref="AB176:AB178" si="1978">GU176</f>
        <v>0</v>
      </c>
      <c r="AC176" s="71">
        <f t="shared" ref="AC176:AC178" si="1979">GV176</f>
        <v>0</v>
      </c>
      <c r="AD176" s="71">
        <f t="shared" ref="AD176:AD178" si="1980">GW176</f>
        <v>0</v>
      </c>
      <c r="AE176" s="71">
        <f t="shared" ref="AE176:AE178" si="1981">GX176</f>
        <v>1</v>
      </c>
      <c r="AF176" s="71">
        <f t="shared" ref="AF176:AF178" si="1982">GY176</f>
        <v>1</v>
      </c>
      <c r="AG176" s="71">
        <f t="shared" ref="AG176:AG178" si="1983">GZ176</f>
        <v>1</v>
      </c>
      <c r="AH176" s="71">
        <f t="shared" ref="AH176:AH178" si="1984">HA176</f>
        <v>1</v>
      </c>
      <c r="AI176" s="71">
        <f t="shared" ref="AI176:AI178" si="1985">HB176</f>
        <v>1</v>
      </c>
      <c r="AJ176" s="71">
        <f t="shared" ref="AJ176:AJ178" si="1986">HC176</f>
        <v>0</v>
      </c>
      <c r="AK176" s="71">
        <f t="shared" ref="AK176:AK178" si="1987">HD176</f>
        <v>0</v>
      </c>
      <c r="AL176" s="71">
        <f t="shared" ref="AL176:AL178" si="1988">HE176</f>
        <v>0</v>
      </c>
      <c r="AM176" s="71">
        <f t="shared" ref="AM176:AM178" si="1989">HF176</f>
        <v>0</v>
      </c>
      <c r="AN176" s="71">
        <f t="shared" ref="AN176:AN178" si="1990">HG176</f>
        <v>0</v>
      </c>
      <c r="AO176" s="71">
        <f t="shared" ref="AO176:AO178" si="1991">HH176</f>
        <v>0</v>
      </c>
      <c r="AP176" s="71">
        <f t="shared" ref="AP176:AP178" si="1992">HI176</f>
        <v>0</v>
      </c>
      <c r="AQ176" s="71">
        <f t="shared" ref="AQ176:AQ178" si="1993">HJ176</f>
        <v>0</v>
      </c>
      <c r="AR176" s="71">
        <f t="shared" ref="AR176:AR178" si="1994">HK176</f>
        <v>0</v>
      </c>
      <c r="AS176" s="71">
        <f t="shared" ref="AS176:AS178" si="1995">HL176</f>
        <v>0</v>
      </c>
      <c r="AT176" s="71">
        <f t="shared" ref="AT176:AT178" si="1996">HM176</f>
        <v>0</v>
      </c>
      <c r="AU176" s="71">
        <f t="shared" ref="AU176:AU178" si="1997">HN176</f>
        <v>0</v>
      </c>
      <c r="AV176" s="71">
        <f t="shared" ref="AV176:AV178" si="1998">HO176</f>
        <v>0</v>
      </c>
      <c r="AW176" s="71">
        <f t="shared" ref="AW176:AW178" si="1999">HP176</f>
        <v>0</v>
      </c>
      <c r="AX176" s="71">
        <f t="shared" ref="AX176:AX178" si="2000">HQ176</f>
        <v>0</v>
      </c>
      <c r="AY176" s="71">
        <f t="shared" ref="AY176:AY178" si="2001">HR176</f>
        <v>0</v>
      </c>
      <c r="AZ176" s="72">
        <f t="shared" ref="AZ176:AZ178" si="2002">HS176</f>
        <v>0</v>
      </c>
      <c r="BA176" s="70">
        <f t="shared" si="1553"/>
        <v>9</v>
      </c>
      <c r="BB176" s="69">
        <f t="shared" ca="1" si="1554"/>
        <v>0.69230769230769229</v>
      </c>
      <c r="BC176" s="70">
        <f t="shared" ref="BC176:BC178" si="2003">HT176</f>
        <v>0</v>
      </c>
      <c r="BD176" s="71">
        <f t="shared" ref="BD176:BD178" si="2004">HU176</f>
        <v>0</v>
      </c>
      <c r="BE176" s="71">
        <f t="shared" ref="BE176:BE178" si="2005">HV176</f>
        <v>0</v>
      </c>
      <c r="BF176" s="71">
        <f t="shared" ref="BF176:BF178" si="2006">HW176</f>
        <v>0</v>
      </c>
      <c r="BG176" s="71">
        <f t="shared" ref="BG176:BG178" si="2007">HX176</f>
        <v>0</v>
      </c>
      <c r="BH176" s="71">
        <f t="shared" ref="BH176:BH178" si="2008">HY176</f>
        <v>0</v>
      </c>
      <c r="BI176" s="71">
        <f t="shared" ref="BI176:BI178" si="2009">HZ176</f>
        <v>0</v>
      </c>
      <c r="BJ176" s="71">
        <f t="shared" ref="BJ176:BJ178" si="2010">IA176</f>
        <v>0</v>
      </c>
      <c r="BK176" s="71">
        <f t="shared" ref="BK176:BK178" si="2011">IB176</f>
        <v>0</v>
      </c>
      <c r="BL176" s="71">
        <f t="shared" ref="BL176:BL178" si="2012">IC176</f>
        <v>0</v>
      </c>
      <c r="BM176" s="71">
        <f t="shared" ref="BM176:BM178" si="2013">ID176</f>
        <v>0</v>
      </c>
      <c r="BN176" s="71">
        <f t="shared" ref="BN176:BN178" si="2014">IE176</f>
        <v>0</v>
      </c>
      <c r="BO176" s="71">
        <f t="shared" ref="BO176:BO178" si="2015">IF176</f>
        <v>0</v>
      </c>
      <c r="BP176" s="71">
        <f t="shared" ref="BP176:BP178" si="2016">IG176</f>
        <v>0</v>
      </c>
      <c r="BQ176" s="71">
        <f t="shared" ref="BQ176:BQ178" si="2017">IH176</f>
        <v>0</v>
      </c>
      <c r="BR176" s="71">
        <f t="shared" ref="BR176:BR178" si="2018">II176</f>
        <v>0</v>
      </c>
      <c r="BS176" s="71">
        <f t="shared" ref="BS176:BS178" si="2019">IJ176</f>
        <v>0</v>
      </c>
      <c r="BT176" s="71">
        <f t="shared" ref="BT176:BT178" si="2020">IK176</f>
        <v>0</v>
      </c>
      <c r="BU176" s="71">
        <f t="shared" ref="BU176:BU178" si="2021">IL176</f>
        <v>0</v>
      </c>
      <c r="BV176" s="71">
        <f t="shared" ref="BV176:BV178" si="2022">IM176</f>
        <v>0</v>
      </c>
      <c r="BW176" s="71">
        <f t="shared" ref="BW176:BW178" si="2023">IN176</f>
        <v>0</v>
      </c>
      <c r="BX176" s="71">
        <f t="shared" ref="BX176:BX178" si="2024">IO176</f>
        <v>0</v>
      </c>
      <c r="BY176" s="71">
        <f t="shared" ref="BY176:BY178" si="2025">IP176</f>
        <v>0</v>
      </c>
      <c r="BZ176" s="71">
        <f t="shared" ref="BZ176:BZ178" si="2026">IQ176</f>
        <v>0</v>
      </c>
      <c r="CA176" s="71">
        <f t="shared" ref="CA176:CA178" si="2027">IR176</f>
        <v>0</v>
      </c>
      <c r="CB176" s="71">
        <f t="shared" ref="CB176:CB178" si="2028">IS176</f>
        <v>0</v>
      </c>
      <c r="CC176" s="71">
        <f t="shared" ref="CC176:CC178" si="2029">IT176</f>
        <v>0</v>
      </c>
      <c r="CD176" s="71">
        <f t="shared" ref="CD176:CD178" si="2030">IU176</f>
        <v>0</v>
      </c>
      <c r="CE176" s="71">
        <f t="shared" ref="CE176:CE178" si="2031">IV176</f>
        <v>0</v>
      </c>
      <c r="CF176" s="71">
        <f t="shared" ref="CF176:CF178" si="2032">IW176</f>
        <v>0</v>
      </c>
      <c r="CG176" s="71">
        <f t="shared" ref="CG176:CG178" si="2033">IX176</f>
        <v>0</v>
      </c>
      <c r="CH176" s="70">
        <f t="shared" si="1555"/>
        <v>0</v>
      </c>
      <c r="CI176" s="69">
        <f t="shared" ca="1" si="1556"/>
        <v>0</v>
      </c>
      <c r="GM176" s="2" t="s">
        <v>16</v>
      </c>
      <c r="GN176" s="101" t="str">
        <f t="shared" si="1552"/>
        <v>STH-E-FMCG-CM-01</v>
      </c>
      <c r="GO176" s="4">
        <v>1</v>
      </c>
      <c r="GP176" s="3">
        <v>0</v>
      </c>
      <c r="GQ176" s="3">
        <v>1</v>
      </c>
      <c r="GR176" s="3">
        <v>1</v>
      </c>
      <c r="GS176" s="3">
        <v>1</v>
      </c>
      <c r="GT176" s="3">
        <v>0</v>
      </c>
      <c r="GU176" s="3">
        <v>0</v>
      </c>
      <c r="GV176" s="3">
        <v>0</v>
      </c>
      <c r="GW176" s="3">
        <v>0</v>
      </c>
      <c r="GX176" s="3">
        <v>1</v>
      </c>
      <c r="GY176" s="3">
        <v>1</v>
      </c>
      <c r="GZ176" s="3">
        <v>1</v>
      </c>
      <c r="HA176" s="3">
        <v>1</v>
      </c>
      <c r="HB176" s="3">
        <v>1</v>
      </c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6"/>
      <c r="HT176" s="4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6"/>
    </row>
    <row r="177" spans="1:258" hidden="1">
      <c r="A177" s="106" t="s">
        <v>149</v>
      </c>
      <c r="B177" s="101" t="s">
        <v>26</v>
      </c>
      <c r="C177" s="98" t="s">
        <v>377</v>
      </c>
      <c r="D177" s="107" t="s">
        <v>1195</v>
      </c>
      <c r="E177" s="101" t="s">
        <v>1196</v>
      </c>
      <c r="F177" s="101" t="s">
        <v>1197</v>
      </c>
      <c r="G177" s="98" t="s">
        <v>436</v>
      </c>
      <c r="H177" s="101" t="s">
        <v>1519</v>
      </c>
      <c r="I177" s="101" t="s">
        <v>1519</v>
      </c>
      <c r="J177" s="101" t="s">
        <v>1198</v>
      </c>
      <c r="K177" s="101" t="s">
        <v>1127</v>
      </c>
      <c r="L177" s="101" t="s">
        <v>437</v>
      </c>
      <c r="M177" s="101" t="s">
        <v>1093</v>
      </c>
      <c r="N177" s="108">
        <v>45675</v>
      </c>
      <c r="O177" s="100">
        <v>1</v>
      </c>
      <c r="P177" s="69">
        <v>0</v>
      </c>
      <c r="Q177" s="69">
        <f>IFERROR(IF(OR(AI177&gt;0),1,0),0)</f>
        <v>1</v>
      </c>
      <c r="R177" s="69">
        <f t="shared" si="1969"/>
        <v>1</v>
      </c>
      <c r="S177" s="69">
        <f>IFERROR(IF(OR(BP177&gt;0),1,0),0)</f>
        <v>0</v>
      </c>
      <c r="T177" s="69">
        <f t="shared" si="1970"/>
        <v>0</v>
      </c>
      <c r="U177" s="69">
        <f t="shared" si="1971"/>
        <v>1</v>
      </c>
      <c r="V177" s="70">
        <f t="shared" si="1972"/>
        <v>1</v>
      </c>
      <c r="W177" s="71">
        <f t="shared" si="1973"/>
        <v>0</v>
      </c>
      <c r="X177" s="71">
        <f t="shared" si="1974"/>
        <v>0</v>
      </c>
      <c r="Y177" s="71">
        <f t="shared" si="1975"/>
        <v>1</v>
      </c>
      <c r="Z177" s="71">
        <f t="shared" si="1976"/>
        <v>1</v>
      </c>
      <c r="AA177" s="71">
        <f t="shared" si="1977"/>
        <v>1</v>
      </c>
      <c r="AB177" s="71">
        <f t="shared" si="1978"/>
        <v>1</v>
      </c>
      <c r="AC177" s="71">
        <f t="shared" si="1979"/>
        <v>1</v>
      </c>
      <c r="AD177" s="71">
        <f t="shared" si="1980"/>
        <v>0</v>
      </c>
      <c r="AE177" s="71">
        <f t="shared" si="1981"/>
        <v>1</v>
      </c>
      <c r="AF177" s="71">
        <f t="shared" si="1982"/>
        <v>1</v>
      </c>
      <c r="AG177" s="71">
        <f t="shared" si="1983"/>
        <v>1</v>
      </c>
      <c r="AH177" s="71">
        <f t="shared" si="1984"/>
        <v>1</v>
      </c>
      <c r="AI177" s="71">
        <f t="shared" si="1985"/>
        <v>1</v>
      </c>
      <c r="AJ177" s="71">
        <f t="shared" si="1986"/>
        <v>0</v>
      </c>
      <c r="AK177" s="71">
        <f t="shared" si="1987"/>
        <v>0</v>
      </c>
      <c r="AL177" s="71">
        <f t="shared" si="1988"/>
        <v>0</v>
      </c>
      <c r="AM177" s="71">
        <f t="shared" si="1989"/>
        <v>0</v>
      </c>
      <c r="AN177" s="71">
        <f t="shared" si="1990"/>
        <v>0</v>
      </c>
      <c r="AO177" s="71">
        <f t="shared" si="1991"/>
        <v>0</v>
      </c>
      <c r="AP177" s="71">
        <f t="shared" si="1992"/>
        <v>0</v>
      </c>
      <c r="AQ177" s="71">
        <f t="shared" si="1993"/>
        <v>0</v>
      </c>
      <c r="AR177" s="71">
        <f t="shared" si="1994"/>
        <v>0</v>
      </c>
      <c r="AS177" s="71">
        <f t="shared" si="1995"/>
        <v>0</v>
      </c>
      <c r="AT177" s="71">
        <f t="shared" si="1996"/>
        <v>0</v>
      </c>
      <c r="AU177" s="71">
        <f t="shared" si="1997"/>
        <v>0</v>
      </c>
      <c r="AV177" s="71">
        <f t="shared" si="1998"/>
        <v>0</v>
      </c>
      <c r="AW177" s="71">
        <f t="shared" si="1999"/>
        <v>0</v>
      </c>
      <c r="AX177" s="71">
        <f t="shared" si="2000"/>
        <v>0</v>
      </c>
      <c r="AY177" s="71">
        <f t="shared" si="2001"/>
        <v>0</v>
      </c>
      <c r="AZ177" s="72">
        <f t="shared" si="2002"/>
        <v>0</v>
      </c>
      <c r="BA177" s="70">
        <f t="shared" si="1553"/>
        <v>11</v>
      </c>
      <c r="BB177" s="69">
        <f t="shared" ca="1" si="1554"/>
        <v>0.84615384615384615</v>
      </c>
      <c r="BC177" s="70">
        <f t="shared" si="2003"/>
        <v>0</v>
      </c>
      <c r="BD177" s="71">
        <f t="shared" si="2004"/>
        <v>0</v>
      </c>
      <c r="BE177" s="71">
        <f t="shared" si="2005"/>
        <v>0</v>
      </c>
      <c r="BF177" s="71">
        <f t="shared" si="2006"/>
        <v>0</v>
      </c>
      <c r="BG177" s="71">
        <f t="shared" si="2007"/>
        <v>0</v>
      </c>
      <c r="BH177" s="71">
        <f t="shared" si="2008"/>
        <v>0</v>
      </c>
      <c r="BI177" s="71">
        <f t="shared" si="2009"/>
        <v>0</v>
      </c>
      <c r="BJ177" s="71">
        <f t="shared" si="2010"/>
        <v>0</v>
      </c>
      <c r="BK177" s="71">
        <f t="shared" si="2011"/>
        <v>0</v>
      </c>
      <c r="BL177" s="71">
        <f t="shared" si="2012"/>
        <v>0</v>
      </c>
      <c r="BM177" s="71">
        <f t="shared" si="2013"/>
        <v>0</v>
      </c>
      <c r="BN177" s="71">
        <f t="shared" si="2014"/>
        <v>0</v>
      </c>
      <c r="BO177" s="71">
        <f t="shared" si="2015"/>
        <v>0</v>
      </c>
      <c r="BP177" s="71">
        <f t="shared" si="2016"/>
        <v>0</v>
      </c>
      <c r="BQ177" s="71">
        <f t="shared" si="2017"/>
        <v>0</v>
      </c>
      <c r="BR177" s="71">
        <f t="shared" si="2018"/>
        <v>0</v>
      </c>
      <c r="BS177" s="71">
        <f t="shared" si="2019"/>
        <v>0</v>
      </c>
      <c r="BT177" s="71">
        <f t="shared" si="2020"/>
        <v>0</v>
      </c>
      <c r="BU177" s="71">
        <f t="shared" si="2021"/>
        <v>0</v>
      </c>
      <c r="BV177" s="71">
        <f t="shared" si="2022"/>
        <v>0</v>
      </c>
      <c r="BW177" s="71">
        <f t="shared" si="2023"/>
        <v>0</v>
      </c>
      <c r="BX177" s="71">
        <f t="shared" si="2024"/>
        <v>0</v>
      </c>
      <c r="BY177" s="71">
        <f t="shared" si="2025"/>
        <v>0</v>
      </c>
      <c r="BZ177" s="71">
        <f t="shared" si="2026"/>
        <v>0</v>
      </c>
      <c r="CA177" s="71">
        <f t="shared" si="2027"/>
        <v>0</v>
      </c>
      <c r="CB177" s="71">
        <f t="shared" si="2028"/>
        <v>0</v>
      </c>
      <c r="CC177" s="71">
        <f t="shared" si="2029"/>
        <v>0</v>
      </c>
      <c r="CD177" s="71">
        <f t="shared" si="2030"/>
        <v>0</v>
      </c>
      <c r="CE177" s="71">
        <f t="shared" si="2031"/>
        <v>0</v>
      </c>
      <c r="CF177" s="71">
        <f t="shared" si="2032"/>
        <v>0</v>
      </c>
      <c r="CG177" s="71">
        <f t="shared" si="2033"/>
        <v>0</v>
      </c>
      <c r="CH177" s="70">
        <f t="shared" si="1555"/>
        <v>0</v>
      </c>
      <c r="CI177" s="69">
        <f t="shared" ca="1" si="1556"/>
        <v>0</v>
      </c>
      <c r="GM177" s="2" t="s">
        <v>16</v>
      </c>
      <c r="GN177" s="101" t="str">
        <f t="shared" si="1552"/>
        <v>STH-E-FMCG01-TE-01</v>
      </c>
      <c r="GO177" s="4">
        <v>1</v>
      </c>
      <c r="GP177" s="3">
        <v>0</v>
      </c>
      <c r="GQ177" s="3">
        <v>0</v>
      </c>
      <c r="GR177" s="3">
        <v>1</v>
      </c>
      <c r="GS177" s="3">
        <v>1</v>
      </c>
      <c r="GT177" s="3">
        <v>1</v>
      </c>
      <c r="GU177" s="3">
        <v>1</v>
      </c>
      <c r="GV177" s="3">
        <v>1</v>
      </c>
      <c r="GW177" s="3">
        <v>0</v>
      </c>
      <c r="GX177" s="3">
        <v>1</v>
      </c>
      <c r="GY177" s="3">
        <v>1</v>
      </c>
      <c r="GZ177" s="3">
        <v>1</v>
      </c>
      <c r="HA177" s="3">
        <v>1</v>
      </c>
      <c r="HB177" s="3">
        <v>1</v>
      </c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6"/>
      <c r="HT177" s="4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0</v>
      </c>
      <c r="IB177" s="3">
        <v>0</v>
      </c>
      <c r="IC177" s="3">
        <v>0</v>
      </c>
      <c r="ID177" s="3">
        <v>0</v>
      </c>
      <c r="IE177" s="3">
        <v>0</v>
      </c>
      <c r="IF177" s="3">
        <v>0</v>
      </c>
      <c r="IG177" s="3">
        <v>0</v>
      </c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6"/>
    </row>
    <row r="178" spans="1:258" hidden="1">
      <c r="A178" s="97" t="s">
        <v>1397</v>
      </c>
      <c r="B178" s="98" t="s">
        <v>20</v>
      </c>
      <c r="C178" s="98" t="s">
        <v>377</v>
      </c>
      <c r="D178" s="99" t="s">
        <v>438</v>
      </c>
      <c r="E178" s="98" t="s">
        <v>439</v>
      </c>
      <c r="F178" s="113" t="s">
        <v>440</v>
      </c>
      <c r="G178" s="98" t="s">
        <v>441</v>
      </c>
      <c r="H178" s="98" t="s">
        <v>442</v>
      </c>
      <c r="I178" s="98" t="s">
        <v>442</v>
      </c>
      <c r="J178" s="98" t="s">
        <v>145</v>
      </c>
      <c r="K178" s="98" t="s">
        <v>31</v>
      </c>
      <c r="L178" s="98" t="s">
        <v>443</v>
      </c>
      <c r="M178" s="98" t="s">
        <v>52</v>
      </c>
      <c r="N178" s="108">
        <v>38509</v>
      </c>
      <c r="O178" s="100">
        <v>0</v>
      </c>
      <c r="P178" s="69">
        <v>0</v>
      </c>
      <c r="Q178" s="69">
        <f>IFERROR(IF(OR(AI178&gt;0),1,0),0)</f>
        <v>0</v>
      </c>
      <c r="R178" s="69">
        <f t="shared" si="1969"/>
        <v>0</v>
      </c>
      <c r="S178" s="69">
        <f>IFERROR(IF(OR(BP178&gt;0),1,0),0)</f>
        <v>0</v>
      </c>
      <c r="T178" s="69">
        <f t="shared" si="1970"/>
        <v>0</v>
      </c>
      <c r="U178" s="69">
        <f t="shared" si="1971"/>
        <v>0</v>
      </c>
      <c r="V178" s="70">
        <f t="shared" si="1972"/>
        <v>0</v>
      </c>
      <c r="W178" s="71">
        <f t="shared" si="1973"/>
        <v>0</v>
      </c>
      <c r="X178" s="71">
        <f t="shared" si="1974"/>
        <v>0</v>
      </c>
      <c r="Y178" s="71">
        <f t="shared" si="1975"/>
        <v>0</v>
      </c>
      <c r="Z178" s="71">
        <f t="shared" si="1976"/>
        <v>0</v>
      </c>
      <c r="AA178" s="71">
        <f t="shared" si="1977"/>
        <v>0</v>
      </c>
      <c r="AB178" s="71">
        <f t="shared" si="1978"/>
        <v>0</v>
      </c>
      <c r="AC178" s="71">
        <f t="shared" si="1979"/>
        <v>0</v>
      </c>
      <c r="AD178" s="71">
        <f t="shared" si="1980"/>
        <v>0</v>
      </c>
      <c r="AE178" s="71">
        <f t="shared" si="1981"/>
        <v>0</v>
      </c>
      <c r="AF178" s="71">
        <f t="shared" si="1982"/>
        <v>0</v>
      </c>
      <c r="AG178" s="71">
        <f t="shared" si="1983"/>
        <v>0</v>
      </c>
      <c r="AH178" s="71">
        <f t="shared" si="1984"/>
        <v>0</v>
      </c>
      <c r="AI178" s="71">
        <f t="shared" si="1985"/>
        <v>0</v>
      </c>
      <c r="AJ178" s="71">
        <f t="shared" si="1986"/>
        <v>0</v>
      </c>
      <c r="AK178" s="71">
        <f t="shared" si="1987"/>
        <v>0</v>
      </c>
      <c r="AL178" s="71">
        <f t="shared" si="1988"/>
        <v>0</v>
      </c>
      <c r="AM178" s="71">
        <f t="shared" si="1989"/>
        <v>0</v>
      </c>
      <c r="AN178" s="71">
        <f t="shared" si="1990"/>
        <v>0</v>
      </c>
      <c r="AO178" s="71">
        <f t="shared" si="1991"/>
        <v>0</v>
      </c>
      <c r="AP178" s="71">
        <f t="shared" si="1992"/>
        <v>0</v>
      </c>
      <c r="AQ178" s="71">
        <f t="shared" si="1993"/>
        <v>0</v>
      </c>
      <c r="AR178" s="71">
        <f t="shared" si="1994"/>
        <v>0</v>
      </c>
      <c r="AS178" s="71">
        <f t="shared" si="1995"/>
        <v>0</v>
      </c>
      <c r="AT178" s="71">
        <f t="shared" si="1996"/>
        <v>0</v>
      </c>
      <c r="AU178" s="71">
        <f t="shared" si="1997"/>
        <v>0</v>
      </c>
      <c r="AV178" s="71">
        <f t="shared" si="1998"/>
        <v>0</v>
      </c>
      <c r="AW178" s="71">
        <f t="shared" si="1999"/>
        <v>0</v>
      </c>
      <c r="AX178" s="71">
        <f t="shared" si="2000"/>
        <v>0</v>
      </c>
      <c r="AY178" s="71">
        <f t="shared" si="2001"/>
        <v>0</v>
      </c>
      <c r="AZ178" s="72">
        <f t="shared" si="2002"/>
        <v>0</v>
      </c>
      <c r="BA178" s="70">
        <f t="shared" si="1553"/>
        <v>0</v>
      </c>
      <c r="BB178" s="69">
        <f t="shared" ca="1" si="1554"/>
        <v>0</v>
      </c>
      <c r="BC178" s="70">
        <f t="shared" si="2003"/>
        <v>0</v>
      </c>
      <c r="BD178" s="71">
        <f t="shared" si="2004"/>
        <v>0</v>
      </c>
      <c r="BE178" s="71">
        <f t="shared" si="2005"/>
        <v>0</v>
      </c>
      <c r="BF178" s="71">
        <f t="shared" si="2006"/>
        <v>0</v>
      </c>
      <c r="BG178" s="71">
        <f t="shared" si="2007"/>
        <v>0</v>
      </c>
      <c r="BH178" s="71">
        <f t="shared" si="2008"/>
        <v>0</v>
      </c>
      <c r="BI178" s="71">
        <f t="shared" si="2009"/>
        <v>0</v>
      </c>
      <c r="BJ178" s="71">
        <f t="shared" si="2010"/>
        <v>0</v>
      </c>
      <c r="BK178" s="71">
        <f t="shared" si="2011"/>
        <v>0</v>
      </c>
      <c r="BL178" s="71">
        <f t="shared" si="2012"/>
        <v>0</v>
      </c>
      <c r="BM178" s="71">
        <f t="shared" si="2013"/>
        <v>0</v>
      </c>
      <c r="BN178" s="71">
        <f t="shared" si="2014"/>
        <v>0</v>
      </c>
      <c r="BO178" s="71">
        <f t="shared" si="2015"/>
        <v>0</v>
      </c>
      <c r="BP178" s="71">
        <f t="shared" si="2016"/>
        <v>0</v>
      </c>
      <c r="BQ178" s="71">
        <f t="shared" si="2017"/>
        <v>0</v>
      </c>
      <c r="BR178" s="71">
        <f t="shared" si="2018"/>
        <v>0</v>
      </c>
      <c r="BS178" s="71">
        <f t="shared" si="2019"/>
        <v>0</v>
      </c>
      <c r="BT178" s="71">
        <f t="shared" si="2020"/>
        <v>0</v>
      </c>
      <c r="BU178" s="71">
        <f t="shared" si="2021"/>
        <v>0</v>
      </c>
      <c r="BV178" s="71">
        <f t="shared" si="2022"/>
        <v>0</v>
      </c>
      <c r="BW178" s="71">
        <f t="shared" si="2023"/>
        <v>0</v>
      </c>
      <c r="BX178" s="71">
        <f t="shared" si="2024"/>
        <v>0</v>
      </c>
      <c r="BY178" s="71">
        <f t="shared" si="2025"/>
        <v>0</v>
      </c>
      <c r="BZ178" s="71">
        <f t="shared" si="2026"/>
        <v>0</v>
      </c>
      <c r="CA178" s="71">
        <f t="shared" si="2027"/>
        <v>0</v>
      </c>
      <c r="CB178" s="71">
        <f t="shared" si="2028"/>
        <v>0</v>
      </c>
      <c r="CC178" s="71">
        <f t="shared" si="2029"/>
        <v>0</v>
      </c>
      <c r="CD178" s="71">
        <f t="shared" si="2030"/>
        <v>0</v>
      </c>
      <c r="CE178" s="71">
        <f t="shared" si="2031"/>
        <v>0</v>
      </c>
      <c r="CF178" s="71">
        <f t="shared" si="2032"/>
        <v>0</v>
      </c>
      <c r="CG178" s="71">
        <f t="shared" si="2033"/>
        <v>0</v>
      </c>
      <c r="CH178" s="70">
        <f t="shared" si="1555"/>
        <v>0</v>
      </c>
      <c r="CI178" s="69">
        <f t="shared" ca="1" si="1556"/>
        <v>0</v>
      </c>
      <c r="GM178" s="2" t="s">
        <v>16</v>
      </c>
      <c r="GN178" s="113" t="str">
        <f t="shared" si="1552"/>
        <v>STH-E-FMCG-RSM-01</v>
      </c>
      <c r="GO178" s="4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6"/>
      <c r="HT178" s="4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0</v>
      </c>
      <c r="IF178" s="3">
        <v>0</v>
      </c>
      <c r="IG178" s="3">
        <v>0</v>
      </c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6"/>
    </row>
    <row r="179" spans="1:258" hidden="1">
      <c r="A179" s="109" t="s">
        <v>158</v>
      </c>
      <c r="B179" s="110" t="s">
        <v>20</v>
      </c>
      <c r="C179" s="110" t="s">
        <v>377</v>
      </c>
      <c r="D179" s="111" t="s">
        <v>438</v>
      </c>
      <c r="E179" s="110" t="s">
        <v>439</v>
      </c>
      <c r="F179" s="135" t="s">
        <v>440</v>
      </c>
      <c r="G179" s="110" t="s">
        <v>441</v>
      </c>
      <c r="H179" s="110" t="s">
        <v>442</v>
      </c>
      <c r="I179" s="110" t="s">
        <v>442</v>
      </c>
      <c r="J179" s="110" t="s">
        <v>145</v>
      </c>
      <c r="K179" s="110" t="s">
        <v>31</v>
      </c>
      <c r="L179" s="110" t="s">
        <v>443</v>
      </c>
      <c r="M179" s="110" t="s">
        <v>52</v>
      </c>
      <c r="N179" s="140">
        <v>38509</v>
      </c>
      <c r="O179" s="112">
        <f t="shared" ref="O179:BZ179" si="2034">O178+O162+O175+O177+O153+O176+O169</f>
        <v>20</v>
      </c>
      <c r="P179" s="77">
        <f t="shared" si="2034"/>
        <v>0</v>
      </c>
      <c r="Q179" s="77">
        <f t="shared" si="2034"/>
        <v>19</v>
      </c>
      <c r="R179" s="77">
        <f t="shared" si="2034"/>
        <v>20</v>
      </c>
      <c r="S179" s="77">
        <f t="shared" si="2034"/>
        <v>1</v>
      </c>
      <c r="T179" s="77">
        <f t="shared" si="2034"/>
        <v>16</v>
      </c>
      <c r="U179" s="77">
        <f t="shared" si="2034"/>
        <v>20</v>
      </c>
      <c r="V179" s="78">
        <f t="shared" si="2034"/>
        <v>20</v>
      </c>
      <c r="W179" s="79">
        <f t="shared" si="2034"/>
        <v>0</v>
      </c>
      <c r="X179" s="79">
        <f t="shared" si="2034"/>
        <v>19</v>
      </c>
      <c r="Y179" s="79">
        <f t="shared" si="2034"/>
        <v>19</v>
      </c>
      <c r="Z179" s="79">
        <f t="shared" si="2034"/>
        <v>19</v>
      </c>
      <c r="AA179" s="79">
        <f t="shared" si="2034"/>
        <v>19</v>
      </c>
      <c r="AB179" s="79">
        <f t="shared" si="2034"/>
        <v>18</v>
      </c>
      <c r="AC179" s="79">
        <f t="shared" si="2034"/>
        <v>19</v>
      </c>
      <c r="AD179" s="79">
        <f t="shared" si="2034"/>
        <v>0</v>
      </c>
      <c r="AE179" s="79">
        <f t="shared" si="2034"/>
        <v>20</v>
      </c>
      <c r="AF179" s="79">
        <f t="shared" si="2034"/>
        <v>20</v>
      </c>
      <c r="AG179" s="79">
        <f t="shared" si="2034"/>
        <v>20</v>
      </c>
      <c r="AH179" s="79">
        <f t="shared" si="2034"/>
        <v>19</v>
      </c>
      <c r="AI179" s="79">
        <f t="shared" si="2034"/>
        <v>19</v>
      </c>
      <c r="AJ179" s="79">
        <f t="shared" si="2034"/>
        <v>0</v>
      </c>
      <c r="AK179" s="79">
        <f t="shared" si="2034"/>
        <v>0</v>
      </c>
      <c r="AL179" s="79">
        <f t="shared" si="2034"/>
        <v>0</v>
      </c>
      <c r="AM179" s="79">
        <f t="shared" si="2034"/>
        <v>0</v>
      </c>
      <c r="AN179" s="79">
        <f t="shared" si="2034"/>
        <v>0</v>
      </c>
      <c r="AO179" s="79">
        <f t="shared" si="2034"/>
        <v>0</v>
      </c>
      <c r="AP179" s="79">
        <f t="shared" si="2034"/>
        <v>0</v>
      </c>
      <c r="AQ179" s="79">
        <f t="shared" si="2034"/>
        <v>0</v>
      </c>
      <c r="AR179" s="79">
        <f t="shared" si="2034"/>
        <v>0</v>
      </c>
      <c r="AS179" s="79">
        <f t="shared" si="2034"/>
        <v>0</v>
      </c>
      <c r="AT179" s="79">
        <f t="shared" si="2034"/>
        <v>0</v>
      </c>
      <c r="AU179" s="79">
        <f t="shared" si="2034"/>
        <v>0</v>
      </c>
      <c r="AV179" s="79">
        <f t="shared" si="2034"/>
        <v>0</v>
      </c>
      <c r="AW179" s="79">
        <f t="shared" si="2034"/>
        <v>0</v>
      </c>
      <c r="AX179" s="79">
        <f t="shared" si="2034"/>
        <v>0</v>
      </c>
      <c r="AY179" s="79">
        <f t="shared" si="2034"/>
        <v>0</v>
      </c>
      <c r="AZ179" s="80">
        <f t="shared" si="2034"/>
        <v>0</v>
      </c>
      <c r="BA179" s="78">
        <f t="shared" si="1553"/>
        <v>231</v>
      </c>
      <c r="BB179" s="77">
        <f t="shared" ca="1" si="1554"/>
        <v>0.88846153846153852</v>
      </c>
      <c r="BC179" s="78">
        <f t="shared" si="2034"/>
        <v>202</v>
      </c>
      <c r="BD179" s="79">
        <f t="shared" si="2034"/>
        <v>0</v>
      </c>
      <c r="BE179" s="79">
        <f t="shared" si="2034"/>
        <v>273</v>
      </c>
      <c r="BF179" s="79">
        <f t="shared" si="2034"/>
        <v>378</v>
      </c>
      <c r="BG179" s="79">
        <f t="shared" si="2034"/>
        <v>331</v>
      </c>
      <c r="BH179" s="79">
        <f t="shared" si="2034"/>
        <v>428</v>
      </c>
      <c r="BI179" s="79">
        <f t="shared" si="2034"/>
        <v>363</v>
      </c>
      <c r="BJ179" s="79">
        <f t="shared" si="2034"/>
        <v>344</v>
      </c>
      <c r="BK179" s="79">
        <f t="shared" si="2034"/>
        <v>0</v>
      </c>
      <c r="BL179" s="79">
        <f t="shared" si="2034"/>
        <v>426</v>
      </c>
      <c r="BM179" s="79">
        <f t="shared" si="2034"/>
        <v>373</v>
      </c>
      <c r="BN179" s="79">
        <f t="shared" si="2034"/>
        <v>400</v>
      </c>
      <c r="BO179" s="79">
        <f t="shared" si="2034"/>
        <v>457</v>
      </c>
      <c r="BP179" s="79">
        <f t="shared" si="2034"/>
        <v>14</v>
      </c>
      <c r="BQ179" s="79">
        <f t="shared" si="2034"/>
        <v>0</v>
      </c>
      <c r="BR179" s="79">
        <f t="shared" si="2034"/>
        <v>0</v>
      </c>
      <c r="BS179" s="79">
        <f t="shared" si="2034"/>
        <v>0</v>
      </c>
      <c r="BT179" s="79">
        <f t="shared" si="2034"/>
        <v>0</v>
      </c>
      <c r="BU179" s="79">
        <f t="shared" si="2034"/>
        <v>0</v>
      </c>
      <c r="BV179" s="79">
        <f t="shared" si="2034"/>
        <v>0</v>
      </c>
      <c r="BW179" s="79">
        <f t="shared" si="2034"/>
        <v>0</v>
      </c>
      <c r="BX179" s="79">
        <f t="shared" si="2034"/>
        <v>0</v>
      </c>
      <c r="BY179" s="79">
        <f t="shared" si="2034"/>
        <v>0</v>
      </c>
      <c r="BZ179" s="79">
        <f t="shared" si="2034"/>
        <v>0</v>
      </c>
      <c r="CA179" s="79">
        <f t="shared" ref="CA179:CG179" si="2035">CA178+CA162+CA175+CA177+CA153+CA176+CA169</f>
        <v>0</v>
      </c>
      <c r="CB179" s="79">
        <f t="shared" si="2035"/>
        <v>0</v>
      </c>
      <c r="CC179" s="79">
        <f t="shared" si="2035"/>
        <v>0</v>
      </c>
      <c r="CD179" s="79">
        <f t="shared" si="2035"/>
        <v>0</v>
      </c>
      <c r="CE179" s="79">
        <f t="shared" si="2035"/>
        <v>0</v>
      </c>
      <c r="CF179" s="79">
        <f t="shared" si="2035"/>
        <v>0</v>
      </c>
      <c r="CG179" s="79">
        <f t="shared" si="2035"/>
        <v>0</v>
      </c>
      <c r="CH179" s="78">
        <f t="shared" si="1555"/>
        <v>3989</v>
      </c>
      <c r="CI179" s="77">
        <f t="shared" ca="1" si="1556"/>
        <v>15.342307692307694</v>
      </c>
      <c r="GM179" s="2" t="s">
        <v>17</v>
      </c>
      <c r="GN179" s="135" t="str">
        <f t="shared" si="1552"/>
        <v>STH-E-FMCG-RSM-01</v>
      </c>
      <c r="GO179" s="4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6"/>
      <c r="HT179" s="4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6"/>
    </row>
    <row r="180" spans="1:258" hidden="1">
      <c r="A180" s="97" t="s">
        <v>448</v>
      </c>
      <c r="B180" s="98" t="s">
        <v>20</v>
      </c>
      <c r="C180" s="98" t="s">
        <v>82</v>
      </c>
      <c r="D180" s="99" t="s">
        <v>444</v>
      </c>
      <c r="E180" s="98" t="s">
        <v>445</v>
      </c>
      <c r="F180" s="98" t="s">
        <v>446</v>
      </c>
      <c r="G180" s="113" t="s">
        <v>1284</v>
      </c>
      <c r="H180" s="98" t="s">
        <v>1520</v>
      </c>
      <c r="I180" s="98" t="s">
        <v>1520</v>
      </c>
      <c r="J180" s="98" t="s">
        <v>46</v>
      </c>
      <c r="K180" s="98" t="s">
        <v>31</v>
      </c>
      <c r="L180" s="98" t="s">
        <v>447</v>
      </c>
      <c r="M180" s="98" t="s">
        <v>52</v>
      </c>
      <c r="N180" s="108">
        <v>39699</v>
      </c>
      <c r="O180" s="100">
        <v>0</v>
      </c>
      <c r="P180" s="69">
        <v>0</v>
      </c>
      <c r="Q180" s="69">
        <f>IFERROR(IF(OR(AI180&gt;0),1,0),0)</f>
        <v>0</v>
      </c>
      <c r="R180" s="69">
        <f>IFERROR(IF(OR(BA180&gt;0),1,0),0)</f>
        <v>0</v>
      </c>
      <c r="S180" s="69">
        <f>IFERROR(IF(OR(BP180&gt;0),1,0),0)</f>
        <v>0</v>
      </c>
      <c r="T180" s="69">
        <f>IFERROR(IF(OR(CH180&gt;0),1,0),0)</f>
        <v>0</v>
      </c>
      <c r="U180" s="69">
        <f>IFERROR(IF(OR(BA180&gt;0,CH180&gt;0),1,0),0)</f>
        <v>0</v>
      </c>
      <c r="V180" s="70">
        <f t="shared" ref="V180" si="2036">GO180</f>
        <v>0</v>
      </c>
      <c r="W180" s="71">
        <f t="shared" ref="W180" si="2037">GP180</f>
        <v>0</v>
      </c>
      <c r="X180" s="71">
        <f t="shared" ref="X180" si="2038">GQ180</f>
        <v>0</v>
      </c>
      <c r="Y180" s="71">
        <f t="shared" ref="Y180" si="2039">GR180</f>
        <v>0</v>
      </c>
      <c r="Z180" s="71">
        <f t="shared" ref="Z180" si="2040">GS180</f>
        <v>0</v>
      </c>
      <c r="AA180" s="71">
        <f t="shared" ref="AA180" si="2041">GT180</f>
        <v>0</v>
      </c>
      <c r="AB180" s="71">
        <f t="shared" ref="AB180" si="2042">GU180</f>
        <v>0</v>
      </c>
      <c r="AC180" s="71">
        <f t="shared" ref="AC180" si="2043">GV180</f>
        <v>0</v>
      </c>
      <c r="AD180" s="71">
        <f t="shared" ref="AD180" si="2044">GW180</f>
        <v>0</v>
      </c>
      <c r="AE180" s="71">
        <f t="shared" ref="AE180" si="2045">GX180</f>
        <v>0</v>
      </c>
      <c r="AF180" s="71">
        <f t="shared" ref="AF180" si="2046">GY180</f>
        <v>0</v>
      </c>
      <c r="AG180" s="71">
        <f t="shared" ref="AG180" si="2047">GZ180</f>
        <v>0</v>
      </c>
      <c r="AH180" s="71">
        <f t="shared" ref="AH180" si="2048">HA180</f>
        <v>0</v>
      </c>
      <c r="AI180" s="71">
        <f t="shared" ref="AI180" si="2049">HB180</f>
        <v>0</v>
      </c>
      <c r="AJ180" s="71">
        <f t="shared" ref="AJ180" si="2050">HC180</f>
        <v>0</v>
      </c>
      <c r="AK180" s="71">
        <f t="shared" ref="AK180" si="2051">HD180</f>
        <v>0</v>
      </c>
      <c r="AL180" s="71">
        <f t="shared" ref="AL180" si="2052">HE180</f>
        <v>0</v>
      </c>
      <c r="AM180" s="71">
        <f t="shared" ref="AM180" si="2053">HF180</f>
        <v>0</v>
      </c>
      <c r="AN180" s="71">
        <f t="shared" ref="AN180" si="2054">HG180</f>
        <v>0</v>
      </c>
      <c r="AO180" s="71">
        <f t="shared" ref="AO180" si="2055">HH180</f>
        <v>0</v>
      </c>
      <c r="AP180" s="71">
        <f t="shared" ref="AP180" si="2056">HI180</f>
        <v>0</v>
      </c>
      <c r="AQ180" s="71">
        <f t="shared" ref="AQ180" si="2057">HJ180</f>
        <v>0</v>
      </c>
      <c r="AR180" s="71">
        <f t="shared" ref="AR180" si="2058">HK180</f>
        <v>0</v>
      </c>
      <c r="AS180" s="71">
        <f t="shared" ref="AS180" si="2059">HL180</f>
        <v>0</v>
      </c>
      <c r="AT180" s="71">
        <f t="shared" ref="AT180" si="2060">HM180</f>
        <v>0</v>
      </c>
      <c r="AU180" s="71">
        <f t="shared" ref="AU180" si="2061">HN180</f>
        <v>0</v>
      </c>
      <c r="AV180" s="71">
        <f t="shared" ref="AV180" si="2062">HO180</f>
        <v>0</v>
      </c>
      <c r="AW180" s="71">
        <f t="shared" ref="AW180" si="2063">HP180</f>
        <v>0</v>
      </c>
      <c r="AX180" s="71">
        <f t="shared" ref="AX180" si="2064">HQ180</f>
        <v>0</v>
      </c>
      <c r="AY180" s="71">
        <f t="shared" ref="AY180" si="2065">HR180</f>
        <v>0</v>
      </c>
      <c r="AZ180" s="72">
        <f t="shared" ref="AZ180" si="2066">HS180</f>
        <v>0</v>
      </c>
      <c r="BA180" s="70">
        <f t="shared" si="1553"/>
        <v>0</v>
      </c>
      <c r="BB180" s="69">
        <f t="shared" ca="1" si="1554"/>
        <v>0</v>
      </c>
      <c r="BC180" s="70">
        <f t="shared" ref="BC180" si="2067">HT180</f>
        <v>0</v>
      </c>
      <c r="BD180" s="71">
        <f t="shared" ref="BD180" si="2068">HU180</f>
        <v>0</v>
      </c>
      <c r="BE180" s="71">
        <f t="shared" ref="BE180" si="2069">HV180</f>
        <v>0</v>
      </c>
      <c r="BF180" s="71">
        <f t="shared" ref="BF180" si="2070">HW180</f>
        <v>0</v>
      </c>
      <c r="BG180" s="71">
        <f t="shared" ref="BG180" si="2071">HX180</f>
        <v>0</v>
      </c>
      <c r="BH180" s="71">
        <f t="shared" ref="BH180" si="2072">HY180</f>
        <v>0</v>
      </c>
      <c r="BI180" s="71">
        <f t="shared" ref="BI180" si="2073">HZ180</f>
        <v>0</v>
      </c>
      <c r="BJ180" s="71">
        <f t="shared" ref="BJ180" si="2074">IA180</f>
        <v>0</v>
      </c>
      <c r="BK180" s="71">
        <f t="shared" ref="BK180" si="2075">IB180</f>
        <v>0</v>
      </c>
      <c r="BL180" s="71">
        <f t="shared" ref="BL180" si="2076">IC180</f>
        <v>0</v>
      </c>
      <c r="BM180" s="71">
        <f t="shared" ref="BM180" si="2077">ID180</f>
        <v>0</v>
      </c>
      <c r="BN180" s="71">
        <f t="shared" ref="BN180" si="2078">IE180</f>
        <v>0</v>
      </c>
      <c r="BO180" s="71">
        <f t="shared" ref="BO180" si="2079">IF180</f>
        <v>0</v>
      </c>
      <c r="BP180" s="71">
        <f t="shared" ref="BP180" si="2080">IG180</f>
        <v>0</v>
      </c>
      <c r="BQ180" s="71">
        <f t="shared" ref="BQ180" si="2081">IH180</f>
        <v>0</v>
      </c>
      <c r="BR180" s="71">
        <f t="shared" ref="BR180" si="2082">II180</f>
        <v>0</v>
      </c>
      <c r="BS180" s="71">
        <f t="shared" ref="BS180" si="2083">IJ180</f>
        <v>0</v>
      </c>
      <c r="BT180" s="71">
        <f t="shared" ref="BT180" si="2084">IK180</f>
        <v>0</v>
      </c>
      <c r="BU180" s="71">
        <f t="shared" ref="BU180" si="2085">IL180</f>
        <v>0</v>
      </c>
      <c r="BV180" s="71">
        <f t="shared" ref="BV180" si="2086">IM180</f>
        <v>0</v>
      </c>
      <c r="BW180" s="71">
        <f t="shared" ref="BW180" si="2087">IN180</f>
        <v>0</v>
      </c>
      <c r="BX180" s="71">
        <f t="shared" ref="BX180" si="2088">IO180</f>
        <v>0</v>
      </c>
      <c r="BY180" s="71">
        <f t="shared" ref="BY180" si="2089">IP180</f>
        <v>0</v>
      </c>
      <c r="BZ180" s="71">
        <f t="shared" ref="BZ180" si="2090">IQ180</f>
        <v>0</v>
      </c>
      <c r="CA180" s="71">
        <f t="shared" ref="CA180" si="2091">IR180</f>
        <v>0</v>
      </c>
      <c r="CB180" s="71">
        <f t="shared" ref="CB180" si="2092">IS180</f>
        <v>0</v>
      </c>
      <c r="CC180" s="71">
        <f t="shared" ref="CC180" si="2093">IT180</f>
        <v>0</v>
      </c>
      <c r="CD180" s="71">
        <f t="shared" ref="CD180" si="2094">IU180</f>
        <v>0</v>
      </c>
      <c r="CE180" s="71">
        <f t="shared" ref="CE180" si="2095">IV180</f>
        <v>0</v>
      </c>
      <c r="CF180" s="71">
        <f t="shared" ref="CF180" si="2096">IW180</f>
        <v>0</v>
      </c>
      <c r="CG180" s="71">
        <f t="shared" ref="CG180" si="2097">IX180</f>
        <v>0</v>
      </c>
      <c r="CH180" s="70">
        <f t="shared" si="1555"/>
        <v>0</v>
      </c>
      <c r="CI180" s="69">
        <f t="shared" ca="1" si="1556"/>
        <v>0</v>
      </c>
      <c r="GM180" s="2" t="s">
        <v>16</v>
      </c>
      <c r="GN180" s="98" t="str">
        <f t="shared" si="1552"/>
        <v>STH-FMCG-DGM-01</v>
      </c>
      <c r="GO180" s="4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6"/>
      <c r="HT180" s="4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0</v>
      </c>
      <c r="ID180" s="3">
        <v>0</v>
      </c>
      <c r="IE180" s="3">
        <v>0</v>
      </c>
      <c r="IF180" s="3">
        <v>0</v>
      </c>
      <c r="IG180" s="3">
        <v>0</v>
      </c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6"/>
    </row>
    <row r="181" spans="1:258" hidden="1">
      <c r="A181" s="114" t="s">
        <v>448</v>
      </c>
      <c r="B181" s="115" t="s">
        <v>20</v>
      </c>
      <c r="C181" s="115" t="s">
        <v>82</v>
      </c>
      <c r="D181" s="116" t="s">
        <v>444</v>
      </c>
      <c r="E181" s="115" t="s">
        <v>445</v>
      </c>
      <c r="F181" s="115" t="s">
        <v>446</v>
      </c>
      <c r="G181" s="117" t="s">
        <v>1284</v>
      </c>
      <c r="H181" s="115" t="s">
        <v>1520</v>
      </c>
      <c r="I181" s="115" t="s">
        <v>1520</v>
      </c>
      <c r="J181" s="115" t="s">
        <v>46</v>
      </c>
      <c r="K181" s="115" t="s">
        <v>31</v>
      </c>
      <c r="L181" s="115" t="s">
        <v>447</v>
      </c>
      <c r="M181" s="115" t="s">
        <v>52</v>
      </c>
      <c r="N181" s="141">
        <v>39699</v>
      </c>
      <c r="O181" s="118">
        <f t="shared" ref="O181:AZ181" si="2098">O180+O179+O106+O49+O67+O146</f>
        <v>106</v>
      </c>
      <c r="P181" s="81">
        <f t="shared" si="2098"/>
        <v>5</v>
      </c>
      <c r="Q181" s="81">
        <f t="shared" si="2098"/>
        <v>80</v>
      </c>
      <c r="R181" s="81">
        <f t="shared" si="2098"/>
        <v>101</v>
      </c>
      <c r="S181" s="81">
        <f t="shared" si="2098"/>
        <v>9</v>
      </c>
      <c r="T181" s="81">
        <f t="shared" si="2098"/>
        <v>90</v>
      </c>
      <c r="U181" s="81">
        <f t="shared" si="2098"/>
        <v>101</v>
      </c>
      <c r="V181" s="82">
        <f t="shared" si="2098"/>
        <v>97</v>
      </c>
      <c r="W181" s="83">
        <f t="shared" si="2098"/>
        <v>63</v>
      </c>
      <c r="X181" s="83">
        <f t="shared" si="2098"/>
        <v>95</v>
      </c>
      <c r="Y181" s="83">
        <f t="shared" si="2098"/>
        <v>34</v>
      </c>
      <c r="Z181" s="83">
        <f t="shared" si="2098"/>
        <v>97</v>
      </c>
      <c r="AA181" s="83">
        <f t="shared" si="2098"/>
        <v>95</v>
      </c>
      <c r="AB181" s="83">
        <f t="shared" si="2098"/>
        <v>96</v>
      </c>
      <c r="AC181" s="83">
        <f t="shared" si="2098"/>
        <v>96</v>
      </c>
      <c r="AD181" s="83">
        <f t="shared" si="2098"/>
        <v>62</v>
      </c>
      <c r="AE181" s="83">
        <f t="shared" si="2098"/>
        <v>96</v>
      </c>
      <c r="AF181" s="83">
        <f t="shared" si="2098"/>
        <v>31</v>
      </c>
      <c r="AG181" s="83">
        <f t="shared" si="2098"/>
        <v>98</v>
      </c>
      <c r="AH181" s="83">
        <f t="shared" si="2098"/>
        <v>93</v>
      </c>
      <c r="AI181" s="83">
        <f t="shared" si="2098"/>
        <v>89</v>
      </c>
      <c r="AJ181" s="83">
        <f t="shared" si="2098"/>
        <v>0</v>
      </c>
      <c r="AK181" s="83">
        <f t="shared" si="2098"/>
        <v>0</v>
      </c>
      <c r="AL181" s="83">
        <f t="shared" si="2098"/>
        <v>0</v>
      </c>
      <c r="AM181" s="83">
        <f t="shared" si="2098"/>
        <v>0</v>
      </c>
      <c r="AN181" s="83">
        <f t="shared" si="2098"/>
        <v>0</v>
      </c>
      <c r="AO181" s="83">
        <f t="shared" si="2098"/>
        <v>0</v>
      </c>
      <c r="AP181" s="83">
        <f t="shared" si="2098"/>
        <v>0</v>
      </c>
      <c r="AQ181" s="83">
        <f t="shared" si="2098"/>
        <v>0</v>
      </c>
      <c r="AR181" s="83">
        <f t="shared" si="2098"/>
        <v>0</v>
      </c>
      <c r="AS181" s="83">
        <f t="shared" si="2098"/>
        <v>0</v>
      </c>
      <c r="AT181" s="83">
        <f t="shared" si="2098"/>
        <v>0</v>
      </c>
      <c r="AU181" s="83">
        <f t="shared" si="2098"/>
        <v>0</v>
      </c>
      <c r="AV181" s="83">
        <f t="shared" si="2098"/>
        <v>0</v>
      </c>
      <c r="AW181" s="83">
        <f t="shared" si="2098"/>
        <v>0</v>
      </c>
      <c r="AX181" s="83">
        <f t="shared" si="2098"/>
        <v>0</v>
      </c>
      <c r="AY181" s="83">
        <f t="shared" si="2098"/>
        <v>0</v>
      </c>
      <c r="AZ181" s="84">
        <f t="shared" si="2098"/>
        <v>0</v>
      </c>
      <c r="BA181" s="82">
        <f t="shared" si="1553"/>
        <v>1142</v>
      </c>
      <c r="BB181" s="81">
        <f t="shared" ca="1" si="1554"/>
        <v>0.86976389946686972</v>
      </c>
      <c r="BC181" s="82">
        <f t="shared" ref="BC181:CG181" si="2099">BC180+BC179+BC106+BC49+BC67+BC146</f>
        <v>1577</v>
      </c>
      <c r="BD181" s="83">
        <f t="shared" si="2099"/>
        <v>1307</v>
      </c>
      <c r="BE181" s="83">
        <f t="shared" si="2099"/>
        <v>1825</v>
      </c>
      <c r="BF181" s="83">
        <f t="shared" si="2099"/>
        <v>584</v>
      </c>
      <c r="BG181" s="83">
        <f t="shared" si="2099"/>
        <v>2050</v>
      </c>
      <c r="BH181" s="83">
        <f t="shared" si="2099"/>
        <v>2191</v>
      </c>
      <c r="BI181" s="83">
        <f t="shared" si="2099"/>
        <v>2159</v>
      </c>
      <c r="BJ181" s="83">
        <f t="shared" si="2099"/>
        <v>2119</v>
      </c>
      <c r="BK181" s="83">
        <f t="shared" si="2099"/>
        <v>1533</v>
      </c>
      <c r="BL181" s="83">
        <f t="shared" si="2099"/>
        <v>2459</v>
      </c>
      <c r="BM181" s="83">
        <f t="shared" si="2099"/>
        <v>670</v>
      </c>
      <c r="BN181" s="83">
        <f t="shared" si="2099"/>
        <v>2540</v>
      </c>
      <c r="BO181" s="83">
        <f t="shared" si="2099"/>
        <v>2483</v>
      </c>
      <c r="BP181" s="83">
        <f t="shared" si="2099"/>
        <v>49</v>
      </c>
      <c r="BQ181" s="83">
        <f t="shared" si="2099"/>
        <v>0</v>
      </c>
      <c r="BR181" s="83">
        <f t="shared" si="2099"/>
        <v>0</v>
      </c>
      <c r="BS181" s="83">
        <f t="shared" si="2099"/>
        <v>0</v>
      </c>
      <c r="BT181" s="83">
        <f t="shared" si="2099"/>
        <v>0</v>
      </c>
      <c r="BU181" s="83">
        <f t="shared" si="2099"/>
        <v>0</v>
      </c>
      <c r="BV181" s="83">
        <f t="shared" si="2099"/>
        <v>0</v>
      </c>
      <c r="BW181" s="83">
        <f t="shared" si="2099"/>
        <v>0</v>
      </c>
      <c r="BX181" s="83">
        <f t="shared" si="2099"/>
        <v>0</v>
      </c>
      <c r="BY181" s="83">
        <f t="shared" si="2099"/>
        <v>0</v>
      </c>
      <c r="BZ181" s="83">
        <f t="shared" si="2099"/>
        <v>0</v>
      </c>
      <c r="CA181" s="83">
        <f t="shared" si="2099"/>
        <v>0</v>
      </c>
      <c r="CB181" s="83">
        <f t="shared" si="2099"/>
        <v>0</v>
      </c>
      <c r="CC181" s="83">
        <f t="shared" si="2099"/>
        <v>0</v>
      </c>
      <c r="CD181" s="83">
        <f t="shared" si="2099"/>
        <v>0</v>
      </c>
      <c r="CE181" s="83">
        <f t="shared" si="2099"/>
        <v>0</v>
      </c>
      <c r="CF181" s="83">
        <f t="shared" si="2099"/>
        <v>0</v>
      </c>
      <c r="CG181" s="83">
        <f t="shared" si="2099"/>
        <v>0</v>
      </c>
      <c r="CH181" s="82">
        <f t="shared" si="1555"/>
        <v>23546</v>
      </c>
      <c r="CI181" s="81">
        <f t="shared" ca="1" si="1556"/>
        <v>17.932977913175932</v>
      </c>
      <c r="GM181" s="2" t="s">
        <v>17</v>
      </c>
      <c r="GN181" s="115" t="str">
        <f t="shared" si="1552"/>
        <v>STH-FMCG-DGM-01</v>
      </c>
      <c r="GO181" s="4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6"/>
      <c r="HT181" s="4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0</v>
      </c>
      <c r="IA181" s="3">
        <v>0</v>
      </c>
      <c r="IB181" s="3">
        <v>0</v>
      </c>
      <c r="IC181" s="3">
        <v>0</v>
      </c>
      <c r="ID181" s="3">
        <v>0</v>
      </c>
      <c r="IE181" s="3">
        <v>0</v>
      </c>
      <c r="IF181" s="3">
        <v>0</v>
      </c>
      <c r="IG181" s="3">
        <v>0</v>
      </c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6"/>
    </row>
    <row r="182" spans="1:258">
      <c r="A182" s="97" t="s">
        <v>25</v>
      </c>
      <c r="B182" s="98" t="s">
        <v>20</v>
      </c>
      <c r="C182" s="98" t="s">
        <v>449</v>
      </c>
      <c r="D182" s="99" t="s">
        <v>1199</v>
      </c>
      <c r="E182" s="98" t="s">
        <v>957</v>
      </c>
      <c r="F182" s="98" t="s">
        <v>450</v>
      </c>
      <c r="G182" s="98" t="s">
        <v>451</v>
      </c>
      <c r="H182" s="98" t="s">
        <v>1521</v>
      </c>
      <c r="I182" s="98" t="s">
        <v>1521</v>
      </c>
      <c r="J182" s="98" t="s">
        <v>885</v>
      </c>
      <c r="K182" s="98" t="s">
        <v>1200</v>
      </c>
      <c r="L182" s="98" t="s">
        <v>452</v>
      </c>
      <c r="M182" s="98" t="s">
        <v>1093</v>
      </c>
      <c r="N182" s="108">
        <v>45873</v>
      </c>
      <c r="O182" s="100">
        <v>1</v>
      </c>
      <c r="P182" s="69">
        <v>0</v>
      </c>
      <c r="Q182" s="69">
        <f t="shared" ref="Q182:Q188" si="2100">IFERROR(IF(OR(AI182&gt;0),1,0),0)</f>
        <v>1</v>
      </c>
      <c r="R182" s="69">
        <f t="shared" ref="R182:R188" si="2101">IFERROR(IF(OR(BA182&gt;0),1,0),0)</f>
        <v>1</v>
      </c>
      <c r="S182" s="69">
        <f t="shared" ref="S182:S188" si="2102">IFERROR(IF(OR(BP182&gt;0),1,0),0)</f>
        <v>1</v>
      </c>
      <c r="T182" s="69">
        <f t="shared" ref="T182:T188" si="2103">IFERROR(IF(OR(CH182&gt;0),1,0),0)</f>
        <v>1</v>
      </c>
      <c r="U182" s="69">
        <f t="shared" ref="U182:U188" si="2104">IFERROR(IF(OR(BA182&gt;0,CH182&gt;0),1,0),0)</f>
        <v>1</v>
      </c>
      <c r="V182" s="70">
        <f t="shared" ref="V182:V188" si="2105">GO182</f>
        <v>1</v>
      </c>
      <c r="W182" s="71">
        <f t="shared" ref="W182:W188" si="2106">GP182</f>
        <v>1</v>
      </c>
      <c r="X182" s="71">
        <f t="shared" ref="X182:X188" si="2107">GQ182</f>
        <v>1</v>
      </c>
      <c r="Y182" s="71">
        <f t="shared" ref="Y182:Y188" si="2108">GR182</f>
        <v>0</v>
      </c>
      <c r="Z182" s="71">
        <f t="shared" ref="Z182:Z188" si="2109">GS182</f>
        <v>1</v>
      </c>
      <c r="AA182" s="71">
        <f t="shared" ref="AA182:AA188" si="2110">GT182</f>
        <v>1</v>
      </c>
      <c r="AB182" s="71">
        <f t="shared" ref="AB182:AB188" si="2111">GU182</f>
        <v>1</v>
      </c>
      <c r="AC182" s="71">
        <f t="shared" ref="AC182:AC188" si="2112">GV182</f>
        <v>1</v>
      </c>
      <c r="AD182" s="71">
        <f t="shared" ref="AD182:AD188" si="2113">GW182</f>
        <v>1</v>
      </c>
      <c r="AE182" s="71">
        <f t="shared" ref="AE182:AE188" si="2114">GX182</f>
        <v>1</v>
      </c>
      <c r="AF182" s="71">
        <f t="shared" ref="AF182:AF188" si="2115">GY182</f>
        <v>0</v>
      </c>
      <c r="AG182" s="71">
        <f t="shared" ref="AG182:AG188" si="2116">GZ182</f>
        <v>1</v>
      </c>
      <c r="AH182" s="71">
        <f t="shared" ref="AH182:AH188" si="2117">HA182</f>
        <v>1</v>
      </c>
      <c r="AI182" s="71">
        <f t="shared" ref="AI182:AI188" si="2118">HB182</f>
        <v>1</v>
      </c>
      <c r="AJ182" s="71">
        <f t="shared" ref="AJ182:AJ188" si="2119">HC182</f>
        <v>0</v>
      </c>
      <c r="AK182" s="71">
        <f t="shared" ref="AK182:AK188" si="2120">HD182</f>
        <v>0</v>
      </c>
      <c r="AL182" s="71">
        <f t="shared" ref="AL182:AL188" si="2121">HE182</f>
        <v>0</v>
      </c>
      <c r="AM182" s="71">
        <f t="shared" ref="AM182:AM188" si="2122">HF182</f>
        <v>0</v>
      </c>
      <c r="AN182" s="71">
        <f t="shared" ref="AN182:AN188" si="2123">HG182</f>
        <v>0</v>
      </c>
      <c r="AO182" s="71">
        <f t="shared" ref="AO182:AO188" si="2124">HH182</f>
        <v>0</v>
      </c>
      <c r="AP182" s="71">
        <f t="shared" ref="AP182:AP188" si="2125">HI182</f>
        <v>0</v>
      </c>
      <c r="AQ182" s="71">
        <f t="shared" ref="AQ182:AQ188" si="2126">HJ182</f>
        <v>0</v>
      </c>
      <c r="AR182" s="71">
        <f t="shared" ref="AR182:AR188" si="2127">HK182</f>
        <v>0</v>
      </c>
      <c r="AS182" s="71">
        <f t="shared" ref="AS182:AS188" si="2128">HL182</f>
        <v>0</v>
      </c>
      <c r="AT182" s="71">
        <f t="shared" ref="AT182:AT188" si="2129">HM182</f>
        <v>0</v>
      </c>
      <c r="AU182" s="71">
        <f t="shared" ref="AU182:AU188" si="2130">HN182</f>
        <v>0</v>
      </c>
      <c r="AV182" s="71">
        <f t="shared" ref="AV182:AV188" si="2131">HO182</f>
        <v>0</v>
      </c>
      <c r="AW182" s="71">
        <f t="shared" ref="AW182:AW188" si="2132">HP182</f>
        <v>0</v>
      </c>
      <c r="AX182" s="71">
        <f t="shared" ref="AX182:AX188" si="2133">HQ182</f>
        <v>0</v>
      </c>
      <c r="AY182" s="71">
        <f t="shared" ref="AY182:AY188" si="2134">HR182</f>
        <v>0</v>
      </c>
      <c r="AZ182" s="72">
        <f t="shared" ref="AZ182:AZ188" si="2135">HS182</f>
        <v>0</v>
      </c>
      <c r="BA182" s="70">
        <f t="shared" si="1553"/>
        <v>12</v>
      </c>
      <c r="BB182" s="69">
        <f t="shared" ca="1" si="1554"/>
        <v>0.92307692307692313</v>
      </c>
      <c r="BC182" s="70">
        <f t="shared" ref="BC182:BC188" si="2136">HT182</f>
        <v>3</v>
      </c>
      <c r="BD182" s="71">
        <f t="shared" ref="BD182:BD188" si="2137">HU182</f>
        <v>6</v>
      </c>
      <c r="BE182" s="71">
        <f t="shared" ref="BE182:BE188" si="2138">HV182</f>
        <v>3</v>
      </c>
      <c r="BF182" s="71">
        <f t="shared" ref="BF182:BF188" si="2139">HW182</f>
        <v>0</v>
      </c>
      <c r="BG182" s="71">
        <f t="shared" ref="BG182:BG188" si="2140">HX182</f>
        <v>9</v>
      </c>
      <c r="BH182" s="71">
        <f t="shared" ref="BH182:BH188" si="2141">HY182</f>
        <v>10</v>
      </c>
      <c r="BI182" s="71">
        <f t="shared" ref="BI182:BI188" si="2142">HZ182</f>
        <v>40</v>
      </c>
      <c r="BJ182" s="71">
        <f t="shared" ref="BJ182:BJ188" si="2143">IA182</f>
        <v>40</v>
      </c>
      <c r="BK182" s="71">
        <f t="shared" ref="BK182:BK188" si="2144">IB182</f>
        <v>39</v>
      </c>
      <c r="BL182" s="71">
        <f t="shared" ref="BL182:BL188" si="2145">IC182</f>
        <v>40</v>
      </c>
      <c r="BM182" s="71">
        <f t="shared" ref="BM182:BM188" si="2146">ID182</f>
        <v>0</v>
      </c>
      <c r="BN182" s="71">
        <f t="shared" ref="BN182:BN188" si="2147">IE182</f>
        <v>41</v>
      </c>
      <c r="BO182" s="71">
        <f t="shared" ref="BO182:BO188" si="2148">IF182</f>
        <v>39</v>
      </c>
      <c r="BP182" s="71">
        <f t="shared" ref="BP182:BP188" si="2149">IG182</f>
        <v>1</v>
      </c>
      <c r="BQ182" s="71">
        <f t="shared" ref="BQ182:BQ188" si="2150">IH182</f>
        <v>0</v>
      </c>
      <c r="BR182" s="71">
        <f t="shared" ref="BR182:BR188" si="2151">II182</f>
        <v>0</v>
      </c>
      <c r="BS182" s="71">
        <f t="shared" ref="BS182:BS188" si="2152">IJ182</f>
        <v>0</v>
      </c>
      <c r="BT182" s="71">
        <f t="shared" ref="BT182:BT188" si="2153">IK182</f>
        <v>0</v>
      </c>
      <c r="BU182" s="71">
        <f t="shared" ref="BU182:BU188" si="2154">IL182</f>
        <v>0</v>
      </c>
      <c r="BV182" s="71">
        <f t="shared" ref="BV182:BV188" si="2155">IM182</f>
        <v>0</v>
      </c>
      <c r="BW182" s="71">
        <f t="shared" ref="BW182:BW188" si="2156">IN182</f>
        <v>0</v>
      </c>
      <c r="BX182" s="71">
        <f t="shared" ref="BX182:BX188" si="2157">IO182</f>
        <v>0</v>
      </c>
      <c r="BY182" s="71">
        <f t="shared" ref="BY182:BY188" si="2158">IP182</f>
        <v>0</v>
      </c>
      <c r="BZ182" s="71">
        <f t="shared" ref="BZ182:BZ188" si="2159">IQ182</f>
        <v>0</v>
      </c>
      <c r="CA182" s="71">
        <f t="shared" ref="CA182:CA188" si="2160">IR182</f>
        <v>0</v>
      </c>
      <c r="CB182" s="71">
        <f t="shared" ref="CB182:CB188" si="2161">IS182</f>
        <v>0</v>
      </c>
      <c r="CC182" s="71">
        <f t="shared" ref="CC182:CC188" si="2162">IT182</f>
        <v>0</v>
      </c>
      <c r="CD182" s="71">
        <f t="shared" ref="CD182:CD188" si="2163">IU182</f>
        <v>0</v>
      </c>
      <c r="CE182" s="71">
        <f t="shared" ref="CE182:CE188" si="2164">IV182</f>
        <v>0</v>
      </c>
      <c r="CF182" s="71">
        <f t="shared" ref="CF182:CF188" si="2165">IW182</f>
        <v>0</v>
      </c>
      <c r="CG182" s="71">
        <f t="shared" ref="CG182:CG188" si="2166">IX182</f>
        <v>0</v>
      </c>
      <c r="CH182" s="70">
        <f t="shared" si="1555"/>
        <v>271</v>
      </c>
      <c r="CI182" s="69">
        <f t="shared" ca="1" si="1556"/>
        <v>20.846153846153847</v>
      </c>
      <c r="GM182" s="2" t="s">
        <v>16</v>
      </c>
      <c r="GN182" s="98" t="str">
        <f t="shared" si="1552"/>
        <v>LHR01-FMCG-SPO-01</v>
      </c>
      <c r="GO182" s="4">
        <v>1</v>
      </c>
      <c r="GP182" s="3">
        <v>1</v>
      </c>
      <c r="GQ182" s="3">
        <v>1</v>
      </c>
      <c r="GR182" s="3">
        <v>0</v>
      </c>
      <c r="GS182" s="3">
        <v>1</v>
      </c>
      <c r="GT182" s="3">
        <v>1</v>
      </c>
      <c r="GU182" s="3">
        <v>1</v>
      </c>
      <c r="GV182" s="3">
        <v>1</v>
      </c>
      <c r="GW182" s="3">
        <v>1</v>
      </c>
      <c r="GX182" s="3">
        <v>1</v>
      </c>
      <c r="GY182" s="3">
        <v>0</v>
      </c>
      <c r="GZ182" s="3">
        <v>1</v>
      </c>
      <c r="HA182" s="3">
        <v>1</v>
      </c>
      <c r="HB182" s="3">
        <v>1</v>
      </c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6"/>
      <c r="HT182" s="4">
        <v>3</v>
      </c>
      <c r="HU182" s="3">
        <v>6</v>
      </c>
      <c r="HV182" s="3">
        <v>3</v>
      </c>
      <c r="HW182" s="3">
        <v>0</v>
      </c>
      <c r="HX182" s="3">
        <v>9</v>
      </c>
      <c r="HY182" s="3">
        <v>10</v>
      </c>
      <c r="HZ182" s="3">
        <v>40</v>
      </c>
      <c r="IA182" s="3">
        <v>40</v>
      </c>
      <c r="IB182" s="3">
        <v>39</v>
      </c>
      <c r="IC182" s="3">
        <v>40</v>
      </c>
      <c r="ID182" s="3">
        <v>0</v>
      </c>
      <c r="IE182" s="3">
        <v>41</v>
      </c>
      <c r="IF182" s="3">
        <v>39</v>
      </c>
      <c r="IG182" s="3">
        <v>1</v>
      </c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6"/>
    </row>
    <row r="183" spans="1:258">
      <c r="A183" s="106" t="s">
        <v>25</v>
      </c>
      <c r="B183" s="101" t="s">
        <v>20</v>
      </c>
      <c r="C183" s="101" t="s">
        <v>449</v>
      </c>
      <c r="D183" s="107" t="s">
        <v>1199</v>
      </c>
      <c r="E183" s="101" t="s">
        <v>958</v>
      </c>
      <c r="F183" s="101" t="s">
        <v>453</v>
      </c>
      <c r="G183" s="98" t="s">
        <v>454</v>
      </c>
      <c r="H183" s="101" t="s">
        <v>1522</v>
      </c>
      <c r="I183" s="101" t="s">
        <v>1522</v>
      </c>
      <c r="J183" s="101" t="s">
        <v>885</v>
      </c>
      <c r="K183" s="98" t="s">
        <v>1200</v>
      </c>
      <c r="L183" s="101" t="s">
        <v>888</v>
      </c>
      <c r="M183" s="101" t="s">
        <v>1093</v>
      </c>
      <c r="N183" s="139">
        <v>46220</v>
      </c>
      <c r="O183" s="100">
        <v>1</v>
      </c>
      <c r="P183" s="69">
        <v>0</v>
      </c>
      <c r="Q183" s="69">
        <f t="shared" si="2100"/>
        <v>1</v>
      </c>
      <c r="R183" s="69">
        <f t="shared" si="2101"/>
        <v>1</v>
      </c>
      <c r="S183" s="69">
        <f t="shared" si="2102"/>
        <v>0</v>
      </c>
      <c r="T183" s="69">
        <f t="shared" si="2103"/>
        <v>1</v>
      </c>
      <c r="U183" s="69">
        <f t="shared" si="2104"/>
        <v>1</v>
      </c>
      <c r="V183" s="70">
        <f t="shared" si="2105"/>
        <v>1</v>
      </c>
      <c r="W183" s="71">
        <f t="shared" si="2106"/>
        <v>1</v>
      </c>
      <c r="X183" s="71">
        <f t="shared" si="2107"/>
        <v>1</v>
      </c>
      <c r="Y183" s="71">
        <f t="shared" si="2108"/>
        <v>0</v>
      </c>
      <c r="Z183" s="71">
        <f t="shared" si="2109"/>
        <v>1</v>
      </c>
      <c r="AA183" s="71">
        <f t="shared" si="2110"/>
        <v>1</v>
      </c>
      <c r="AB183" s="71">
        <f t="shared" si="2111"/>
        <v>1</v>
      </c>
      <c r="AC183" s="71">
        <f t="shared" si="2112"/>
        <v>1</v>
      </c>
      <c r="AD183" s="71">
        <f t="shared" si="2113"/>
        <v>1</v>
      </c>
      <c r="AE183" s="71">
        <f t="shared" si="2114"/>
        <v>1</v>
      </c>
      <c r="AF183" s="71">
        <f t="shared" si="2115"/>
        <v>0</v>
      </c>
      <c r="AG183" s="71">
        <f t="shared" si="2116"/>
        <v>1</v>
      </c>
      <c r="AH183" s="71">
        <f t="shared" si="2117"/>
        <v>0</v>
      </c>
      <c r="AI183" s="71">
        <f t="shared" si="2118"/>
        <v>1</v>
      </c>
      <c r="AJ183" s="71">
        <f t="shared" si="2119"/>
        <v>0</v>
      </c>
      <c r="AK183" s="71">
        <f t="shared" si="2120"/>
        <v>0</v>
      </c>
      <c r="AL183" s="71">
        <f t="shared" si="2121"/>
        <v>0</v>
      </c>
      <c r="AM183" s="71">
        <f t="shared" si="2122"/>
        <v>0</v>
      </c>
      <c r="AN183" s="71">
        <f t="shared" si="2123"/>
        <v>0</v>
      </c>
      <c r="AO183" s="71">
        <f t="shared" si="2124"/>
        <v>0</v>
      </c>
      <c r="AP183" s="71">
        <f t="shared" si="2125"/>
        <v>0</v>
      </c>
      <c r="AQ183" s="71">
        <f t="shared" si="2126"/>
        <v>0</v>
      </c>
      <c r="AR183" s="71">
        <f t="shared" si="2127"/>
        <v>0</v>
      </c>
      <c r="AS183" s="71">
        <f t="shared" si="2128"/>
        <v>0</v>
      </c>
      <c r="AT183" s="71">
        <f t="shared" si="2129"/>
        <v>0</v>
      </c>
      <c r="AU183" s="71">
        <f t="shared" si="2130"/>
        <v>0</v>
      </c>
      <c r="AV183" s="71">
        <f t="shared" si="2131"/>
        <v>0</v>
      </c>
      <c r="AW183" s="71">
        <f t="shared" si="2132"/>
        <v>0</v>
      </c>
      <c r="AX183" s="71">
        <f t="shared" si="2133"/>
        <v>0</v>
      </c>
      <c r="AY183" s="71">
        <f t="shared" si="2134"/>
        <v>0</v>
      </c>
      <c r="AZ183" s="72">
        <f t="shared" si="2135"/>
        <v>0</v>
      </c>
      <c r="BA183" s="70">
        <f t="shared" si="1553"/>
        <v>11</v>
      </c>
      <c r="BB183" s="69">
        <f t="shared" ca="1" si="1554"/>
        <v>0.84615384615384615</v>
      </c>
      <c r="BC183" s="70">
        <f t="shared" si="2136"/>
        <v>10</v>
      </c>
      <c r="BD183" s="71">
        <f t="shared" si="2137"/>
        <v>13</v>
      </c>
      <c r="BE183" s="71">
        <f t="shared" si="2138"/>
        <v>7</v>
      </c>
      <c r="BF183" s="71">
        <f t="shared" si="2139"/>
        <v>0</v>
      </c>
      <c r="BG183" s="71">
        <f t="shared" si="2140"/>
        <v>7</v>
      </c>
      <c r="BH183" s="71">
        <f t="shared" si="2141"/>
        <v>10</v>
      </c>
      <c r="BI183" s="71">
        <f t="shared" si="2142"/>
        <v>0</v>
      </c>
      <c r="BJ183" s="71">
        <f t="shared" si="2143"/>
        <v>41</v>
      </c>
      <c r="BK183" s="71">
        <f t="shared" si="2144"/>
        <v>42</v>
      </c>
      <c r="BL183" s="71">
        <f t="shared" si="2145"/>
        <v>40</v>
      </c>
      <c r="BM183" s="71">
        <f t="shared" si="2146"/>
        <v>0</v>
      </c>
      <c r="BN183" s="71">
        <f t="shared" si="2147"/>
        <v>39</v>
      </c>
      <c r="BO183" s="71">
        <f t="shared" si="2148"/>
        <v>40</v>
      </c>
      <c r="BP183" s="71">
        <f t="shared" si="2149"/>
        <v>0</v>
      </c>
      <c r="BQ183" s="71">
        <f t="shared" si="2150"/>
        <v>0</v>
      </c>
      <c r="BR183" s="71">
        <f t="shared" si="2151"/>
        <v>0</v>
      </c>
      <c r="BS183" s="71">
        <f t="shared" si="2152"/>
        <v>0</v>
      </c>
      <c r="BT183" s="71">
        <f t="shared" si="2153"/>
        <v>0</v>
      </c>
      <c r="BU183" s="71">
        <f t="shared" si="2154"/>
        <v>0</v>
      </c>
      <c r="BV183" s="71">
        <f t="shared" si="2155"/>
        <v>0</v>
      </c>
      <c r="BW183" s="71">
        <f t="shared" si="2156"/>
        <v>0</v>
      </c>
      <c r="BX183" s="71">
        <f t="shared" si="2157"/>
        <v>0</v>
      </c>
      <c r="BY183" s="71">
        <f t="shared" si="2158"/>
        <v>0</v>
      </c>
      <c r="BZ183" s="71">
        <f t="shared" si="2159"/>
        <v>0</v>
      </c>
      <c r="CA183" s="71">
        <f t="shared" si="2160"/>
        <v>0</v>
      </c>
      <c r="CB183" s="71">
        <f t="shared" si="2161"/>
        <v>0</v>
      </c>
      <c r="CC183" s="71">
        <f t="shared" si="2162"/>
        <v>0</v>
      </c>
      <c r="CD183" s="71">
        <f t="shared" si="2163"/>
        <v>0</v>
      </c>
      <c r="CE183" s="71">
        <f t="shared" si="2164"/>
        <v>0</v>
      </c>
      <c r="CF183" s="71">
        <f t="shared" si="2165"/>
        <v>0</v>
      </c>
      <c r="CG183" s="71">
        <f t="shared" si="2166"/>
        <v>0</v>
      </c>
      <c r="CH183" s="70">
        <f t="shared" si="1555"/>
        <v>249</v>
      </c>
      <c r="CI183" s="69">
        <f t="shared" ca="1" si="1556"/>
        <v>19.153846153846153</v>
      </c>
      <c r="GM183" s="2" t="s">
        <v>16</v>
      </c>
      <c r="GN183" s="101" t="str">
        <f t="shared" si="1552"/>
        <v>LHR01-FMCG-SPO-02</v>
      </c>
      <c r="GO183" s="4">
        <v>1</v>
      </c>
      <c r="GP183" s="3">
        <v>1</v>
      </c>
      <c r="GQ183" s="3">
        <v>1</v>
      </c>
      <c r="GR183" s="3">
        <v>0</v>
      </c>
      <c r="GS183" s="3">
        <v>1</v>
      </c>
      <c r="GT183" s="3">
        <v>1</v>
      </c>
      <c r="GU183" s="3">
        <v>1</v>
      </c>
      <c r="GV183" s="3">
        <v>1</v>
      </c>
      <c r="GW183" s="3">
        <v>1</v>
      </c>
      <c r="GX183" s="3">
        <v>1</v>
      </c>
      <c r="GY183" s="3">
        <v>0</v>
      </c>
      <c r="GZ183" s="3">
        <v>1</v>
      </c>
      <c r="HA183" s="3">
        <v>0</v>
      </c>
      <c r="HB183" s="3">
        <v>1</v>
      </c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6"/>
      <c r="HT183" s="4">
        <v>10</v>
      </c>
      <c r="HU183" s="3">
        <v>13</v>
      </c>
      <c r="HV183" s="3">
        <v>7</v>
      </c>
      <c r="HW183" s="3">
        <v>0</v>
      </c>
      <c r="HX183" s="3">
        <v>7</v>
      </c>
      <c r="HY183" s="3">
        <v>10</v>
      </c>
      <c r="HZ183" s="3">
        <v>0</v>
      </c>
      <c r="IA183" s="3">
        <v>41</v>
      </c>
      <c r="IB183" s="3">
        <v>42</v>
      </c>
      <c r="IC183" s="3">
        <v>40</v>
      </c>
      <c r="ID183" s="3">
        <v>0</v>
      </c>
      <c r="IE183" s="3">
        <v>39</v>
      </c>
      <c r="IF183" s="3">
        <v>40</v>
      </c>
      <c r="IG183" s="3">
        <v>0</v>
      </c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6"/>
    </row>
    <row r="184" spans="1:258">
      <c r="A184" s="97" t="s">
        <v>25</v>
      </c>
      <c r="B184" s="98" t="s">
        <v>20</v>
      </c>
      <c r="C184" s="98" t="s">
        <v>449</v>
      </c>
      <c r="D184" s="99" t="s">
        <v>1199</v>
      </c>
      <c r="E184" s="98" t="s">
        <v>959</v>
      </c>
      <c r="F184" s="98" t="s">
        <v>456</v>
      </c>
      <c r="G184" s="98" t="s">
        <v>457</v>
      </c>
      <c r="H184" s="101" t="s">
        <v>1523</v>
      </c>
      <c r="I184" s="101" t="s">
        <v>1523</v>
      </c>
      <c r="J184" s="98" t="s">
        <v>885</v>
      </c>
      <c r="K184" s="98" t="s">
        <v>1200</v>
      </c>
      <c r="L184" s="98" t="s">
        <v>455</v>
      </c>
      <c r="M184" s="101" t="s">
        <v>1093</v>
      </c>
      <c r="N184" s="139">
        <v>45971</v>
      </c>
      <c r="O184" s="100">
        <v>1</v>
      </c>
      <c r="P184" s="69">
        <v>0</v>
      </c>
      <c r="Q184" s="69">
        <f t="shared" si="2100"/>
        <v>1</v>
      </c>
      <c r="R184" s="69">
        <f t="shared" si="2101"/>
        <v>1</v>
      </c>
      <c r="S184" s="69">
        <f t="shared" si="2102"/>
        <v>0</v>
      </c>
      <c r="T184" s="69">
        <f t="shared" si="2103"/>
        <v>1</v>
      </c>
      <c r="U184" s="69">
        <f t="shared" si="2104"/>
        <v>1</v>
      </c>
      <c r="V184" s="70">
        <f t="shared" si="2105"/>
        <v>1</v>
      </c>
      <c r="W184" s="71">
        <f t="shared" si="2106"/>
        <v>1</v>
      </c>
      <c r="X184" s="71">
        <f t="shared" si="2107"/>
        <v>1</v>
      </c>
      <c r="Y184" s="71">
        <f t="shared" si="2108"/>
        <v>0</v>
      </c>
      <c r="Z184" s="71">
        <f t="shared" si="2109"/>
        <v>1</v>
      </c>
      <c r="AA184" s="71">
        <f t="shared" si="2110"/>
        <v>1</v>
      </c>
      <c r="AB184" s="71">
        <f t="shared" si="2111"/>
        <v>1</v>
      </c>
      <c r="AC184" s="71">
        <f t="shared" si="2112"/>
        <v>1</v>
      </c>
      <c r="AD184" s="71">
        <f t="shared" si="2113"/>
        <v>1</v>
      </c>
      <c r="AE184" s="71">
        <f t="shared" si="2114"/>
        <v>1</v>
      </c>
      <c r="AF184" s="71">
        <f t="shared" si="2115"/>
        <v>0</v>
      </c>
      <c r="AG184" s="71">
        <f t="shared" si="2116"/>
        <v>1</v>
      </c>
      <c r="AH184" s="71">
        <f t="shared" si="2117"/>
        <v>1</v>
      </c>
      <c r="AI184" s="71">
        <f t="shared" si="2118"/>
        <v>1</v>
      </c>
      <c r="AJ184" s="71">
        <f t="shared" si="2119"/>
        <v>0</v>
      </c>
      <c r="AK184" s="71">
        <f t="shared" si="2120"/>
        <v>0</v>
      </c>
      <c r="AL184" s="71">
        <f t="shared" si="2121"/>
        <v>0</v>
      </c>
      <c r="AM184" s="71">
        <f t="shared" si="2122"/>
        <v>0</v>
      </c>
      <c r="AN184" s="71">
        <f t="shared" si="2123"/>
        <v>0</v>
      </c>
      <c r="AO184" s="71">
        <f t="shared" si="2124"/>
        <v>0</v>
      </c>
      <c r="AP184" s="71">
        <f t="shared" si="2125"/>
        <v>0</v>
      </c>
      <c r="AQ184" s="71">
        <f t="shared" si="2126"/>
        <v>0</v>
      </c>
      <c r="AR184" s="71">
        <f t="shared" si="2127"/>
        <v>0</v>
      </c>
      <c r="AS184" s="71">
        <f t="shared" si="2128"/>
        <v>0</v>
      </c>
      <c r="AT184" s="71">
        <f t="shared" si="2129"/>
        <v>0</v>
      </c>
      <c r="AU184" s="71">
        <f t="shared" si="2130"/>
        <v>0</v>
      </c>
      <c r="AV184" s="71">
        <f t="shared" si="2131"/>
        <v>0</v>
      </c>
      <c r="AW184" s="71">
        <f t="shared" si="2132"/>
        <v>0</v>
      </c>
      <c r="AX184" s="71">
        <f t="shared" si="2133"/>
        <v>0</v>
      </c>
      <c r="AY184" s="71">
        <f t="shared" si="2134"/>
        <v>0</v>
      </c>
      <c r="AZ184" s="72">
        <f t="shared" si="2135"/>
        <v>0</v>
      </c>
      <c r="BA184" s="70">
        <f t="shared" si="1553"/>
        <v>12</v>
      </c>
      <c r="BB184" s="69">
        <f t="shared" ca="1" si="1554"/>
        <v>0.92307692307692313</v>
      </c>
      <c r="BC184" s="70">
        <f t="shared" si="2136"/>
        <v>1</v>
      </c>
      <c r="BD184" s="71">
        <f t="shared" si="2137"/>
        <v>5</v>
      </c>
      <c r="BE184" s="71">
        <f t="shared" si="2138"/>
        <v>3</v>
      </c>
      <c r="BF184" s="71">
        <f t="shared" si="2139"/>
        <v>0</v>
      </c>
      <c r="BG184" s="71">
        <f t="shared" si="2140"/>
        <v>1</v>
      </c>
      <c r="BH184" s="71">
        <f t="shared" si="2141"/>
        <v>11</v>
      </c>
      <c r="BI184" s="71">
        <f t="shared" si="2142"/>
        <v>10</v>
      </c>
      <c r="BJ184" s="71">
        <f t="shared" si="2143"/>
        <v>40</v>
      </c>
      <c r="BK184" s="71">
        <f t="shared" si="2144"/>
        <v>39</v>
      </c>
      <c r="BL184" s="71">
        <f t="shared" si="2145"/>
        <v>39</v>
      </c>
      <c r="BM184" s="71">
        <f t="shared" si="2146"/>
        <v>0</v>
      </c>
      <c r="BN184" s="71">
        <f t="shared" si="2147"/>
        <v>40</v>
      </c>
      <c r="BO184" s="71">
        <f t="shared" si="2148"/>
        <v>29</v>
      </c>
      <c r="BP184" s="71">
        <f t="shared" si="2149"/>
        <v>0</v>
      </c>
      <c r="BQ184" s="71">
        <f t="shared" si="2150"/>
        <v>0</v>
      </c>
      <c r="BR184" s="71">
        <f t="shared" si="2151"/>
        <v>0</v>
      </c>
      <c r="BS184" s="71">
        <f t="shared" si="2152"/>
        <v>0</v>
      </c>
      <c r="BT184" s="71">
        <f t="shared" si="2153"/>
        <v>0</v>
      </c>
      <c r="BU184" s="71">
        <f t="shared" si="2154"/>
        <v>0</v>
      </c>
      <c r="BV184" s="71">
        <f t="shared" si="2155"/>
        <v>0</v>
      </c>
      <c r="BW184" s="71">
        <f t="shared" si="2156"/>
        <v>0</v>
      </c>
      <c r="BX184" s="71">
        <f t="shared" si="2157"/>
        <v>0</v>
      </c>
      <c r="BY184" s="71">
        <f t="shared" si="2158"/>
        <v>0</v>
      </c>
      <c r="BZ184" s="71">
        <f t="shared" si="2159"/>
        <v>0</v>
      </c>
      <c r="CA184" s="71">
        <f t="shared" si="2160"/>
        <v>0</v>
      </c>
      <c r="CB184" s="71">
        <f t="shared" si="2161"/>
        <v>0</v>
      </c>
      <c r="CC184" s="71">
        <f t="shared" si="2162"/>
        <v>0</v>
      </c>
      <c r="CD184" s="71">
        <f t="shared" si="2163"/>
        <v>0</v>
      </c>
      <c r="CE184" s="71">
        <f t="shared" si="2164"/>
        <v>0</v>
      </c>
      <c r="CF184" s="71">
        <f t="shared" si="2165"/>
        <v>0</v>
      </c>
      <c r="CG184" s="71">
        <f t="shared" si="2166"/>
        <v>0</v>
      </c>
      <c r="CH184" s="70">
        <f t="shared" si="1555"/>
        <v>218</v>
      </c>
      <c r="CI184" s="69">
        <f t="shared" ca="1" si="1556"/>
        <v>16.76923076923077</v>
      </c>
      <c r="GM184" s="2" t="s">
        <v>16</v>
      </c>
      <c r="GN184" s="98" t="str">
        <f t="shared" si="1552"/>
        <v>LHR01-FMCG-SPO-03</v>
      </c>
      <c r="GO184" s="4">
        <v>1</v>
      </c>
      <c r="GP184" s="3">
        <v>1</v>
      </c>
      <c r="GQ184" s="3">
        <v>1</v>
      </c>
      <c r="GR184" s="3">
        <v>0</v>
      </c>
      <c r="GS184" s="3">
        <v>1</v>
      </c>
      <c r="GT184" s="3">
        <v>1</v>
      </c>
      <c r="GU184" s="3">
        <v>1</v>
      </c>
      <c r="GV184" s="3">
        <v>1</v>
      </c>
      <c r="GW184" s="3">
        <v>1</v>
      </c>
      <c r="GX184" s="3">
        <v>1</v>
      </c>
      <c r="GY184" s="3">
        <v>0</v>
      </c>
      <c r="GZ184" s="3">
        <v>1</v>
      </c>
      <c r="HA184" s="3">
        <v>1</v>
      </c>
      <c r="HB184" s="3">
        <v>1</v>
      </c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6"/>
      <c r="HT184" s="4">
        <v>1</v>
      </c>
      <c r="HU184" s="3">
        <v>5</v>
      </c>
      <c r="HV184" s="3">
        <v>3</v>
      </c>
      <c r="HW184" s="3">
        <v>0</v>
      </c>
      <c r="HX184" s="3">
        <v>1</v>
      </c>
      <c r="HY184" s="3">
        <v>11</v>
      </c>
      <c r="HZ184" s="3">
        <v>10</v>
      </c>
      <c r="IA184" s="3">
        <v>40</v>
      </c>
      <c r="IB184" s="3">
        <v>39</v>
      </c>
      <c r="IC184" s="3">
        <v>39</v>
      </c>
      <c r="ID184" s="3">
        <v>0</v>
      </c>
      <c r="IE184" s="3">
        <v>40</v>
      </c>
      <c r="IF184" s="3">
        <v>29</v>
      </c>
      <c r="IG184" s="3">
        <v>0</v>
      </c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6"/>
    </row>
    <row r="185" spans="1:258">
      <c r="A185" s="97" t="s">
        <v>25</v>
      </c>
      <c r="B185" s="98" t="s">
        <v>20</v>
      </c>
      <c r="C185" s="98" t="s">
        <v>449</v>
      </c>
      <c r="D185" s="99" t="s">
        <v>1199</v>
      </c>
      <c r="E185" s="98" t="s">
        <v>960</v>
      </c>
      <c r="F185" s="98" t="s">
        <v>459</v>
      </c>
      <c r="G185" s="98" t="s">
        <v>460</v>
      </c>
      <c r="H185" s="98" t="s">
        <v>1524</v>
      </c>
      <c r="I185" s="98" t="s">
        <v>1524</v>
      </c>
      <c r="J185" s="98" t="s">
        <v>885</v>
      </c>
      <c r="K185" s="98" t="s">
        <v>1200</v>
      </c>
      <c r="L185" s="98">
        <v>5354</v>
      </c>
      <c r="M185" s="101" t="s">
        <v>1162</v>
      </c>
      <c r="N185" s="139">
        <v>45626</v>
      </c>
      <c r="O185" s="100">
        <v>1</v>
      </c>
      <c r="P185" s="69">
        <v>0</v>
      </c>
      <c r="Q185" s="69">
        <f t="shared" si="2100"/>
        <v>1</v>
      </c>
      <c r="R185" s="69">
        <f t="shared" si="2101"/>
        <v>1</v>
      </c>
      <c r="S185" s="69">
        <f t="shared" si="2102"/>
        <v>0</v>
      </c>
      <c r="T185" s="69">
        <f t="shared" si="2103"/>
        <v>1</v>
      </c>
      <c r="U185" s="69">
        <f t="shared" si="2104"/>
        <v>1</v>
      </c>
      <c r="V185" s="70">
        <f t="shared" si="2105"/>
        <v>1</v>
      </c>
      <c r="W185" s="71">
        <f t="shared" si="2106"/>
        <v>1</v>
      </c>
      <c r="X185" s="71">
        <f t="shared" si="2107"/>
        <v>1</v>
      </c>
      <c r="Y185" s="71">
        <f t="shared" si="2108"/>
        <v>0</v>
      </c>
      <c r="Z185" s="71">
        <f t="shared" si="2109"/>
        <v>1</v>
      </c>
      <c r="AA185" s="71">
        <f t="shared" si="2110"/>
        <v>1</v>
      </c>
      <c r="AB185" s="71">
        <f t="shared" si="2111"/>
        <v>1</v>
      </c>
      <c r="AC185" s="71">
        <f t="shared" si="2112"/>
        <v>1</v>
      </c>
      <c r="AD185" s="71">
        <f t="shared" si="2113"/>
        <v>1</v>
      </c>
      <c r="AE185" s="71">
        <f t="shared" si="2114"/>
        <v>1</v>
      </c>
      <c r="AF185" s="71">
        <f t="shared" si="2115"/>
        <v>0</v>
      </c>
      <c r="AG185" s="71">
        <f t="shared" si="2116"/>
        <v>1</v>
      </c>
      <c r="AH185" s="71">
        <f t="shared" si="2117"/>
        <v>1</v>
      </c>
      <c r="AI185" s="71">
        <f t="shared" si="2118"/>
        <v>1</v>
      </c>
      <c r="AJ185" s="71">
        <f t="shared" si="2119"/>
        <v>0</v>
      </c>
      <c r="AK185" s="71">
        <f t="shared" si="2120"/>
        <v>0</v>
      </c>
      <c r="AL185" s="71">
        <f t="shared" si="2121"/>
        <v>0</v>
      </c>
      <c r="AM185" s="71">
        <f t="shared" si="2122"/>
        <v>0</v>
      </c>
      <c r="AN185" s="71">
        <f t="shared" si="2123"/>
        <v>0</v>
      </c>
      <c r="AO185" s="71">
        <f t="shared" si="2124"/>
        <v>0</v>
      </c>
      <c r="AP185" s="71">
        <f t="shared" si="2125"/>
        <v>0</v>
      </c>
      <c r="AQ185" s="71">
        <f t="shared" si="2126"/>
        <v>0</v>
      </c>
      <c r="AR185" s="71">
        <f t="shared" si="2127"/>
        <v>0</v>
      </c>
      <c r="AS185" s="71">
        <f t="shared" si="2128"/>
        <v>0</v>
      </c>
      <c r="AT185" s="71">
        <f t="shared" si="2129"/>
        <v>0</v>
      </c>
      <c r="AU185" s="71">
        <f t="shared" si="2130"/>
        <v>0</v>
      </c>
      <c r="AV185" s="71">
        <f t="shared" si="2131"/>
        <v>0</v>
      </c>
      <c r="AW185" s="71">
        <f t="shared" si="2132"/>
        <v>0</v>
      </c>
      <c r="AX185" s="71">
        <f t="shared" si="2133"/>
        <v>0</v>
      </c>
      <c r="AY185" s="71">
        <f t="shared" si="2134"/>
        <v>0</v>
      </c>
      <c r="AZ185" s="72">
        <f t="shared" si="2135"/>
        <v>0</v>
      </c>
      <c r="BA185" s="70">
        <f t="shared" si="1553"/>
        <v>12</v>
      </c>
      <c r="BB185" s="69">
        <f t="shared" ca="1" si="1554"/>
        <v>0.92307692307692313</v>
      </c>
      <c r="BC185" s="70">
        <f t="shared" si="2136"/>
        <v>10</v>
      </c>
      <c r="BD185" s="71">
        <f t="shared" si="2137"/>
        <v>0</v>
      </c>
      <c r="BE185" s="71">
        <f t="shared" si="2138"/>
        <v>0</v>
      </c>
      <c r="BF185" s="71">
        <f t="shared" si="2139"/>
        <v>0</v>
      </c>
      <c r="BG185" s="71">
        <f t="shared" si="2140"/>
        <v>30</v>
      </c>
      <c r="BH185" s="71">
        <f t="shared" si="2141"/>
        <v>49</v>
      </c>
      <c r="BI185" s="71">
        <f t="shared" si="2142"/>
        <v>44</v>
      </c>
      <c r="BJ185" s="71">
        <f t="shared" si="2143"/>
        <v>41</v>
      </c>
      <c r="BK185" s="71">
        <f t="shared" si="2144"/>
        <v>43</v>
      </c>
      <c r="BL185" s="71">
        <f t="shared" si="2145"/>
        <v>48</v>
      </c>
      <c r="BM185" s="71">
        <f t="shared" si="2146"/>
        <v>0</v>
      </c>
      <c r="BN185" s="71">
        <f t="shared" si="2147"/>
        <v>43</v>
      </c>
      <c r="BO185" s="71">
        <f t="shared" si="2148"/>
        <v>49</v>
      </c>
      <c r="BP185" s="71">
        <f t="shared" si="2149"/>
        <v>0</v>
      </c>
      <c r="BQ185" s="71">
        <f t="shared" si="2150"/>
        <v>0</v>
      </c>
      <c r="BR185" s="71">
        <f t="shared" si="2151"/>
        <v>0</v>
      </c>
      <c r="BS185" s="71">
        <f t="shared" si="2152"/>
        <v>0</v>
      </c>
      <c r="BT185" s="71">
        <f t="shared" si="2153"/>
        <v>0</v>
      </c>
      <c r="BU185" s="71">
        <f t="shared" si="2154"/>
        <v>0</v>
      </c>
      <c r="BV185" s="71">
        <f t="shared" si="2155"/>
        <v>0</v>
      </c>
      <c r="BW185" s="71">
        <f t="shared" si="2156"/>
        <v>0</v>
      </c>
      <c r="BX185" s="71">
        <f t="shared" si="2157"/>
        <v>0</v>
      </c>
      <c r="BY185" s="71">
        <f t="shared" si="2158"/>
        <v>0</v>
      </c>
      <c r="BZ185" s="71">
        <f t="shared" si="2159"/>
        <v>0</v>
      </c>
      <c r="CA185" s="71">
        <f t="shared" si="2160"/>
        <v>0</v>
      </c>
      <c r="CB185" s="71">
        <f t="shared" si="2161"/>
        <v>0</v>
      </c>
      <c r="CC185" s="71">
        <f t="shared" si="2162"/>
        <v>0</v>
      </c>
      <c r="CD185" s="71">
        <f t="shared" si="2163"/>
        <v>0</v>
      </c>
      <c r="CE185" s="71">
        <f t="shared" si="2164"/>
        <v>0</v>
      </c>
      <c r="CF185" s="71">
        <f t="shared" si="2165"/>
        <v>0</v>
      </c>
      <c r="CG185" s="71">
        <f t="shared" si="2166"/>
        <v>0</v>
      </c>
      <c r="CH185" s="70">
        <f t="shared" si="1555"/>
        <v>357</v>
      </c>
      <c r="CI185" s="69">
        <f t="shared" ca="1" si="1556"/>
        <v>27.46153846153846</v>
      </c>
      <c r="GM185" s="2" t="s">
        <v>16</v>
      </c>
      <c r="GN185" s="98" t="str">
        <f t="shared" si="1552"/>
        <v>LHR01-FMCG-SPO-04</v>
      </c>
      <c r="GO185" s="4">
        <v>1</v>
      </c>
      <c r="GP185" s="3">
        <v>1</v>
      </c>
      <c r="GQ185" s="3">
        <v>1</v>
      </c>
      <c r="GR185" s="3">
        <v>0</v>
      </c>
      <c r="GS185" s="3">
        <v>1</v>
      </c>
      <c r="GT185" s="3">
        <v>1</v>
      </c>
      <c r="GU185" s="3">
        <v>1</v>
      </c>
      <c r="GV185" s="3">
        <v>1</v>
      </c>
      <c r="GW185" s="3">
        <v>1</v>
      </c>
      <c r="GX185" s="3">
        <v>1</v>
      </c>
      <c r="GY185" s="3">
        <v>0</v>
      </c>
      <c r="GZ185" s="3">
        <v>1</v>
      </c>
      <c r="HA185" s="3">
        <v>1</v>
      </c>
      <c r="HB185" s="3">
        <v>1</v>
      </c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6"/>
      <c r="HT185" s="4">
        <v>10</v>
      </c>
      <c r="HU185" s="3">
        <v>0</v>
      </c>
      <c r="HV185" s="3">
        <v>0</v>
      </c>
      <c r="HW185" s="3">
        <v>0</v>
      </c>
      <c r="HX185" s="3">
        <v>30</v>
      </c>
      <c r="HY185" s="3">
        <v>49</v>
      </c>
      <c r="HZ185" s="3">
        <v>44</v>
      </c>
      <c r="IA185" s="3">
        <v>41</v>
      </c>
      <c r="IB185" s="3">
        <v>43</v>
      </c>
      <c r="IC185" s="3">
        <v>48</v>
      </c>
      <c r="ID185" s="3">
        <v>0</v>
      </c>
      <c r="IE185" s="3">
        <v>43</v>
      </c>
      <c r="IF185" s="3">
        <v>49</v>
      </c>
      <c r="IG185" s="3">
        <v>0</v>
      </c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6"/>
    </row>
    <row r="186" spans="1:258">
      <c r="A186" s="97" t="s">
        <v>25</v>
      </c>
      <c r="B186" s="98" t="s">
        <v>20</v>
      </c>
      <c r="C186" s="98" t="s">
        <v>449</v>
      </c>
      <c r="D186" s="99" t="s">
        <v>1199</v>
      </c>
      <c r="E186" s="98" t="s">
        <v>961</v>
      </c>
      <c r="F186" s="98" t="s">
        <v>1055</v>
      </c>
      <c r="G186" s="98" t="s">
        <v>471</v>
      </c>
      <c r="H186" s="98" t="s">
        <v>1740</v>
      </c>
      <c r="I186" s="98" t="s">
        <v>1525</v>
      </c>
      <c r="J186" s="98" t="s">
        <v>1201</v>
      </c>
      <c r="K186" s="98" t="s">
        <v>1202</v>
      </c>
      <c r="L186" s="98" t="s">
        <v>950</v>
      </c>
      <c r="M186" s="98" t="s">
        <v>1093</v>
      </c>
      <c r="N186" s="108" t="s">
        <v>1708</v>
      </c>
      <c r="O186" s="100">
        <v>1</v>
      </c>
      <c r="P186" s="69">
        <v>0</v>
      </c>
      <c r="Q186" s="69">
        <f t="shared" si="2100"/>
        <v>0</v>
      </c>
      <c r="R186" s="69">
        <f t="shared" si="2101"/>
        <v>1</v>
      </c>
      <c r="S186" s="69">
        <f t="shared" si="2102"/>
        <v>0</v>
      </c>
      <c r="T186" s="69">
        <f t="shared" si="2103"/>
        <v>0</v>
      </c>
      <c r="U186" s="69">
        <f t="shared" si="2104"/>
        <v>1</v>
      </c>
      <c r="V186" s="70">
        <f t="shared" si="2105"/>
        <v>1</v>
      </c>
      <c r="W186" s="71">
        <f t="shared" si="2106"/>
        <v>0</v>
      </c>
      <c r="X186" s="71">
        <f t="shared" si="2107"/>
        <v>1</v>
      </c>
      <c r="Y186" s="71">
        <f t="shared" si="2108"/>
        <v>1</v>
      </c>
      <c r="Z186" s="71">
        <f t="shared" si="2109"/>
        <v>1</v>
      </c>
      <c r="AA186" s="71">
        <f t="shared" si="2110"/>
        <v>1</v>
      </c>
      <c r="AB186" s="71">
        <f t="shared" si="2111"/>
        <v>1</v>
      </c>
      <c r="AC186" s="71">
        <f t="shared" si="2112"/>
        <v>0</v>
      </c>
      <c r="AD186" s="71">
        <f t="shared" si="2113"/>
        <v>0</v>
      </c>
      <c r="AE186" s="71">
        <f t="shared" si="2114"/>
        <v>1</v>
      </c>
      <c r="AF186" s="71">
        <f t="shared" si="2115"/>
        <v>0</v>
      </c>
      <c r="AG186" s="71">
        <f t="shared" si="2116"/>
        <v>0</v>
      </c>
      <c r="AH186" s="71">
        <f t="shared" si="2117"/>
        <v>0</v>
      </c>
      <c r="AI186" s="71">
        <f t="shared" si="2118"/>
        <v>0</v>
      </c>
      <c r="AJ186" s="71">
        <f t="shared" si="2119"/>
        <v>0</v>
      </c>
      <c r="AK186" s="71">
        <f t="shared" si="2120"/>
        <v>0</v>
      </c>
      <c r="AL186" s="71">
        <f t="shared" si="2121"/>
        <v>0</v>
      </c>
      <c r="AM186" s="71">
        <f t="shared" si="2122"/>
        <v>0</v>
      </c>
      <c r="AN186" s="71">
        <f t="shared" si="2123"/>
        <v>0</v>
      </c>
      <c r="AO186" s="71">
        <f t="shared" si="2124"/>
        <v>0</v>
      </c>
      <c r="AP186" s="71">
        <f t="shared" si="2125"/>
        <v>0</v>
      </c>
      <c r="AQ186" s="71">
        <f t="shared" si="2126"/>
        <v>0</v>
      </c>
      <c r="AR186" s="71">
        <f t="shared" si="2127"/>
        <v>0</v>
      </c>
      <c r="AS186" s="71">
        <f t="shared" si="2128"/>
        <v>0</v>
      </c>
      <c r="AT186" s="71">
        <f t="shared" si="2129"/>
        <v>0</v>
      </c>
      <c r="AU186" s="71">
        <f t="shared" si="2130"/>
        <v>0</v>
      </c>
      <c r="AV186" s="71">
        <f t="shared" si="2131"/>
        <v>0</v>
      </c>
      <c r="AW186" s="71">
        <f t="shared" si="2132"/>
        <v>0</v>
      </c>
      <c r="AX186" s="71">
        <f t="shared" si="2133"/>
        <v>0</v>
      </c>
      <c r="AY186" s="71">
        <f t="shared" si="2134"/>
        <v>0</v>
      </c>
      <c r="AZ186" s="72">
        <f t="shared" si="2135"/>
        <v>0</v>
      </c>
      <c r="BA186" s="70">
        <f t="shared" si="1553"/>
        <v>7</v>
      </c>
      <c r="BB186" s="69">
        <f t="shared" ca="1" si="1554"/>
        <v>0.53846153846153844</v>
      </c>
      <c r="BC186" s="70">
        <f t="shared" si="2136"/>
        <v>0</v>
      </c>
      <c r="BD186" s="71">
        <f t="shared" si="2137"/>
        <v>0</v>
      </c>
      <c r="BE186" s="71">
        <f t="shared" si="2138"/>
        <v>0</v>
      </c>
      <c r="BF186" s="71">
        <f t="shared" si="2139"/>
        <v>0</v>
      </c>
      <c r="BG186" s="71">
        <f t="shared" si="2140"/>
        <v>0</v>
      </c>
      <c r="BH186" s="71">
        <f t="shared" si="2141"/>
        <v>0</v>
      </c>
      <c r="BI186" s="71">
        <f t="shared" si="2142"/>
        <v>0</v>
      </c>
      <c r="BJ186" s="71">
        <f t="shared" si="2143"/>
        <v>0</v>
      </c>
      <c r="BK186" s="71">
        <f t="shared" si="2144"/>
        <v>0</v>
      </c>
      <c r="BL186" s="71">
        <f t="shared" si="2145"/>
        <v>0</v>
      </c>
      <c r="BM186" s="71">
        <f t="shared" si="2146"/>
        <v>0</v>
      </c>
      <c r="BN186" s="71">
        <f t="shared" si="2147"/>
        <v>0</v>
      </c>
      <c r="BO186" s="71">
        <f t="shared" si="2148"/>
        <v>0</v>
      </c>
      <c r="BP186" s="71">
        <f t="shared" si="2149"/>
        <v>0</v>
      </c>
      <c r="BQ186" s="71">
        <f t="shared" si="2150"/>
        <v>0</v>
      </c>
      <c r="BR186" s="71">
        <f t="shared" si="2151"/>
        <v>0</v>
      </c>
      <c r="BS186" s="71">
        <f t="shared" si="2152"/>
        <v>0</v>
      </c>
      <c r="BT186" s="71">
        <f t="shared" si="2153"/>
        <v>0</v>
      </c>
      <c r="BU186" s="71">
        <f t="shared" si="2154"/>
        <v>0</v>
      </c>
      <c r="BV186" s="71">
        <f t="shared" si="2155"/>
        <v>0</v>
      </c>
      <c r="BW186" s="71">
        <f t="shared" si="2156"/>
        <v>0</v>
      </c>
      <c r="BX186" s="71">
        <f t="shared" si="2157"/>
        <v>0</v>
      </c>
      <c r="BY186" s="71">
        <f t="shared" si="2158"/>
        <v>0</v>
      </c>
      <c r="BZ186" s="71">
        <f t="shared" si="2159"/>
        <v>0</v>
      </c>
      <c r="CA186" s="71">
        <f t="shared" si="2160"/>
        <v>0</v>
      </c>
      <c r="CB186" s="71">
        <f t="shared" si="2161"/>
        <v>0</v>
      </c>
      <c r="CC186" s="71">
        <f t="shared" si="2162"/>
        <v>0</v>
      </c>
      <c r="CD186" s="71">
        <f t="shared" si="2163"/>
        <v>0</v>
      </c>
      <c r="CE186" s="71">
        <f t="shared" si="2164"/>
        <v>0</v>
      </c>
      <c r="CF186" s="71">
        <f t="shared" si="2165"/>
        <v>0</v>
      </c>
      <c r="CG186" s="71">
        <f t="shared" si="2166"/>
        <v>0</v>
      </c>
      <c r="CH186" s="70">
        <f t="shared" si="1555"/>
        <v>0</v>
      </c>
      <c r="CI186" s="69">
        <f t="shared" ca="1" si="1556"/>
        <v>0</v>
      </c>
      <c r="GM186" s="2" t="s">
        <v>16</v>
      </c>
      <c r="GN186" s="98" t="str">
        <f t="shared" si="1552"/>
        <v>LHR01-FMCG-SPO-05</v>
      </c>
      <c r="GO186" s="4">
        <v>1</v>
      </c>
      <c r="GP186" s="3">
        <v>0</v>
      </c>
      <c r="GQ186" s="3">
        <v>1</v>
      </c>
      <c r="GR186" s="3">
        <v>1</v>
      </c>
      <c r="GS186" s="3">
        <v>1</v>
      </c>
      <c r="GT186" s="3">
        <v>1</v>
      </c>
      <c r="GU186" s="3">
        <v>1</v>
      </c>
      <c r="GV186" s="3">
        <v>0</v>
      </c>
      <c r="GW186" s="3">
        <v>0</v>
      </c>
      <c r="GX186" s="3">
        <v>1</v>
      </c>
      <c r="GY186" s="3">
        <v>0</v>
      </c>
      <c r="GZ186" s="3">
        <v>0</v>
      </c>
      <c r="HA186" s="3">
        <v>0</v>
      </c>
      <c r="HB186" s="3">
        <v>0</v>
      </c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6"/>
      <c r="HT186" s="4">
        <v>0</v>
      </c>
      <c r="HU186" s="3">
        <v>0</v>
      </c>
      <c r="HV186" s="3">
        <v>0</v>
      </c>
      <c r="HW186" s="3">
        <v>0</v>
      </c>
      <c r="HX186" s="3">
        <v>0</v>
      </c>
      <c r="HY186" s="3">
        <v>0</v>
      </c>
      <c r="HZ186" s="3">
        <v>0</v>
      </c>
      <c r="IA186" s="3">
        <v>0</v>
      </c>
      <c r="IB186" s="3">
        <v>0</v>
      </c>
      <c r="IC186" s="3">
        <v>0</v>
      </c>
      <c r="ID186" s="3">
        <v>0</v>
      </c>
      <c r="IE186" s="3">
        <v>0</v>
      </c>
      <c r="IF186" s="3">
        <v>0</v>
      </c>
      <c r="IG186" s="3">
        <v>0</v>
      </c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6"/>
    </row>
    <row r="187" spans="1:258">
      <c r="A187" s="97" t="s">
        <v>1287</v>
      </c>
      <c r="B187" s="98" t="s">
        <v>20</v>
      </c>
      <c r="C187" s="98" t="s">
        <v>449</v>
      </c>
      <c r="D187" s="99" t="s">
        <v>1199</v>
      </c>
      <c r="E187" s="98" t="s">
        <v>1098</v>
      </c>
      <c r="F187" s="98" t="s">
        <v>461</v>
      </c>
      <c r="G187" s="98" t="s">
        <v>462</v>
      </c>
      <c r="H187" s="98" t="s">
        <v>1526</v>
      </c>
      <c r="I187" s="98" t="s">
        <v>1526</v>
      </c>
      <c r="J187" s="98" t="s">
        <v>885</v>
      </c>
      <c r="K187" s="98" t="s">
        <v>1099</v>
      </c>
      <c r="L187" s="98" t="s">
        <v>1099</v>
      </c>
      <c r="M187" s="101" t="s">
        <v>1099</v>
      </c>
      <c r="N187" s="108">
        <v>45474</v>
      </c>
      <c r="O187" s="100">
        <v>0</v>
      </c>
      <c r="P187" s="69">
        <v>0</v>
      </c>
      <c r="Q187" s="69">
        <f t="shared" si="2100"/>
        <v>0</v>
      </c>
      <c r="R187" s="69">
        <f t="shared" si="2101"/>
        <v>0</v>
      </c>
      <c r="S187" s="69">
        <f t="shared" si="2102"/>
        <v>0</v>
      </c>
      <c r="T187" s="69">
        <f t="shared" si="2103"/>
        <v>0</v>
      </c>
      <c r="U187" s="69">
        <f t="shared" si="2104"/>
        <v>0</v>
      </c>
      <c r="V187" s="70">
        <f t="shared" si="2105"/>
        <v>0</v>
      </c>
      <c r="W187" s="71">
        <f t="shared" si="2106"/>
        <v>0</v>
      </c>
      <c r="X187" s="71">
        <f t="shared" si="2107"/>
        <v>0</v>
      </c>
      <c r="Y187" s="71">
        <f t="shared" si="2108"/>
        <v>0</v>
      </c>
      <c r="Z187" s="71">
        <f t="shared" si="2109"/>
        <v>0</v>
      </c>
      <c r="AA187" s="71">
        <f t="shared" si="2110"/>
        <v>0</v>
      </c>
      <c r="AB187" s="71">
        <f t="shared" si="2111"/>
        <v>0</v>
      </c>
      <c r="AC187" s="71">
        <f t="shared" si="2112"/>
        <v>0</v>
      </c>
      <c r="AD187" s="71">
        <f t="shared" si="2113"/>
        <v>0</v>
      </c>
      <c r="AE187" s="71">
        <f t="shared" si="2114"/>
        <v>0</v>
      </c>
      <c r="AF187" s="71">
        <f t="shared" si="2115"/>
        <v>0</v>
      </c>
      <c r="AG187" s="71">
        <f t="shared" si="2116"/>
        <v>0</v>
      </c>
      <c r="AH187" s="71">
        <f t="shared" si="2117"/>
        <v>0</v>
      </c>
      <c r="AI187" s="71">
        <f t="shared" si="2118"/>
        <v>0</v>
      </c>
      <c r="AJ187" s="71">
        <f t="shared" si="2119"/>
        <v>0</v>
      </c>
      <c r="AK187" s="71">
        <f t="shared" si="2120"/>
        <v>0</v>
      </c>
      <c r="AL187" s="71">
        <f t="shared" si="2121"/>
        <v>0</v>
      </c>
      <c r="AM187" s="71">
        <f t="shared" si="2122"/>
        <v>0</v>
      </c>
      <c r="AN187" s="71">
        <f t="shared" si="2123"/>
        <v>0</v>
      </c>
      <c r="AO187" s="71">
        <f t="shared" si="2124"/>
        <v>0</v>
      </c>
      <c r="AP187" s="71">
        <f t="shared" si="2125"/>
        <v>0</v>
      </c>
      <c r="AQ187" s="71">
        <f t="shared" si="2126"/>
        <v>0</v>
      </c>
      <c r="AR187" s="71">
        <f t="shared" si="2127"/>
        <v>0</v>
      </c>
      <c r="AS187" s="71">
        <f t="shared" si="2128"/>
        <v>0</v>
      </c>
      <c r="AT187" s="71">
        <f t="shared" si="2129"/>
        <v>0</v>
      </c>
      <c r="AU187" s="71">
        <f t="shared" si="2130"/>
        <v>0</v>
      </c>
      <c r="AV187" s="71">
        <f t="shared" si="2131"/>
        <v>0</v>
      </c>
      <c r="AW187" s="71">
        <f t="shared" si="2132"/>
        <v>0</v>
      </c>
      <c r="AX187" s="71">
        <f t="shared" si="2133"/>
        <v>0</v>
      </c>
      <c r="AY187" s="71">
        <f t="shared" si="2134"/>
        <v>0</v>
      </c>
      <c r="AZ187" s="72">
        <f t="shared" si="2135"/>
        <v>0</v>
      </c>
      <c r="BA187" s="70">
        <f t="shared" si="1553"/>
        <v>0</v>
      </c>
      <c r="BB187" s="69">
        <f t="shared" ca="1" si="1554"/>
        <v>0</v>
      </c>
      <c r="BC187" s="70">
        <f t="shared" si="2136"/>
        <v>0</v>
      </c>
      <c r="BD187" s="71">
        <f t="shared" si="2137"/>
        <v>0</v>
      </c>
      <c r="BE187" s="71">
        <f t="shared" si="2138"/>
        <v>0</v>
      </c>
      <c r="BF187" s="71">
        <f t="shared" si="2139"/>
        <v>0</v>
      </c>
      <c r="BG187" s="71">
        <f t="shared" si="2140"/>
        <v>0</v>
      </c>
      <c r="BH187" s="71">
        <f t="shared" si="2141"/>
        <v>0</v>
      </c>
      <c r="BI187" s="71">
        <f t="shared" si="2142"/>
        <v>0</v>
      </c>
      <c r="BJ187" s="71">
        <f t="shared" si="2143"/>
        <v>0</v>
      </c>
      <c r="BK187" s="71">
        <f t="shared" si="2144"/>
        <v>0</v>
      </c>
      <c r="BL187" s="71">
        <f t="shared" si="2145"/>
        <v>0</v>
      </c>
      <c r="BM187" s="71">
        <f t="shared" si="2146"/>
        <v>0</v>
      </c>
      <c r="BN187" s="71">
        <f t="shared" si="2147"/>
        <v>0</v>
      </c>
      <c r="BO187" s="71">
        <f t="shared" si="2148"/>
        <v>0</v>
      </c>
      <c r="BP187" s="71">
        <f t="shared" si="2149"/>
        <v>0</v>
      </c>
      <c r="BQ187" s="71">
        <f t="shared" si="2150"/>
        <v>0</v>
      </c>
      <c r="BR187" s="71">
        <f t="shared" si="2151"/>
        <v>0</v>
      </c>
      <c r="BS187" s="71">
        <f t="shared" si="2152"/>
        <v>0</v>
      </c>
      <c r="BT187" s="71">
        <f t="shared" si="2153"/>
        <v>0</v>
      </c>
      <c r="BU187" s="71">
        <f t="shared" si="2154"/>
        <v>0</v>
      </c>
      <c r="BV187" s="71">
        <f t="shared" si="2155"/>
        <v>0</v>
      </c>
      <c r="BW187" s="71">
        <f t="shared" si="2156"/>
        <v>0</v>
      </c>
      <c r="BX187" s="71">
        <f t="shared" si="2157"/>
        <v>0</v>
      </c>
      <c r="BY187" s="71">
        <f t="shared" si="2158"/>
        <v>0</v>
      </c>
      <c r="BZ187" s="71">
        <f t="shared" si="2159"/>
        <v>0</v>
      </c>
      <c r="CA187" s="71">
        <f t="shared" si="2160"/>
        <v>0</v>
      </c>
      <c r="CB187" s="71">
        <f t="shared" si="2161"/>
        <v>0</v>
      </c>
      <c r="CC187" s="71">
        <f t="shared" si="2162"/>
        <v>0</v>
      </c>
      <c r="CD187" s="71">
        <f t="shared" si="2163"/>
        <v>0</v>
      </c>
      <c r="CE187" s="71">
        <f t="shared" si="2164"/>
        <v>0</v>
      </c>
      <c r="CF187" s="71">
        <f t="shared" si="2165"/>
        <v>0</v>
      </c>
      <c r="CG187" s="71">
        <f t="shared" si="2166"/>
        <v>0</v>
      </c>
      <c r="CH187" s="70">
        <f t="shared" si="1555"/>
        <v>0</v>
      </c>
      <c r="CI187" s="69">
        <f t="shared" ca="1" si="1556"/>
        <v>0</v>
      </c>
      <c r="GM187" s="2" t="s">
        <v>16</v>
      </c>
      <c r="GN187" s="98" t="str">
        <f t="shared" si="1552"/>
        <v>LHR01-FMCG-SPO-00</v>
      </c>
      <c r="GO187" s="4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6"/>
      <c r="HT187" s="4">
        <v>0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6"/>
    </row>
    <row r="188" spans="1:258">
      <c r="A188" s="97" t="s">
        <v>1380</v>
      </c>
      <c r="B188" s="98" t="s">
        <v>20</v>
      </c>
      <c r="C188" s="98" t="s">
        <v>449</v>
      </c>
      <c r="D188" s="99" t="s">
        <v>1199</v>
      </c>
      <c r="E188" s="98" t="s">
        <v>463</v>
      </c>
      <c r="F188" s="98" t="s">
        <v>464</v>
      </c>
      <c r="G188" s="98" t="s">
        <v>465</v>
      </c>
      <c r="H188" s="98" t="s">
        <v>1203</v>
      </c>
      <c r="I188" s="98" t="s">
        <v>1203</v>
      </c>
      <c r="J188" s="98" t="s">
        <v>885</v>
      </c>
      <c r="K188" s="98" t="s">
        <v>1127</v>
      </c>
      <c r="L188" s="98" t="s">
        <v>466</v>
      </c>
      <c r="M188" s="101" t="s">
        <v>1093</v>
      </c>
      <c r="N188" s="108">
        <v>44617</v>
      </c>
      <c r="O188" s="100">
        <v>0</v>
      </c>
      <c r="P188" s="69">
        <v>0</v>
      </c>
      <c r="Q188" s="69">
        <f t="shared" si="2100"/>
        <v>0</v>
      </c>
      <c r="R188" s="69">
        <f t="shared" si="2101"/>
        <v>0</v>
      </c>
      <c r="S188" s="69">
        <f t="shared" si="2102"/>
        <v>0</v>
      </c>
      <c r="T188" s="69">
        <f t="shared" si="2103"/>
        <v>0</v>
      </c>
      <c r="U188" s="69">
        <f t="shared" si="2104"/>
        <v>0</v>
      </c>
      <c r="V188" s="70">
        <f t="shared" si="2105"/>
        <v>0</v>
      </c>
      <c r="W188" s="71">
        <f t="shared" si="2106"/>
        <v>0</v>
      </c>
      <c r="X188" s="71">
        <f t="shared" si="2107"/>
        <v>0</v>
      </c>
      <c r="Y188" s="71">
        <f t="shared" si="2108"/>
        <v>0</v>
      </c>
      <c r="Z188" s="71">
        <f t="shared" si="2109"/>
        <v>0</v>
      </c>
      <c r="AA188" s="71">
        <f t="shared" si="2110"/>
        <v>0</v>
      </c>
      <c r="AB188" s="71">
        <f t="shared" si="2111"/>
        <v>0</v>
      </c>
      <c r="AC188" s="71">
        <f t="shared" si="2112"/>
        <v>0</v>
      </c>
      <c r="AD188" s="71">
        <f t="shared" si="2113"/>
        <v>0</v>
      </c>
      <c r="AE188" s="71">
        <f t="shared" si="2114"/>
        <v>0</v>
      </c>
      <c r="AF188" s="71">
        <f t="shared" si="2115"/>
        <v>0</v>
      </c>
      <c r="AG188" s="71">
        <f t="shared" si="2116"/>
        <v>0</v>
      </c>
      <c r="AH188" s="71">
        <f t="shared" si="2117"/>
        <v>0</v>
      </c>
      <c r="AI188" s="71">
        <f t="shared" si="2118"/>
        <v>0</v>
      </c>
      <c r="AJ188" s="71">
        <f t="shared" si="2119"/>
        <v>0</v>
      </c>
      <c r="AK188" s="71">
        <f t="shared" si="2120"/>
        <v>0</v>
      </c>
      <c r="AL188" s="71">
        <f t="shared" si="2121"/>
        <v>0</v>
      </c>
      <c r="AM188" s="71">
        <f t="shared" si="2122"/>
        <v>0</v>
      </c>
      <c r="AN188" s="71">
        <f t="shared" si="2123"/>
        <v>0</v>
      </c>
      <c r="AO188" s="71">
        <f t="shared" si="2124"/>
        <v>0</v>
      </c>
      <c r="AP188" s="71">
        <f t="shared" si="2125"/>
        <v>0</v>
      </c>
      <c r="AQ188" s="71">
        <f t="shared" si="2126"/>
        <v>0</v>
      </c>
      <c r="AR188" s="71">
        <f t="shared" si="2127"/>
        <v>0</v>
      </c>
      <c r="AS188" s="71">
        <f t="shared" si="2128"/>
        <v>0</v>
      </c>
      <c r="AT188" s="71">
        <f t="shared" si="2129"/>
        <v>0</v>
      </c>
      <c r="AU188" s="71">
        <f t="shared" si="2130"/>
        <v>0</v>
      </c>
      <c r="AV188" s="71">
        <f t="shared" si="2131"/>
        <v>0</v>
      </c>
      <c r="AW188" s="71">
        <f t="shared" si="2132"/>
        <v>0</v>
      </c>
      <c r="AX188" s="71">
        <f t="shared" si="2133"/>
        <v>0</v>
      </c>
      <c r="AY188" s="71">
        <f t="shared" si="2134"/>
        <v>0</v>
      </c>
      <c r="AZ188" s="72">
        <f t="shared" si="2135"/>
        <v>0</v>
      </c>
      <c r="BA188" s="70">
        <f t="shared" si="1553"/>
        <v>0</v>
      </c>
      <c r="BB188" s="69">
        <f t="shared" ca="1" si="1554"/>
        <v>0</v>
      </c>
      <c r="BC188" s="70">
        <f t="shared" si="2136"/>
        <v>0</v>
      </c>
      <c r="BD188" s="71">
        <f t="shared" si="2137"/>
        <v>0</v>
      </c>
      <c r="BE188" s="71">
        <f t="shared" si="2138"/>
        <v>0</v>
      </c>
      <c r="BF188" s="71">
        <f t="shared" si="2139"/>
        <v>0</v>
      </c>
      <c r="BG188" s="71">
        <f t="shared" si="2140"/>
        <v>0</v>
      </c>
      <c r="BH188" s="71">
        <f t="shared" si="2141"/>
        <v>0</v>
      </c>
      <c r="BI188" s="71">
        <f t="shared" si="2142"/>
        <v>0</v>
      </c>
      <c r="BJ188" s="71">
        <f t="shared" si="2143"/>
        <v>0</v>
      </c>
      <c r="BK188" s="71">
        <f t="shared" si="2144"/>
        <v>0</v>
      </c>
      <c r="BL188" s="71">
        <f t="shared" si="2145"/>
        <v>0</v>
      </c>
      <c r="BM188" s="71">
        <f t="shared" si="2146"/>
        <v>0</v>
      </c>
      <c r="BN188" s="71">
        <f t="shared" si="2147"/>
        <v>0</v>
      </c>
      <c r="BO188" s="71">
        <f t="shared" si="2148"/>
        <v>0</v>
      </c>
      <c r="BP188" s="71">
        <f t="shared" si="2149"/>
        <v>0</v>
      </c>
      <c r="BQ188" s="71">
        <f t="shared" si="2150"/>
        <v>0</v>
      </c>
      <c r="BR188" s="71">
        <f t="shared" si="2151"/>
        <v>0</v>
      </c>
      <c r="BS188" s="71">
        <f t="shared" si="2152"/>
        <v>0</v>
      </c>
      <c r="BT188" s="71">
        <f t="shared" si="2153"/>
        <v>0</v>
      </c>
      <c r="BU188" s="71">
        <f t="shared" si="2154"/>
        <v>0</v>
      </c>
      <c r="BV188" s="71">
        <f t="shared" si="2155"/>
        <v>0</v>
      </c>
      <c r="BW188" s="71">
        <f t="shared" si="2156"/>
        <v>0</v>
      </c>
      <c r="BX188" s="71">
        <f t="shared" si="2157"/>
        <v>0</v>
      </c>
      <c r="BY188" s="71">
        <f t="shared" si="2158"/>
        <v>0</v>
      </c>
      <c r="BZ188" s="71">
        <f t="shared" si="2159"/>
        <v>0</v>
      </c>
      <c r="CA188" s="71">
        <f t="shared" si="2160"/>
        <v>0</v>
      </c>
      <c r="CB188" s="71">
        <f t="shared" si="2161"/>
        <v>0</v>
      </c>
      <c r="CC188" s="71">
        <f t="shared" si="2162"/>
        <v>0</v>
      </c>
      <c r="CD188" s="71">
        <f t="shared" si="2163"/>
        <v>0</v>
      </c>
      <c r="CE188" s="71">
        <f t="shared" si="2164"/>
        <v>0</v>
      </c>
      <c r="CF188" s="71">
        <f t="shared" si="2165"/>
        <v>0</v>
      </c>
      <c r="CG188" s="71">
        <f t="shared" si="2166"/>
        <v>0</v>
      </c>
      <c r="CH188" s="70">
        <f t="shared" si="1555"/>
        <v>0</v>
      </c>
      <c r="CI188" s="69">
        <f t="shared" ca="1" si="1556"/>
        <v>0</v>
      </c>
      <c r="GM188" s="2" t="s">
        <v>16</v>
      </c>
      <c r="GN188" s="98" t="str">
        <f t="shared" si="1552"/>
        <v>LHR01-FMCG-ASM-01</v>
      </c>
      <c r="GO188" s="4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6"/>
      <c r="HT188" s="4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6"/>
    </row>
    <row r="189" spans="1:258">
      <c r="A189" s="102" t="s">
        <v>53</v>
      </c>
      <c r="B189" s="103" t="s">
        <v>20</v>
      </c>
      <c r="C189" s="103" t="s">
        <v>449</v>
      </c>
      <c r="D189" s="104" t="s">
        <v>1199</v>
      </c>
      <c r="E189" s="103" t="s">
        <v>463</v>
      </c>
      <c r="F189" s="103" t="s">
        <v>464</v>
      </c>
      <c r="G189" s="103" t="s">
        <v>465</v>
      </c>
      <c r="H189" s="103" t="s">
        <v>1203</v>
      </c>
      <c r="I189" s="103" t="s">
        <v>1203</v>
      </c>
      <c r="J189" s="103" t="s">
        <v>885</v>
      </c>
      <c r="K189" s="103" t="s">
        <v>1127</v>
      </c>
      <c r="L189" s="103" t="s">
        <v>466</v>
      </c>
      <c r="M189" s="103" t="s">
        <v>1093</v>
      </c>
      <c r="N189" s="119">
        <v>44617</v>
      </c>
      <c r="O189" s="105">
        <f t="shared" ref="O189:BZ189" si="2167">O187+O186+O185+O184+O183+O182</f>
        <v>5</v>
      </c>
      <c r="P189" s="73">
        <f t="shared" si="2167"/>
        <v>0</v>
      </c>
      <c r="Q189" s="73">
        <f t="shared" si="2167"/>
        <v>4</v>
      </c>
      <c r="R189" s="73">
        <f t="shared" si="2167"/>
        <v>5</v>
      </c>
      <c r="S189" s="73">
        <f t="shared" si="2167"/>
        <v>1</v>
      </c>
      <c r="T189" s="73">
        <f t="shared" si="2167"/>
        <v>4</v>
      </c>
      <c r="U189" s="73">
        <f t="shared" si="2167"/>
        <v>5</v>
      </c>
      <c r="V189" s="74">
        <f t="shared" si="2167"/>
        <v>5</v>
      </c>
      <c r="W189" s="75">
        <f t="shared" si="2167"/>
        <v>4</v>
      </c>
      <c r="X189" s="75">
        <f t="shared" si="2167"/>
        <v>5</v>
      </c>
      <c r="Y189" s="75">
        <f t="shared" si="2167"/>
        <v>1</v>
      </c>
      <c r="Z189" s="75">
        <f t="shared" si="2167"/>
        <v>5</v>
      </c>
      <c r="AA189" s="75">
        <f t="shared" si="2167"/>
        <v>5</v>
      </c>
      <c r="AB189" s="75">
        <f t="shared" si="2167"/>
        <v>5</v>
      </c>
      <c r="AC189" s="75">
        <f t="shared" si="2167"/>
        <v>4</v>
      </c>
      <c r="AD189" s="75">
        <f t="shared" si="2167"/>
        <v>4</v>
      </c>
      <c r="AE189" s="75">
        <f t="shared" si="2167"/>
        <v>5</v>
      </c>
      <c r="AF189" s="75">
        <f t="shared" si="2167"/>
        <v>0</v>
      </c>
      <c r="AG189" s="75">
        <f t="shared" si="2167"/>
        <v>4</v>
      </c>
      <c r="AH189" s="75">
        <f t="shared" si="2167"/>
        <v>3</v>
      </c>
      <c r="AI189" s="75">
        <f t="shared" si="2167"/>
        <v>4</v>
      </c>
      <c r="AJ189" s="75">
        <f t="shared" si="2167"/>
        <v>0</v>
      </c>
      <c r="AK189" s="75">
        <f t="shared" si="2167"/>
        <v>0</v>
      </c>
      <c r="AL189" s="75">
        <f t="shared" si="2167"/>
        <v>0</v>
      </c>
      <c r="AM189" s="75">
        <f t="shared" si="2167"/>
        <v>0</v>
      </c>
      <c r="AN189" s="75">
        <f t="shared" si="2167"/>
        <v>0</v>
      </c>
      <c r="AO189" s="75">
        <f t="shared" si="2167"/>
        <v>0</v>
      </c>
      <c r="AP189" s="75">
        <f t="shared" si="2167"/>
        <v>0</v>
      </c>
      <c r="AQ189" s="75">
        <f t="shared" si="2167"/>
        <v>0</v>
      </c>
      <c r="AR189" s="75">
        <f t="shared" si="2167"/>
        <v>0</v>
      </c>
      <c r="AS189" s="75">
        <f t="shared" si="2167"/>
        <v>0</v>
      </c>
      <c r="AT189" s="75">
        <f t="shared" si="2167"/>
        <v>0</v>
      </c>
      <c r="AU189" s="75">
        <f t="shared" si="2167"/>
        <v>0</v>
      </c>
      <c r="AV189" s="75">
        <f t="shared" si="2167"/>
        <v>0</v>
      </c>
      <c r="AW189" s="75">
        <f t="shared" si="2167"/>
        <v>0</v>
      </c>
      <c r="AX189" s="75">
        <f t="shared" si="2167"/>
        <v>0</v>
      </c>
      <c r="AY189" s="75">
        <f t="shared" si="2167"/>
        <v>0</v>
      </c>
      <c r="AZ189" s="76">
        <f t="shared" si="2167"/>
        <v>0</v>
      </c>
      <c r="BA189" s="74">
        <f t="shared" si="1553"/>
        <v>54</v>
      </c>
      <c r="BB189" s="73">
        <f t="shared" ca="1" si="1554"/>
        <v>0.83076923076923082</v>
      </c>
      <c r="BC189" s="74">
        <f t="shared" si="2167"/>
        <v>24</v>
      </c>
      <c r="BD189" s="75">
        <f t="shared" si="2167"/>
        <v>24</v>
      </c>
      <c r="BE189" s="75">
        <f t="shared" si="2167"/>
        <v>13</v>
      </c>
      <c r="BF189" s="75">
        <f t="shared" si="2167"/>
        <v>0</v>
      </c>
      <c r="BG189" s="75">
        <f t="shared" si="2167"/>
        <v>47</v>
      </c>
      <c r="BH189" s="75">
        <f t="shared" si="2167"/>
        <v>80</v>
      </c>
      <c r="BI189" s="75">
        <f t="shared" si="2167"/>
        <v>94</v>
      </c>
      <c r="BJ189" s="75">
        <f t="shared" si="2167"/>
        <v>162</v>
      </c>
      <c r="BK189" s="75">
        <f t="shared" si="2167"/>
        <v>163</v>
      </c>
      <c r="BL189" s="75">
        <f t="shared" si="2167"/>
        <v>167</v>
      </c>
      <c r="BM189" s="75">
        <f t="shared" si="2167"/>
        <v>0</v>
      </c>
      <c r="BN189" s="75">
        <f t="shared" si="2167"/>
        <v>163</v>
      </c>
      <c r="BO189" s="75">
        <f t="shared" si="2167"/>
        <v>157</v>
      </c>
      <c r="BP189" s="75">
        <f t="shared" si="2167"/>
        <v>1</v>
      </c>
      <c r="BQ189" s="75">
        <f t="shared" si="2167"/>
        <v>0</v>
      </c>
      <c r="BR189" s="75">
        <f t="shared" si="2167"/>
        <v>0</v>
      </c>
      <c r="BS189" s="75">
        <f t="shared" si="2167"/>
        <v>0</v>
      </c>
      <c r="BT189" s="75">
        <f t="shared" si="2167"/>
        <v>0</v>
      </c>
      <c r="BU189" s="75">
        <f t="shared" si="2167"/>
        <v>0</v>
      </c>
      <c r="BV189" s="75">
        <f t="shared" si="2167"/>
        <v>0</v>
      </c>
      <c r="BW189" s="75">
        <f t="shared" si="2167"/>
        <v>0</v>
      </c>
      <c r="BX189" s="75">
        <f t="shared" si="2167"/>
        <v>0</v>
      </c>
      <c r="BY189" s="75">
        <f t="shared" si="2167"/>
        <v>0</v>
      </c>
      <c r="BZ189" s="75">
        <f t="shared" si="2167"/>
        <v>0</v>
      </c>
      <c r="CA189" s="75">
        <f t="shared" ref="CA189:CG189" si="2168">CA187+CA186+CA185+CA184+CA183+CA182</f>
        <v>0</v>
      </c>
      <c r="CB189" s="75">
        <f t="shared" si="2168"/>
        <v>0</v>
      </c>
      <c r="CC189" s="75">
        <f t="shared" si="2168"/>
        <v>0</v>
      </c>
      <c r="CD189" s="75">
        <f t="shared" si="2168"/>
        <v>0</v>
      </c>
      <c r="CE189" s="75">
        <f t="shared" si="2168"/>
        <v>0</v>
      </c>
      <c r="CF189" s="75">
        <f t="shared" si="2168"/>
        <v>0</v>
      </c>
      <c r="CG189" s="75">
        <f t="shared" si="2168"/>
        <v>0</v>
      </c>
      <c r="CH189" s="74">
        <f t="shared" si="1555"/>
        <v>1095</v>
      </c>
      <c r="CI189" s="73">
        <f t="shared" ca="1" si="1556"/>
        <v>16.846153846153847</v>
      </c>
      <c r="GM189" s="2" t="s">
        <v>17</v>
      </c>
      <c r="GN189" s="103" t="str">
        <f t="shared" si="1552"/>
        <v>LHR01-FMCG-ASM-01</v>
      </c>
      <c r="GO189" s="4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6"/>
      <c r="HT189" s="4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6"/>
    </row>
    <row r="190" spans="1:258">
      <c r="A190" s="97" t="s">
        <v>25</v>
      </c>
      <c r="B190" s="98" t="s">
        <v>26</v>
      </c>
      <c r="C190" s="98" t="s">
        <v>449</v>
      </c>
      <c r="D190" s="99" t="s">
        <v>1204</v>
      </c>
      <c r="E190" s="98" t="s">
        <v>963</v>
      </c>
      <c r="F190" s="98" t="s">
        <v>467</v>
      </c>
      <c r="G190" s="98" t="s">
        <v>915</v>
      </c>
      <c r="H190" s="98" t="s">
        <v>1527</v>
      </c>
      <c r="I190" s="98" t="s">
        <v>1527</v>
      </c>
      <c r="J190" s="98" t="s">
        <v>885</v>
      </c>
      <c r="K190" s="98" t="s">
        <v>1092</v>
      </c>
      <c r="L190" s="98" t="s">
        <v>1686</v>
      </c>
      <c r="M190" s="101" t="s">
        <v>1093</v>
      </c>
      <c r="N190" s="139">
        <v>46158</v>
      </c>
      <c r="O190" s="100">
        <v>1</v>
      </c>
      <c r="P190" s="69">
        <v>0</v>
      </c>
      <c r="Q190" s="69">
        <f t="shared" ref="Q190:Q196" si="2169">IFERROR(IF(OR(AI190&gt;0),1,0),0)</f>
        <v>1</v>
      </c>
      <c r="R190" s="69">
        <f t="shared" ref="R190:R196" si="2170">IFERROR(IF(OR(BA190&gt;0),1,0),0)</f>
        <v>1</v>
      </c>
      <c r="S190" s="69">
        <f t="shared" ref="S190:S196" si="2171">IFERROR(IF(OR(BP190&gt;0),1,0),0)</f>
        <v>0</v>
      </c>
      <c r="T190" s="69">
        <f t="shared" ref="T190:T196" si="2172">IFERROR(IF(OR(CH190&gt;0),1,0),0)</f>
        <v>1</v>
      </c>
      <c r="U190" s="69">
        <f t="shared" ref="U190:U196" si="2173">IFERROR(IF(OR(BA190&gt;0,CH190&gt;0),1,0),0)</f>
        <v>1</v>
      </c>
      <c r="V190" s="70">
        <f t="shared" ref="V190:V196" si="2174">GO190</f>
        <v>1</v>
      </c>
      <c r="W190" s="71">
        <f t="shared" ref="W190:W196" si="2175">GP190</f>
        <v>1</v>
      </c>
      <c r="X190" s="71">
        <f t="shared" ref="X190:X196" si="2176">GQ190</f>
        <v>1</v>
      </c>
      <c r="Y190" s="71">
        <f t="shared" ref="Y190:Y196" si="2177">GR190</f>
        <v>0</v>
      </c>
      <c r="Z190" s="71">
        <f t="shared" ref="Z190:Z196" si="2178">GS190</f>
        <v>1</v>
      </c>
      <c r="AA190" s="71">
        <f t="shared" ref="AA190:AA196" si="2179">GT190</f>
        <v>1</v>
      </c>
      <c r="AB190" s="71">
        <f t="shared" ref="AB190:AB196" si="2180">GU190</f>
        <v>1</v>
      </c>
      <c r="AC190" s="71">
        <f t="shared" ref="AC190:AC196" si="2181">GV190</f>
        <v>1</v>
      </c>
      <c r="AD190" s="71">
        <f t="shared" ref="AD190:AD196" si="2182">GW190</f>
        <v>1</v>
      </c>
      <c r="AE190" s="71">
        <f t="shared" ref="AE190:AE196" si="2183">GX190</f>
        <v>1</v>
      </c>
      <c r="AF190" s="71">
        <f t="shared" ref="AF190:AF196" si="2184">GY190</f>
        <v>0</v>
      </c>
      <c r="AG190" s="71">
        <f t="shared" ref="AG190:AG196" si="2185">GZ190</f>
        <v>1</v>
      </c>
      <c r="AH190" s="71">
        <f t="shared" ref="AH190:AH196" si="2186">HA190</f>
        <v>0</v>
      </c>
      <c r="AI190" s="71">
        <f t="shared" ref="AI190:AI196" si="2187">HB190</f>
        <v>1</v>
      </c>
      <c r="AJ190" s="71">
        <f t="shared" ref="AJ190:AJ196" si="2188">HC190</f>
        <v>0</v>
      </c>
      <c r="AK190" s="71">
        <f t="shared" ref="AK190:AK196" si="2189">HD190</f>
        <v>0</v>
      </c>
      <c r="AL190" s="71">
        <f t="shared" ref="AL190:AL196" si="2190">HE190</f>
        <v>0</v>
      </c>
      <c r="AM190" s="71">
        <f t="shared" ref="AM190:AM196" si="2191">HF190</f>
        <v>0</v>
      </c>
      <c r="AN190" s="71">
        <f t="shared" ref="AN190:AN196" si="2192">HG190</f>
        <v>0</v>
      </c>
      <c r="AO190" s="71">
        <f t="shared" ref="AO190:AO196" si="2193">HH190</f>
        <v>0</v>
      </c>
      <c r="AP190" s="71">
        <f t="shared" ref="AP190:AP196" si="2194">HI190</f>
        <v>0</v>
      </c>
      <c r="AQ190" s="71">
        <f t="shared" ref="AQ190:AQ196" si="2195">HJ190</f>
        <v>0</v>
      </c>
      <c r="AR190" s="71">
        <f t="shared" ref="AR190:AR196" si="2196">HK190</f>
        <v>0</v>
      </c>
      <c r="AS190" s="71">
        <f t="shared" ref="AS190:AS196" si="2197">HL190</f>
        <v>0</v>
      </c>
      <c r="AT190" s="71">
        <f t="shared" ref="AT190:AT196" si="2198">HM190</f>
        <v>0</v>
      </c>
      <c r="AU190" s="71">
        <f t="shared" ref="AU190:AU196" si="2199">HN190</f>
        <v>0</v>
      </c>
      <c r="AV190" s="71">
        <f t="shared" ref="AV190:AV196" si="2200">HO190</f>
        <v>0</v>
      </c>
      <c r="AW190" s="71">
        <f t="shared" ref="AW190:AW196" si="2201">HP190</f>
        <v>0</v>
      </c>
      <c r="AX190" s="71">
        <f t="shared" ref="AX190:AX196" si="2202">HQ190</f>
        <v>0</v>
      </c>
      <c r="AY190" s="71">
        <f t="shared" ref="AY190:AY196" si="2203">HR190</f>
        <v>0</v>
      </c>
      <c r="AZ190" s="72">
        <f t="shared" ref="AZ190:AZ196" si="2204">HS190</f>
        <v>0</v>
      </c>
      <c r="BA190" s="70">
        <f t="shared" si="1553"/>
        <v>11</v>
      </c>
      <c r="BB190" s="69">
        <f t="shared" ca="1" si="1554"/>
        <v>0.84615384615384615</v>
      </c>
      <c r="BC190" s="70">
        <f t="shared" ref="BC190:BC196" si="2205">HT190</f>
        <v>0</v>
      </c>
      <c r="BD190" s="71">
        <f t="shared" ref="BD190:BD196" si="2206">HU190</f>
        <v>0</v>
      </c>
      <c r="BE190" s="71">
        <f t="shared" ref="BE190:BE196" si="2207">HV190</f>
        <v>0</v>
      </c>
      <c r="BF190" s="71">
        <f t="shared" ref="BF190:BF196" si="2208">HW190</f>
        <v>0</v>
      </c>
      <c r="BG190" s="71">
        <f t="shared" ref="BG190:BG196" si="2209">HX190</f>
        <v>0</v>
      </c>
      <c r="BH190" s="71">
        <f t="shared" ref="BH190:BH196" si="2210">HY190</f>
        <v>0</v>
      </c>
      <c r="BI190" s="71">
        <f t="shared" ref="BI190:BI196" si="2211">HZ190</f>
        <v>42</v>
      </c>
      <c r="BJ190" s="71">
        <f t="shared" ref="BJ190:BJ196" si="2212">IA190</f>
        <v>41</v>
      </c>
      <c r="BK190" s="71">
        <f t="shared" ref="BK190:BK196" si="2213">IB190</f>
        <v>0</v>
      </c>
      <c r="BL190" s="71">
        <f t="shared" ref="BL190:BL196" si="2214">IC190</f>
        <v>42</v>
      </c>
      <c r="BM190" s="71">
        <f t="shared" ref="BM190:BM196" si="2215">ID190</f>
        <v>0</v>
      </c>
      <c r="BN190" s="71">
        <f t="shared" ref="BN190:BN196" si="2216">IE190</f>
        <v>41</v>
      </c>
      <c r="BO190" s="71">
        <f t="shared" ref="BO190:BO196" si="2217">IF190</f>
        <v>0</v>
      </c>
      <c r="BP190" s="71">
        <f t="shared" ref="BP190:BP196" si="2218">IG190</f>
        <v>0</v>
      </c>
      <c r="BQ190" s="71">
        <f t="shared" ref="BQ190:BQ196" si="2219">IH190</f>
        <v>0</v>
      </c>
      <c r="BR190" s="71">
        <f t="shared" ref="BR190:BR196" si="2220">II190</f>
        <v>0</v>
      </c>
      <c r="BS190" s="71">
        <f t="shared" ref="BS190:BS196" si="2221">IJ190</f>
        <v>0</v>
      </c>
      <c r="BT190" s="71">
        <f t="shared" ref="BT190:BT196" si="2222">IK190</f>
        <v>0</v>
      </c>
      <c r="BU190" s="71">
        <f t="shared" ref="BU190:BU196" si="2223">IL190</f>
        <v>0</v>
      </c>
      <c r="BV190" s="71">
        <f t="shared" ref="BV190:BV196" si="2224">IM190</f>
        <v>0</v>
      </c>
      <c r="BW190" s="71">
        <f t="shared" ref="BW190:BW196" si="2225">IN190</f>
        <v>0</v>
      </c>
      <c r="BX190" s="71">
        <f t="shared" ref="BX190:BX196" si="2226">IO190</f>
        <v>0</v>
      </c>
      <c r="BY190" s="71">
        <f t="shared" ref="BY190:BY196" si="2227">IP190</f>
        <v>0</v>
      </c>
      <c r="BZ190" s="71">
        <f t="shared" ref="BZ190:BZ196" si="2228">IQ190</f>
        <v>0</v>
      </c>
      <c r="CA190" s="71">
        <f t="shared" ref="CA190:CA196" si="2229">IR190</f>
        <v>0</v>
      </c>
      <c r="CB190" s="71">
        <f t="shared" ref="CB190:CB196" si="2230">IS190</f>
        <v>0</v>
      </c>
      <c r="CC190" s="71">
        <f t="shared" ref="CC190:CC196" si="2231">IT190</f>
        <v>0</v>
      </c>
      <c r="CD190" s="71">
        <f t="shared" ref="CD190:CD196" si="2232">IU190</f>
        <v>0</v>
      </c>
      <c r="CE190" s="71">
        <f t="shared" ref="CE190:CE196" si="2233">IV190</f>
        <v>0</v>
      </c>
      <c r="CF190" s="71">
        <f t="shared" ref="CF190:CF196" si="2234">IW190</f>
        <v>0</v>
      </c>
      <c r="CG190" s="71">
        <f t="shared" ref="CG190:CG196" si="2235">IX190</f>
        <v>0</v>
      </c>
      <c r="CH190" s="70">
        <f t="shared" si="1555"/>
        <v>166</v>
      </c>
      <c r="CI190" s="69">
        <f t="shared" ca="1" si="1556"/>
        <v>12.76923076923077</v>
      </c>
      <c r="GM190" s="2" t="s">
        <v>16</v>
      </c>
      <c r="GN190" s="98" t="str">
        <f t="shared" si="1552"/>
        <v>LHR02-FMCG01-SPO-01</v>
      </c>
      <c r="GO190" s="4">
        <v>1</v>
      </c>
      <c r="GP190" s="3">
        <v>1</v>
      </c>
      <c r="GQ190" s="3">
        <v>1</v>
      </c>
      <c r="GR190" s="3">
        <v>0</v>
      </c>
      <c r="GS190" s="3">
        <v>1</v>
      </c>
      <c r="GT190" s="3">
        <v>1</v>
      </c>
      <c r="GU190" s="3">
        <v>1</v>
      </c>
      <c r="GV190" s="3">
        <v>1</v>
      </c>
      <c r="GW190" s="3">
        <v>1</v>
      </c>
      <c r="GX190" s="3">
        <v>1</v>
      </c>
      <c r="GY190" s="3">
        <v>0</v>
      </c>
      <c r="GZ190" s="3">
        <v>1</v>
      </c>
      <c r="HA190" s="3">
        <v>0</v>
      </c>
      <c r="HB190" s="3">
        <v>1</v>
      </c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6"/>
      <c r="HT190" s="4">
        <v>0</v>
      </c>
      <c r="HU190" s="3">
        <v>0</v>
      </c>
      <c r="HV190" s="3">
        <v>0</v>
      </c>
      <c r="HW190" s="3">
        <v>0</v>
      </c>
      <c r="HX190" s="3">
        <v>0</v>
      </c>
      <c r="HY190" s="3">
        <v>0</v>
      </c>
      <c r="HZ190" s="3">
        <v>42</v>
      </c>
      <c r="IA190" s="3">
        <v>41</v>
      </c>
      <c r="IB190" s="3">
        <v>0</v>
      </c>
      <c r="IC190" s="3">
        <v>42</v>
      </c>
      <c r="ID190" s="3">
        <v>0</v>
      </c>
      <c r="IE190" s="3">
        <v>41</v>
      </c>
      <c r="IF190" s="3">
        <v>0</v>
      </c>
      <c r="IG190" s="3">
        <v>0</v>
      </c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6"/>
    </row>
    <row r="191" spans="1:258">
      <c r="A191" s="106" t="s">
        <v>25</v>
      </c>
      <c r="B191" s="101" t="s">
        <v>26</v>
      </c>
      <c r="C191" s="98" t="s">
        <v>449</v>
      </c>
      <c r="D191" s="107" t="s">
        <v>1204</v>
      </c>
      <c r="E191" s="101" t="s">
        <v>964</v>
      </c>
      <c r="F191" s="101" t="s">
        <v>470</v>
      </c>
      <c r="G191" s="98" t="s">
        <v>486</v>
      </c>
      <c r="H191" s="101" t="s">
        <v>1728</v>
      </c>
      <c r="I191" s="101" t="s">
        <v>1528</v>
      </c>
      <c r="J191" s="101" t="s">
        <v>885</v>
      </c>
      <c r="K191" s="98" t="s">
        <v>1092</v>
      </c>
      <c r="L191" s="101" t="s">
        <v>1727</v>
      </c>
      <c r="M191" s="101" t="s">
        <v>1093</v>
      </c>
      <c r="N191" s="139">
        <v>46300</v>
      </c>
      <c r="O191" s="100">
        <v>1</v>
      </c>
      <c r="P191" s="69">
        <v>1</v>
      </c>
      <c r="Q191" s="69">
        <f t="shared" si="2169"/>
        <v>0</v>
      </c>
      <c r="R191" s="69">
        <f t="shared" si="2170"/>
        <v>1</v>
      </c>
      <c r="S191" s="69">
        <f t="shared" si="2171"/>
        <v>0</v>
      </c>
      <c r="T191" s="69">
        <f t="shared" si="2172"/>
        <v>1</v>
      </c>
      <c r="U191" s="69">
        <f t="shared" si="2173"/>
        <v>1</v>
      </c>
      <c r="V191" s="70">
        <f t="shared" si="2174"/>
        <v>0</v>
      </c>
      <c r="W191" s="71">
        <f t="shared" si="2175"/>
        <v>0</v>
      </c>
      <c r="X191" s="71">
        <f t="shared" si="2176"/>
        <v>0</v>
      </c>
      <c r="Y191" s="71">
        <f t="shared" si="2177"/>
        <v>0</v>
      </c>
      <c r="Z191" s="71">
        <f t="shared" si="2178"/>
        <v>0</v>
      </c>
      <c r="AA191" s="71">
        <f t="shared" si="2179"/>
        <v>0</v>
      </c>
      <c r="AB191" s="71">
        <f t="shared" si="2180"/>
        <v>1</v>
      </c>
      <c r="AC191" s="71">
        <f t="shared" si="2181"/>
        <v>1</v>
      </c>
      <c r="AD191" s="71">
        <f t="shared" si="2182"/>
        <v>1</v>
      </c>
      <c r="AE191" s="71">
        <f t="shared" si="2183"/>
        <v>1</v>
      </c>
      <c r="AF191" s="71">
        <f t="shared" si="2184"/>
        <v>0</v>
      </c>
      <c r="AG191" s="71">
        <f t="shared" si="2185"/>
        <v>1</v>
      </c>
      <c r="AH191" s="71">
        <f t="shared" si="2186"/>
        <v>1</v>
      </c>
      <c r="AI191" s="71">
        <f t="shared" si="2187"/>
        <v>0</v>
      </c>
      <c r="AJ191" s="71">
        <f t="shared" si="2188"/>
        <v>0</v>
      </c>
      <c r="AK191" s="71">
        <f t="shared" si="2189"/>
        <v>0</v>
      </c>
      <c r="AL191" s="71">
        <f t="shared" si="2190"/>
        <v>0</v>
      </c>
      <c r="AM191" s="71">
        <f t="shared" si="2191"/>
        <v>0</v>
      </c>
      <c r="AN191" s="71">
        <f t="shared" si="2192"/>
        <v>0</v>
      </c>
      <c r="AO191" s="71">
        <f t="shared" si="2193"/>
        <v>0</v>
      </c>
      <c r="AP191" s="71">
        <f t="shared" si="2194"/>
        <v>0</v>
      </c>
      <c r="AQ191" s="71">
        <f t="shared" si="2195"/>
        <v>0</v>
      </c>
      <c r="AR191" s="71">
        <f t="shared" si="2196"/>
        <v>0</v>
      </c>
      <c r="AS191" s="71">
        <f t="shared" si="2197"/>
        <v>0</v>
      </c>
      <c r="AT191" s="71">
        <f t="shared" si="2198"/>
        <v>0</v>
      </c>
      <c r="AU191" s="71">
        <f t="shared" si="2199"/>
        <v>0</v>
      </c>
      <c r="AV191" s="71">
        <f t="shared" si="2200"/>
        <v>0</v>
      </c>
      <c r="AW191" s="71">
        <f t="shared" si="2201"/>
        <v>0</v>
      </c>
      <c r="AX191" s="71">
        <f t="shared" si="2202"/>
        <v>0</v>
      </c>
      <c r="AY191" s="71">
        <f t="shared" si="2203"/>
        <v>0</v>
      </c>
      <c r="AZ191" s="72">
        <f t="shared" si="2204"/>
        <v>0</v>
      </c>
      <c r="BA191" s="70">
        <f t="shared" si="1553"/>
        <v>6</v>
      </c>
      <c r="BB191" s="69">
        <f t="shared" ca="1" si="1554"/>
        <v>0</v>
      </c>
      <c r="BC191" s="70">
        <f t="shared" si="2205"/>
        <v>0</v>
      </c>
      <c r="BD191" s="71">
        <f t="shared" si="2206"/>
        <v>0</v>
      </c>
      <c r="BE191" s="71">
        <f t="shared" si="2207"/>
        <v>0</v>
      </c>
      <c r="BF191" s="71">
        <f t="shared" si="2208"/>
        <v>0</v>
      </c>
      <c r="BG191" s="71">
        <f t="shared" si="2209"/>
        <v>0</v>
      </c>
      <c r="BH191" s="71">
        <f t="shared" si="2210"/>
        <v>0</v>
      </c>
      <c r="BI191" s="71">
        <f t="shared" si="2211"/>
        <v>42</v>
      </c>
      <c r="BJ191" s="71">
        <f t="shared" si="2212"/>
        <v>41</v>
      </c>
      <c r="BK191" s="71">
        <f t="shared" si="2213"/>
        <v>40</v>
      </c>
      <c r="BL191" s="71">
        <f t="shared" si="2214"/>
        <v>41</v>
      </c>
      <c r="BM191" s="71">
        <f t="shared" si="2215"/>
        <v>0</v>
      </c>
      <c r="BN191" s="71">
        <f t="shared" si="2216"/>
        <v>40</v>
      </c>
      <c r="BO191" s="71">
        <f t="shared" si="2217"/>
        <v>40</v>
      </c>
      <c r="BP191" s="71">
        <f t="shared" si="2218"/>
        <v>0</v>
      </c>
      <c r="BQ191" s="71">
        <f t="shared" si="2219"/>
        <v>0</v>
      </c>
      <c r="BR191" s="71">
        <f t="shared" si="2220"/>
        <v>0</v>
      </c>
      <c r="BS191" s="71">
        <f t="shared" si="2221"/>
        <v>0</v>
      </c>
      <c r="BT191" s="71">
        <f t="shared" si="2222"/>
        <v>0</v>
      </c>
      <c r="BU191" s="71">
        <f t="shared" si="2223"/>
        <v>0</v>
      </c>
      <c r="BV191" s="71">
        <f t="shared" si="2224"/>
        <v>0</v>
      </c>
      <c r="BW191" s="71">
        <f t="shared" si="2225"/>
        <v>0</v>
      </c>
      <c r="BX191" s="71">
        <f t="shared" si="2226"/>
        <v>0</v>
      </c>
      <c r="BY191" s="71">
        <f t="shared" si="2227"/>
        <v>0</v>
      </c>
      <c r="BZ191" s="71">
        <f t="shared" si="2228"/>
        <v>0</v>
      </c>
      <c r="CA191" s="71">
        <f t="shared" si="2229"/>
        <v>0</v>
      </c>
      <c r="CB191" s="71">
        <f t="shared" si="2230"/>
        <v>0</v>
      </c>
      <c r="CC191" s="71">
        <f t="shared" si="2231"/>
        <v>0</v>
      </c>
      <c r="CD191" s="71">
        <f t="shared" si="2232"/>
        <v>0</v>
      </c>
      <c r="CE191" s="71">
        <f t="shared" si="2233"/>
        <v>0</v>
      </c>
      <c r="CF191" s="71">
        <f t="shared" si="2234"/>
        <v>0</v>
      </c>
      <c r="CG191" s="71">
        <f t="shared" si="2235"/>
        <v>0</v>
      </c>
      <c r="CH191" s="70">
        <f t="shared" si="1555"/>
        <v>244</v>
      </c>
      <c r="CI191" s="69">
        <f t="shared" ca="1" si="1556"/>
        <v>0</v>
      </c>
      <c r="GM191" s="2" t="s">
        <v>16</v>
      </c>
      <c r="GN191" s="101" t="str">
        <f t="shared" si="1552"/>
        <v>LHR02-FMCG01-SPO-02</v>
      </c>
      <c r="GO191" s="4">
        <v>0</v>
      </c>
      <c r="GP191" s="3">
        <v>0</v>
      </c>
      <c r="GQ191" s="3">
        <v>0</v>
      </c>
      <c r="GR191" s="3">
        <v>0</v>
      </c>
      <c r="GS191" s="3">
        <v>0</v>
      </c>
      <c r="GT191" s="3">
        <v>0</v>
      </c>
      <c r="GU191" s="3">
        <v>1</v>
      </c>
      <c r="GV191" s="3">
        <v>1</v>
      </c>
      <c r="GW191" s="3">
        <v>1</v>
      </c>
      <c r="GX191" s="3">
        <v>1</v>
      </c>
      <c r="GY191" s="3">
        <v>0</v>
      </c>
      <c r="GZ191" s="3">
        <v>1</v>
      </c>
      <c r="HA191" s="3">
        <v>1</v>
      </c>
      <c r="HB191" s="3">
        <v>0</v>
      </c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6"/>
      <c r="HT191" s="4">
        <v>0</v>
      </c>
      <c r="HU191" s="3">
        <v>0</v>
      </c>
      <c r="HV191" s="3">
        <v>0</v>
      </c>
      <c r="HW191" s="3">
        <v>0</v>
      </c>
      <c r="HX191" s="3">
        <v>0</v>
      </c>
      <c r="HY191" s="3">
        <v>0</v>
      </c>
      <c r="HZ191" s="3">
        <v>42</v>
      </c>
      <c r="IA191" s="3">
        <v>41</v>
      </c>
      <c r="IB191" s="3">
        <v>40</v>
      </c>
      <c r="IC191" s="3">
        <v>41</v>
      </c>
      <c r="ID191" s="3">
        <v>0</v>
      </c>
      <c r="IE191" s="3">
        <v>40</v>
      </c>
      <c r="IF191" s="3">
        <v>40</v>
      </c>
      <c r="IG191" s="3">
        <v>0</v>
      </c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6"/>
    </row>
    <row r="192" spans="1:258">
      <c r="A192" s="97" t="s">
        <v>25</v>
      </c>
      <c r="B192" s="98" t="s">
        <v>90</v>
      </c>
      <c r="C192" s="98" t="s">
        <v>449</v>
      </c>
      <c r="D192" s="99" t="s">
        <v>1204</v>
      </c>
      <c r="E192" s="98" t="s">
        <v>487</v>
      </c>
      <c r="F192" s="98" t="s">
        <v>473</v>
      </c>
      <c r="G192" s="98" t="s">
        <v>489</v>
      </c>
      <c r="H192" s="98" t="s">
        <v>1717</v>
      </c>
      <c r="I192" s="98" t="s">
        <v>1529</v>
      </c>
      <c r="J192" s="98" t="s">
        <v>885</v>
      </c>
      <c r="K192" s="98" t="s">
        <v>1127</v>
      </c>
      <c r="L192" s="98" t="s">
        <v>1718</v>
      </c>
      <c r="M192" s="101" t="s">
        <v>1093</v>
      </c>
      <c r="N192" s="139">
        <v>46286</v>
      </c>
      <c r="O192" s="100">
        <v>1</v>
      </c>
      <c r="P192" s="69">
        <v>0</v>
      </c>
      <c r="Q192" s="69">
        <f t="shared" si="2169"/>
        <v>1</v>
      </c>
      <c r="R192" s="69">
        <f t="shared" si="2170"/>
        <v>1</v>
      </c>
      <c r="S192" s="69">
        <f t="shared" si="2171"/>
        <v>0</v>
      </c>
      <c r="T192" s="69">
        <f t="shared" si="2172"/>
        <v>1</v>
      </c>
      <c r="U192" s="69">
        <f t="shared" si="2173"/>
        <v>1</v>
      </c>
      <c r="V192" s="70">
        <f t="shared" si="2174"/>
        <v>1</v>
      </c>
      <c r="W192" s="71">
        <f t="shared" si="2175"/>
        <v>1</v>
      </c>
      <c r="X192" s="71">
        <f t="shared" si="2176"/>
        <v>1</v>
      </c>
      <c r="Y192" s="71">
        <f t="shared" si="2177"/>
        <v>0</v>
      </c>
      <c r="Z192" s="71">
        <f t="shared" si="2178"/>
        <v>1</v>
      </c>
      <c r="AA192" s="71">
        <f t="shared" si="2179"/>
        <v>1</v>
      </c>
      <c r="AB192" s="71">
        <f t="shared" si="2180"/>
        <v>1</v>
      </c>
      <c r="AC192" s="71">
        <f t="shared" si="2181"/>
        <v>1</v>
      </c>
      <c r="AD192" s="71">
        <f t="shared" si="2182"/>
        <v>1</v>
      </c>
      <c r="AE192" s="71">
        <f t="shared" si="2183"/>
        <v>1</v>
      </c>
      <c r="AF192" s="71">
        <f t="shared" si="2184"/>
        <v>0</v>
      </c>
      <c r="AG192" s="71">
        <f t="shared" si="2185"/>
        <v>1</v>
      </c>
      <c r="AH192" s="71">
        <f t="shared" si="2186"/>
        <v>1</v>
      </c>
      <c r="AI192" s="71">
        <f t="shared" si="2187"/>
        <v>1</v>
      </c>
      <c r="AJ192" s="71">
        <f t="shared" si="2188"/>
        <v>0</v>
      </c>
      <c r="AK192" s="71">
        <f t="shared" si="2189"/>
        <v>0</v>
      </c>
      <c r="AL192" s="71">
        <f t="shared" si="2190"/>
        <v>0</v>
      </c>
      <c r="AM192" s="71">
        <f t="shared" si="2191"/>
        <v>0</v>
      </c>
      <c r="AN192" s="71">
        <f t="shared" si="2192"/>
        <v>0</v>
      </c>
      <c r="AO192" s="71">
        <f t="shared" si="2193"/>
        <v>0</v>
      </c>
      <c r="AP192" s="71">
        <f t="shared" si="2194"/>
        <v>0</v>
      </c>
      <c r="AQ192" s="71">
        <f t="shared" si="2195"/>
        <v>0</v>
      </c>
      <c r="AR192" s="71">
        <f t="shared" si="2196"/>
        <v>0</v>
      </c>
      <c r="AS192" s="71">
        <f t="shared" si="2197"/>
        <v>0</v>
      </c>
      <c r="AT192" s="71">
        <f t="shared" si="2198"/>
        <v>0</v>
      </c>
      <c r="AU192" s="71">
        <f t="shared" si="2199"/>
        <v>0</v>
      </c>
      <c r="AV192" s="71">
        <f t="shared" si="2200"/>
        <v>0</v>
      </c>
      <c r="AW192" s="71">
        <f t="shared" si="2201"/>
        <v>0</v>
      </c>
      <c r="AX192" s="71">
        <f t="shared" si="2202"/>
        <v>0</v>
      </c>
      <c r="AY192" s="71">
        <f t="shared" si="2203"/>
        <v>0</v>
      </c>
      <c r="AZ192" s="72">
        <f t="shared" si="2204"/>
        <v>0</v>
      </c>
      <c r="BA192" s="70">
        <f t="shared" si="1553"/>
        <v>12</v>
      </c>
      <c r="BB192" s="69">
        <f t="shared" ca="1" si="1554"/>
        <v>0.92307692307692313</v>
      </c>
      <c r="BC192" s="70">
        <f t="shared" si="2205"/>
        <v>0</v>
      </c>
      <c r="BD192" s="71">
        <f t="shared" si="2206"/>
        <v>0</v>
      </c>
      <c r="BE192" s="71">
        <f t="shared" si="2207"/>
        <v>0</v>
      </c>
      <c r="BF192" s="71">
        <f t="shared" si="2208"/>
        <v>0</v>
      </c>
      <c r="BG192" s="71">
        <f t="shared" si="2209"/>
        <v>0</v>
      </c>
      <c r="BH192" s="71">
        <f t="shared" si="2210"/>
        <v>0</v>
      </c>
      <c r="BI192" s="71">
        <f t="shared" si="2211"/>
        <v>43</v>
      </c>
      <c r="BJ192" s="71">
        <f t="shared" si="2212"/>
        <v>40</v>
      </c>
      <c r="BK192" s="71">
        <f t="shared" si="2213"/>
        <v>45</v>
      </c>
      <c r="BL192" s="71">
        <f t="shared" si="2214"/>
        <v>29</v>
      </c>
      <c r="BM192" s="71">
        <f t="shared" si="2215"/>
        <v>0</v>
      </c>
      <c r="BN192" s="71">
        <f t="shared" si="2216"/>
        <v>42</v>
      </c>
      <c r="BO192" s="71">
        <f t="shared" si="2217"/>
        <v>46</v>
      </c>
      <c r="BP192" s="71">
        <f t="shared" si="2218"/>
        <v>0</v>
      </c>
      <c r="BQ192" s="71">
        <f t="shared" si="2219"/>
        <v>0</v>
      </c>
      <c r="BR192" s="71">
        <f t="shared" si="2220"/>
        <v>0</v>
      </c>
      <c r="BS192" s="71">
        <f t="shared" si="2221"/>
        <v>0</v>
      </c>
      <c r="BT192" s="71">
        <f t="shared" si="2222"/>
        <v>0</v>
      </c>
      <c r="BU192" s="71">
        <f t="shared" si="2223"/>
        <v>0</v>
      </c>
      <c r="BV192" s="71">
        <f t="shared" si="2224"/>
        <v>0</v>
      </c>
      <c r="BW192" s="71">
        <f t="shared" si="2225"/>
        <v>0</v>
      </c>
      <c r="BX192" s="71">
        <f t="shared" si="2226"/>
        <v>0</v>
      </c>
      <c r="BY192" s="71">
        <f t="shared" si="2227"/>
        <v>0</v>
      </c>
      <c r="BZ192" s="71">
        <f t="shared" si="2228"/>
        <v>0</v>
      </c>
      <c r="CA192" s="71">
        <f t="shared" si="2229"/>
        <v>0</v>
      </c>
      <c r="CB192" s="71">
        <f t="shared" si="2230"/>
        <v>0</v>
      </c>
      <c r="CC192" s="71">
        <f t="shared" si="2231"/>
        <v>0</v>
      </c>
      <c r="CD192" s="71">
        <f t="shared" si="2232"/>
        <v>0</v>
      </c>
      <c r="CE192" s="71">
        <f t="shared" si="2233"/>
        <v>0</v>
      </c>
      <c r="CF192" s="71">
        <f t="shared" si="2234"/>
        <v>0</v>
      </c>
      <c r="CG192" s="71">
        <f t="shared" si="2235"/>
        <v>0</v>
      </c>
      <c r="CH192" s="70">
        <f t="shared" si="1555"/>
        <v>245</v>
      </c>
      <c r="CI192" s="69">
        <f t="shared" ca="1" si="1556"/>
        <v>18.846153846153847</v>
      </c>
      <c r="GM192" s="2" t="s">
        <v>16</v>
      </c>
      <c r="GN192" s="98" t="str">
        <f t="shared" si="1552"/>
        <v>LHR02-FMCG02-SPO-01</v>
      </c>
      <c r="GO192" s="4">
        <v>1</v>
      </c>
      <c r="GP192" s="3">
        <v>1</v>
      </c>
      <c r="GQ192" s="3">
        <v>1</v>
      </c>
      <c r="GR192" s="3">
        <v>0</v>
      </c>
      <c r="GS192" s="3">
        <v>1</v>
      </c>
      <c r="GT192" s="3">
        <v>1</v>
      </c>
      <c r="GU192" s="3">
        <v>1</v>
      </c>
      <c r="GV192" s="3">
        <v>1</v>
      </c>
      <c r="GW192" s="3">
        <v>1</v>
      </c>
      <c r="GX192" s="3">
        <v>1</v>
      </c>
      <c r="GY192" s="3">
        <v>0</v>
      </c>
      <c r="GZ192" s="3">
        <v>1</v>
      </c>
      <c r="HA192" s="3">
        <v>1</v>
      </c>
      <c r="HB192" s="3">
        <v>1</v>
      </c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6"/>
      <c r="HT192" s="4">
        <v>0</v>
      </c>
      <c r="HU192" s="3">
        <v>0</v>
      </c>
      <c r="HV192" s="3">
        <v>0</v>
      </c>
      <c r="HW192" s="3">
        <v>0</v>
      </c>
      <c r="HX192" s="3">
        <v>0</v>
      </c>
      <c r="HY192" s="3">
        <v>0</v>
      </c>
      <c r="HZ192" s="3">
        <v>43</v>
      </c>
      <c r="IA192" s="3">
        <v>40</v>
      </c>
      <c r="IB192" s="3">
        <v>45</v>
      </c>
      <c r="IC192" s="3">
        <v>29</v>
      </c>
      <c r="ID192" s="3">
        <v>0</v>
      </c>
      <c r="IE192" s="3">
        <v>42</v>
      </c>
      <c r="IF192" s="3">
        <v>46</v>
      </c>
      <c r="IG192" s="3">
        <v>0</v>
      </c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6"/>
    </row>
    <row r="193" spans="1:258">
      <c r="A193" s="97" t="s">
        <v>25</v>
      </c>
      <c r="B193" s="98" t="s">
        <v>90</v>
      </c>
      <c r="C193" s="98" t="s">
        <v>449</v>
      </c>
      <c r="D193" s="99" t="s">
        <v>1204</v>
      </c>
      <c r="E193" s="98" t="s">
        <v>965</v>
      </c>
      <c r="F193" s="98" t="s">
        <v>477</v>
      </c>
      <c r="G193" s="98" t="s">
        <v>491</v>
      </c>
      <c r="H193" s="98" t="s">
        <v>1733</v>
      </c>
      <c r="I193" s="98" t="s">
        <v>1530</v>
      </c>
      <c r="J193" s="98" t="s">
        <v>885</v>
      </c>
      <c r="K193" s="98" t="s">
        <v>1127</v>
      </c>
      <c r="L193" s="98" t="s">
        <v>492</v>
      </c>
      <c r="M193" s="101" t="s">
        <v>1093</v>
      </c>
      <c r="N193" s="139">
        <v>45498</v>
      </c>
      <c r="O193" s="100">
        <v>1</v>
      </c>
      <c r="P193" s="69">
        <v>1</v>
      </c>
      <c r="Q193" s="69">
        <f t="shared" si="2169"/>
        <v>0</v>
      </c>
      <c r="R193" s="69">
        <f t="shared" si="2170"/>
        <v>1</v>
      </c>
      <c r="S193" s="69">
        <f t="shared" si="2171"/>
        <v>0</v>
      </c>
      <c r="T193" s="69">
        <f t="shared" si="2172"/>
        <v>0</v>
      </c>
      <c r="U193" s="69">
        <f t="shared" si="2173"/>
        <v>1</v>
      </c>
      <c r="V193" s="70">
        <f t="shared" si="2174"/>
        <v>1</v>
      </c>
      <c r="W193" s="71">
        <f t="shared" si="2175"/>
        <v>1</v>
      </c>
      <c r="X193" s="71">
        <f t="shared" si="2176"/>
        <v>0</v>
      </c>
      <c r="Y193" s="71">
        <f t="shared" si="2177"/>
        <v>0</v>
      </c>
      <c r="Z193" s="71">
        <f t="shared" si="2178"/>
        <v>0</v>
      </c>
      <c r="AA193" s="71">
        <f t="shared" si="2179"/>
        <v>0</v>
      </c>
      <c r="AB193" s="71">
        <f t="shared" si="2180"/>
        <v>0</v>
      </c>
      <c r="AC193" s="71">
        <f t="shared" si="2181"/>
        <v>0</v>
      </c>
      <c r="AD193" s="71">
        <f t="shared" si="2182"/>
        <v>0</v>
      </c>
      <c r="AE193" s="71">
        <f t="shared" si="2183"/>
        <v>0</v>
      </c>
      <c r="AF193" s="71">
        <f t="shared" si="2184"/>
        <v>0</v>
      </c>
      <c r="AG193" s="71">
        <f t="shared" si="2185"/>
        <v>0</v>
      </c>
      <c r="AH193" s="71">
        <f t="shared" si="2186"/>
        <v>0</v>
      </c>
      <c r="AI193" s="71">
        <f t="shared" si="2187"/>
        <v>0</v>
      </c>
      <c r="AJ193" s="71">
        <f t="shared" si="2188"/>
        <v>0</v>
      </c>
      <c r="AK193" s="71">
        <f t="shared" si="2189"/>
        <v>0</v>
      </c>
      <c r="AL193" s="71">
        <f t="shared" si="2190"/>
        <v>0</v>
      </c>
      <c r="AM193" s="71">
        <f t="shared" si="2191"/>
        <v>0</v>
      </c>
      <c r="AN193" s="71">
        <f t="shared" si="2192"/>
        <v>0</v>
      </c>
      <c r="AO193" s="71">
        <f t="shared" si="2193"/>
        <v>0</v>
      </c>
      <c r="AP193" s="71">
        <f t="shared" si="2194"/>
        <v>0</v>
      </c>
      <c r="AQ193" s="71">
        <f t="shared" si="2195"/>
        <v>0</v>
      </c>
      <c r="AR193" s="71">
        <f t="shared" si="2196"/>
        <v>0</v>
      </c>
      <c r="AS193" s="71">
        <f t="shared" si="2197"/>
        <v>0</v>
      </c>
      <c r="AT193" s="71">
        <f t="shared" si="2198"/>
        <v>0</v>
      </c>
      <c r="AU193" s="71">
        <f t="shared" si="2199"/>
        <v>0</v>
      </c>
      <c r="AV193" s="71">
        <f t="shared" si="2200"/>
        <v>0</v>
      </c>
      <c r="AW193" s="71">
        <f t="shared" si="2201"/>
        <v>0</v>
      </c>
      <c r="AX193" s="71">
        <f t="shared" si="2202"/>
        <v>0</v>
      </c>
      <c r="AY193" s="71">
        <f t="shared" si="2203"/>
        <v>0</v>
      </c>
      <c r="AZ193" s="72">
        <f t="shared" si="2204"/>
        <v>0</v>
      </c>
      <c r="BA193" s="70">
        <f t="shared" si="1553"/>
        <v>2</v>
      </c>
      <c r="BB193" s="69">
        <f t="shared" ca="1" si="1554"/>
        <v>0</v>
      </c>
      <c r="BC193" s="70">
        <f t="shared" si="2205"/>
        <v>0</v>
      </c>
      <c r="BD193" s="71">
        <f t="shared" si="2206"/>
        <v>0</v>
      </c>
      <c r="BE193" s="71">
        <f t="shared" si="2207"/>
        <v>0</v>
      </c>
      <c r="BF193" s="71">
        <f t="shared" si="2208"/>
        <v>0</v>
      </c>
      <c r="BG193" s="71">
        <f t="shared" si="2209"/>
        <v>0</v>
      </c>
      <c r="BH193" s="71">
        <f t="shared" si="2210"/>
        <v>0</v>
      </c>
      <c r="BI193" s="71">
        <f t="shared" si="2211"/>
        <v>0</v>
      </c>
      <c r="BJ193" s="71">
        <f t="shared" si="2212"/>
        <v>0</v>
      </c>
      <c r="BK193" s="71">
        <f t="shared" si="2213"/>
        <v>0</v>
      </c>
      <c r="BL193" s="71">
        <f t="shared" si="2214"/>
        <v>0</v>
      </c>
      <c r="BM193" s="71">
        <f t="shared" si="2215"/>
        <v>0</v>
      </c>
      <c r="BN193" s="71">
        <f t="shared" si="2216"/>
        <v>0</v>
      </c>
      <c r="BO193" s="71">
        <f t="shared" si="2217"/>
        <v>0</v>
      </c>
      <c r="BP193" s="71">
        <f t="shared" si="2218"/>
        <v>0</v>
      </c>
      <c r="BQ193" s="71">
        <f t="shared" si="2219"/>
        <v>0</v>
      </c>
      <c r="BR193" s="71">
        <f t="shared" si="2220"/>
        <v>0</v>
      </c>
      <c r="BS193" s="71">
        <f t="shared" si="2221"/>
        <v>0</v>
      </c>
      <c r="BT193" s="71">
        <f t="shared" si="2222"/>
        <v>0</v>
      </c>
      <c r="BU193" s="71">
        <f t="shared" si="2223"/>
        <v>0</v>
      </c>
      <c r="BV193" s="71">
        <f t="shared" si="2224"/>
        <v>0</v>
      </c>
      <c r="BW193" s="71">
        <f t="shared" si="2225"/>
        <v>0</v>
      </c>
      <c r="BX193" s="71">
        <f t="shared" si="2226"/>
        <v>0</v>
      </c>
      <c r="BY193" s="71">
        <f t="shared" si="2227"/>
        <v>0</v>
      </c>
      <c r="BZ193" s="71">
        <f t="shared" si="2228"/>
        <v>0</v>
      </c>
      <c r="CA193" s="71">
        <f t="shared" si="2229"/>
        <v>0</v>
      </c>
      <c r="CB193" s="71">
        <f t="shared" si="2230"/>
        <v>0</v>
      </c>
      <c r="CC193" s="71">
        <f t="shared" si="2231"/>
        <v>0</v>
      </c>
      <c r="CD193" s="71">
        <f t="shared" si="2232"/>
        <v>0</v>
      </c>
      <c r="CE193" s="71">
        <f t="shared" si="2233"/>
        <v>0</v>
      </c>
      <c r="CF193" s="71">
        <f t="shared" si="2234"/>
        <v>0</v>
      </c>
      <c r="CG193" s="71">
        <f t="shared" si="2235"/>
        <v>0</v>
      </c>
      <c r="CH193" s="70">
        <f t="shared" si="1555"/>
        <v>0</v>
      </c>
      <c r="CI193" s="69">
        <f t="shared" ca="1" si="1556"/>
        <v>0</v>
      </c>
      <c r="GM193" s="2" t="s">
        <v>16</v>
      </c>
      <c r="GN193" s="98" t="str">
        <f t="shared" si="1552"/>
        <v>LHR02-FMCG02-SPO-02</v>
      </c>
      <c r="GO193" s="4">
        <v>1</v>
      </c>
      <c r="GP193" s="3">
        <v>1</v>
      </c>
      <c r="GQ193" s="3">
        <v>0</v>
      </c>
      <c r="GR193" s="3">
        <v>0</v>
      </c>
      <c r="GS193" s="3">
        <v>0</v>
      </c>
      <c r="GT193" s="3">
        <v>0</v>
      </c>
      <c r="GU193" s="3">
        <v>0</v>
      </c>
      <c r="GV193" s="3">
        <v>0</v>
      </c>
      <c r="GW193" s="3">
        <v>0</v>
      </c>
      <c r="GX193" s="3">
        <v>0</v>
      </c>
      <c r="GY193" s="3">
        <v>0</v>
      </c>
      <c r="GZ193" s="3">
        <v>0</v>
      </c>
      <c r="HA193" s="3">
        <v>0</v>
      </c>
      <c r="HB193" s="3">
        <v>0</v>
      </c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6"/>
      <c r="HT193" s="4">
        <v>0</v>
      </c>
      <c r="HU193" s="3">
        <v>0</v>
      </c>
      <c r="HV193" s="3">
        <v>0</v>
      </c>
      <c r="HW193" s="3">
        <v>0</v>
      </c>
      <c r="HX193" s="3">
        <v>0</v>
      </c>
      <c r="HY193" s="3">
        <v>0</v>
      </c>
      <c r="HZ193" s="3">
        <v>0</v>
      </c>
      <c r="IA193" s="3">
        <v>0</v>
      </c>
      <c r="IB193" s="3">
        <v>0</v>
      </c>
      <c r="IC193" s="3">
        <v>0</v>
      </c>
      <c r="ID193" s="3">
        <v>0</v>
      </c>
      <c r="IE193" s="3">
        <v>0</v>
      </c>
      <c r="IF193" s="3">
        <v>0</v>
      </c>
      <c r="IG193" s="3">
        <v>0</v>
      </c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6"/>
    </row>
    <row r="194" spans="1:258">
      <c r="A194" s="97" t="s">
        <v>25</v>
      </c>
      <c r="B194" s="98" t="s">
        <v>26</v>
      </c>
      <c r="C194" s="98" t="s">
        <v>449</v>
      </c>
      <c r="D194" s="99" t="s">
        <v>1204</v>
      </c>
      <c r="E194" s="98" t="s">
        <v>962</v>
      </c>
      <c r="F194" s="98" t="s">
        <v>1056</v>
      </c>
      <c r="G194" s="98" t="s">
        <v>941</v>
      </c>
      <c r="H194" s="98" t="s">
        <v>1692</v>
      </c>
      <c r="I194" s="98" t="s">
        <v>1531</v>
      </c>
      <c r="J194" s="98" t="s">
        <v>885</v>
      </c>
      <c r="K194" s="98" t="s">
        <v>1127</v>
      </c>
      <c r="L194" s="139" t="s">
        <v>950</v>
      </c>
      <c r="M194" s="101" t="s">
        <v>1093</v>
      </c>
      <c r="N194" s="139" t="s">
        <v>1708</v>
      </c>
      <c r="O194" s="100">
        <v>1</v>
      </c>
      <c r="P194" s="69">
        <v>0</v>
      </c>
      <c r="Q194" s="69">
        <f t="shared" si="2169"/>
        <v>0</v>
      </c>
      <c r="R194" s="69">
        <f t="shared" si="2170"/>
        <v>0</v>
      </c>
      <c r="S194" s="69">
        <f t="shared" si="2171"/>
        <v>0</v>
      </c>
      <c r="T194" s="69">
        <f t="shared" si="2172"/>
        <v>0</v>
      </c>
      <c r="U194" s="69">
        <f t="shared" si="2173"/>
        <v>0</v>
      </c>
      <c r="V194" s="70">
        <f t="shared" si="2174"/>
        <v>0</v>
      </c>
      <c r="W194" s="71">
        <f t="shared" si="2175"/>
        <v>0</v>
      </c>
      <c r="X194" s="71">
        <f t="shared" si="2176"/>
        <v>0</v>
      </c>
      <c r="Y194" s="71">
        <f t="shared" si="2177"/>
        <v>0</v>
      </c>
      <c r="Z194" s="71">
        <f t="shared" si="2178"/>
        <v>0</v>
      </c>
      <c r="AA194" s="71">
        <f t="shared" si="2179"/>
        <v>0</v>
      </c>
      <c r="AB194" s="71">
        <f t="shared" si="2180"/>
        <v>0</v>
      </c>
      <c r="AC194" s="71">
        <f t="shared" si="2181"/>
        <v>0</v>
      </c>
      <c r="AD194" s="71">
        <f t="shared" si="2182"/>
        <v>0</v>
      </c>
      <c r="AE194" s="71">
        <f t="shared" si="2183"/>
        <v>0</v>
      </c>
      <c r="AF194" s="71">
        <f t="shared" si="2184"/>
        <v>0</v>
      </c>
      <c r="AG194" s="71">
        <f t="shared" si="2185"/>
        <v>0</v>
      </c>
      <c r="AH194" s="71">
        <f t="shared" si="2186"/>
        <v>0</v>
      </c>
      <c r="AI194" s="71">
        <f t="shared" si="2187"/>
        <v>0</v>
      </c>
      <c r="AJ194" s="71">
        <f t="shared" si="2188"/>
        <v>0</v>
      </c>
      <c r="AK194" s="71">
        <f t="shared" si="2189"/>
        <v>0</v>
      </c>
      <c r="AL194" s="71">
        <f t="shared" si="2190"/>
        <v>0</v>
      </c>
      <c r="AM194" s="71">
        <f t="shared" si="2191"/>
        <v>0</v>
      </c>
      <c r="AN194" s="71">
        <f t="shared" si="2192"/>
        <v>0</v>
      </c>
      <c r="AO194" s="71">
        <f t="shared" si="2193"/>
        <v>0</v>
      </c>
      <c r="AP194" s="71">
        <f t="shared" si="2194"/>
        <v>0</v>
      </c>
      <c r="AQ194" s="71">
        <f t="shared" si="2195"/>
        <v>0</v>
      </c>
      <c r="AR194" s="71">
        <f t="shared" si="2196"/>
        <v>0</v>
      </c>
      <c r="AS194" s="71">
        <f t="shared" si="2197"/>
        <v>0</v>
      </c>
      <c r="AT194" s="71">
        <f t="shared" si="2198"/>
        <v>0</v>
      </c>
      <c r="AU194" s="71">
        <f t="shared" si="2199"/>
        <v>0</v>
      </c>
      <c r="AV194" s="71">
        <f t="shared" si="2200"/>
        <v>0</v>
      </c>
      <c r="AW194" s="71">
        <f t="shared" si="2201"/>
        <v>0</v>
      </c>
      <c r="AX194" s="71">
        <f t="shared" si="2202"/>
        <v>0</v>
      </c>
      <c r="AY194" s="71">
        <f t="shared" si="2203"/>
        <v>0</v>
      </c>
      <c r="AZ194" s="72">
        <f t="shared" si="2204"/>
        <v>0</v>
      </c>
      <c r="BA194" s="70">
        <f t="shared" si="1553"/>
        <v>0</v>
      </c>
      <c r="BB194" s="69">
        <f t="shared" ca="1" si="1554"/>
        <v>0</v>
      </c>
      <c r="BC194" s="70">
        <f t="shared" si="2205"/>
        <v>0</v>
      </c>
      <c r="BD194" s="71">
        <f t="shared" si="2206"/>
        <v>0</v>
      </c>
      <c r="BE194" s="71">
        <f t="shared" si="2207"/>
        <v>0</v>
      </c>
      <c r="BF194" s="71">
        <f t="shared" si="2208"/>
        <v>0</v>
      </c>
      <c r="BG194" s="71">
        <f t="shared" si="2209"/>
        <v>0</v>
      </c>
      <c r="BH194" s="71">
        <f t="shared" si="2210"/>
        <v>0</v>
      </c>
      <c r="BI194" s="71">
        <f t="shared" si="2211"/>
        <v>0</v>
      </c>
      <c r="BJ194" s="71">
        <f t="shared" si="2212"/>
        <v>0</v>
      </c>
      <c r="BK194" s="71">
        <f t="shared" si="2213"/>
        <v>0</v>
      </c>
      <c r="BL194" s="71">
        <f t="shared" si="2214"/>
        <v>0</v>
      </c>
      <c r="BM194" s="71">
        <f t="shared" si="2215"/>
        <v>0</v>
      </c>
      <c r="BN194" s="71">
        <f t="shared" si="2216"/>
        <v>0</v>
      </c>
      <c r="BO194" s="71">
        <f t="shared" si="2217"/>
        <v>0</v>
      </c>
      <c r="BP194" s="71">
        <f t="shared" si="2218"/>
        <v>0</v>
      </c>
      <c r="BQ194" s="71">
        <f t="shared" si="2219"/>
        <v>0</v>
      </c>
      <c r="BR194" s="71">
        <f t="shared" si="2220"/>
        <v>0</v>
      </c>
      <c r="BS194" s="71">
        <f t="shared" si="2221"/>
        <v>0</v>
      </c>
      <c r="BT194" s="71">
        <f t="shared" si="2222"/>
        <v>0</v>
      </c>
      <c r="BU194" s="71">
        <f t="shared" si="2223"/>
        <v>0</v>
      </c>
      <c r="BV194" s="71">
        <f t="shared" si="2224"/>
        <v>0</v>
      </c>
      <c r="BW194" s="71">
        <f t="shared" si="2225"/>
        <v>0</v>
      </c>
      <c r="BX194" s="71">
        <f t="shared" si="2226"/>
        <v>0</v>
      </c>
      <c r="BY194" s="71">
        <f t="shared" si="2227"/>
        <v>0</v>
      </c>
      <c r="BZ194" s="71">
        <f t="shared" si="2228"/>
        <v>0</v>
      </c>
      <c r="CA194" s="71">
        <f t="shared" si="2229"/>
        <v>0</v>
      </c>
      <c r="CB194" s="71">
        <f t="shared" si="2230"/>
        <v>0</v>
      </c>
      <c r="CC194" s="71">
        <f t="shared" si="2231"/>
        <v>0</v>
      </c>
      <c r="CD194" s="71">
        <f t="shared" si="2232"/>
        <v>0</v>
      </c>
      <c r="CE194" s="71">
        <f t="shared" si="2233"/>
        <v>0</v>
      </c>
      <c r="CF194" s="71">
        <f t="shared" si="2234"/>
        <v>0</v>
      </c>
      <c r="CG194" s="71">
        <f t="shared" si="2235"/>
        <v>0</v>
      </c>
      <c r="CH194" s="70">
        <f t="shared" si="1555"/>
        <v>0</v>
      </c>
      <c r="CI194" s="69">
        <f t="shared" ca="1" si="1556"/>
        <v>0</v>
      </c>
      <c r="GM194" s="2" t="s">
        <v>16</v>
      </c>
      <c r="GN194" s="98" t="str">
        <f t="shared" si="1552"/>
        <v>LHR02-FMCG03-SPO-01</v>
      </c>
      <c r="GO194" s="4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6"/>
      <c r="HT194" s="4">
        <v>0</v>
      </c>
      <c r="HU194" s="3">
        <v>0</v>
      </c>
      <c r="HV194" s="3">
        <v>0</v>
      </c>
      <c r="HW194" s="3">
        <v>0</v>
      </c>
      <c r="HX194" s="3">
        <v>0</v>
      </c>
      <c r="HY194" s="3">
        <v>0</v>
      </c>
      <c r="HZ194" s="3">
        <v>0</v>
      </c>
      <c r="IA194" s="3">
        <v>0</v>
      </c>
      <c r="IB194" s="3">
        <v>0</v>
      </c>
      <c r="IC194" s="3">
        <v>0</v>
      </c>
      <c r="ID194" s="3">
        <v>0</v>
      </c>
      <c r="IE194" s="3">
        <v>0</v>
      </c>
      <c r="IF194" s="3">
        <v>0</v>
      </c>
      <c r="IG194" s="3">
        <v>0</v>
      </c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6"/>
    </row>
    <row r="195" spans="1:258">
      <c r="A195" s="97" t="s">
        <v>1287</v>
      </c>
      <c r="B195" s="98" t="s">
        <v>20</v>
      </c>
      <c r="C195" s="98" t="s">
        <v>449</v>
      </c>
      <c r="D195" s="99" t="s">
        <v>1204</v>
      </c>
      <c r="E195" s="98" t="s">
        <v>1098</v>
      </c>
      <c r="F195" s="98" t="s">
        <v>887</v>
      </c>
      <c r="G195" s="98" t="s">
        <v>886</v>
      </c>
      <c r="H195" s="98" t="s">
        <v>1532</v>
      </c>
      <c r="I195" s="98" t="s">
        <v>1532</v>
      </c>
      <c r="J195" s="98" t="s">
        <v>885</v>
      </c>
      <c r="K195" s="98" t="s">
        <v>1099</v>
      </c>
      <c r="L195" s="98" t="s">
        <v>1099</v>
      </c>
      <c r="M195" s="101" t="s">
        <v>1099</v>
      </c>
      <c r="N195" s="108">
        <v>45474</v>
      </c>
      <c r="O195" s="100">
        <v>0</v>
      </c>
      <c r="P195" s="69">
        <v>0</v>
      </c>
      <c r="Q195" s="69">
        <f t="shared" si="2169"/>
        <v>0</v>
      </c>
      <c r="R195" s="69">
        <f t="shared" si="2170"/>
        <v>0</v>
      </c>
      <c r="S195" s="69">
        <f t="shared" si="2171"/>
        <v>0</v>
      </c>
      <c r="T195" s="69">
        <f t="shared" si="2172"/>
        <v>0</v>
      </c>
      <c r="U195" s="69">
        <f t="shared" si="2173"/>
        <v>0</v>
      </c>
      <c r="V195" s="70">
        <f t="shared" si="2174"/>
        <v>0</v>
      </c>
      <c r="W195" s="71">
        <f t="shared" si="2175"/>
        <v>0</v>
      </c>
      <c r="X195" s="71">
        <f t="shared" si="2176"/>
        <v>0</v>
      </c>
      <c r="Y195" s="71">
        <f t="shared" si="2177"/>
        <v>0</v>
      </c>
      <c r="Z195" s="71">
        <f t="shared" si="2178"/>
        <v>0</v>
      </c>
      <c r="AA195" s="71">
        <f t="shared" si="2179"/>
        <v>0</v>
      </c>
      <c r="AB195" s="71">
        <f t="shared" si="2180"/>
        <v>0</v>
      </c>
      <c r="AC195" s="71">
        <f t="shared" si="2181"/>
        <v>0</v>
      </c>
      <c r="AD195" s="71">
        <f t="shared" si="2182"/>
        <v>0</v>
      </c>
      <c r="AE195" s="71">
        <f t="shared" si="2183"/>
        <v>0</v>
      </c>
      <c r="AF195" s="71">
        <f t="shared" si="2184"/>
        <v>0</v>
      </c>
      <c r="AG195" s="71">
        <f t="shared" si="2185"/>
        <v>0</v>
      </c>
      <c r="AH195" s="71">
        <f t="shared" si="2186"/>
        <v>0</v>
      </c>
      <c r="AI195" s="71">
        <f t="shared" si="2187"/>
        <v>0</v>
      </c>
      <c r="AJ195" s="71">
        <f t="shared" si="2188"/>
        <v>0</v>
      </c>
      <c r="AK195" s="71">
        <f t="shared" si="2189"/>
        <v>0</v>
      </c>
      <c r="AL195" s="71">
        <f t="shared" si="2190"/>
        <v>0</v>
      </c>
      <c r="AM195" s="71">
        <f t="shared" si="2191"/>
        <v>0</v>
      </c>
      <c r="AN195" s="71">
        <f t="shared" si="2192"/>
        <v>0</v>
      </c>
      <c r="AO195" s="71">
        <f t="shared" si="2193"/>
        <v>0</v>
      </c>
      <c r="AP195" s="71">
        <f t="shared" si="2194"/>
        <v>0</v>
      </c>
      <c r="AQ195" s="71">
        <f t="shared" si="2195"/>
        <v>0</v>
      </c>
      <c r="AR195" s="71">
        <f t="shared" si="2196"/>
        <v>0</v>
      </c>
      <c r="AS195" s="71">
        <f t="shared" si="2197"/>
        <v>0</v>
      </c>
      <c r="AT195" s="71">
        <f t="shared" si="2198"/>
        <v>0</v>
      </c>
      <c r="AU195" s="71">
        <f t="shared" si="2199"/>
        <v>0</v>
      </c>
      <c r="AV195" s="71">
        <f t="shared" si="2200"/>
        <v>0</v>
      </c>
      <c r="AW195" s="71">
        <f t="shared" si="2201"/>
        <v>0</v>
      </c>
      <c r="AX195" s="71">
        <f t="shared" si="2202"/>
        <v>0</v>
      </c>
      <c r="AY195" s="71">
        <f t="shared" si="2203"/>
        <v>0</v>
      </c>
      <c r="AZ195" s="72">
        <f t="shared" si="2204"/>
        <v>0</v>
      </c>
      <c r="BA195" s="70">
        <f t="shared" si="1553"/>
        <v>0</v>
      </c>
      <c r="BB195" s="69">
        <f t="shared" ca="1" si="1554"/>
        <v>0</v>
      </c>
      <c r="BC195" s="70">
        <f t="shared" si="2205"/>
        <v>0</v>
      </c>
      <c r="BD195" s="71">
        <f t="shared" si="2206"/>
        <v>0</v>
      </c>
      <c r="BE195" s="71">
        <f t="shared" si="2207"/>
        <v>0</v>
      </c>
      <c r="BF195" s="71">
        <f t="shared" si="2208"/>
        <v>0</v>
      </c>
      <c r="BG195" s="71">
        <f t="shared" si="2209"/>
        <v>0</v>
      </c>
      <c r="BH195" s="71">
        <f t="shared" si="2210"/>
        <v>0</v>
      </c>
      <c r="BI195" s="71">
        <f t="shared" si="2211"/>
        <v>0</v>
      </c>
      <c r="BJ195" s="71">
        <f t="shared" si="2212"/>
        <v>0</v>
      </c>
      <c r="BK195" s="71">
        <f t="shared" si="2213"/>
        <v>0</v>
      </c>
      <c r="BL195" s="71">
        <f t="shared" si="2214"/>
        <v>0</v>
      </c>
      <c r="BM195" s="71">
        <f t="shared" si="2215"/>
        <v>0</v>
      </c>
      <c r="BN195" s="71">
        <f t="shared" si="2216"/>
        <v>0</v>
      </c>
      <c r="BO195" s="71">
        <f t="shared" si="2217"/>
        <v>0</v>
      </c>
      <c r="BP195" s="71">
        <f t="shared" si="2218"/>
        <v>0</v>
      </c>
      <c r="BQ195" s="71">
        <f t="shared" si="2219"/>
        <v>0</v>
      </c>
      <c r="BR195" s="71">
        <f t="shared" si="2220"/>
        <v>0</v>
      </c>
      <c r="BS195" s="71">
        <f t="shared" si="2221"/>
        <v>0</v>
      </c>
      <c r="BT195" s="71">
        <f t="shared" si="2222"/>
        <v>0</v>
      </c>
      <c r="BU195" s="71">
        <f t="shared" si="2223"/>
        <v>0</v>
      </c>
      <c r="BV195" s="71">
        <f t="shared" si="2224"/>
        <v>0</v>
      </c>
      <c r="BW195" s="71">
        <f t="shared" si="2225"/>
        <v>0</v>
      </c>
      <c r="BX195" s="71">
        <f t="shared" si="2226"/>
        <v>0</v>
      </c>
      <c r="BY195" s="71">
        <f t="shared" si="2227"/>
        <v>0</v>
      </c>
      <c r="BZ195" s="71">
        <f t="shared" si="2228"/>
        <v>0</v>
      </c>
      <c r="CA195" s="71">
        <f t="shared" si="2229"/>
        <v>0</v>
      </c>
      <c r="CB195" s="71">
        <f t="shared" si="2230"/>
        <v>0</v>
      </c>
      <c r="CC195" s="71">
        <f t="shared" si="2231"/>
        <v>0</v>
      </c>
      <c r="CD195" s="71">
        <f t="shared" si="2232"/>
        <v>0</v>
      </c>
      <c r="CE195" s="71">
        <f t="shared" si="2233"/>
        <v>0</v>
      </c>
      <c r="CF195" s="71">
        <f t="shared" si="2234"/>
        <v>0</v>
      </c>
      <c r="CG195" s="71">
        <f t="shared" si="2235"/>
        <v>0</v>
      </c>
      <c r="CH195" s="70">
        <f t="shared" si="1555"/>
        <v>0</v>
      </c>
      <c r="CI195" s="69">
        <f t="shared" ca="1" si="1556"/>
        <v>0</v>
      </c>
      <c r="GM195" s="2" t="s">
        <v>16</v>
      </c>
      <c r="GN195" s="98" t="str">
        <f t="shared" si="1552"/>
        <v>LHR02-FMCG-SPO-00</v>
      </c>
      <c r="GO195" s="4">
        <v>0</v>
      </c>
      <c r="GP195" s="3">
        <v>0</v>
      </c>
      <c r="GQ195" s="3">
        <v>0</v>
      </c>
      <c r="GR195" s="3">
        <v>0</v>
      </c>
      <c r="GS195" s="3">
        <v>0</v>
      </c>
      <c r="GT195" s="3">
        <v>0</v>
      </c>
      <c r="GU195" s="3">
        <v>0</v>
      </c>
      <c r="GV195" s="3">
        <v>0</v>
      </c>
      <c r="GW195" s="3">
        <v>0</v>
      </c>
      <c r="GX195" s="3">
        <v>0</v>
      </c>
      <c r="GY195" s="3">
        <v>0</v>
      </c>
      <c r="GZ195" s="3">
        <v>0</v>
      </c>
      <c r="HA195" s="3">
        <v>0</v>
      </c>
      <c r="HB195" s="3">
        <v>0</v>
      </c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6"/>
      <c r="HT195" s="4">
        <v>0</v>
      </c>
      <c r="HU195" s="3">
        <v>0</v>
      </c>
      <c r="HV195" s="3">
        <v>0</v>
      </c>
      <c r="HW195" s="3">
        <v>0</v>
      </c>
      <c r="HX195" s="3">
        <v>0</v>
      </c>
      <c r="HY195" s="3">
        <v>0</v>
      </c>
      <c r="HZ195" s="3">
        <v>0</v>
      </c>
      <c r="IA195" s="3">
        <v>0</v>
      </c>
      <c r="IB195" s="3">
        <v>0</v>
      </c>
      <c r="IC195" s="3">
        <v>0</v>
      </c>
      <c r="ID195" s="3">
        <v>0</v>
      </c>
      <c r="IE195" s="3">
        <v>0</v>
      </c>
      <c r="IF195" s="3">
        <v>0</v>
      </c>
      <c r="IG195" s="3">
        <v>0</v>
      </c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6"/>
    </row>
    <row r="196" spans="1:258">
      <c r="A196" s="97" t="s">
        <v>1380</v>
      </c>
      <c r="B196" s="98" t="s">
        <v>20</v>
      </c>
      <c r="C196" s="98" t="s">
        <v>449</v>
      </c>
      <c r="D196" s="99" t="s">
        <v>1204</v>
      </c>
      <c r="E196" s="98" t="s">
        <v>479</v>
      </c>
      <c r="F196" s="98" t="s">
        <v>480</v>
      </c>
      <c r="G196" s="98" t="s">
        <v>498</v>
      </c>
      <c r="H196" s="98" t="s">
        <v>1702</v>
      </c>
      <c r="I196" s="98" t="s">
        <v>1205</v>
      </c>
      <c r="J196" s="98" t="s">
        <v>885</v>
      </c>
      <c r="K196" s="98" t="s">
        <v>1127</v>
      </c>
      <c r="L196" s="98" t="s">
        <v>499</v>
      </c>
      <c r="M196" s="101" t="s">
        <v>1093</v>
      </c>
      <c r="N196" s="108">
        <v>45146</v>
      </c>
      <c r="O196" s="100">
        <v>0</v>
      </c>
      <c r="P196" s="69">
        <v>0</v>
      </c>
      <c r="Q196" s="69">
        <f t="shared" si="2169"/>
        <v>0</v>
      </c>
      <c r="R196" s="69">
        <f t="shared" si="2170"/>
        <v>0</v>
      </c>
      <c r="S196" s="69">
        <f t="shared" si="2171"/>
        <v>0</v>
      </c>
      <c r="T196" s="69">
        <f t="shared" si="2172"/>
        <v>0</v>
      </c>
      <c r="U196" s="69">
        <f t="shared" si="2173"/>
        <v>0</v>
      </c>
      <c r="V196" s="70">
        <f t="shared" si="2174"/>
        <v>0</v>
      </c>
      <c r="W196" s="71">
        <f t="shared" si="2175"/>
        <v>0</v>
      </c>
      <c r="X196" s="71">
        <f t="shared" si="2176"/>
        <v>0</v>
      </c>
      <c r="Y196" s="71">
        <f t="shared" si="2177"/>
        <v>0</v>
      </c>
      <c r="Z196" s="71">
        <f t="shared" si="2178"/>
        <v>0</v>
      </c>
      <c r="AA196" s="71">
        <f t="shared" si="2179"/>
        <v>0</v>
      </c>
      <c r="AB196" s="71">
        <f t="shared" si="2180"/>
        <v>0</v>
      </c>
      <c r="AC196" s="71">
        <f t="shared" si="2181"/>
        <v>0</v>
      </c>
      <c r="AD196" s="71">
        <f t="shared" si="2182"/>
        <v>0</v>
      </c>
      <c r="AE196" s="71">
        <f t="shared" si="2183"/>
        <v>0</v>
      </c>
      <c r="AF196" s="71">
        <f t="shared" si="2184"/>
        <v>0</v>
      </c>
      <c r="AG196" s="71">
        <f t="shared" si="2185"/>
        <v>0</v>
      </c>
      <c r="AH196" s="71">
        <f t="shared" si="2186"/>
        <v>0</v>
      </c>
      <c r="AI196" s="71">
        <f t="shared" si="2187"/>
        <v>0</v>
      </c>
      <c r="AJ196" s="71">
        <f t="shared" si="2188"/>
        <v>0</v>
      </c>
      <c r="AK196" s="71">
        <f t="shared" si="2189"/>
        <v>0</v>
      </c>
      <c r="AL196" s="71">
        <f t="shared" si="2190"/>
        <v>0</v>
      </c>
      <c r="AM196" s="71">
        <f t="shared" si="2191"/>
        <v>0</v>
      </c>
      <c r="AN196" s="71">
        <f t="shared" si="2192"/>
        <v>0</v>
      </c>
      <c r="AO196" s="71">
        <f t="shared" si="2193"/>
        <v>0</v>
      </c>
      <c r="AP196" s="71">
        <f t="shared" si="2194"/>
        <v>0</v>
      </c>
      <c r="AQ196" s="71">
        <f t="shared" si="2195"/>
        <v>0</v>
      </c>
      <c r="AR196" s="71">
        <f t="shared" si="2196"/>
        <v>0</v>
      </c>
      <c r="AS196" s="71">
        <f t="shared" si="2197"/>
        <v>0</v>
      </c>
      <c r="AT196" s="71">
        <f t="shared" si="2198"/>
        <v>0</v>
      </c>
      <c r="AU196" s="71">
        <f t="shared" si="2199"/>
        <v>0</v>
      </c>
      <c r="AV196" s="71">
        <f t="shared" si="2200"/>
        <v>0</v>
      </c>
      <c r="AW196" s="71">
        <f t="shared" si="2201"/>
        <v>0</v>
      </c>
      <c r="AX196" s="71">
        <f t="shared" si="2202"/>
        <v>0</v>
      </c>
      <c r="AY196" s="71">
        <f t="shared" si="2203"/>
        <v>0</v>
      </c>
      <c r="AZ196" s="72">
        <f t="shared" si="2204"/>
        <v>0</v>
      </c>
      <c r="BA196" s="70">
        <f t="shared" si="1553"/>
        <v>0</v>
      </c>
      <c r="BB196" s="69">
        <f t="shared" ca="1" si="1554"/>
        <v>0</v>
      </c>
      <c r="BC196" s="70">
        <f t="shared" si="2205"/>
        <v>0</v>
      </c>
      <c r="BD196" s="71">
        <f t="shared" si="2206"/>
        <v>0</v>
      </c>
      <c r="BE196" s="71">
        <f t="shared" si="2207"/>
        <v>0</v>
      </c>
      <c r="BF196" s="71">
        <f t="shared" si="2208"/>
        <v>0</v>
      </c>
      <c r="BG196" s="71">
        <f t="shared" si="2209"/>
        <v>0</v>
      </c>
      <c r="BH196" s="71">
        <f t="shared" si="2210"/>
        <v>0</v>
      </c>
      <c r="BI196" s="71">
        <f t="shared" si="2211"/>
        <v>0</v>
      </c>
      <c r="BJ196" s="71">
        <f t="shared" si="2212"/>
        <v>0</v>
      </c>
      <c r="BK196" s="71">
        <f t="shared" si="2213"/>
        <v>0</v>
      </c>
      <c r="BL196" s="71">
        <f t="shared" si="2214"/>
        <v>0</v>
      </c>
      <c r="BM196" s="71">
        <f t="shared" si="2215"/>
        <v>0</v>
      </c>
      <c r="BN196" s="71">
        <f t="shared" si="2216"/>
        <v>0</v>
      </c>
      <c r="BO196" s="71">
        <f t="shared" si="2217"/>
        <v>0</v>
      </c>
      <c r="BP196" s="71">
        <f t="shared" si="2218"/>
        <v>0</v>
      </c>
      <c r="BQ196" s="71">
        <f t="shared" si="2219"/>
        <v>0</v>
      </c>
      <c r="BR196" s="71">
        <f t="shared" si="2220"/>
        <v>0</v>
      </c>
      <c r="BS196" s="71">
        <f t="shared" si="2221"/>
        <v>0</v>
      </c>
      <c r="BT196" s="71">
        <f t="shared" si="2222"/>
        <v>0</v>
      </c>
      <c r="BU196" s="71">
        <f t="shared" si="2223"/>
        <v>0</v>
      </c>
      <c r="BV196" s="71">
        <f t="shared" si="2224"/>
        <v>0</v>
      </c>
      <c r="BW196" s="71">
        <f t="shared" si="2225"/>
        <v>0</v>
      </c>
      <c r="BX196" s="71">
        <f t="shared" si="2226"/>
        <v>0</v>
      </c>
      <c r="BY196" s="71">
        <f t="shared" si="2227"/>
        <v>0</v>
      </c>
      <c r="BZ196" s="71">
        <f t="shared" si="2228"/>
        <v>0</v>
      </c>
      <c r="CA196" s="71">
        <f t="shared" si="2229"/>
        <v>0</v>
      </c>
      <c r="CB196" s="71">
        <f t="shared" si="2230"/>
        <v>0</v>
      </c>
      <c r="CC196" s="71">
        <f t="shared" si="2231"/>
        <v>0</v>
      </c>
      <c r="CD196" s="71">
        <f t="shared" si="2232"/>
        <v>0</v>
      </c>
      <c r="CE196" s="71">
        <f t="shared" si="2233"/>
        <v>0</v>
      </c>
      <c r="CF196" s="71">
        <f t="shared" si="2234"/>
        <v>0</v>
      </c>
      <c r="CG196" s="71">
        <f t="shared" si="2235"/>
        <v>0</v>
      </c>
      <c r="CH196" s="70">
        <f t="shared" si="1555"/>
        <v>0</v>
      </c>
      <c r="CI196" s="69">
        <f t="shared" ca="1" si="1556"/>
        <v>0</v>
      </c>
      <c r="GM196" s="2" t="s">
        <v>16</v>
      </c>
      <c r="GN196" s="98" t="str">
        <f t="shared" ref="GN196:GN253" si="2236">F196</f>
        <v>LHR02-FMCG-ASM-01</v>
      </c>
      <c r="GO196" s="4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v>0</v>
      </c>
      <c r="GX196" s="3">
        <v>0</v>
      </c>
      <c r="GY196" s="3">
        <v>0</v>
      </c>
      <c r="GZ196" s="3">
        <v>0</v>
      </c>
      <c r="HA196" s="3">
        <v>0</v>
      </c>
      <c r="HB196" s="3">
        <v>0</v>
      </c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6"/>
      <c r="HT196" s="4">
        <v>0</v>
      </c>
      <c r="HU196" s="3">
        <v>0</v>
      </c>
      <c r="HV196" s="3">
        <v>0</v>
      </c>
      <c r="HW196" s="3">
        <v>0</v>
      </c>
      <c r="HX196" s="3">
        <v>0</v>
      </c>
      <c r="HY196" s="3">
        <v>0</v>
      </c>
      <c r="HZ196" s="3">
        <v>0</v>
      </c>
      <c r="IA196" s="3">
        <v>0</v>
      </c>
      <c r="IB196" s="3">
        <v>0</v>
      </c>
      <c r="IC196" s="3">
        <v>0</v>
      </c>
      <c r="ID196" s="3">
        <v>0</v>
      </c>
      <c r="IE196" s="3">
        <v>0</v>
      </c>
      <c r="IF196" s="3">
        <v>0</v>
      </c>
      <c r="IG196" s="3">
        <v>0</v>
      </c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6"/>
    </row>
    <row r="197" spans="1:258">
      <c r="A197" s="102" t="s">
        <v>53</v>
      </c>
      <c r="B197" s="103" t="s">
        <v>20</v>
      </c>
      <c r="C197" s="103" t="s">
        <v>449</v>
      </c>
      <c r="D197" s="104" t="s">
        <v>1204</v>
      </c>
      <c r="E197" s="103" t="s">
        <v>479</v>
      </c>
      <c r="F197" s="103" t="s">
        <v>480</v>
      </c>
      <c r="G197" s="103" t="s">
        <v>498</v>
      </c>
      <c r="H197" s="103" t="s">
        <v>1716</v>
      </c>
      <c r="I197" s="103" t="s">
        <v>1205</v>
      </c>
      <c r="J197" s="103" t="s">
        <v>885</v>
      </c>
      <c r="K197" s="103" t="s">
        <v>1127</v>
      </c>
      <c r="L197" s="103" t="s">
        <v>490</v>
      </c>
      <c r="M197" s="103" t="s">
        <v>1093</v>
      </c>
      <c r="N197" s="119">
        <v>45614</v>
      </c>
      <c r="O197" s="105">
        <f>O195+O194+O193+O192+O191+O190</f>
        <v>5</v>
      </c>
      <c r="P197" s="73">
        <f t="shared" ref="P197:CA197" si="2237">P195+P194+P193+P192+P191+P190</f>
        <v>2</v>
      </c>
      <c r="Q197" s="73">
        <f t="shared" si="2237"/>
        <v>2</v>
      </c>
      <c r="R197" s="73">
        <f t="shared" si="2237"/>
        <v>4</v>
      </c>
      <c r="S197" s="73">
        <f t="shared" si="2237"/>
        <v>0</v>
      </c>
      <c r="T197" s="73">
        <f t="shared" si="2237"/>
        <v>3</v>
      </c>
      <c r="U197" s="73">
        <f t="shared" si="2237"/>
        <v>4</v>
      </c>
      <c r="V197" s="74">
        <f t="shared" si="2237"/>
        <v>3</v>
      </c>
      <c r="W197" s="75">
        <f t="shared" si="2237"/>
        <v>3</v>
      </c>
      <c r="X197" s="75">
        <f t="shared" si="2237"/>
        <v>2</v>
      </c>
      <c r="Y197" s="75">
        <f t="shared" si="2237"/>
        <v>0</v>
      </c>
      <c r="Z197" s="75">
        <f t="shared" si="2237"/>
        <v>2</v>
      </c>
      <c r="AA197" s="75">
        <f t="shared" si="2237"/>
        <v>2</v>
      </c>
      <c r="AB197" s="75">
        <f t="shared" si="2237"/>
        <v>3</v>
      </c>
      <c r="AC197" s="75">
        <f t="shared" si="2237"/>
        <v>3</v>
      </c>
      <c r="AD197" s="75">
        <f t="shared" si="2237"/>
        <v>3</v>
      </c>
      <c r="AE197" s="75">
        <f t="shared" si="2237"/>
        <v>3</v>
      </c>
      <c r="AF197" s="75">
        <f t="shared" si="2237"/>
        <v>0</v>
      </c>
      <c r="AG197" s="75">
        <f t="shared" si="2237"/>
        <v>3</v>
      </c>
      <c r="AH197" s="75">
        <f t="shared" si="2237"/>
        <v>2</v>
      </c>
      <c r="AI197" s="75">
        <f t="shared" si="2237"/>
        <v>2</v>
      </c>
      <c r="AJ197" s="75">
        <f t="shared" si="2237"/>
        <v>0</v>
      </c>
      <c r="AK197" s="75">
        <f t="shared" si="2237"/>
        <v>0</v>
      </c>
      <c r="AL197" s="75">
        <f t="shared" si="2237"/>
        <v>0</v>
      </c>
      <c r="AM197" s="75">
        <f t="shared" si="2237"/>
        <v>0</v>
      </c>
      <c r="AN197" s="75">
        <f t="shared" si="2237"/>
        <v>0</v>
      </c>
      <c r="AO197" s="75">
        <f t="shared" si="2237"/>
        <v>0</v>
      </c>
      <c r="AP197" s="75">
        <f t="shared" si="2237"/>
        <v>0</v>
      </c>
      <c r="AQ197" s="75">
        <f t="shared" si="2237"/>
        <v>0</v>
      </c>
      <c r="AR197" s="75">
        <f t="shared" si="2237"/>
        <v>0</v>
      </c>
      <c r="AS197" s="75">
        <f t="shared" si="2237"/>
        <v>0</v>
      </c>
      <c r="AT197" s="75">
        <f t="shared" si="2237"/>
        <v>0</v>
      </c>
      <c r="AU197" s="75">
        <f t="shared" si="2237"/>
        <v>0</v>
      </c>
      <c r="AV197" s="75">
        <f t="shared" si="2237"/>
        <v>0</v>
      </c>
      <c r="AW197" s="75">
        <f t="shared" si="2237"/>
        <v>0</v>
      </c>
      <c r="AX197" s="75">
        <f t="shared" si="2237"/>
        <v>0</v>
      </c>
      <c r="AY197" s="75">
        <f t="shared" si="2237"/>
        <v>0</v>
      </c>
      <c r="AZ197" s="76">
        <f t="shared" si="2237"/>
        <v>0</v>
      </c>
      <c r="BA197" s="74">
        <f t="shared" ref="BA197:BA260" si="2238">SUM(V197:AZ197)</f>
        <v>31</v>
      </c>
      <c r="BB197" s="73">
        <f t="shared" ref="BB197:BB260" ca="1" si="2239">IFERROR(BA197/$CK$3/(O197-P197),0)</f>
        <v>0.79487179487179482</v>
      </c>
      <c r="BC197" s="74">
        <f t="shared" si="2237"/>
        <v>0</v>
      </c>
      <c r="BD197" s="75">
        <f t="shared" si="2237"/>
        <v>0</v>
      </c>
      <c r="BE197" s="75">
        <f t="shared" si="2237"/>
        <v>0</v>
      </c>
      <c r="BF197" s="75">
        <f t="shared" si="2237"/>
        <v>0</v>
      </c>
      <c r="BG197" s="75">
        <f t="shared" si="2237"/>
        <v>0</v>
      </c>
      <c r="BH197" s="75">
        <f t="shared" si="2237"/>
        <v>0</v>
      </c>
      <c r="BI197" s="75">
        <f t="shared" si="2237"/>
        <v>127</v>
      </c>
      <c r="BJ197" s="75">
        <f t="shared" si="2237"/>
        <v>122</v>
      </c>
      <c r="BK197" s="75">
        <f t="shared" si="2237"/>
        <v>85</v>
      </c>
      <c r="BL197" s="75">
        <f t="shared" si="2237"/>
        <v>112</v>
      </c>
      <c r="BM197" s="75">
        <f t="shared" si="2237"/>
        <v>0</v>
      </c>
      <c r="BN197" s="75">
        <f t="shared" si="2237"/>
        <v>123</v>
      </c>
      <c r="BO197" s="75">
        <f t="shared" si="2237"/>
        <v>86</v>
      </c>
      <c r="BP197" s="75">
        <f t="shared" si="2237"/>
        <v>0</v>
      </c>
      <c r="BQ197" s="75">
        <f t="shared" si="2237"/>
        <v>0</v>
      </c>
      <c r="BR197" s="75">
        <f t="shared" si="2237"/>
        <v>0</v>
      </c>
      <c r="BS197" s="75">
        <f t="shared" si="2237"/>
        <v>0</v>
      </c>
      <c r="BT197" s="75">
        <f t="shared" si="2237"/>
        <v>0</v>
      </c>
      <c r="BU197" s="75">
        <f t="shared" si="2237"/>
        <v>0</v>
      </c>
      <c r="BV197" s="75">
        <f t="shared" si="2237"/>
        <v>0</v>
      </c>
      <c r="BW197" s="75">
        <f t="shared" si="2237"/>
        <v>0</v>
      </c>
      <c r="BX197" s="75">
        <f t="shared" si="2237"/>
        <v>0</v>
      </c>
      <c r="BY197" s="75">
        <f t="shared" si="2237"/>
        <v>0</v>
      </c>
      <c r="BZ197" s="75">
        <f t="shared" si="2237"/>
        <v>0</v>
      </c>
      <c r="CA197" s="75">
        <f t="shared" si="2237"/>
        <v>0</v>
      </c>
      <c r="CB197" s="75">
        <f t="shared" ref="CB197:CG197" si="2240">CB195+CB194+CB193+CB192+CB191+CB190</f>
        <v>0</v>
      </c>
      <c r="CC197" s="75">
        <f t="shared" si="2240"/>
        <v>0</v>
      </c>
      <c r="CD197" s="75">
        <f t="shared" si="2240"/>
        <v>0</v>
      </c>
      <c r="CE197" s="75">
        <f t="shared" si="2240"/>
        <v>0</v>
      </c>
      <c r="CF197" s="75">
        <f t="shared" si="2240"/>
        <v>0</v>
      </c>
      <c r="CG197" s="75">
        <f t="shared" si="2240"/>
        <v>0</v>
      </c>
      <c r="CH197" s="74">
        <f t="shared" ref="CH197:CH260" si="2241">SUM(BC197:CG197)</f>
        <v>655</v>
      </c>
      <c r="CI197" s="73">
        <f t="shared" ref="CI197:CI260" ca="1" si="2242">IFERROR(CH197/$CK$3/(O197-P197),0)</f>
        <v>16.794871794871796</v>
      </c>
      <c r="GM197" s="2" t="s">
        <v>17</v>
      </c>
      <c r="GN197" s="103" t="str">
        <f t="shared" si="2236"/>
        <v>LHR02-FMCG-ASM-01</v>
      </c>
      <c r="GO197" s="4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v>0</v>
      </c>
      <c r="GX197" s="3">
        <v>0</v>
      </c>
      <c r="GY197" s="3">
        <v>0</v>
      </c>
      <c r="GZ197" s="3">
        <v>0</v>
      </c>
      <c r="HA197" s="3">
        <v>0</v>
      </c>
      <c r="HB197" s="3">
        <v>0</v>
      </c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6"/>
      <c r="HT197" s="4">
        <v>0</v>
      </c>
      <c r="HU197" s="3">
        <v>0</v>
      </c>
      <c r="HV197" s="3">
        <v>0</v>
      </c>
      <c r="HW197" s="3">
        <v>0</v>
      </c>
      <c r="HX197" s="3">
        <v>0</v>
      </c>
      <c r="HY197" s="3">
        <v>0</v>
      </c>
      <c r="HZ197" s="3">
        <v>0</v>
      </c>
      <c r="IA197" s="3">
        <v>0</v>
      </c>
      <c r="IB197" s="3">
        <v>0</v>
      </c>
      <c r="IC197" s="3">
        <v>0</v>
      </c>
      <c r="ID197" s="3">
        <v>0</v>
      </c>
      <c r="IE197" s="3">
        <v>0</v>
      </c>
      <c r="IF197" s="3">
        <v>0</v>
      </c>
      <c r="IG197" s="3">
        <v>0</v>
      </c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6"/>
    </row>
    <row r="198" spans="1:258">
      <c r="A198" s="97" t="s">
        <v>25</v>
      </c>
      <c r="B198" s="98" t="s">
        <v>26</v>
      </c>
      <c r="C198" s="101" t="s">
        <v>449</v>
      </c>
      <c r="D198" s="99" t="s">
        <v>1206</v>
      </c>
      <c r="E198" s="98" t="s">
        <v>967</v>
      </c>
      <c r="F198" s="98" t="s">
        <v>483</v>
      </c>
      <c r="G198" s="98" t="s">
        <v>468</v>
      </c>
      <c r="H198" s="98" t="s">
        <v>1715</v>
      </c>
      <c r="I198" s="98" t="s">
        <v>1665</v>
      </c>
      <c r="J198" s="98" t="s">
        <v>885</v>
      </c>
      <c r="K198" s="98" t="s">
        <v>1127</v>
      </c>
      <c r="L198" s="101" t="s">
        <v>0</v>
      </c>
      <c r="M198" s="101" t="s">
        <v>1093</v>
      </c>
      <c r="N198" s="184">
        <v>46287</v>
      </c>
      <c r="O198" s="100">
        <v>1</v>
      </c>
      <c r="P198" s="69">
        <v>0</v>
      </c>
      <c r="Q198" s="69">
        <f t="shared" ref="Q198:Q204" si="2243">IFERROR(IF(OR(AI198&gt;0),1,0),0)</f>
        <v>1</v>
      </c>
      <c r="R198" s="69">
        <f t="shared" ref="R198:R204" si="2244">IFERROR(IF(OR(BA198&gt;0),1,0),0)</f>
        <v>1</v>
      </c>
      <c r="S198" s="69">
        <f t="shared" ref="S198:S204" si="2245">IFERROR(IF(OR(BP198&gt;0),1,0),0)</f>
        <v>0</v>
      </c>
      <c r="T198" s="69">
        <f t="shared" ref="T198:T204" si="2246">IFERROR(IF(OR(CH198&gt;0),1,0),0)</f>
        <v>1</v>
      </c>
      <c r="U198" s="69">
        <f t="shared" ref="U198:U204" si="2247">IFERROR(IF(OR(BA198&gt;0,CH198&gt;0),1,0),0)</f>
        <v>1</v>
      </c>
      <c r="V198" s="70">
        <f t="shared" ref="V198:V204" si="2248">GO198</f>
        <v>1</v>
      </c>
      <c r="W198" s="71">
        <f t="shared" ref="W198:W204" si="2249">GP198</f>
        <v>1</v>
      </c>
      <c r="X198" s="71">
        <f t="shared" ref="X198:X204" si="2250">GQ198</f>
        <v>1</v>
      </c>
      <c r="Y198" s="71">
        <f t="shared" ref="Y198:Y204" si="2251">GR198</f>
        <v>0</v>
      </c>
      <c r="Z198" s="71">
        <f t="shared" ref="Z198:Z204" si="2252">GS198</f>
        <v>1</v>
      </c>
      <c r="AA198" s="71">
        <f t="shared" ref="AA198:AA204" si="2253">GT198</f>
        <v>1</v>
      </c>
      <c r="AB198" s="71">
        <f t="shared" ref="AB198:AB204" si="2254">GU198</f>
        <v>1</v>
      </c>
      <c r="AC198" s="71">
        <f t="shared" ref="AC198:AC204" si="2255">GV198</f>
        <v>1</v>
      </c>
      <c r="AD198" s="71">
        <f t="shared" ref="AD198:AD204" si="2256">GW198</f>
        <v>0</v>
      </c>
      <c r="AE198" s="71">
        <f t="shared" ref="AE198:AE204" si="2257">GX198</f>
        <v>1</v>
      </c>
      <c r="AF198" s="71">
        <f t="shared" ref="AF198:AF204" si="2258">GY198</f>
        <v>0</v>
      </c>
      <c r="AG198" s="71">
        <f t="shared" ref="AG198:AG204" si="2259">GZ198</f>
        <v>1</v>
      </c>
      <c r="AH198" s="71">
        <f t="shared" ref="AH198:AH204" si="2260">HA198</f>
        <v>1</v>
      </c>
      <c r="AI198" s="71">
        <f t="shared" ref="AI198:AI204" si="2261">HB198</f>
        <v>1</v>
      </c>
      <c r="AJ198" s="71">
        <f t="shared" ref="AJ198:AJ204" si="2262">HC198</f>
        <v>0</v>
      </c>
      <c r="AK198" s="71">
        <f t="shared" ref="AK198:AK204" si="2263">HD198</f>
        <v>0</v>
      </c>
      <c r="AL198" s="71">
        <f t="shared" ref="AL198:AL204" si="2264">HE198</f>
        <v>0</v>
      </c>
      <c r="AM198" s="71">
        <f t="shared" ref="AM198:AM204" si="2265">HF198</f>
        <v>0</v>
      </c>
      <c r="AN198" s="71">
        <f t="shared" ref="AN198:AN204" si="2266">HG198</f>
        <v>0</v>
      </c>
      <c r="AO198" s="71">
        <f t="shared" ref="AO198:AO204" si="2267">HH198</f>
        <v>0</v>
      </c>
      <c r="AP198" s="71">
        <f t="shared" ref="AP198:AP204" si="2268">HI198</f>
        <v>0</v>
      </c>
      <c r="AQ198" s="71">
        <f t="shared" ref="AQ198:AQ204" si="2269">HJ198</f>
        <v>0</v>
      </c>
      <c r="AR198" s="71">
        <f t="shared" ref="AR198:AR204" si="2270">HK198</f>
        <v>0</v>
      </c>
      <c r="AS198" s="71">
        <f t="shared" ref="AS198:AS204" si="2271">HL198</f>
        <v>0</v>
      </c>
      <c r="AT198" s="71">
        <f t="shared" ref="AT198:AT204" si="2272">HM198</f>
        <v>0</v>
      </c>
      <c r="AU198" s="71">
        <f t="shared" ref="AU198:AU204" si="2273">HN198</f>
        <v>0</v>
      </c>
      <c r="AV198" s="71">
        <f t="shared" ref="AV198:AV204" si="2274">HO198</f>
        <v>0</v>
      </c>
      <c r="AW198" s="71">
        <f t="shared" ref="AW198:AW204" si="2275">HP198</f>
        <v>0</v>
      </c>
      <c r="AX198" s="71">
        <f t="shared" ref="AX198:AX204" si="2276">HQ198</f>
        <v>0</v>
      </c>
      <c r="AY198" s="71">
        <f t="shared" ref="AY198:AY204" si="2277">HR198</f>
        <v>0</v>
      </c>
      <c r="AZ198" s="72">
        <f t="shared" ref="AZ198:AZ204" si="2278">HS198</f>
        <v>0</v>
      </c>
      <c r="BA198" s="70">
        <f t="shared" si="2238"/>
        <v>11</v>
      </c>
      <c r="BB198" s="69">
        <f t="shared" ca="1" si="2239"/>
        <v>0.84615384615384615</v>
      </c>
      <c r="BC198" s="70">
        <f t="shared" ref="BC198:BC204" si="2279">HT198</f>
        <v>0</v>
      </c>
      <c r="BD198" s="71">
        <f t="shared" ref="BD198:BD204" si="2280">HU198</f>
        <v>0</v>
      </c>
      <c r="BE198" s="71">
        <f t="shared" ref="BE198:BE204" si="2281">HV198</f>
        <v>0</v>
      </c>
      <c r="BF198" s="71">
        <f t="shared" ref="BF198:BF204" si="2282">HW198</f>
        <v>0</v>
      </c>
      <c r="BG198" s="71">
        <f t="shared" ref="BG198:BG204" si="2283">HX198</f>
        <v>0</v>
      </c>
      <c r="BH198" s="71">
        <f t="shared" ref="BH198:BH204" si="2284">HY198</f>
        <v>0</v>
      </c>
      <c r="BI198" s="71">
        <f t="shared" ref="BI198:BI204" si="2285">HZ198</f>
        <v>41</v>
      </c>
      <c r="BJ198" s="71">
        <f t="shared" ref="BJ198:BJ204" si="2286">IA198</f>
        <v>40</v>
      </c>
      <c r="BK198" s="71">
        <f t="shared" ref="BK198:BK204" si="2287">IB198</f>
        <v>0</v>
      </c>
      <c r="BL198" s="71">
        <f t="shared" ref="BL198:BL204" si="2288">IC198</f>
        <v>40</v>
      </c>
      <c r="BM198" s="71">
        <f t="shared" ref="BM198:BM204" si="2289">ID198</f>
        <v>0</v>
      </c>
      <c r="BN198" s="71">
        <f t="shared" ref="BN198:BN204" si="2290">IE198</f>
        <v>40</v>
      </c>
      <c r="BO198" s="71">
        <f t="shared" ref="BO198:BO204" si="2291">IF198</f>
        <v>40</v>
      </c>
      <c r="BP198" s="71">
        <f t="shared" ref="BP198:BP204" si="2292">IG198</f>
        <v>0</v>
      </c>
      <c r="BQ198" s="71">
        <f t="shared" ref="BQ198:BQ204" si="2293">IH198</f>
        <v>0</v>
      </c>
      <c r="BR198" s="71">
        <f t="shared" ref="BR198:BR204" si="2294">II198</f>
        <v>0</v>
      </c>
      <c r="BS198" s="71">
        <f t="shared" ref="BS198:BS204" si="2295">IJ198</f>
        <v>0</v>
      </c>
      <c r="BT198" s="71">
        <f t="shared" ref="BT198:BT204" si="2296">IK198</f>
        <v>0</v>
      </c>
      <c r="BU198" s="71">
        <f t="shared" ref="BU198:BU204" si="2297">IL198</f>
        <v>0</v>
      </c>
      <c r="BV198" s="71">
        <f t="shared" ref="BV198:BV204" si="2298">IM198</f>
        <v>0</v>
      </c>
      <c r="BW198" s="71">
        <f t="shared" ref="BW198:BW204" si="2299">IN198</f>
        <v>0</v>
      </c>
      <c r="BX198" s="71">
        <f t="shared" ref="BX198:BX204" si="2300">IO198</f>
        <v>0</v>
      </c>
      <c r="BY198" s="71">
        <f t="shared" ref="BY198:BY204" si="2301">IP198</f>
        <v>0</v>
      </c>
      <c r="BZ198" s="71">
        <f t="shared" ref="BZ198:BZ204" si="2302">IQ198</f>
        <v>0</v>
      </c>
      <c r="CA198" s="71">
        <f t="shared" ref="CA198:CA204" si="2303">IR198</f>
        <v>0</v>
      </c>
      <c r="CB198" s="71">
        <f t="shared" ref="CB198:CB204" si="2304">IS198</f>
        <v>0</v>
      </c>
      <c r="CC198" s="71">
        <f t="shared" ref="CC198:CC204" si="2305">IT198</f>
        <v>0</v>
      </c>
      <c r="CD198" s="71">
        <f t="shared" ref="CD198:CD204" si="2306">IU198</f>
        <v>0</v>
      </c>
      <c r="CE198" s="71">
        <f t="shared" ref="CE198:CE204" si="2307">IV198</f>
        <v>0</v>
      </c>
      <c r="CF198" s="71">
        <f t="shared" ref="CF198:CF204" si="2308">IW198</f>
        <v>0</v>
      </c>
      <c r="CG198" s="71">
        <f t="shared" ref="CG198:CG204" si="2309">IX198</f>
        <v>0</v>
      </c>
      <c r="CH198" s="70">
        <f t="shared" si="2241"/>
        <v>201</v>
      </c>
      <c r="CI198" s="69">
        <f t="shared" ca="1" si="2242"/>
        <v>15.461538461538462</v>
      </c>
      <c r="GM198" s="2" t="s">
        <v>16</v>
      </c>
      <c r="GN198" s="98" t="str">
        <f t="shared" si="2236"/>
        <v>LHR03-FMCG01-SPO-01</v>
      </c>
      <c r="GO198" s="4">
        <v>1</v>
      </c>
      <c r="GP198" s="3">
        <v>1</v>
      </c>
      <c r="GQ198" s="3">
        <v>1</v>
      </c>
      <c r="GR198" s="3">
        <v>0</v>
      </c>
      <c r="GS198" s="3">
        <v>1</v>
      </c>
      <c r="GT198" s="3">
        <v>1</v>
      </c>
      <c r="GU198" s="3">
        <v>1</v>
      </c>
      <c r="GV198" s="3">
        <v>1</v>
      </c>
      <c r="GW198" s="3">
        <v>0</v>
      </c>
      <c r="GX198" s="3">
        <v>1</v>
      </c>
      <c r="GY198" s="3">
        <v>0</v>
      </c>
      <c r="GZ198" s="3">
        <v>1</v>
      </c>
      <c r="HA198" s="3">
        <v>1</v>
      </c>
      <c r="HB198" s="3">
        <v>1</v>
      </c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6"/>
      <c r="HT198" s="4">
        <v>0</v>
      </c>
      <c r="HU198" s="3">
        <v>0</v>
      </c>
      <c r="HV198" s="3">
        <v>0</v>
      </c>
      <c r="HW198" s="3">
        <v>0</v>
      </c>
      <c r="HX198" s="3">
        <v>0</v>
      </c>
      <c r="HY198" s="3">
        <v>0</v>
      </c>
      <c r="HZ198" s="3">
        <v>41</v>
      </c>
      <c r="IA198" s="3">
        <v>40</v>
      </c>
      <c r="IB198" s="3">
        <v>0</v>
      </c>
      <c r="IC198" s="3">
        <v>40</v>
      </c>
      <c r="ID198" s="3">
        <v>0</v>
      </c>
      <c r="IE198" s="3">
        <v>40</v>
      </c>
      <c r="IF198" s="3">
        <v>40</v>
      </c>
      <c r="IG198" s="3">
        <v>0</v>
      </c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6"/>
    </row>
    <row r="199" spans="1:258">
      <c r="A199" s="97" t="s">
        <v>25</v>
      </c>
      <c r="B199" s="101" t="s">
        <v>26</v>
      </c>
      <c r="C199" s="101" t="s">
        <v>449</v>
      </c>
      <c r="D199" s="107" t="s">
        <v>1206</v>
      </c>
      <c r="E199" s="101" t="s">
        <v>968</v>
      </c>
      <c r="F199" s="101" t="s">
        <v>485</v>
      </c>
      <c r="G199" s="98" t="s">
        <v>484</v>
      </c>
      <c r="H199" s="101" t="s">
        <v>1713</v>
      </c>
      <c r="I199" s="101" t="s">
        <v>1533</v>
      </c>
      <c r="J199" s="101" t="s">
        <v>885</v>
      </c>
      <c r="K199" s="101" t="s">
        <v>1127</v>
      </c>
      <c r="L199" s="139" t="s">
        <v>1714</v>
      </c>
      <c r="M199" s="101" t="s">
        <v>1093</v>
      </c>
      <c r="N199" s="139">
        <v>46287</v>
      </c>
      <c r="O199" s="100">
        <v>1</v>
      </c>
      <c r="P199" s="69">
        <v>0</v>
      </c>
      <c r="Q199" s="69">
        <f t="shared" si="2243"/>
        <v>1</v>
      </c>
      <c r="R199" s="69">
        <f t="shared" si="2244"/>
        <v>1</v>
      </c>
      <c r="S199" s="69">
        <f t="shared" si="2245"/>
        <v>0</v>
      </c>
      <c r="T199" s="69">
        <f t="shared" si="2246"/>
        <v>1</v>
      </c>
      <c r="U199" s="69">
        <f t="shared" si="2247"/>
        <v>1</v>
      </c>
      <c r="V199" s="70">
        <f t="shared" si="2248"/>
        <v>1</v>
      </c>
      <c r="W199" s="71">
        <f t="shared" si="2249"/>
        <v>1</v>
      </c>
      <c r="X199" s="71">
        <f t="shared" si="2250"/>
        <v>1</v>
      </c>
      <c r="Y199" s="71">
        <f t="shared" si="2251"/>
        <v>0</v>
      </c>
      <c r="Z199" s="71">
        <f t="shared" si="2252"/>
        <v>1</v>
      </c>
      <c r="AA199" s="71">
        <f t="shared" si="2253"/>
        <v>1</v>
      </c>
      <c r="AB199" s="71">
        <f t="shared" si="2254"/>
        <v>1</v>
      </c>
      <c r="AC199" s="71">
        <f t="shared" si="2255"/>
        <v>1</v>
      </c>
      <c r="AD199" s="71">
        <f t="shared" si="2256"/>
        <v>1</v>
      </c>
      <c r="AE199" s="71">
        <f t="shared" si="2257"/>
        <v>1</v>
      </c>
      <c r="AF199" s="71">
        <f t="shared" si="2258"/>
        <v>0</v>
      </c>
      <c r="AG199" s="71">
        <f t="shared" si="2259"/>
        <v>1</v>
      </c>
      <c r="AH199" s="71">
        <f t="shared" si="2260"/>
        <v>1</v>
      </c>
      <c r="AI199" s="71">
        <f t="shared" si="2261"/>
        <v>1</v>
      </c>
      <c r="AJ199" s="71">
        <f t="shared" si="2262"/>
        <v>0</v>
      </c>
      <c r="AK199" s="71">
        <f t="shared" si="2263"/>
        <v>0</v>
      </c>
      <c r="AL199" s="71">
        <f t="shared" si="2264"/>
        <v>0</v>
      </c>
      <c r="AM199" s="71">
        <f t="shared" si="2265"/>
        <v>0</v>
      </c>
      <c r="AN199" s="71">
        <f t="shared" si="2266"/>
        <v>0</v>
      </c>
      <c r="AO199" s="71">
        <f t="shared" si="2267"/>
        <v>0</v>
      </c>
      <c r="AP199" s="71">
        <f t="shared" si="2268"/>
        <v>0</v>
      </c>
      <c r="AQ199" s="71">
        <f t="shared" si="2269"/>
        <v>0</v>
      </c>
      <c r="AR199" s="71">
        <f t="shared" si="2270"/>
        <v>0</v>
      </c>
      <c r="AS199" s="71">
        <f t="shared" si="2271"/>
        <v>0</v>
      </c>
      <c r="AT199" s="71">
        <f t="shared" si="2272"/>
        <v>0</v>
      </c>
      <c r="AU199" s="71">
        <f t="shared" si="2273"/>
        <v>0</v>
      </c>
      <c r="AV199" s="71">
        <f t="shared" si="2274"/>
        <v>0</v>
      </c>
      <c r="AW199" s="71">
        <f t="shared" si="2275"/>
        <v>0</v>
      </c>
      <c r="AX199" s="71">
        <f t="shared" si="2276"/>
        <v>0</v>
      </c>
      <c r="AY199" s="71">
        <f t="shared" si="2277"/>
        <v>0</v>
      </c>
      <c r="AZ199" s="72">
        <f t="shared" si="2278"/>
        <v>0</v>
      </c>
      <c r="BA199" s="70">
        <f t="shared" si="2238"/>
        <v>12</v>
      </c>
      <c r="BB199" s="69">
        <f t="shared" ca="1" si="2239"/>
        <v>0.92307692307692313</v>
      </c>
      <c r="BC199" s="70">
        <f t="shared" si="2279"/>
        <v>0</v>
      </c>
      <c r="BD199" s="71">
        <f t="shared" si="2280"/>
        <v>0</v>
      </c>
      <c r="BE199" s="71">
        <f t="shared" si="2281"/>
        <v>0</v>
      </c>
      <c r="BF199" s="71">
        <f t="shared" si="2282"/>
        <v>0</v>
      </c>
      <c r="BG199" s="71">
        <f t="shared" si="2283"/>
        <v>0</v>
      </c>
      <c r="BH199" s="71">
        <f t="shared" si="2284"/>
        <v>0</v>
      </c>
      <c r="BI199" s="71">
        <f t="shared" si="2285"/>
        <v>42</v>
      </c>
      <c r="BJ199" s="71">
        <f t="shared" si="2286"/>
        <v>45</v>
      </c>
      <c r="BK199" s="71">
        <f t="shared" si="2287"/>
        <v>45</v>
      </c>
      <c r="BL199" s="71">
        <f t="shared" si="2288"/>
        <v>42</v>
      </c>
      <c r="BM199" s="71">
        <f t="shared" si="2289"/>
        <v>0</v>
      </c>
      <c r="BN199" s="71">
        <f t="shared" si="2290"/>
        <v>47</v>
      </c>
      <c r="BO199" s="71">
        <f t="shared" si="2291"/>
        <v>45</v>
      </c>
      <c r="BP199" s="71">
        <f t="shared" si="2292"/>
        <v>0</v>
      </c>
      <c r="BQ199" s="71">
        <f t="shared" si="2293"/>
        <v>0</v>
      </c>
      <c r="BR199" s="71">
        <f t="shared" si="2294"/>
        <v>0</v>
      </c>
      <c r="BS199" s="71">
        <f t="shared" si="2295"/>
        <v>0</v>
      </c>
      <c r="BT199" s="71">
        <f t="shared" si="2296"/>
        <v>0</v>
      </c>
      <c r="BU199" s="71">
        <f t="shared" si="2297"/>
        <v>0</v>
      </c>
      <c r="BV199" s="71">
        <f t="shared" si="2298"/>
        <v>0</v>
      </c>
      <c r="BW199" s="71">
        <f t="shared" si="2299"/>
        <v>0</v>
      </c>
      <c r="BX199" s="71">
        <f t="shared" si="2300"/>
        <v>0</v>
      </c>
      <c r="BY199" s="71">
        <f t="shared" si="2301"/>
        <v>0</v>
      </c>
      <c r="BZ199" s="71">
        <f t="shared" si="2302"/>
        <v>0</v>
      </c>
      <c r="CA199" s="71">
        <f t="shared" si="2303"/>
        <v>0</v>
      </c>
      <c r="CB199" s="71">
        <f t="shared" si="2304"/>
        <v>0</v>
      </c>
      <c r="CC199" s="71">
        <f t="shared" si="2305"/>
        <v>0</v>
      </c>
      <c r="CD199" s="71">
        <f t="shared" si="2306"/>
        <v>0</v>
      </c>
      <c r="CE199" s="71">
        <f t="shared" si="2307"/>
        <v>0</v>
      </c>
      <c r="CF199" s="71">
        <f t="shared" si="2308"/>
        <v>0</v>
      </c>
      <c r="CG199" s="71">
        <f t="shared" si="2309"/>
        <v>0</v>
      </c>
      <c r="CH199" s="70">
        <f t="shared" si="2241"/>
        <v>266</v>
      </c>
      <c r="CI199" s="69">
        <f t="shared" ca="1" si="2242"/>
        <v>20.46153846153846</v>
      </c>
      <c r="GM199" s="2" t="s">
        <v>16</v>
      </c>
      <c r="GN199" s="101" t="str">
        <f t="shared" si="2236"/>
        <v>LHR03-FMCG01-SPO-02</v>
      </c>
      <c r="GO199" s="4">
        <v>1</v>
      </c>
      <c r="GP199" s="3">
        <v>1</v>
      </c>
      <c r="GQ199" s="3">
        <v>1</v>
      </c>
      <c r="GR199" s="3">
        <v>0</v>
      </c>
      <c r="GS199" s="3">
        <v>1</v>
      </c>
      <c r="GT199" s="3">
        <v>1</v>
      </c>
      <c r="GU199" s="3">
        <v>1</v>
      </c>
      <c r="GV199" s="3">
        <v>1</v>
      </c>
      <c r="GW199" s="3">
        <v>1</v>
      </c>
      <c r="GX199" s="3">
        <v>1</v>
      </c>
      <c r="GY199" s="3">
        <v>0</v>
      </c>
      <c r="GZ199" s="3">
        <v>1</v>
      </c>
      <c r="HA199" s="3">
        <v>1</v>
      </c>
      <c r="HB199" s="3">
        <v>1</v>
      </c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6"/>
      <c r="HT199" s="4">
        <v>0</v>
      </c>
      <c r="HU199" s="3">
        <v>0</v>
      </c>
      <c r="HV199" s="3">
        <v>0</v>
      </c>
      <c r="HW199" s="3">
        <v>0</v>
      </c>
      <c r="HX199" s="3">
        <v>0</v>
      </c>
      <c r="HY199" s="3">
        <v>0</v>
      </c>
      <c r="HZ199" s="3">
        <v>42</v>
      </c>
      <c r="IA199" s="3">
        <v>45</v>
      </c>
      <c r="IB199" s="3">
        <v>45</v>
      </c>
      <c r="IC199" s="3">
        <v>42</v>
      </c>
      <c r="ID199" s="3">
        <v>0</v>
      </c>
      <c r="IE199" s="3">
        <v>47</v>
      </c>
      <c r="IF199" s="3">
        <v>45</v>
      </c>
      <c r="IG199" s="3">
        <v>0</v>
      </c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6"/>
    </row>
    <row r="200" spans="1:258">
      <c r="A200" s="97" t="s">
        <v>25</v>
      </c>
      <c r="B200" s="98" t="s">
        <v>90</v>
      </c>
      <c r="C200" s="101" t="s">
        <v>449</v>
      </c>
      <c r="D200" s="99" t="s">
        <v>1206</v>
      </c>
      <c r="E200" s="98" t="s">
        <v>472</v>
      </c>
      <c r="F200" s="98" t="s">
        <v>488</v>
      </c>
      <c r="G200" s="98" t="s">
        <v>474</v>
      </c>
      <c r="H200" s="98" t="s">
        <v>1534</v>
      </c>
      <c r="I200" s="98" t="s">
        <v>1534</v>
      </c>
      <c r="J200" s="98" t="s">
        <v>885</v>
      </c>
      <c r="K200" s="98" t="s">
        <v>1092</v>
      </c>
      <c r="L200" s="98" t="s">
        <v>475</v>
      </c>
      <c r="M200" s="101" t="s">
        <v>1093</v>
      </c>
      <c r="N200" s="139">
        <v>44431</v>
      </c>
      <c r="O200" s="100">
        <v>1</v>
      </c>
      <c r="P200" s="69">
        <v>0</v>
      </c>
      <c r="Q200" s="69">
        <f t="shared" si="2243"/>
        <v>1</v>
      </c>
      <c r="R200" s="69">
        <f t="shared" si="2244"/>
        <v>1</v>
      </c>
      <c r="S200" s="69">
        <f t="shared" si="2245"/>
        <v>0</v>
      </c>
      <c r="T200" s="69">
        <f t="shared" si="2246"/>
        <v>1</v>
      </c>
      <c r="U200" s="69">
        <f t="shared" si="2247"/>
        <v>1</v>
      </c>
      <c r="V200" s="70">
        <f t="shared" si="2248"/>
        <v>1</v>
      </c>
      <c r="W200" s="71">
        <f t="shared" si="2249"/>
        <v>1</v>
      </c>
      <c r="X200" s="71">
        <f t="shared" si="2250"/>
        <v>1</v>
      </c>
      <c r="Y200" s="71">
        <f t="shared" si="2251"/>
        <v>0</v>
      </c>
      <c r="Z200" s="71">
        <f t="shared" si="2252"/>
        <v>1</v>
      </c>
      <c r="AA200" s="71">
        <f t="shared" si="2253"/>
        <v>1</v>
      </c>
      <c r="AB200" s="71">
        <f t="shared" si="2254"/>
        <v>1</v>
      </c>
      <c r="AC200" s="71">
        <f t="shared" si="2255"/>
        <v>1</v>
      </c>
      <c r="AD200" s="71">
        <f t="shared" si="2256"/>
        <v>1</v>
      </c>
      <c r="AE200" s="71">
        <f t="shared" si="2257"/>
        <v>1</v>
      </c>
      <c r="AF200" s="71">
        <f t="shared" si="2258"/>
        <v>0</v>
      </c>
      <c r="AG200" s="71">
        <f t="shared" si="2259"/>
        <v>1</v>
      </c>
      <c r="AH200" s="71">
        <f t="shared" si="2260"/>
        <v>1</v>
      </c>
      <c r="AI200" s="71">
        <f t="shared" si="2261"/>
        <v>1</v>
      </c>
      <c r="AJ200" s="71">
        <f t="shared" si="2262"/>
        <v>0</v>
      </c>
      <c r="AK200" s="71">
        <f t="shared" si="2263"/>
        <v>0</v>
      </c>
      <c r="AL200" s="71">
        <f t="shared" si="2264"/>
        <v>0</v>
      </c>
      <c r="AM200" s="71">
        <f t="shared" si="2265"/>
        <v>0</v>
      </c>
      <c r="AN200" s="71">
        <f t="shared" si="2266"/>
        <v>0</v>
      </c>
      <c r="AO200" s="71">
        <f t="shared" si="2267"/>
        <v>0</v>
      </c>
      <c r="AP200" s="71">
        <f t="shared" si="2268"/>
        <v>0</v>
      </c>
      <c r="AQ200" s="71">
        <f t="shared" si="2269"/>
        <v>0</v>
      </c>
      <c r="AR200" s="71">
        <f t="shared" si="2270"/>
        <v>0</v>
      </c>
      <c r="AS200" s="71">
        <f t="shared" si="2271"/>
        <v>0</v>
      </c>
      <c r="AT200" s="71">
        <f t="shared" si="2272"/>
        <v>0</v>
      </c>
      <c r="AU200" s="71">
        <f t="shared" si="2273"/>
        <v>0</v>
      </c>
      <c r="AV200" s="71">
        <f t="shared" si="2274"/>
        <v>0</v>
      </c>
      <c r="AW200" s="71">
        <f t="shared" si="2275"/>
        <v>0</v>
      </c>
      <c r="AX200" s="71">
        <f t="shared" si="2276"/>
        <v>0</v>
      </c>
      <c r="AY200" s="71">
        <f t="shared" si="2277"/>
        <v>0</v>
      </c>
      <c r="AZ200" s="72">
        <f t="shared" si="2278"/>
        <v>0</v>
      </c>
      <c r="BA200" s="70">
        <f t="shared" si="2238"/>
        <v>12</v>
      </c>
      <c r="BB200" s="69">
        <f t="shared" ca="1" si="2239"/>
        <v>0.92307692307692313</v>
      </c>
      <c r="BC200" s="70">
        <f t="shared" si="2279"/>
        <v>0</v>
      </c>
      <c r="BD200" s="71">
        <f t="shared" si="2280"/>
        <v>0</v>
      </c>
      <c r="BE200" s="71">
        <f t="shared" si="2281"/>
        <v>0</v>
      </c>
      <c r="BF200" s="71">
        <f t="shared" si="2282"/>
        <v>0</v>
      </c>
      <c r="BG200" s="71">
        <f t="shared" si="2283"/>
        <v>0</v>
      </c>
      <c r="BH200" s="71">
        <f t="shared" si="2284"/>
        <v>13</v>
      </c>
      <c r="BI200" s="71">
        <f t="shared" si="2285"/>
        <v>40</v>
      </c>
      <c r="BJ200" s="71">
        <f t="shared" si="2286"/>
        <v>50</v>
      </c>
      <c r="BK200" s="71">
        <f t="shared" si="2287"/>
        <v>40</v>
      </c>
      <c r="BL200" s="71">
        <f t="shared" si="2288"/>
        <v>48</v>
      </c>
      <c r="BM200" s="71">
        <f t="shared" si="2289"/>
        <v>0</v>
      </c>
      <c r="BN200" s="71">
        <f t="shared" si="2290"/>
        <v>42</v>
      </c>
      <c r="BO200" s="71">
        <f t="shared" si="2291"/>
        <v>42</v>
      </c>
      <c r="BP200" s="71">
        <f t="shared" si="2292"/>
        <v>0</v>
      </c>
      <c r="BQ200" s="71">
        <f t="shared" si="2293"/>
        <v>0</v>
      </c>
      <c r="BR200" s="71">
        <f t="shared" si="2294"/>
        <v>0</v>
      </c>
      <c r="BS200" s="71">
        <f t="shared" si="2295"/>
        <v>0</v>
      </c>
      <c r="BT200" s="71">
        <f t="shared" si="2296"/>
        <v>0</v>
      </c>
      <c r="BU200" s="71">
        <f t="shared" si="2297"/>
        <v>0</v>
      </c>
      <c r="BV200" s="71">
        <f t="shared" si="2298"/>
        <v>0</v>
      </c>
      <c r="BW200" s="71">
        <f t="shared" si="2299"/>
        <v>0</v>
      </c>
      <c r="BX200" s="71">
        <f t="shared" si="2300"/>
        <v>0</v>
      </c>
      <c r="BY200" s="71">
        <f t="shared" si="2301"/>
        <v>0</v>
      </c>
      <c r="BZ200" s="71">
        <f t="shared" si="2302"/>
        <v>0</v>
      </c>
      <c r="CA200" s="71">
        <f t="shared" si="2303"/>
        <v>0</v>
      </c>
      <c r="CB200" s="71">
        <f t="shared" si="2304"/>
        <v>0</v>
      </c>
      <c r="CC200" s="71">
        <f t="shared" si="2305"/>
        <v>0</v>
      </c>
      <c r="CD200" s="71">
        <f t="shared" si="2306"/>
        <v>0</v>
      </c>
      <c r="CE200" s="71">
        <f t="shared" si="2307"/>
        <v>0</v>
      </c>
      <c r="CF200" s="71">
        <f t="shared" si="2308"/>
        <v>0</v>
      </c>
      <c r="CG200" s="71">
        <f t="shared" si="2309"/>
        <v>0</v>
      </c>
      <c r="CH200" s="70">
        <f t="shared" si="2241"/>
        <v>275</v>
      </c>
      <c r="CI200" s="69">
        <f t="shared" ca="1" si="2242"/>
        <v>21.153846153846153</v>
      </c>
      <c r="GM200" s="2" t="s">
        <v>16</v>
      </c>
      <c r="GN200" s="98" t="str">
        <f t="shared" si="2236"/>
        <v>LHR03-FMCG02-SPO-01</v>
      </c>
      <c r="GO200" s="4">
        <v>1</v>
      </c>
      <c r="GP200" s="3">
        <v>1</v>
      </c>
      <c r="GQ200" s="3">
        <v>1</v>
      </c>
      <c r="GR200" s="3">
        <v>0</v>
      </c>
      <c r="GS200" s="3">
        <v>1</v>
      </c>
      <c r="GT200" s="3">
        <v>1</v>
      </c>
      <c r="GU200" s="3">
        <v>1</v>
      </c>
      <c r="GV200" s="3">
        <v>1</v>
      </c>
      <c r="GW200" s="3">
        <v>1</v>
      </c>
      <c r="GX200" s="3">
        <v>1</v>
      </c>
      <c r="GY200" s="3">
        <v>0</v>
      </c>
      <c r="GZ200" s="3">
        <v>1</v>
      </c>
      <c r="HA200" s="3">
        <v>1</v>
      </c>
      <c r="HB200" s="3">
        <v>1</v>
      </c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6"/>
      <c r="HT200" s="4">
        <v>0</v>
      </c>
      <c r="HU200" s="3">
        <v>0</v>
      </c>
      <c r="HV200" s="3">
        <v>0</v>
      </c>
      <c r="HW200" s="3">
        <v>0</v>
      </c>
      <c r="HX200" s="3">
        <v>0</v>
      </c>
      <c r="HY200" s="3">
        <v>13</v>
      </c>
      <c r="HZ200" s="3">
        <v>40</v>
      </c>
      <c r="IA200" s="3">
        <v>50</v>
      </c>
      <c r="IB200" s="3">
        <v>40</v>
      </c>
      <c r="IC200" s="3">
        <v>48</v>
      </c>
      <c r="ID200" s="3">
        <v>0</v>
      </c>
      <c r="IE200" s="3">
        <v>42</v>
      </c>
      <c r="IF200" s="3">
        <v>42</v>
      </c>
      <c r="IG200" s="3">
        <v>0</v>
      </c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6"/>
    </row>
    <row r="201" spans="1:258">
      <c r="A201" s="97" t="s">
        <v>25</v>
      </c>
      <c r="B201" s="98" t="s">
        <v>90</v>
      </c>
      <c r="C201" s="101" t="s">
        <v>449</v>
      </c>
      <c r="D201" s="99" t="s">
        <v>1206</v>
      </c>
      <c r="E201" s="98" t="s">
        <v>476</v>
      </c>
      <c r="F201" s="98" t="s">
        <v>1057</v>
      </c>
      <c r="G201" s="98" t="s">
        <v>478</v>
      </c>
      <c r="H201" s="98" t="s">
        <v>1723</v>
      </c>
      <c r="I201" s="98" t="s">
        <v>1535</v>
      </c>
      <c r="J201" s="98" t="s">
        <v>885</v>
      </c>
      <c r="K201" s="98" t="s">
        <v>1092</v>
      </c>
      <c r="L201" s="98" t="s">
        <v>1724</v>
      </c>
      <c r="M201" s="101" t="s">
        <v>1093</v>
      </c>
      <c r="N201" s="139">
        <v>46300</v>
      </c>
      <c r="O201" s="100">
        <v>1</v>
      </c>
      <c r="P201" s="69">
        <v>0</v>
      </c>
      <c r="Q201" s="69">
        <f t="shared" si="2243"/>
        <v>1</v>
      </c>
      <c r="R201" s="69">
        <f t="shared" si="2244"/>
        <v>1</v>
      </c>
      <c r="S201" s="69">
        <f t="shared" si="2245"/>
        <v>0</v>
      </c>
      <c r="T201" s="69">
        <f t="shared" si="2246"/>
        <v>1</v>
      </c>
      <c r="U201" s="69">
        <f t="shared" si="2247"/>
        <v>1</v>
      </c>
      <c r="V201" s="70">
        <f t="shared" si="2248"/>
        <v>0</v>
      </c>
      <c r="W201" s="71">
        <f t="shared" si="2249"/>
        <v>0</v>
      </c>
      <c r="X201" s="71">
        <f t="shared" si="2250"/>
        <v>1</v>
      </c>
      <c r="Y201" s="71">
        <f t="shared" si="2251"/>
        <v>0</v>
      </c>
      <c r="Z201" s="71">
        <f t="shared" si="2252"/>
        <v>1</v>
      </c>
      <c r="AA201" s="71">
        <f t="shared" si="2253"/>
        <v>1</v>
      </c>
      <c r="AB201" s="71">
        <f t="shared" si="2254"/>
        <v>1</v>
      </c>
      <c r="AC201" s="71">
        <f t="shared" si="2255"/>
        <v>1</v>
      </c>
      <c r="AD201" s="71">
        <f t="shared" si="2256"/>
        <v>1</v>
      </c>
      <c r="AE201" s="71">
        <f t="shared" si="2257"/>
        <v>1</v>
      </c>
      <c r="AF201" s="71">
        <f t="shared" si="2258"/>
        <v>0</v>
      </c>
      <c r="AG201" s="71">
        <f t="shared" si="2259"/>
        <v>1</v>
      </c>
      <c r="AH201" s="71">
        <f t="shared" si="2260"/>
        <v>1</v>
      </c>
      <c r="AI201" s="71">
        <f t="shared" si="2261"/>
        <v>1</v>
      </c>
      <c r="AJ201" s="71">
        <f t="shared" si="2262"/>
        <v>0</v>
      </c>
      <c r="AK201" s="71">
        <f t="shared" si="2263"/>
        <v>0</v>
      </c>
      <c r="AL201" s="71">
        <f t="shared" si="2264"/>
        <v>0</v>
      </c>
      <c r="AM201" s="71">
        <f t="shared" si="2265"/>
        <v>0</v>
      </c>
      <c r="AN201" s="71">
        <f t="shared" si="2266"/>
        <v>0</v>
      </c>
      <c r="AO201" s="71">
        <f t="shared" si="2267"/>
        <v>0</v>
      </c>
      <c r="AP201" s="71">
        <f t="shared" si="2268"/>
        <v>0</v>
      </c>
      <c r="AQ201" s="71">
        <f t="shared" si="2269"/>
        <v>0</v>
      </c>
      <c r="AR201" s="71">
        <f t="shared" si="2270"/>
        <v>0</v>
      </c>
      <c r="AS201" s="71">
        <f t="shared" si="2271"/>
        <v>0</v>
      </c>
      <c r="AT201" s="71">
        <f t="shared" si="2272"/>
        <v>0</v>
      </c>
      <c r="AU201" s="71">
        <f t="shared" si="2273"/>
        <v>0</v>
      </c>
      <c r="AV201" s="71">
        <f t="shared" si="2274"/>
        <v>0</v>
      </c>
      <c r="AW201" s="71">
        <f t="shared" si="2275"/>
        <v>0</v>
      </c>
      <c r="AX201" s="71">
        <f t="shared" si="2276"/>
        <v>0</v>
      </c>
      <c r="AY201" s="71">
        <f t="shared" si="2277"/>
        <v>0</v>
      </c>
      <c r="AZ201" s="72">
        <f t="shared" si="2278"/>
        <v>0</v>
      </c>
      <c r="BA201" s="70">
        <f t="shared" si="2238"/>
        <v>10</v>
      </c>
      <c r="BB201" s="69">
        <f t="shared" ca="1" si="2239"/>
        <v>0.76923076923076927</v>
      </c>
      <c r="BC201" s="70">
        <f t="shared" si="2279"/>
        <v>0</v>
      </c>
      <c r="BD201" s="71">
        <f t="shared" si="2280"/>
        <v>0</v>
      </c>
      <c r="BE201" s="71">
        <f t="shared" si="2281"/>
        <v>0</v>
      </c>
      <c r="BF201" s="71">
        <f t="shared" si="2282"/>
        <v>0</v>
      </c>
      <c r="BG201" s="71">
        <f t="shared" si="2283"/>
        <v>0</v>
      </c>
      <c r="BH201" s="71">
        <f t="shared" si="2284"/>
        <v>0</v>
      </c>
      <c r="BI201" s="71">
        <f t="shared" si="2285"/>
        <v>39</v>
      </c>
      <c r="BJ201" s="71">
        <f t="shared" si="2286"/>
        <v>30</v>
      </c>
      <c r="BK201" s="71">
        <f t="shared" si="2287"/>
        <v>41</v>
      </c>
      <c r="BL201" s="71">
        <f t="shared" si="2288"/>
        <v>40</v>
      </c>
      <c r="BM201" s="71">
        <f t="shared" si="2289"/>
        <v>0</v>
      </c>
      <c r="BN201" s="71">
        <f t="shared" si="2290"/>
        <v>42</v>
      </c>
      <c r="BO201" s="71">
        <f t="shared" si="2291"/>
        <v>39</v>
      </c>
      <c r="BP201" s="71">
        <f t="shared" si="2292"/>
        <v>0</v>
      </c>
      <c r="BQ201" s="71">
        <f t="shared" si="2293"/>
        <v>0</v>
      </c>
      <c r="BR201" s="71">
        <f t="shared" si="2294"/>
        <v>0</v>
      </c>
      <c r="BS201" s="71">
        <f t="shared" si="2295"/>
        <v>0</v>
      </c>
      <c r="BT201" s="71">
        <f t="shared" si="2296"/>
        <v>0</v>
      </c>
      <c r="BU201" s="71">
        <f t="shared" si="2297"/>
        <v>0</v>
      </c>
      <c r="BV201" s="71">
        <f t="shared" si="2298"/>
        <v>0</v>
      </c>
      <c r="BW201" s="71">
        <f t="shared" si="2299"/>
        <v>0</v>
      </c>
      <c r="BX201" s="71">
        <f t="shared" si="2300"/>
        <v>0</v>
      </c>
      <c r="BY201" s="71">
        <f t="shared" si="2301"/>
        <v>0</v>
      </c>
      <c r="BZ201" s="71">
        <f t="shared" si="2302"/>
        <v>0</v>
      </c>
      <c r="CA201" s="71">
        <f t="shared" si="2303"/>
        <v>0</v>
      </c>
      <c r="CB201" s="71">
        <f t="shared" si="2304"/>
        <v>0</v>
      </c>
      <c r="CC201" s="71">
        <f t="shared" si="2305"/>
        <v>0</v>
      </c>
      <c r="CD201" s="71">
        <f t="shared" si="2306"/>
        <v>0</v>
      </c>
      <c r="CE201" s="71">
        <f t="shared" si="2307"/>
        <v>0</v>
      </c>
      <c r="CF201" s="71">
        <f t="shared" si="2308"/>
        <v>0</v>
      </c>
      <c r="CG201" s="71">
        <f t="shared" si="2309"/>
        <v>0</v>
      </c>
      <c r="CH201" s="70">
        <f t="shared" si="2241"/>
        <v>231</v>
      </c>
      <c r="CI201" s="69">
        <f t="shared" ca="1" si="2242"/>
        <v>17.76923076923077</v>
      </c>
      <c r="GM201" s="2" t="s">
        <v>16</v>
      </c>
      <c r="GN201" s="98" t="str">
        <f t="shared" si="2236"/>
        <v>LHR03-FMCG02-SPO-02</v>
      </c>
      <c r="GO201" s="4">
        <v>0</v>
      </c>
      <c r="GP201" s="3">
        <v>0</v>
      </c>
      <c r="GQ201" s="3">
        <v>1</v>
      </c>
      <c r="GR201" s="3">
        <v>0</v>
      </c>
      <c r="GS201" s="3">
        <v>1</v>
      </c>
      <c r="GT201" s="3">
        <v>1</v>
      </c>
      <c r="GU201" s="3">
        <v>1</v>
      </c>
      <c r="GV201" s="3">
        <v>1</v>
      </c>
      <c r="GW201" s="3">
        <v>1</v>
      </c>
      <c r="GX201" s="3">
        <v>1</v>
      </c>
      <c r="GY201" s="3">
        <v>0</v>
      </c>
      <c r="GZ201" s="3">
        <v>1</v>
      </c>
      <c r="HA201" s="3">
        <v>1</v>
      </c>
      <c r="HB201" s="3">
        <v>1</v>
      </c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6"/>
      <c r="HT201" s="4">
        <v>0</v>
      </c>
      <c r="HU201" s="3">
        <v>0</v>
      </c>
      <c r="HV201" s="3">
        <v>0</v>
      </c>
      <c r="HW201" s="3">
        <v>0</v>
      </c>
      <c r="HX201" s="3">
        <v>0</v>
      </c>
      <c r="HY201" s="3">
        <v>0</v>
      </c>
      <c r="HZ201" s="3">
        <v>39</v>
      </c>
      <c r="IA201" s="3">
        <v>30</v>
      </c>
      <c r="IB201" s="3">
        <v>41</v>
      </c>
      <c r="IC201" s="3">
        <v>40</v>
      </c>
      <c r="ID201" s="3">
        <v>0</v>
      </c>
      <c r="IE201" s="3">
        <v>42</v>
      </c>
      <c r="IF201" s="3">
        <v>39</v>
      </c>
      <c r="IG201" s="3">
        <v>0</v>
      </c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6"/>
    </row>
    <row r="202" spans="1:258">
      <c r="A202" s="97" t="s">
        <v>25</v>
      </c>
      <c r="B202" s="98" t="s">
        <v>26</v>
      </c>
      <c r="C202" s="101" t="s">
        <v>449</v>
      </c>
      <c r="D202" s="99" t="s">
        <v>1206</v>
      </c>
      <c r="E202" s="98" t="s">
        <v>966</v>
      </c>
      <c r="F202" s="98" t="s">
        <v>940</v>
      </c>
      <c r="G202" s="98" t="s">
        <v>493</v>
      </c>
      <c r="H202" s="98" t="s">
        <v>1666</v>
      </c>
      <c r="I202" s="98" t="s">
        <v>1666</v>
      </c>
      <c r="J202" s="98" t="s">
        <v>885</v>
      </c>
      <c r="K202" s="98" t="s">
        <v>1127</v>
      </c>
      <c r="L202" s="139" t="s">
        <v>950</v>
      </c>
      <c r="M202" s="101" t="s">
        <v>1093</v>
      </c>
      <c r="N202" s="139" t="s">
        <v>1708</v>
      </c>
      <c r="O202" s="100">
        <v>1</v>
      </c>
      <c r="P202" s="69">
        <v>1</v>
      </c>
      <c r="Q202" s="69">
        <f t="shared" si="2243"/>
        <v>0</v>
      </c>
      <c r="R202" s="69">
        <f t="shared" si="2244"/>
        <v>0</v>
      </c>
      <c r="S202" s="69">
        <f t="shared" si="2245"/>
        <v>0</v>
      </c>
      <c r="T202" s="69">
        <f t="shared" si="2246"/>
        <v>0</v>
      </c>
      <c r="U202" s="69">
        <f t="shared" si="2247"/>
        <v>0</v>
      </c>
      <c r="V202" s="70">
        <f t="shared" si="2248"/>
        <v>0</v>
      </c>
      <c r="W202" s="71">
        <f t="shared" si="2249"/>
        <v>0</v>
      </c>
      <c r="X202" s="71">
        <f t="shared" si="2250"/>
        <v>0</v>
      </c>
      <c r="Y202" s="71">
        <f t="shared" si="2251"/>
        <v>0</v>
      </c>
      <c r="Z202" s="71">
        <f t="shared" si="2252"/>
        <v>0</v>
      </c>
      <c r="AA202" s="71">
        <f t="shared" si="2253"/>
        <v>0</v>
      </c>
      <c r="AB202" s="71">
        <f t="shared" si="2254"/>
        <v>0</v>
      </c>
      <c r="AC202" s="71">
        <f t="shared" si="2255"/>
        <v>0</v>
      </c>
      <c r="AD202" s="71">
        <f t="shared" si="2256"/>
        <v>0</v>
      </c>
      <c r="AE202" s="71">
        <f t="shared" si="2257"/>
        <v>0</v>
      </c>
      <c r="AF202" s="71">
        <f t="shared" si="2258"/>
        <v>0</v>
      </c>
      <c r="AG202" s="71">
        <f t="shared" si="2259"/>
        <v>0</v>
      </c>
      <c r="AH202" s="71">
        <f t="shared" si="2260"/>
        <v>0</v>
      </c>
      <c r="AI202" s="71">
        <f t="shared" si="2261"/>
        <v>0</v>
      </c>
      <c r="AJ202" s="71">
        <f t="shared" si="2262"/>
        <v>0</v>
      </c>
      <c r="AK202" s="71">
        <f t="shared" si="2263"/>
        <v>0</v>
      </c>
      <c r="AL202" s="71">
        <f t="shared" si="2264"/>
        <v>0</v>
      </c>
      <c r="AM202" s="71">
        <f t="shared" si="2265"/>
        <v>0</v>
      </c>
      <c r="AN202" s="71">
        <f t="shared" si="2266"/>
        <v>0</v>
      </c>
      <c r="AO202" s="71">
        <f t="shared" si="2267"/>
        <v>0</v>
      </c>
      <c r="AP202" s="71">
        <f t="shared" si="2268"/>
        <v>0</v>
      </c>
      <c r="AQ202" s="71">
        <f t="shared" si="2269"/>
        <v>0</v>
      </c>
      <c r="AR202" s="71">
        <f t="shared" si="2270"/>
        <v>0</v>
      </c>
      <c r="AS202" s="71">
        <f t="shared" si="2271"/>
        <v>0</v>
      </c>
      <c r="AT202" s="71">
        <f t="shared" si="2272"/>
        <v>0</v>
      </c>
      <c r="AU202" s="71">
        <f t="shared" si="2273"/>
        <v>0</v>
      </c>
      <c r="AV202" s="71">
        <f t="shared" si="2274"/>
        <v>0</v>
      </c>
      <c r="AW202" s="71">
        <f t="shared" si="2275"/>
        <v>0</v>
      </c>
      <c r="AX202" s="71">
        <f t="shared" si="2276"/>
        <v>0</v>
      </c>
      <c r="AY202" s="71">
        <f t="shared" si="2277"/>
        <v>0</v>
      </c>
      <c r="AZ202" s="72">
        <f t="shared" si="2278"/>
        <v>0</v>
      </c>
      <c r="BA202" s="70">
        <f t="shared" si="2238"/>
        <v>0</v>
      </c>
      <c r="BB202" s="69">
        <f t="shared" ca="1" si="2239"/>
        <v>0</v>
      </c>
      <c r="BC202" s="70">
        <f t="shared" si="2279"/>
        <v>0</v>
      </c>
      <c r="BD202" s="71">
        <f t="shared" si="2280"/>
        <v>0</v>
      </c>
      <c r="BE202" s="71">
        <f t="shared" si="2281"/>
        <v>0</v>
      </c>
      <c r="BF202" s="71">
        <f t="shared" si="2282"/>
        <v>0</v>
      </c>
      <c r="BG202" s="71">
        <f t="shared" si="2283"/>
        <v>0</v>
      </c>
      <c r="BH202" s="71">
        <f t="shared" si="2284"/>
        <v>0</v>
      </c>
      <c r="BI202" s="71">
        <f t="shared" si="2285"/>
        <v>0</v>
      </c>
      <c r="BJ202" s="71">
        <f t="shared" si="2286"/>
        <v>0</v>
      </c>
      <c r="BK202" s="71">
        <f t="shared" si="2287"/>
        <v>0</v>
      </c>
      <c r="BL202" s="71">
        <f t="shared" si="2288"/>
        <v>0</v>
      </c>
      <c r="BM202" s="71">
        <f t="shared" si="2289"/>
        <v>0</v>
      </c>
      <c r="BN202" s="71">
        <f t="shared" si="2290"/>
        <v>0</v>
      </c>
      <c r="BO202" s="71">
        <f t="shared" si="2291"/>
        <v>0</v>
      </c>
      <c r="BP202" s="71">
        <f t="shared" si="2292"/>
        <v>0</v>
      </c>
      <c r="BQ202" s="71">
        <f t="shared" si="2293"/>
        <v>0</v>
      </c>
      <c r="BR202" s="71">
        <f t="shared" si="2294"/>
        <v>0</v>
      </c>
      <c r="BS202" s="71">
        <f t="shared" si="2295"/>
        <v>0</v>
      </c>
      <c r="BT202" s="71">
        <f t="shared" si="2296"/>
        <v>0</v>
      </c>
      <c r="BU202" s="71">
        <f t="shared" si="2297"/>
        <v>0</v>
      </c>
      <c r="BV202" s="71">
        <f t="shared" si="2298"/>
        <v>0</v>
      </c>
      <c r="BW202" s="71">
        <f t="shared" si="2299"/>
        <v>0</v>
      </c>
      <c r="BX202" s="71">
        <f t="shared" si="2300"/>
        <v>0</v>
      </c>
      <c r="BY202" s="71">
        <f t="shared" si="2301"/>
        <v>0</v>
      </c>
      <c r="BZ202" s="71">
        <f t="shared" si="2302"/>
        <v>0</v>
      </c>
      <c r="CA202" s="71">
        <f t="shared" si="2303"/>
        <v>0</v>
      </c>
      <c r="CB202" s="71">
        <f t="shared" si="2304"/>
        <v>0</v>
      </c>
      <c r="CC202" s="71">
        <f t="shared" si="2305"/>
        <v>0</v>
      </c>
      <c r="CD202" s="71">
        <f t="shared" si="2306"/>
        <v>0</v>
      </c>
      <c r="CE202" s="71">
        <f t="shared" si="2307"/>
        <v>0</v>
      </c>
      <c r="CF202" s="71">
        <f t="shared" si="2308"/>
        <v>0</v>
      </c>
      <c r="CG202" s="71">
        <f t="shared" si="2309"/>
        <v>0</v>
      </c>
      <c r="CH202" s="70">
        <f t="shared" si="2241"/>
        <v>0</v>
      </c>
      <c r="CI202" s="69">
        <f t="shared" ca="1" si="2242"/>
        <v>0</v>
      </c>
      <c r="GM202" s="2" t="s">
        <v>16</v>
      </c>
      <c r="GN202" s="98" t="str">
        <f t="shared" si="2236"/>
        <v>LHR03-FMCG03-SPO-01</v>
      </c>
      <c r="GO202" s="4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0</v>
      </c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6"/>
      <c r="HT202" s="4">
        <v>0</v>
      </c>
      <c r="HU202" s="3">
        <v>0</v>
      </c>
      <c r="HV202" s="3">
        <v>0</v>
      </c>
      <c r="HW202" s="3">
        <v>0</v>
      </c>
      <c r="HX202" s="3">
        <v>0</v>
      </c>
      <c r="HY202" s="3">
        <v>0</v>
      </c>
      <c r="HZ202" s="3">
        <v>0</v>
      </c>
      <c r="IA202" s="3">
        <v>0</v>
      </c>
      <c r="IB202" s="3">
        <v>0</v>
      </c>
      <c r="IC202" s="3">
        <v>0</v>
      </c>
      <c r="ID202" s="3">
        <v>0</v>
      </c>
      <c r="IE202" s="3">
        <v>0</v>
      </c>
      <c r="IF202" s="3">
        <v>0</v>
      </c>
      <c r="IG202" s="3">
        <v>0</v>
      </c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6"/>
    </row>
    <row r="203" spans="1:258">
      <c r="A203" s="97" t="s">
        <v>1287</v>
      </c>
      <c r="B203" s="98" t="s">
        <v>20</v>
      </c>
      <c r="C203" s="98" t="s">
        <v>449</v>
      </c>
      <c r="D203" s="99" t="s">
        <v>1206</v>
      </c>
      <c r="E203" s="98" t="s">
        <v>1098</v>
      </c>
      <c r="F203" s="98" t="s">
        <v>494</v>
      </c>
      <c r="G203" s="98" t="s">
        <v>495</v>
      </c>
      <c r="H203" s="98" t="s">
        <v>1536</v>
      </c>
      <c r="I203" s="98" t="s">
        <v>1536</v>
      </c>
      <c r="J203" s="98" t="s">
        <v>885</v>
      </c>
      <c r="K203" s="98" t="s">
        <v>1099</v>
      </c>
      <c r="L203" s="98" t="s">
        <v>1099</v>
      </c>
      <c r="M203" s="101" t="s">
        <v>1099</v>
      </c>
      <c r="N203" s="108">
        <v>45474</v>
      </c>
      <c r="O203" s="100">
        <v>0</v>
      </c>
      <c r="P203" s="69">
        <v>0</v>
      </c>
      <c r="Q203" s="69">
        <f t="shared" si="2243"/>
        <v>0</v>
      </c>
      <c r="R203" s="69">
        <f t="shared" si="2244"/>
        <v>0</v>
      </c>
      <c r="S203" s="69">
        <f t="shared" si="2245"/>
        <v>0</v>
      </c>
      <c r="T203" s="69">
        <f t="shared" si="2246"/>
        <v>0</v>
      </c>
      <c r="U203" s="69">
        <f t="shared" si="2247"/>
        <v>0</v>
      </c>
      <c r="V203" s="70">
        <f t="shared" si="2248"/>
        <v>0</v>
      </c>
      <c r="W203" s="71">
        <f t="shared" si="2249"/>
        <v>0</v>
      </c>
      <c r="X203" s="71">
        <f t="shared" si="2250"/>
        <v>0</v>
      </c>
      <c r="Y203" s="71">
        <f t="shared" si="2251"/>
        <v>0</v>
      </c>
      <c r="Z203" s="71">
        <f t="shared" si="2252"/>
        <v>0</v>
      </c>
      <c r="AA203" s="71">
        <f t="shared" si="2253"/>
        <v>0</v>
      </c>
      <c r="AB203" s="71">
        <f t="shared" si="2254"/>
        <v>0</v>
      </c>
      <c r="AC203" s="71">
        <f t="shared" si="2255"/>
        <v>0</v>
      </c>
      <c r="AD203" s="71">
        <f t="shared" si="2256"/>
        <v>0</v>
      </c>
      <c r="AE203" s="71">
        <f t="shared" si="2257"/>
        <v>0</v>
      </c>
      <c r="AF203" s="71">
        <f t="shared" si="2258"/>
        <v>0</v>
      </c>
      <c r="AG203" s="71">
        <f t="shared" si="2259"/>
        <v>0</v>
      </c>
      <c r="AH203" s="71">
        <f t="shared" si="2260"/>
        <v>0</v>
      </c>
      <c r="AI203" s="71">
        <f t="shared" si="2261"/>
        <v>0</v>
      </c>
      <c r="AJ203" s="71">
        <f t="shared" si="2262"/>
        <v>0</v>
      </c>
      <c r="AK203" s="71">
        <f t="shared" si="2263"/>
        <v>0</v>
      </c>
      <c r="AL203" s="71">
        <f t="shared" si="2264"/>
        <v>0</v>
      </c>
      <c r="AM203" s="71">
        <f t="shared" si="2265"/>
        <v>0</v>
      </c>
      <c r="AN203" s="71">
        <f t="shared" si="2266"/>
        <v>0</v>
      </c>
      <c r="AO203" s="71">
        <f t="shared" si="2267"/>
        <v>0</v>
      </c>
      <c r="AP203" s="71">
        <f t="shared" si="2268"/>
        <v>0</v>
      </c>
      <c r="AQ203" s="71">
        <f t="shared" si="2269"/>
        <v>0</v>
      </c>
      <c r="AR203" s="71">
        <f t="shared" si="2270"/>
        <v>0</v>
      </c>
      <c r="AS203" s="71">
        <f t="shared" si="2271"/>
        <v>0</v>
      </c>
      <c r="AT203" s="71">
        <f t="shared" si="2272"/>
        <v>0</v>
      </c>
      <c r="AU203" s="71">
        <f t="shared" si="2273"/>
        <v>0</v>
      </c>
      <c r="AV203" s="71">
        <f t="shared" si="2274"/>
        <v>0</v>
      </c>
      <c r="AW203" s="71">
        <f t="shared" si="2275"/>
        <v>0</v>
      </c>
      <c r="AX203" s="71">
        <f t="shared" si="2276"/>
        <v>0</v>
      </c>
      <c r="AY203" s="71">
        <f t="shared" si="2277"/>
        <v>0</v>
      </c>
      <c r="AZ203" s="72">
        <f t="shared" si="2278"/>
        <v>0</v>
      </c>
      <c r="BA203" s="70">
        <f t="shared" si="2238"/>
        <v>0</v>
      </c>
      <c r="BB203" s="69">
        <f t="shared" ca="1" si="2239"/>
        <v>0</v>
      </c>
      <c r="BC203" s="70">
        <f t="shared" si="2279"/>
        <v>0</v>
      </c>
      <c r="BD203" s="71">
        <f t="shared" si="2280"/>
        <v>0</v>
      </c>
      <c r="BE203" s="71">
        <f t="shared" si="2281"/>
        <v>0</v>
      </c>
      <c r="BF203" s="71">
        <f t="shared" si="2282"/>
        <v>0</v>
      </c>
      <c r="BG203" s="71">
        <f t="shared" si="2283"/>
        <v>0</v>
      </c>
      <c r="BH203" s="71">
        <f t="shared" si="2284"/>
        <v>0</v>
      </c>
      <c r="BI203" s="71">
        <f t="shared" si="2285"/>
        <v>0</v>
      </c>
      <c r="BJ203" s="71">
        <f t="shared" si="2286"/>
        <v>0</v>
      </c>
      <c r="BK203" s="71">
        <f t="shared" si="2287"/>
        <v>0</v>
      </c>
      <c r="BL203" s="71">
        <f t="shared" si="2288"/>
        <v>0</v>
      </c>
      <c r="BM203" s="71">
        <f t="shared" si="2289"/>
        <v>0</v>
      </c>
      <c r="BN203" s="71">
        <f t="shared" si="2290"/>
        <v>0</v>
      </c>
      <c r="BO203" s="71">
        <f t="shared" si="2291"/>
        <v>0</v>
      </c>
      <c r="BP203" s="71">
        <f t="shared" si="2292"/>
        <v>0</v>
      </c>
      <c r="BQ203" s="71">
        <f t="shared" si="2293"/>
        <v>0</v>
      </c>
      <c r="BR203" s="71">
        <f t="shared" si="2294"/>
        <v>0</v>
      </c>
      <c r="BS203" s="71">
        <f t="shared" si="2295"/>
        <v>0</v>
      </c>
      <c r="BT203" s="71">
        <f t="shared" si="2296"/>
        <v>0</v>
      </c>
      <c r="BU203" s="71">
        <f t="shared" si="2297"/>
        <v>0</v>
      </c>
      <c r="BV203" s="71">
        <f t="shared" si="2298"/>
        <v>0</v>
      </c>
      <c r="BW203" s="71">
        <f t="shared" si="2299"/>
        <v>0</v>
      </c>
      <c r="BX203" s="71">
        <f t="shared" si="2300"/>
        <v>0</v>
      </c>
      <c r="BY203" s="71">
        <f t="shared" si="2301"/>
        <v>0</v>
      </c>
      <c r="BZ203" s="71">
        <f t="shared" si="2302"/>
        <v>0</v>
      </c>
      <c r="CA203" s="71">
        <f t="shared" si="2303"/>
        <v>0</v>
      </c>
      <c r="CB203" s="71">
        <f t="shared" si="2304"/>
        <v>0</v>
      </c>
      <c r="CC203" s="71">
        <f t="shared" si="2305"/>
        <v>0</v>
      </c>
      <c r="CD203" s="71">
        <f t="shared" si="2306"/>
        <v>0</v>
      </c>
      <c r="CE203" s="71">
        <f t="shared" si="2307"/>
        <v>0</v>
      </c>
      <c r="CF203" s="71">
        <f t="shared" si="2308"/>
        <v>0</v>
      </c>
      <c r="CG203" s="71">
        <f t="shared" si="2309"/>
        <v>0</v>
      </c>
      <c r="CH203" s="70">
        <f t="shared" si="2241"/>
        <v>0</v>
      </c>
      <c r="CI203" s="69">
        <f t="shared" ca="1" si="2242"/>
        <v>0</v>
      </c>
      <c r="GM203" s="2" t="s">
        <v>16</v>
      </c>
      <c r="GN203" s="98" t="str">
        <f t="shared" si="2236"/>
        <v>LHR03-FMCG-SPO-00</v>
      </c>
      <c r="GO203" s="4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3">
        <v>0</v>
      </c>
      <c r="GX203" s="3">
        <v>0</v>
      </c>
      <c r="GY203" s="3">
        <v>0</v>
      </c>
      <c r="GZ203" s="3">
        <v>0</v>
      </c>
      <c r="HA203" s="3">
        <v>0</v>
      </c>
      <c r="HB203" s="3">
        <v>0</v>
      </c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6"/>
      <c r="HT203" s="4">
        <v>0</v>
      </c>
      <c r="HU203" s="3">
        <v>0</v>
      </c>
      <c r="HV203" s="3">
        <v>0</v>
      </c>
      <c r="HW203" s="3">
        <v>0</v>
      </c>
      <c r="HX203" s="3">
        <v>0</v>
      </c>
      <c r="HY203" s="3">
        <v>0</v>
      </c>
      <c r="HZ203" s="3">
        <v>0</v>
      </c>
      <c r="IA203" s="3">
        <v>0</v>
      </c>
      <c r="IB203" s="3">
        <v>0</v>
      </c>
      <c r="IC203" s="3">
        <v>0</v>
      </c>
      <c r="ID203" s="3">
        <v>0</v>
      </c>
      <c r="IE203" s="3">
        <v>0</v>
      </c>
      <c r="IF203" s="3">
        <v>0</v>
      </c>
      <c r="IG203" s="3">
        <v>0</v>
      </c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6"/>
    </row>
    <row r="204" spans="1:258">
      <c r="A204" s="97" t="s">
        <v>1380</v>
      </c>
      <c r="B204" s="98" t="s">
        <v>20</v>
      </c>
      <c r="C204" s="98" t="s">
        <v>449</v>
      </c>
      <c r="D204" s="99" t="s">
        <v>1206</v>
      </c>
      <c r="E204" s="98" t="s">
        <v>496</v>
      </c>
      <c r="F204" s="98" t="s">
        <v>497</v>
      </c>
      <c r="G204" s="98" t="s">
        <v>481</v>
      </c>
      <c r="H204" s="98" t="s">
        <v>1207</v>
      </c>
      <c r="I204" s="98" t="s">
        <v>1207</v>
      </c>
      <c r="J204" s="98" t="s">
        <v>885</v>
      </c>
      <c r="K204" s="98" t="s">
        <v>1127</v>
      </c>
      <c r="L204" s="98" t="s">
        <v>482</v>
      </c>
      <c r="M204" s="101" t="s">
        <v>1093</v>
      </c>
      <c r="N204" s="108">
        <v>45950</v>
      </c>
      <c r="O204" s="100">
        <v>0</v>
      </c>
      <c r="P204" s="69">
        <v>0</v>
      </c>
      <c r="Q204" s="69">
        <f t="shared" si="2243"/>
        <v>0</v>
      </c>
      <c r="R204" s="69">
        <f t="shared" si="2244"/>
        <v>0</v>
      </c>
      <c r="S204" s="69">
        <f t="shared" si="2245"/>
        <v>0</v>
      </c>
      <c r="T204" s="69">
        <f t="shared" si="2246"/>
        <v>0</v>
      </c>
      <c r="U204" s="69">
        <f t="shared" si="2247"/>
        <v>0</v>
      </c>
      <c r="V204" s="70">
        <f t="shared" si="2248"/>
        <v>0</v>
      </c>
      <c r="W204" s="71">
        <f t="shared" si="2249"/>
        <v>0</v>
      </c>
      <c r="X204" s="71">
        <f t="shared" si="2250"/>
        <v>0</v>
      </c>
      <c r="Y204" s="71">
        <f t="shared" si="2251"/>
        <v>0</v>
      </c>
      <c r="Z204" s="71">
        <f t="shared" si="2252"/>
        <v>0</v>
      </c>
      <c r="AA204" s="71">
        <f t="shared" si="2253"/>
        <v>0</v>
      </c>
      <c r="AB204" s="71">
        <f t="shared" si="2254"/>
        <v>0</v>
      </c>
      <c r="AC204" s="71">
        <f t="shared" si="2255"/>
        <v>0</v>
      </c>
      <c r="AD204" s="71">
        <f t="shared" si="2256"/>
        <v>0</v>
      </c>
      <c r="AE204" s="71">
        <f t="shared" si="2257"/>
        <v>0</v>
      </c>
      <c r="AF204" s="71">
        <f t="shared" si="2258"/>
        <v>0</v>
      </c>
      <c r="AG204" s="71">
        <f t="shared" si="2259"/>
        <v>0</v>
      </c>
      <c r="AH204" s="71">
        <f t="shared" si="2260"/>
        <v>0</v>
      </c>
      <c r="AI204" s="71">
        <f t="shared" si="2261"/>
        <v>0</v>
      </c>
      <c r="AJ204" s="71">
        <f t="shared" si="2262"/>
        <v>0</v>
      </c>
      <c r="AK204" s="71">
        <f t="shared" si="2263"/>
        <v>0</v>
      </c>
      <c r="AL204" s="71">
        <f t="shared" si="2264"/>
        <v>0</v>
      </c>
      <c r="AM204" s="71">
        <f t="shared" si="2265"/>
        <v>0</v>
      </c>
      <c r="AN204" s="71">
        <f t="shared" si="2266"/>
        <v>0</v>
      </c>
      <c r="AO204" s="71">
        <f t="shared" si="2267"/>
        <v>0</v>
      </c>
      <c r="AP204" s="71">
        <f t="shared" si="2268"/>
        <v>0</v>
      </c>
      <c r="AQ204" s="71">
        <f t="shared" si="2269"/>
        <v>0</v>
      </c>
      <c r="AR204" s="71">
        <f t="shared" si="2270"/>
        <v>0</v>
      </c>
      <c r="AS204" s="71">
        <f t="shared" si="2271"/>
        <v>0</v>
      </c>
      <c r="AT204" s="71">
        <f t="shared" si="2272"/>
        <v>0</v>
      </c>
      <c r="AU204" s="71">
        <f t="shared" si="2273"/>
        <v>0</v>
      </c>
      <c r="AV204" s="71">
        <f t="shared" si="2274"/>
        <v>0</v>
      </c>
      <c r="AW204" s="71">
        <f t="shared" si="2275"/>
        <v>0</v>
      </c>
      <c r="AX204" s="71">
        <f t="shared" si="2276"/>
        <v>0</v>
      </c>
      <c r="AY204" s="71">
        <f t="shared" si="2277"/>
        <v>0</v>
      </c>
      <c r="AZ204" s="72">
        <f t="shared" si="2278"/>
        <v>0</v>
      </c>
      <c r="BA204" s="70">
        <f t="shared" si="2238"/>
        <v>0</v>
      </c>
      <c r="BB204" s="69">
        <f t="shared" ca="1" si="2239"/>
        <v>0</v>
      </c>
      <c r="BC204" s="70">
        <f t="shared" si="2279"/>
        <v>0</v>
      </c>
      <c r="BD204" s="71">
        <f t="shared" si="2280"/>
        <v>0</v>
      </c>
      <c r="BE204" s="71">
        <f t="shared" si="2281"/>
        <v>0</v>
      </c>
      <c r="BF204" s="71">
        <f t="shared" si="2282"/>
        <v>0</v>
      </c>
      <c r="BG204" s="71">
        <f t="shared" si="2283"/>
        <v>0</v>
      </c>
      <c r="BH204" s="71">
        <f t="shared" si="2284"/>
        <v>0</v>
      </c>
      <c r="BI204" s="71">
        <f t="shared" si="2285"/>
        <v>0</v>
      </c>
      <c r="BJ204" s="71">
        <f t="shared" si="2286"/>
        <v>0</v>
      </c>
      <c r="BK204" s="71">
        <f t="shared" si="2287"/>
        <v>0</v>
      </c>
      <c r="BL204" s="71">
        <f t="shared" si="2288"/>
        <v>0</v>
      </c>
      <c r="BM204" s="71">
        <f t="shared" si="2289"/>
        <v>0</v>
      </c>
      <c r="BN204" s="71">
        <f t="shared" si="2290"/>
        <v>0</v>
      </c>
      <c r="BO204" s="71">
        <f t="shared" si="2291"/>
        <v>0</v>
      </c>
      <c r="BP204" s="71">
        <f t="shared" si="2292"/>
        <v>0</v>
      </c>
      <c r="BQ204" s="71">
        <f t="shared" si="2293"/>
        <v>0</v>
      </c>
      <c r="BR204" s="71">
        <f t="shared" si="2294"/>
        <v>0</v>
      </c>
      <c r="BS204" s="71">
        <f t="shared" si="2295"/>
        <v>0</v>
      </c>
      <c r="BT204" s="71">
        <f t="shared" si="2296"/>
        <v>0</v>
      </c>
      <c r="BU204" s="71">
        <f t="shared" si="2297"/>
        <v>0</v>
      </c>
      <c r="BV204" s="71">
        <f t="shared" si="2298"/>
        <v>0</v>
      </c>
      <c r="BW204" s="71">
        <f t="shared" si="2299"/>
        <v>0</v>
      </c>
      <c r="BX204" s="71">
        <f t="shared" si="2300"/>
        <v>0</v>
      </c>
      <c r="BY204" s="71">
        <f t="shared" si="2301"/>
        <v>0</v>
      </c>
      <c r="BZ204" s="71">
        <f t="shared" si="2302"/>
        <v>0</v>
      </c>
      <c r="CA204" s="71">
        <f t="shared" si="2303"/>
        <v>0</v>
      </c>
      <c r="CB204" s="71">
        <f t="shared" si="2304"/>
        <v>0</v>
      </c>
      <c r="CC204" s="71">
        <f t="shared" si="2305"/>
        <v>0</v>
      </c>
      <c r="CD204" s="71">
        <f t="shared" si="2306"/>
        <v>0</v>
      </c>
      <c r="CE204" s="71">
        <f t="shared" si="2307"/>
        <v>0</v>
      </c>
      <c r="CF204" s="71">
        <f t="shared" si="2308"/>
        <v>0</v>
      </c>
      <c r="CG204" s="71">
        <f t="shared" si="2309"/>
        <v>0</v>
      </c>
      <c r="CH204" s="70">
        <f t="shared" si="2241"/>
        <v>0</v>
      </c>
      <c r="CI204" s="69">
        <f t="shared" ca="1" si="2242"/>
        <v>0</v>
      </c>
      <c r="GM204" s="2" t="s">
        <v>16</v>
      </c>
      <c r="GN204" s="98" t="str">
        <f t="shared" si="2236"/>
        <v>LHR03-FMCG-ASM-01</v>
      </c>
      <c r="GO204" s="4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6"/>
      <c r="HT204" s="4">
        <v>0</v>
      </c>
      <c r="HU204" s="3">
        <v>0</v>
      </c>
      <c r="HV204" s="3">
        <v>0</v>
      </c>
      <c r="HW204" s="3">
        <v>0</v>
      </c>
      <c r="HX204" s="3">
        <v>0</v>
      </c>
      <c r="HY204" s="3">
        <v>0</v>
      </c>
      <c r="HZ204" s="3">
        <v>0</v>
      </c>
      <c r="IA204" s="3">
        <v>0</v>
      </c>
      <c r="IB204" s="3">
        <v>0</v>
      </c>
      <c r="IC204" s="3">
        <v>0</v>
      </c>
      <c r="ID204" s="3">
        <v>0</v>
      </c>
      <c r="IE204" s="3">
        <v>0</v>
      </c>
      <c r="IF204" s="3">
        <v>0</v>
      </c>
      <c r="IG204" s="3">
        <v>0</v>
      </c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6"/>
    </row>
    <row r="205" spans="1:258">
      <c r="A205" s="102" t="s">
        <v>53</v>
      </c>
      <c r="B205" s="103" t="s">
        <v>20</v>
      </c>
      <c r="C205" s="103" t="s">
        <v>449</v>
      </c>
      <c r="D205" s="104" t="s">
        <v>1206</v>
      </c>
      <c r="E205" s="103" t="s">
        <v>496</v>
      </c>
      <c r="F205" s="103" t="s">
        <v>497</v>
      </c>
      <c r="G205" s="103" t="s">
        <v>481</v>
      </c>
      <c r="H205" s="103" t="s">
        <v>1207</v>
      </c>
      <c r="I205" s="103" t="s">
        <v>1207</v>
      </c>
      <c r="J205" s="103" t="s">
        <v>885</v>
      </c>
      <c r="K205" s="103" t="s">
        <v>1127</v>
      </c>
      <c r="L205" s="103" t="s">
        <v>482</v>
      </c>
      <c r="M205" s="103" t="s">
        <v>1093</v>
      </c>
      <c r="N205" s="119">
        <v>45950</v>
      </c>
      <c r="O205" s="105">
        <f>O203+O202+O201+O200+O199+O198</f>
        <v>5</v>
      </c>
      <c r="P205" s="73">
        <f t="shared" ref="P205:CA205" si="2310">P203+P202+P201+P200+P199+P198</f>
        <v>1</v>
      </c>
      <c r="Q205" s="73">
        <f t="shared" si="2310"/>
        <v>4</v>
      </c>
      <c r="R205" s="73">
        <f t="shared" si="2310"/>
        <v>4</v>
      </c>
      <c r="S205" s="73">
        <f t="shared" si="2310"/>
        <v>0</v>
      </c>
      <c r="T205" s="73">
        <f t="shared" si="2310"/>
        <v>4</v>
      </c>
      <c r="U205" s="73">
        <f t="shared" si="2310"/>
        <v>4</v>
      </c>
      <c r="V205" s="74">
        <f t="shared" si="2310"/>
        <v>3</v>
      </c>
      <c r="W205" s="75">
        <f t="shared" si="2310"/>
        <v>3</v>
      </c>
      <c r="X205" s="75">
        <f t="shared" si="2310"/>
        <v>4</v>
      </c>
      <c r="Y205" s="75">
        <f t="shared" si="2310"/>
        <v>0</v>
      </c>
      <c r="Z205" s="75">
        <f t="shared" si="2310"/>
        <v>4</v>
      </c>
      <c r="AA205" s="75">
        <f t="shared" si="2310"/>
        <v>4</v>
      </c>
      <c r="AB205" s="75">
        <f t="shared" si="2310"/>
        <v>4</v>
      </c>
      <c r="AC205" s="75">
        <f t="shared" si="2310"/>
        <v>4</v>
      </c>
      <c r="AD205" s="75">
        <f t="shared" si="2310"/>
        <v>3</v>
      </c>
      <c r="AE205" s="75">
        <f t="shared" si="2310"/>
        <v>4</v>
      </c>
      <c r="AF205" s="75">
        <f t="shared" si="2310"/>
        <v>0</v>
      </c>
      <c r="AG205" s="75">
        <f t="shared" si="2310"/>
        <v>4</v>
      </c>
      <c r="AH205" s="75">
        <f t="shared" si="2310"/>
        <v>4</v>
      </c>
      <c r="AI205" s="75">
        <f t="shared" si="2310"/>
        <v>4</v>
      </c>
      <c r="AJ205" s="75">
        <f t="shared" si="2310"/>
        <v>0</v>
      </c>
      <c r="AK205" s="75">
        <f t="shared" si="2310"/>
        <v>0</v>
      </c>
      <c r="AL205" s="75">
        <f t="shared" si="2310"/>
        <v>0</v>
      </c>
      <c r="AM205" s="75">
        <f t="shared" si="2310"/>
        <v>0</v>
      </c>
      <c r="AN205" s="75">
        <f t="shared" si="2310"/>
        <v>0</v>
      </c>
      <c r="AO205" s="75">
        <f t="shared" si="2310"/>
        <v>0</v>
      </c>
      <c r="AP205" s="75">
        <f t="shared" si="2310"/>
        <v>0</v>
      </c>
      <c r="AQ205" s="75">
        <f t="shared" si="2310"/>
        <v>0</v>
      </c>
      <c r="AR205" s="75">
        <f t="shared" si="2310"/>
        <v>0</v>
      </c>
      <c r="AS205" s="75">
        <f t="shared" si="2310"/>
        <v>0</v>
      </c>
      <c r="AT205" s="75">
        <f t="shared" si="2310"/>
        <v>0</v>
      </c>
      <c r="AU205" s="75">
        <f t="shared" si="2310"/>
        <v>0</v>
      </c>
      <c r="AV205" s="75">
        <f t="shared" si="2310"/>
        <v>0</v>
      </c>
      <c r="AW205" s="75">
        <f t="shared" si="2310"/>
        <v>0</v>
      </c>
      <c r="AX205" s="75">
        <f t="shared" si="2310"/>
        <v>0</v>
      </c>
      <c r="AY205" s="75">
        <f t="shared" si="2310"/>
        <v>0</v>
      </c>
      <c r="AZ205" s="76">
        <f t="shared" si="2310"/>
        <v>0</v>
      </c>
      <c r="BA205" s="74">
        <f t="shared" si="2238"/>
        <v>45</v>
      </c>
      <c r="BB205" s="73">
        <f t="shared" ca="1" si="2239"/>
        <v>0.86538461538461542</v>
      </c>
      <c r="BC205" s="74">
        <f t="shared" si="2310"/>
        <v>0</v>
      </c>
      <c r="BD205" s="75">
        <f t="shared" si="2310"/>
        <v>0</v>
      </c>
      <c r="BE205" s="75">
        <f t="shared" si="2310"/>
        <v>0</v>
      </c>
      <c r="BF205" s="75">
        <f t="shared" si="2310"/>
        <v>0</v>
      </c>
      <c r="BG205" s="75">
        <f t="shared" si="2310"/>
        <v>0</v>
      </c>
      <c r="BH205" s="75">
        <f t="shared" si="2310"/>
        <v>13</v>
      </c>
      <c r="BI205" s="75">
        <f t="shared" si="2310"/>
        <v>162</v>
      </c>
      <c r="BJ205" s="75">
        <f t="shared" si="2310"/>
        <v>165</v>
      </c>
      <c r="BK205" s="75">
        <f t="shared" si="2310"/>
        <v>126</v>
      </c>
      <c r="BL205" s="75">
        <f t="shared" si="2310"/>
        <v>170</v>
      </c>
      <c r="BM205" s="75">
        <f t="shared" si="2310"/>
        <v>0</v>
      </c>
      <c r="BN205" s="75">
        <f t="shared" si="2310"/>
        <v>171</v>
      </c>
      <c r="BO205" s="75">
        <f t="shared" si="2310"/>
        <v>166</v>
      </c>
      <c r="BP205" s="75">
        <f t="shared" si="2310"/>
        <v>0</v>
      </c>
      <c r="BQ205" s="75">
        <f t="shared" si="2310"/>
        <v>0</v>
      </c>
      <c r="BR205" s="75">
        <f t="shared" si="2310"/>
        <v>0</v>
      </c>
      <c r="BS205" s="75">
        <f t="shared" si="2310"/>
        <v>0</v>
      </c>
      <c r="BT205" s="75">
        <f t="shared" si="2310"/>
        <v>0</v>
      </c>
      <c r="BU205" s="75">
        <f t="shared" si="2310"/>
        <v>0</v>
      </c>
      <c r="BV205" s="75">
        <f t="shared" si="2310"/>
        <v>0</v>
      </c>
      <c r="BW205" s="75">
        <f t="shared" si="2310"/>
        <v>0</v>
      </c>
      <c r="BX205" s="75">
        <f t="shared" si="2310"/>
        <v>0</v>
      </c>
      <c r="BY205" s="75">
        <f t="shared" si="2310"/>
        <v>0</v>
      </c>
      <c r="BZ205" s="75">
        <f t="shared" si="2310"/>
        <v>0</v>
      </c>
      <c r="CA205" s="75">
        <f t="shared" si="2310"/>
        <v>0</v>
      </c>
      <c r="CB205" s="75">
        <f t="shared" ref="CB205:CG205" si="2311">CB203+CB202+CB201+CB200+CB199+CB198</f>
        <v>0</v>
      </c>
      <c r="CC205" s="75">
        <f t="shared" si="2311"/>
        <v>0</v>
      </c>
      <c r="CD205" s="75">
        <f t="shared" si="2311"/>
        <v>0</v>
      </c>
      <c r="CE205" s="75">
        <f t="shared" si="2311"/>
        <v>0</v>
      </c>
      <c r="CF205" s="75">
        <f t="shared" si="2311"/>
        <v>0</v>
      </c>
      <c r="CG205" s="75">
        <f t="shared" si="2311"/>
        <v>0</v>
      </c>
      <c r="CH205" s="74">
        <f t="shared" si="2241"/>
        <v>973</v>
      </c>
      <c r="CI205" s="73">
        <f t="shared" ca="1" si="2242"/>
        <v>18.71153846153846</v>
      </c>
      <c r="GM205" s="2" t="s">
        <v>17</v>
      </c>
      <c r="GN205" s="103" t="str">
        <f t="shared" si="2236"/>
        <v>LHR03-FMCG-ASM-01</v>
      </c>
      <c r="GO205" s="4">
        <v>0</v>
      </c>
      <c r="GP205" s="3">
        <v>0</v>
      </c>
      <c r="GQ205" s="3">
        <v>0</v>
      </c>
      <c r="GR205" s="3">
        <v>0</v>
      </c>
      <c r="GS205" s="3">
        <v>0</v>
      </c>
      <c r="GT205" s="3">
        <v>0</v>
      </c>
      <c r="GU205" s="3">
        <v>0</v>
      </c>
      <c r="GV205" s="3">
        <v>0</v>
      </c>
      <c r="GW205" s="3">
        <v>0</v>
      </c>
      <c r="GX205" s="3">
        <v>0</v>
      </c>
      <c r="GY205" s="3">
        <v>0</v>
      </c>
      <c r="GZ205" s="3">
        <v>0</v>
      </c>
      <c r="HA205" s="3">
        <v>0</v>
      </c>
      <c r="HB205" s="3">
        <v>0</v>
      </c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6"/>
      <c r="HT205" s="4">
        <v>0</v>
      </c>
      <c r="HU205" s="3">
        <v>0</v>
      </c>
      <c r="HV205" s="3">
        <v>0</v>
      </c>
      <c r="HW205" s="3">
        <v>0</v>
      </c>
      <c r="HX205" s="3">
        <v>0</v>
      </c>
      <c r="HY205" s="3">
        <v>0</v>
      </c>
      <c r="HZ205" s="3">
        <v>0</v>
      </c>
      <c r="IA205" s="3">
        <v>0</v>
      </c>
      <c r="IB205" s="3">
        <v>0</v>
      </c>
      <c r="IC205" s="3">
        <v>0</v>
      </c>
      <c r="ID205" s="3">
        <v>0</v>
      </c>
      <c r="IE205" s="3">
        <v>0</v>
      </c>
      <c r="IF205" s="3">
        <v>0</v>
      </c>
      <c r="IG205" s="3">
        <v>0</v>
      </c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6"/>
    </row>
    <row r="206" spans="1:258">
      <c r="A206" s="97" t="s">
        <v>500</v>
      </c>
      <c r="B206" s="98" t="s">
        <v>20</v>
      </c>
      <c r="C206" s="98" t="s">
        <v>449</v>
      </c>
      <c r="D206" s="99" t="s">
        <v>1314</v>
      </c>
      <c r="E206" s="98" t="s">
        <v>1315</v>
      </c>
      <c r="F206" s="98" t="s">
        <v>1369</v>
      </c>
      <c r="G206" s="113" t="s">
        <v>501</v>
      </c>
      <c r="H206" s="98" t="s">
        <v>1537</v>
      </c>
      <c r="I206" s="98" t="s">
        <v>1537</v>
      </c>
      <c r="J206" s="98" t="s">
        <v>1210</v>
      </c>
      <c r="K206" s="98" t="s">
        <v>1156</v>
      </c>
      <c r="L206" s="98" t="s">
        <v>1313</v>
      </c>
      <c r="M206" s="101" t="s">
        <v>1093</v>
      </c>
      <c r="N206" s="139">
        <v>41821</v>
      </c>
      <c r="O206" s="100">
        <v>1</v>
      </c>
      <c r="P206" s="69">
        <v>0</v>
      </c>
      <c r="Q206" s="69">
        <f>IFERROR(IF(OR(AI206&gt;0),1,0),0)</f>
        <v>0</v>
      </c>
      <c r="R206" s="69">
        <f t="shared" ref="R206" si="2312">IFERROR(IF(OR(BA206&gt;0),1,0),0)</f>
        <v>1</v>
      </c>
      <c r="S206" s="69">
        <f>IFERROR(IF(OR(BP206&gt;0),1,0),0)</f>
        <v>0</v>
      </c>
      <c r="T206" s="69">
        <f t="shared" ref="T206" si="2313">IFERROR(IF(OR(CH206&gt;0),1,0),0)</f>
        <v>0</v>
      </c>
      <c r="U206" s="69">
        <f t="shared" ref="U206" si="2314">IFERROR(IF(OR(BA206&gt;0,CH206&gt;0),1,0),0)</f>
        <v>1</v>
      </c>
      <c r="V206" s="70">
        <f t="shared" ref="V206" si="2315">GO206</f>
        <v>1</v>
      </c>
      <c r="W206" s="71">
        <f t="shared" ref="W206" si="2316">GP206</f>
        <v>1</v>
      </c>
      <c r="X206" s="71">
        <f t="shared" ref="X206" si="2317">GQ206</f>
        <v>0</v>
      </c>
      <c r="Y206" s="71">
        <f t="shared" ref="Y206" si="2318">GR206</f>
        <v>0</v>
      </c>
      <c r="Z206" s="71">
        <f t="shared" ref="Z206" si="2319">GS206</f>
        <v>0</v>
      </c>
      <c r="AA206" s="71">
        <f t="shared" ref="AA206" si="2320">GT206</f>
        <v>0</v>
      </c>
      <c r="AB206" s="71">
        <f t="shared" ref="AB206" si="2321">GU206</f>
        <v>0</v>
      </c>
      <c r="AC206" s="71">
        <f t="shared" ref="AC206" si="2322">GV206</f>
        <v>0</v>
      </c>
      <c r="AD206" s="71">
        <f t="shared" ref="AD206" si="2323">GW206</f>
        <v>0</v>
      </c>
      <c r="AE206" s="71">
        <f t="shared" ref="AE206" si="2324">GX206</f>
        <v>0</v>
      </c>
      <c r="AF206" s="71">
        <f t="shared" ref="AF206" si="2325">GY206</f>
        <v>0</v>
      </c>
      <c r="AG206" s="71">
        <f t="shared" ref="AG206" si="2326">GZ206</f>
        <v>0</v>
      </c>
      <c r="AH206" s="71">
        <f t="shared" ref="AH206" si="2327">HA206</f>
        <v>0</v>
      </c>
      <c r="AI206" s="71">
        <f t="shared" ref="AI206" si="2328">HB206</f>
        <v>0</v>
      </c>
      <c r="AJ206" s="71">
        <f t="shared" ref="AJ206" si="2329">HC206</f>
        <v>0</v>
      </c>
      <c r="AK206" s="71">
        <f t="shared" ref="AK206" si="2330">HD206</f>
        <v>0</v>
      </c>
      <c r="AL206" s="71">
        <f t="shared" ref="AL206" si="2331">HE206</f>
        <v>0</v>
      </c>
      <c r="AM206" s="71">
        <f t="shared" ref="AM206" si="2332">HF206</f>
        <v>0</v>
      </c>
      <c r="AN206" s="71">
        <f t="shared" ref="AN206" si="2333">HG206</f>
        <v>0</v>
      </c>
      <c r="AO206" s="71">
        <f t="shared" ref="AO206" si="2334">HH206</f>
        <v>0</v>
      </c>
      <c r="AP206" s="71">
        <f t="shared" ref="AP206" si="2335">HI206</f>
        <v>0</v>
      </c>
      <c r="AQ206" s="71">
        <f t="shared" ref="AQ206" si="2336">HJ206</f>
        <v>0</v>
      </c>
      <c r="AR206" s="71">
        <f t="shared" ref="AR206" si="2337">HK206</f>
        <v>0</v>
      </c>
      <c r="AS206" s="71">
        <f t="shared" ref="AS206" si="2338">HL206</f>
        <v>0</v>
      </c>
      <c r="AT206" s="71">
        <f t="shared" ref="AT206" si="2339">HM206</f>
        <v>0</v>
      </c>
      <c r="AU206" s="71">
        <f t="shared" ref="AU206" si="2340">HN206</f>
        <v>0</v>
      </c>
      <c r="AV206" s="71">
        <f t="shared" ref="AV206" si="2341">HO206</f>
        <v>0</v>
      </c>
      <c r="AW206" s="71">
        <f t="shared" ref="AW206" si="2342">HP206</f>
        <v>0</v>
      </c>
      <c r="AX206" s="71">
        <f t="shared" ref="AX206" si="2343">HQ206</f>
        <v>0</v>
      </c>
      <c r="AY206" s="71">
        <f t="shared" ref="AY206" si="2344">HR206</f>
        <v>0</v>
      </c>
      <c r="AZ206" s="72">
        <f t="shared" ref="AZ206" si="2345">HS206</f>
        <v>0</v>
      </c>
      <c r="BA206" s="70">
        <f t="shared" si="2238"/>
        <v>2</v>
      </c>
      <c r="BB206" s="69">
        <f t="shared" ca="1" si="2239"/>
        <v>0.15384615384615385</v>
      </c>
      <c r="BC206" s="70">
        <f t="shared" ref="BC206" si="2346">HT206</f>
        <v>0</v>
      </c>
      <c r="BD206" s="71">
        <f t="shared" ref="BD206" si="2347">HU206</f>
        <v>0</v>
      </c>
      <c r="BE206" s="71">
        <f t="shared" ref="BE206" si="2348">HV206</f>
        <v>0</v>
      </c>
      <c r="BF206" s="71">
        <f t="shared" ref="BF206" si="2349">HW206</f>
        <v>0</v>
      </c>
      <c r="BG206" s="71">
        <f t="shared" ref="BG206" si="2350">HX206</f>
        <v>0</v>
      </c>
      <c r="BH206" s="71">
        <f t="shared" ref="BH206" si="2351">HY206</f>
        <v>0</v>
      </c>
      <c r="BI206" s="71">
        <f t="shared" ref="BI206" si="2352">HZ206</f>
        <v>0</v>
      </c>
      <c r="BJ206" s="71">
        <f t="shared" ref="BJ206" si="2353">IA206</f>
        <v>0</v>
      </c>
      <c r="BK206" s="71">
        <f t="shared" ref="BK206" si="2354">IB206</f>
        <v>0</v>
      </c>
      <c r="BL206" s="71">
        <f t="shared" ref="BL206" si="2355">IC206</f>
        <v>0</v>
      </c>
      <c r="BM206" s="71">
        <f t="shared" ref="BM206" si="2356">ID206</f>
        <v>0</v>
      </c>
      <c r="BN206" s="71">
        <f t="shared" ref="BN206" si="2357">IE206</f>
        <v>0</v>
      </c>
      <c r="BO206" s="71">
        <f t="shared" ref="BO206" si="2358">IF206</f>
        <v>0</v>
      </c>
      <c r="BP206" s="71">
        <f t="shared" ref="BP206" si="2359">IG206</f>
        <v>0</v>
      </c>
      <c r="BQ206" s="71">
        <f t="shared" ref="BQ206" si="2360">IH206</f>
        <v>0</v>
      </c>
      <c r="BR206" s="71">
        <f t="shared" ref="BR206" si="2361">II206</f>
        <v>0</v>
      </c>
      <c r="BS206" s="71">
        <f t="shared" ref="BS206" si="2362">IJ206</f>
        <v>0</v>
      </c>
      <c r="BT206" s="71">
        <f t="shared" ref="BT206" si="2363">IK206</f>
        <v>0</v>
      </c>
      <c r="BU206" s="71">
        <f t="shared" ref="BU206" si="2364">IL206</f>
        <v>0</v>
      </c>
      <c r="BV206" s="71">
        <f t="shared" ref="BV206" si="2365">IM206</f>
        <v>0</v>
      </c>
      <c r="BW206" s="71">
        <f t="shared" ref="BW206" si="2366">IN206</f>
        <v>0</v>
      </c>
      <c r="BX206" s="71">
        <f t="shared" ref="BX206" si="2367">IO206</f>
        <v>0</v>
      </c>
      <c r="BY206" s="71">
        <f t="shared" ref="BY206" si="2368">IP206</f>
        <v>0</v>
      </c>
      <c r="BZ206" s="71">
        <f t="shared" ref="BZ206" si="2369">IQ206</f>
        <v>0</v>
      </c>
      <c r="CA206" s="71">
        <f t="shared" ref="CA206" si="2370">IR206</f>
        <v>0</v>
      </c>
      <c r="CB206" s="71">
        <f t="shared" ref="CB206" si="2371">IS206</f>
        <v>0</v>
      </c>
      <c r="CC206" s="71">
        <f t="shared" ref="CC206" si="2372">IT206</f>
        <v>0</v>
      </c>
      <c r="CD206" s="71">
        <f t="shared" ref="CD206" si="2373">IU206</f>
        <v>0</v>
      </c>
      <c r="CE206" s="71">
        <f t="shared" ref="CE206" si="2374">IV206</f>
        <v>0</v>
      </c>
      <c r="CF206" s="71">
        <f t="shared" ref="CF206" si="2375">IW206</f>
        <v>0</v>
      </c>
      <c r="CG206" s="71">
        <f t="shared" ref="CG206" si="2376">IX206</f>
        <v>0</v>
      </c>
      <c r="CH206" s="70">
        <f t="shared" si="2241"/>
        <v>0</v>
      </c>
      <c r="CI206" s="69">
        <f t="shared" ca="1" si="2242"/>
        <v>0</v>
      </c>
      <c r="GM206" s="2" t="s">
        <v>16</v>
      </c>
      <c r="GN206" s="98" t="str">
        <f t="shared" si="2236"/>
        <v>NTH-A-FMCG01-SPOWS-01</v>
      </c>
      <c r="GO206" s="4">
        <v>1</v>
      </c>
      <c r="GP206" s="3">
        <v>1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6"/>
      <c r="HT206" s="4">
        <v>0</v>
      </c>
      <c r="HU206" s="3">
        <v>0</v>
      </c>
      <c r="HV206" s="3">
        <v>0</v>
      </c>
      <c r="HW206" s="3">
        <v>0</v>
      </c>
      <c r="HX206" s="3">
        <v>0</v>
      </c>
      <c r="HY206" s="3">
        <v>0</v>
      </c>
      <c r="HZ206" s="3">
        <v>0</v>
      </c>
      <c r="IA206" s="3">
        <v>0</v>
      </c>
      <c r="IB206" s="3">
        <v>0</v>
      </c>
      <c r="IC206" s="3">
        <v>0</v>
      </c>
      <c r="ID206" s="3">
        <v>0</v>
      </c>
      <c r="IE206" s="3">
        <v>0</v>
      </c>
      <c r="IF206" s="3">
        <v>0</v>
      </c>
      <c r="IG206" s="3">
        <v>0</v>
      </c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6"/>
    </row>
    <row r="207" spans="1:258">
      <c r="A207" s="97" t="s">
        <v>500</v>
      </c>
      <c r="B207" s="98" t="s">
        <v>20</v>
      </c>
      <c r="C207" s="98" t="s">
        <v>449</v>
      </c>
      <c r="D207" s="99" t="s">
        <v>1316</v>
      </c>
      <c r="E207" s="98" t="s">
        <v>969</v>
      </c>
      <c r="F207" s="98" t="s">
        <v>1058</v>
      </c>
      <c r="G207" s="98" t="s">
        <v>889</v>
      </c>
      <c r="H207" s="98" t="s">
        <v>1538</v>
      </c>
      <c r="I207" s="98" t="s">
        <v>1538</v>
      </c>
      <c r="J207" s="98" t="s">
        <v>1210</v>
      </c>
      <c r="K207" s="98" t="s">
        <v>1156</v>
      </c>
      <c r="L207" s="98" t="s">
        <v>458</v>
      </c>
      <c r="M207" s="101" t="s">
        <v>1093</v>
      </c>
      <c r="N207" s="139">
        <v>46119</v>
      </c>
      <c r="O207" s="100">
        <v>1</v>
      </c>
      <c r="P207" s="69">
        <v>0</v>
      </c>
      <c r="Q207" s="69">
        <f>IFERROR(IF(OR(AI207&gt;0),1,0),0)</f>
        <v>0</v>
      </c>
      <c r="R207" s="69">
        <f t="shared" ref="R207" si="2377">IFERROR(IF(OR(BA207&gt;0),1,0),0)</f>
        <v>1</v>
      </c>
      <c r="S207" s="69">
        <f>IFERROR(IF(OR(BP207&gt;0),1,0),0)</f>
        <v>0</v>
      </c>
      <c r="T207" s="69">
        <f t="shared" ref="T207" si="2378">IFERROR(IF(OR(CH207&gt;0),1,0),0)</f>
        <v>0</v>
      </c>
      <c r="U207" s="69">
        <f t="shared" ref="U207" si="2379">IFERROR(IF(OR(BA207&gt;0,CH207&gt;0),1,0),0)</f>
        <v>1</v>
      </c>
      <c r="V207" s="70">
        <f t="shared" ref="V207" si="2380">GO207</f>
        <v>0</v>
      </c>
      <c r="W207" s="71">
        <f t="shared" ref="W207" si="2381">GP207</f>
        <v>1</v>
      </c>
      <c r="X207" s="71">
        <f t="shared" ref="X207" si="2382">GQ207</f>
        <v>1</v>
      </c>
      <c r="Y207" s="71">
        <f t="shared" ref="Y207" si="2383">GR207</f>
        <v>0</v>
      </c>
      <c r="Z207" s="71">
        <f t="shared" ref="Z207" si="2384">GS207</f>
        <v>1</v>
      </c>
      <c r="AA207" s="71">
        <f t="shared" ref="AA207" si="2385">GT207</f>
        <v>0</v>
      </c>
      <c r="AB207" s="71">
        <f t="shared" ref="AB207" si="2386">GU207</f>
        <v>0</v>
      </c>
      <c r="AC207" s="71">
        <f t="shared" ref="AC207" si="2387">GV207</f>
        <v>0</v>
      </c>
      <c r="AD207" s="71">
        <f t="shared" ref="AD207" si="2388">GW207</f>
        <v>0</v>
      </c>
      <c r="AE207" s="71">
        <f t="shared" ref="AE207" si="2389">GX207</f>
        <v>0</v>
      </c>
      <c r="AF207" s="71">
        <f t="shared" ref="AF207" si="2390">GY207</f>
        <v>0</v>
      </c>
      <c r="AG207" s="71">
        <f t="shared" ref="AG207" si="2391">GZ207</f>
        <v>0</v>
      </c>
      <c r="AH207" s="71">
        <f t="shared" ref="AH207" si="2392">HA207</f>
        <v>0</v>
      </c>
      <c r="AI207" s="71">
        <f t="shared" ref="AI207" si="2393">HB207</f>
        <v>0</v>
      </c>
      <c r="AJ207" s="71">
        <f t="shared" ref="AJ207" si="2394">HC207</f>
        <v>0</v>
      </c>
      <c r="AK207" s="71">
        <f t="shared" ref="AK207" si="2395">HD207</f>
        <v>0</v>
      </c>
      <c r="AL207" s="71">
        <f t="shared" ref="AL207" si="2396">HE207</f>
        <v>0</v>
      </c>
      <c r="AM207" s="71">
        <f t="shared" ref="AM207" si="2397">HF207</f>
        <v>0</v>
      </c>
      <c r="AN207" s="71">
        <f t="shared" ref="AN207" si="2398">HG207</f>
        <v>0</v>
      </c>
      <c r="AO207" s="71">
        <f t="shared" ref="AO207" si="2399">HH207</f>
        <v>0</v>
      </c>
      <c r="AP207" s="71">
        <f t="shared" ref="AP207" si="2400">HI207</f>
        <v>0</v>
      </c>
      <c r="AQ207" s="71">
        <f t="shared" ref="AQ207" si="2401">HJ207</f>
        <v>0</v>
      </c>
      <c r="AR207" s="71">
        <f t="shared" ref="AR207" si="2402">HK207</f>
        <v>0</v>
      </c>
      <c r="AS207" s="71">
        <f t="shared" ref="AS207" si="2403">HL207</f>
        <v>0</v>
      </c>
      <c r="AT207" s="71">
        <f t="shared" ref="AT207" si="2404">HM207</f>
        <v>0</v>
      </c>
      <c r="AU207" s="71">
        <f t="shared" ref="AU207" si="2405">HN207</f>
        <v>0</v>
      </c>
      <c r="AV207" s="71">
        <f t="shared" ref="AV207" si="2406">HO207</f>
        <v>0</v>
      </c>
      <c r="AW207" s="71">
        <f t="shared" ref="AW207" si="2407">HP207</f>
        <v>0</v>
      </c>
      <c r="AX207" s="71">
        <f t="shared" ref="AX207" si="2408">HQ207</f>
        <v>0</v>
      </c>
      <c r="AY207" s="71">
        <f t="shared" ref="AY207" si="2409">HR207</f>
        <v>0</v>
      </c>
      <c r="AZ207" s="72">
        <f t="shared" ref="AZ207" si="2410">HS207</f>
        <v>0</v>
      </c>
      <c r="BA207" s="70">
        <f t="shared" si="2238"/>
        <v>3</v>
      </c>
      <c r="BB207" s="69">
        <f t="shared" ca="1" si="2239"/>
        <v>0.23076923076923078</v>
      </c>
      <c r="BC207" s="70">
        <f t="shared" ref="BC207" si="2411">HT207</f>
        <v>0</v>
      </c>
      <c r="BD207" s="71">
        <f t="shared" ref="BD207" si="2412">HU207</f>
        <v>0</v>
      </c>
      <c r="BE207" s="71">
        <f t="shared" ref="BE207" si="2413">HV207</f>
        <v>0</v>
      </c>
      <c r="BF207" s="71">
        <f t="shared" ref="BF207" si="2414">HW207</f>
        <v>0</v>
      </c>
      <c r="BG207" s="71">
        <f t="shared" ref="BG207" si="2415">HX207</f>
        <v>0</v>
      </c>
      <c r="BH207" s="71">
        <f t="shared" ref="BH207" si="2416">HY207</f>
        <v>0</v>
      </c>
      <c r="BI207" s="71">
        <f t="shared" ref="BI207" si="2417">HZ207</f>
        <v>0</v>
      </c>
      <c r="BJ207" s="71">
        <f t="shared" ref="BJ207" si="2418">IA207</f>
        <v>0</v>
      </c>
      <c r="BK207" s="71">
        <f t="shared" ref="BK207" si="2419">IB207</f>
        <v>0</v>
      </c>
      <c r="BL207" s="71">
        <f t="shared" ref="BL207" si="2420">IC207</f>
        <v>0</v>
      </c>
      <c r="BM207" s="71">
        <f t="shared" ref="BM207" si="2421">ID207</f>
        <v>0</v>
      </c>
      <c r="BN207" s="71">
        <f t="shared" ref="BN207" si="2422">IE207</f>
        <v>0</v>
      </c>
      <c r="BO207" s="71">
        <f t="shared" ref="BO207" si="2423">IF207</f>
        <v>0</v>
      </c>
      <c r="BP207" s="71">
        <f t="shared" ref="BP207" si="2424">IG207</f>
        <v>0</v>
      </c>
      <c r="BQ207" s="71">
        <f t="shared" ref="BQ207" si="2425">IH207</f>
        <v>0</v>
      </c>
      <c r="BR207" s="71">
        <f t="shared" ref="BR207" si="2426">II207</f>
        <v>0</v>
      </c>
      <c r="BS207" s="71">
        <f t="shared" ref="BS207" si="2427">IJ207</f>
        <v>0</v>
      </c>
      <c r="BT207" s="71">
        <f t="shared" ref="BT207" si="2428">IK207</f>
        <v>0</v>
      </c>
      <c r="BU207" s="71">
        <f t="shared" ref="BU207" si="2429">IL207</f>
        <v>0</v>
      </c>
      <c r="BV207" s="71">
        <f t="shared" ref="BV207" si="2430">IM207</f>
        <v>0</v>
      </c>
      <c r="BW207" s="71">
        <f t="shared" ref="BW207" si="2431">IN207</f>
        <v>0</v>
      </c>
      <c r="BX207" s="71">
        <f t="shared" ref="BX207" si="2432">IO207</f>
        <v>0</v>
      </c>
      <c r="BY207" s="71">
        <f t="shared" ref="BY207" si="2433">IP207</f>
        <v>0</v>
      </c>
      <c r="BZ207" s="71">
        <f t="shared" ref="BZ207" si="2434">IQ207</f>
        <v>0</v>
      </c>
      <c r="CA207" s="71">
        <f t="shared" ref="CA207" si="2435">IR207</f>
        <v>0</v>
      </c>
      <c r="CB207" s="71">
        <f t="shared" ref="CB207" si="2436">IS207</f>
        <v>0</v>
      </c>
      <c r="CC207" s="71">
        <f t="shared" ref="CC207" si="2437">IT207</f>
        <v>0</v>
      </c>
      <c r="CD207" s="71">
        <f t="shared" ref="CD207" si="2438">IU207</f>
        <v>0</v>
      </c>
      <c r="CE207" s="71">
        <f t="shared" ref="CE207" si="2439">IV207</f>
        <v>0</v>
      </c>
      <c r="CF207" s="71">
        <f t="shared" ref="CF207" si="2440">IW207</f>
        <v>0</v>
      </c>
      <c r="CG207" s="71">
        <f t="shared" ref="CG207" si="2441">IX207</f>
        <v>0</v>
      </c>
      <c r="CH207" s="70">
        <f t="shared" si="2241"/>
        <v>0</v>
      </c>
      <c r="CI207" s="69">
        <f t="shared" ca="1" si="2242"/>
        <v>0</v>
      </c>
      <c r="GM207" s="2" t="s">
        <v>16</v>
      </c>
      <c r="GN207" s="98" t="str">
        <f t="shared" ref="GN207:GN208" si="2442">F207</f>
        <v>NTH-A-FMCG02-SPOWS-01</v>
      </c>
      <c r="GO207" s="4">
        <v>0</v>
      </c>
      <c r="GP207" s="3">
        <v>1</v>
      </c>
      <c r="GQ207" s="3">
        <v>1</v>
      </c>
      <c r="GR207" s="3">
        <v>0</v>
      </c>
      <c r="GS207" s="3">
        <v>1</v>
      </c>
      <c r="GT207" s="3">
        <v>0</v>
      </c>
      <c r="GU207" s="3">
        <v>0</v>
      </c>
      <c r="GV207" s="3">
        <v>0</v>
      </c>
      <c r="GW207" s="3">
        <v>0</v>
      </c>
      <c r="GX207" s="3">
        <v>0</v>
      </c>
      <c r="GY207" s="3">
        <v>0</v>
      </c>
      <c r="GZ207" s="3">
        <v>0</v>
      </c>
      <c r="HA207" s="3">
        <v>0</v>
      </c>
      <c r="HB207" s="3">
        <v>0</v>
      </c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6"/>
      <c r="HT207" s="4">
        <v>0</v>
      </c>
      <c r="HU207" s="3">
        <v>0</v>
      </c>
      <c r="HV207" s="3">
        <v>0</v>
      </c>
      <c r="HW207" s="3">
        <v>0</v>
      </c>
      <c r="HX207" s="3">
        <v>0</v>
      </c>
      <c r="HY207" s="3">
        <v>0</v>
      </c>
      <c r="HZ207" s="3">
        <v>0</v>
      </c>
      <c r="IA207" s="3">
        <v>0</v>
      </c>
      <c r="IB207" s="3">
        <v>0</v>
      </c>
      <c r="IC207" s="3">
        <v>0</v>
      </c>
      <c r="ID207" s="3">
        <v>0</v>
      </c>
      <c r="IE207" s="3">
        <v>0</v>
      </c>
      <c r="IF207" s="3">
        <v>0</v>
      </c>
      <c r="IG207" s="3">
        <v>0</v>
      </c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6"/>
    </row>
    <row r="208" spans="1:258">
      <c r="A208" s="97" t="s">
        <v>1401</v>
      </c>
      <c r="B208" s="98" t="s">
        <v>20</v>
      </c>
      <c r="C208" s="98" t="s">
        <v>449</v>
      </c>
      <c r="D208" s="99" t="s">
        <v>1312</v>
      </c>
      <c r="E208" s="98" t="s">
        <v>1208</v>
      </c>
      <c r="F208" s="98" t="s">
        <v>1404</v>
      </c>
      <c r="G208" s="98" t="s">
        <v>502</v>
      </c>
      <c r="H208" s="98" t="s">
        <v>1539</v>
      </c>
      <c r="I208" s="98" t="s">
        <v>1539</v>
      </c>
      <c r="J208" s="98" t="s">
        <v>1210</v>
      </c>
      <c r="K208" s="98" t="s">
        <v>1156</v>
      </c>
      <c r="L208" s="98" t="s">
        <v>503</v>
      </c>
      <c r="M208" s="101" t="s">
        <v>52</v>
      </c>
      <c r="N208" s="139">
        <v>45139</v>
      </c>
      <c r="O208" s="100">
        <v>1</v>
      </c>
      <c r="P208" s="69">
        <v>0</v>
      </c>
      <c r="Q208" s="69">
        <f>IFERROR(IF(OR(AI208&gt;0),1,0),0)</f>
        <v>0</v>
      </c>
      <c r="R208" s="69">
        <f t="shared" ref="R208" si="2443">IFERROR(IF(OR(BA208&gt;0),1,0),0)</f>
        <v>1</v>
      </c>
      <c r="S208" s="69">
        <f>IFERROR(IF(OR(BP208&gt;0),1,0),0)</f>
        <v>0</v>
      </c>
      <c r="T208" s="69">
        <f t="shared" ref="T208" si="2444">IFERROR(IF(OR(CH208&gt;0),1,0),0)</f>
        <v>1</v>
      </c>
      <c r="U208" s="69">
        <f t="shared" ref="U208" si="2445">IFERROR(IF(OR(BA208&gt;0,CH208&gt;0),1,0),0)</f>
        <v>1</v>
      </c>
      <c r="V208" s="70">
        <f t="shared" ref="V208" si="2446">GO208</f>
        <v>0</v>
      </c>
      <c r="W208" s="71">
        <f t="shared" ref="W208" si="2447">GP208</f>
        <v>0</v>
      </c>
      <c r="X208" s="71">
        <f t="shared" ref="X208" si="2448">GQ208</f>
        <v>0</v>
      </c>
      <c r="Y208" s="71">
        <f t="shared" ref="Y208" si="2449">GR208</f>
        <v>0</v>
      </c>
      <c r="Z208" s="71">
        <f t="shared" ref="Z208" si="2450">GS208</f>
        <v>1</v>
      </c>
      <c r="AA208" s="71">
        <f t="shared" ref="AA208" si="2451">GT208</f>
        <v>1</v>
      </c>
      <c r="AB208" s="71">
        <f t="shared" ref="AB208" si="2452">GU208</f>
        <v>0</v>
      </c>
      <c r="AC208" s="71">
        <f t="shared" ref="AC208" si="2453">GV208</f>
        <v>0</v>
      </c>
      <c r="AD208" s="71">
        <f t="shared" ref="AD208" si="2454">GW208</f>
        <v>1</v>
      </c>
      <c r="AE208" s="71">
        <f t="shared" ref="AE208" si="2455">GX208</f>
        <v>0</v>
      </c>
      <c r="AF208" s="71">
        <f t="shared" ref="AF208" si="2456">GY208</f>
        <v>0</v>
      </c>
      <c r="AG208" s="71">
        <f t="shared" ref="AG208" si="2457">GZ208</f>
        <v>0</v>
      </c>
      <c r="AH208" s="71">
        <f t="shared" ref="AH208" si="2458">HA208</f>
        <v>1</v>
      </c>
      <c r="AI208" s="71">
        <f t="shared" ref="AI208" si="2459">HB208</f>
        <v>0</v>
      </c>
      <c r="AJ208" s="71">
        <f t="shared" ref="AJ208" si="2460">HC208</f>
        <v>0</v>
      </c>
      <c r="AK208" s="71">
        <f t="shared" ref="AK208" si="2461">HD208</f>
        <v>0</v>
      </c>
      <c r="AL208" s="71">
        <f t="shared" ref="AL208" si="2462">HE208</f>
        <v>0</v>
      </c>
      <c r="AM208" s="71">
        <f t="shared" ref="AM208" si="2463">HF208</f>
        <v>0</v>
      </c>
      <c r="AN208" s="71">
        <f t="shared" ref="AN208" si="2464">HG208</f>
        <v>0</v>
      </c>
      <c r="AO208" s="71">
        <f t="shared" ref="AO208" si="2465">HH208</f>
        <v>0</v>
      </c>
      <c r="AP208" s="71">
        <f t="shared" ref="AP208" si="2466">HI208</f>
        <v>0</v>
      </c>
      <c r="AQ208" s="71">
        <f t="shared" ref="AQ208" si="2467">HJ208</f>
        <v>0</v>
      </c>
      <c r="AR208" s="71">
        <f t="shared" ref="AR208" si="2468">HK208</f>
        <v>0</v>
      </c>
      <c r="AS208" s="71">
        <f t="shared" ref="AS208" si="2469">HL208</f>
        <v>0</v>
      </c>
      <c r="AT208" s="71">
        <f t="shared" ref="AT208" si="2470">HM208</f>
        <v>0</v>
      </c>
      <c r="AU208" s="71">
        <f t="shared" ref="AU208" si="2471">HN208</f>
        <v>0</v>
      </c>
      <c r="AV208" s="71">
        <f t="shared" ref="AV208" si="2472">HO208</f>
        <v>0</v>
      </c>
      <c r="AW208" s="71">
        <f t="shared" ref="AW208" si="2473">HP208</f>
        <v>0</v>
      </c>
      <c r="AX208" s="71">
        <f t="shared" ref="AX208" si="2474">HQ208</f>
        <v>0</v>
      </c>
      <c r="AY208" s="71">
        <f t="shared" ref="AY208" si="2475">HR208</f>
        <v>0</v>
      </c>
      <c r="AZ208" s="72">
        <f t="shared" ref="AZ208" si="2476">HS208</f>
        <v>0</v>
      </c>
      <c r="BA208" s="70">
        <f t="shared" si="2238"/>
        <v>4</v>
      </c>
      <c r="BB208" s="69">
        <f t="shared" ca="1" si="2239"/>
        <v>0.30769230769230771</v>
      </c>
      <c r="BC208" s="70">
        <f t="shared" ref="BC208" si="2477">HT208</f>
        <v>0</v>
      </c>
      <c r="BD208" s="71">
        <f t="shared" ref="BD208" si="2478">HU208</f>
        <v>0</v>
      </c>
      <c r="BE208" s="71">
        <f t="shared" ref="BE208" si="2479">HV208</f>
        <v>0</v>
      </c>
      <c r="BF208" s="71">
        <f t="shared" ref="BF208" si="2480">HW208</f>
        <v>0</v>
      </c>
      <c r="BG208" s="71">
        <f t="shared" ref="BG208" si="2481">HX208</f>
        <v>0</v>
      </c>
      <c r="BH208" s="71">
        <f t="shared" ref="BH208" si="2482">HY208</f>
        <v>1</v>
      </c>
      <c r="BI208" s="71">
        <f t="shared" ref="BI208" si="2483">HZ208</f>
        <v>0</v>
      </c>
      <c r="BJ208" s="71">
        <f t="shared" ref="BJ208" si="2484">IA208</f>
        <v>0</v>
      </c>
      <c r="BK208" s="71">
        <f t="shared" ref="BK208" si="2485">IB208</f>
        <v>0</v>
      </c>
      <c r="BL208" s="71">
        <f t="shared" ref="BL208" si="2486">IC208</f>
        <v>0</v>
      </c>
      <c r="BM208" s="71">
        <f t="shared" ref="BM208" si="2487">ID208</f>
        <v>0</v>
      </c>
      <c r="BN208" s="71">
        <f t="shared" ref="BN208" si="2488">IE208</f>
        <v>0</v>
      </c>
      <c r="BO208" s="71">
        <f t="shared" ref="BO208" si="2489">IF208</f>
        <v>0</v>
      </c>
      <c r="BP208" s="71">
        <f t="shared" ref="BP208" si="2490">IG208</f>
        <v>0</v>
      </c>
      <c r="BQ208" s="71">
        <f t="shared" ref="BQ208" si="2491">IH208</f>
        <v>0</v>
      </c>
      <c r="BR208" s="71">
        <f t="shared" ref="BR208" si="2492">II208</f>
        <v>0</v>
      </c>
      <c r="BS208" s="71">
        <f t="shared" ref="BS208" si="2493">IJ208</f>
        <v>0</v>
      </c>
      <c r="BT208" s="71">
        <f t="shared" ref="BT208" si="2494">IK208</f>
        <v>0</v>
      </c>
      <c r="BU208" s="71">
        <f t="shared" ref="BU208" si="2495">IL208</f>
        <v>0</v>
      </c>
      <c r="BV208" s="71">
        <f t="shared" ref="BV208" si="2496">IM208</f>
        <v>0</v>
      </c>
      <c r="BW208" s="71">
        <f t="shared" ref="BW208" si="2497">IN208</f>
        <v>0</v>
      </c>
      <c r="BX208" s="71">
        <f t="shared" ref="BX208" si="2498">IO208</f>
        <v>0</v>
      </c>
      <c r="BY208" s="71">
        <f t="shared" ref="BY208" si="2499">IP208</f>
        <v>0</v>
      </c>
      <c r="BZ208" s="71">
        <f t="shared" ref="BZ208" si="2500">IQ208</f>
        <v>0</v>
      </c>
      <c r="CA208" s="71">
        <f t="shared" ref="CA208" si="2501">IR208</f>
        <v>0</v>
      </c>
      <c r="CB208" s="71">
        <f t="shared" ref="CB208" si="2502">IS208</f>
        <v>0</v>
      </c>
      <c r="CC208" s="71">
        <f t="shared" ref="CC208" si="2503">IT208</f>
        <v>0</v>
      </c>
      <c r="CD208" s="71">
        <f t="shared" ref="CD208" si="2504">IU208</f>
        <v>0</v>
      </c>
      <c r="CE208" s="71">
        <f t="shared" ref="CE208" si="2505">IV208</f>
        <v>0</v>
      </c>
      <c r="CF208" s="71">
        <f t="shared" ref="CF208" si="2506">IW208</f>
        <v>0</v>
      </c>
      <c r="CG208" s="71">
        <f t="shared" ref="CG208" si="2507">IX208</f>
        <v>0</v>
      </c>
      <c r="CH208" s="70">
        <f t="shared" si="2241"/>
        <v>1</v>
      </c>
      <c r="CI208" s="69">
        <f t="shared" ca="1" si="2242"/>
        <v>7.6923076923076927E-2</v>
      </c>
      <c r="GM208" s="2" t="s">
        <v>17</v>
      </c>
      <c r="GN208" s="98" t="str">
        <f t="shared" si="2442"/>
        <v>NTH-A-FMCG-CM-00</v>
      </c>
      <c r="GO208" s="4">
        <v>0</v>
      </c>
      <c r="GP208" s="3">
        <v>0</v>
      </c>
      <c r="GQ208" s="3">
        <v>0</v>
      </c>
      <c r="GR208" s="3">
        <v>0</v>
      </c>
      <c r="GS208" s="3">
        <v>1</v>
      </c>
      <c r="GT208" s="3">
        <v>1</v>
      </c>
      <c r="GU208" s="3">
        <v>0</v>
      </c>
      <c r="GV208" s="3">
        <v>0</v>
      </c>
      <c r="GW208" s="3">
        <v>1</v>
      </c>
      <c r="GX208" s="3">
        <v>0</v>
      </c>
      <c r="GY208" s="3">
        <v>0</v>
      </c>
      <c r="GZ208" s="3">
        <v>0</v>
      </c>
      <c r="HA208" s="3">
        <v>1</v>
      </c>
      <c r="HB208" s="3">
        <v>0</v>
      </c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6"/>
      <c r="HT208" s="4">
        <v>0</v>
      </c>
      <c r="HU208" s="3">
        <v>0</v>
      </c>
      <c r="HV208" s="3">
        <v>0</v>
      </c>
      <c r="HW208" s="3">
        <v>0</v>
      </c>
      <c r="HX208" s="3">
        <v>0</v>
      </c>
      <c r="HY208" s="3">
        <v>1</v>
      </c>
      <c r="HZ208" s="3">
        <v>0</v>
      </c>
      <c r="IA208" s="3">
        <v>0</v>
      </c>
      <c r="IB208" s="3">
        <v>0</v>
      </c>
      <c r="IC208" s="3">
        <v>0</v>
      </c>
      <c r="ID208" s="3">
        <v>0</v>
      </c>
      <c r="IE208" s="3">
        <v>0</v>
      </c>
      <c r="IF208" s="3">
        <v>0</v>
      </c>
      <c r="IG208" s="3">
        <v>0</v>
      </c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6"/>
    </row>
    <row r="209" spans="1:258">
      <c r="A209" s="102" t="s">
        <v>19</v>
      </c>
      <c r="B209" s="103" t="s">
        <v>20</v>
      </c>
      <c r="C209" s="103" t="s">
        <v>449</v>
      </c>
      <c r="D209" s="104" t="s">
        <v>1312</v>
      </c>
      <c r="E209" s="104" t="s">
        <v>1208</v>
      </c>
      <c r="F209" s="103" t="s">
        <v>1209</v>
      </c>
      <c r="G209" s="120" t="s">
        <v>1402</v>
      </c>
      <c r="H209" s="103" t="s">
        <v>1540</v>
      </c>
      <c r="I209" s="103" t="s">
        <v>1540</v>
      </c>
      <c r="J209" s="103" t="s">
        <v>1210</v>
      </c>
      <c r="K209" s="103" t="s">
        <v>1156</v>
      </c>
      <c r="L209" s="103" t="s">
        <v>503</v>
      </c>
      <c r="M209" s="103" t="s">
        <v>52</v>
      </c>
      <c r="N209" s="119">
        <v>45139</v>
      </c>
      <c r="O209" s="105">
        <f>SUM(O206:O207)</f>
        <v>2</v>
      </c>
      <c r="P209" s="73">
        <f t="shared" ref="P209:CA209" si="2508">SUM(P206:P207)</f>
        <v>0</v>
      </c>
      <c r="Q209" s="73">
        <f t="shared" si="2508"/>
        <v>0</v>
      </c>
      <c r="R209" s="73">
        <f t="shared" si="2508"/>
        <v>2</v>
      </c>
      <c r="S209" s="73">
        <f t="shared" si="2508"/>
        <v>0</v>
      </c>
      <c r="T209" s="73">
        <f t="shared" si="2508"/>
        <v>0</v>
      </c>
      <c r="U209" s="73">
        <f t="shared" si="2508"/>
        <v>2</v>
      </c>
      <c r="V209" s="74">
        <f t="shared" si="2508"/>
        <v>1</v>
      </c>
      <c r="W209" s="75">
        <f t="shared" si="2508"/>
        <v>2</v>
      </c>
      <c r="X209" s="75">
        <f t="shared" si="2508"/>
        <v>1</v>
      </c>
      <c r="Y209" s="75">
        <f t="shared" si="2508"/>
        <v>0</v>
      </c>
      <c r="Z209" s="75">
        <f t="shared" si="2508"/>
        <v>1</v>
      </c>
      <c r="AA209" s="75">
        <f t="shared" si="2508"/>
        <v>0</v>
      </c>
      <c r="AB209" s="75">
        <f t="shared" si="2508"/>
        <v>0</v>
      </c>
      <c r="AC209" s="75">
        <f t="shared" si="2508"/>
        <v>0</v>
      </c>
      <c r="AD209" s="75">
        <f t="shared" si="2508"/>
        <v>0</v>
      </c>
      <c r="AE209" s="75">
        <f t="shared" si="2508"/>
        <v>0</v>
      </c>
      <c r="AF209" s="75">
        <f t="shared" si="2508"/>
        <v>0</v>
      </c>
      <c r="AG209" s="75">
        <f t="shared" si="2508"/>
        <v>0</v>
      </c>
      <c r="AH209" s="75">
        <f t="shared" si="2508"/>
        <v>0</v>
      </c>
      <c r="AI209" s="75">
        <f t="shared" si="2508"/>
        <v>0</v>
      </c>
      <c r="AJ209" s="75">
        <f t="shared" si="2508"/>
        <v>0</v>
      </c>
      <c r="AK209" s="75">
        <f t="shared" si="2508"/>
        <v>0</v>
      </c>
      <c r="AL209" s="75">
        <f t="shared" si="2508"/>
        <v>0</v>
      </c>
      <c r="AM209" s="75">
        <f t="shared" si="2508"/>
        <v>0</v>
      </c>
      <c r="AN209" s="75">
        <f t="shared" si="2508"/>
        <v>0</v>
      </c>
      <c r="AO209" s="75">
        <f t="shared" si="2508"/>
        <v>0</v>
      </c>
      <c r="AP209" s="75">
        <f t="shared" si="2508"/>
        <v>0</v>
      </c>
      <c r="AQ209" s="75">
        <f t="shared" si="2508"/>
        <v>0</v>
      </c>
      <c r="AR209" s="75">
        <f t="shared" si="2508"/>
        <v>0</v>
      </c>
      <c r="AS209" s="75">
        <f t="shared" si="2508"/>
        <v>0</v>
      </c>
      <c r="AT209" s="75">
        <f t="shared" si="2508"/>
        <v>0</v>
      </c>
      <c r="AU209" s="75">
        <f t="shared" si="2508"/>
        <v>0</v>
      </c>
      <c r="AV209" s="75">
        <f t="shared" si="2508"/>
        <v>0</v>
      </c>
      <c r="AW209" s="75">
        <f t="shared" si="2508"/>
        <v>0</v>
      </c>
      <c r="AX209" s="75">
        <f t="shared" si="2508"/>
        <v>0</v>
      </c>
      <c r="AY209" s="75">
        <f t="shared" si="2508"/>
        <v>0</v>
      </c>
      <c r="AZ209" s="76">
        <f t="shared" si="2508"/>
        <v>0</v>
      </c>
      <c r="BA209" s="74">
        <f t="shared" si="2238"/>
        <v>5</v>
      </c>
      <c r="BB209" s="73">
        <f t="shared" ca="1" si="2239"/>
        <v>0.19230769230769232</v>
      </c>
      <c r="BC209" s="74">
        <f t="shared" si="2508"/>
        <v>0</v>
      </c>
      <c r="BD209" s="75">
        <f t="shared" si="2508"/>
        <v>0</v>
      </c>
      <c r="BE209" s="75">
        <f t="shared" si="2508"/>
        <v>0</v>
      </c>
      <c r="BF209" s="75">
        <f t="shared" si="2508"/>
        <v>0</v>
      </c>
      <c r="BG209" s="75">
        <f t="shared" si="2508"/>
        <v>0</v>
      </c>
      <c r="BH209" s="75">
        <f t="shared" si="2508"/>
        <v>0</v>
      </c>
      <c r="BI209" s="75">
        <f t="shared" si="2508"/>
        <v>0</v>
      </c>
      <c r="BJ209" s="75">
        <f t="shared" si="2508"/>
        <v>0</v>
      </c>
      <c r="BK209" s="75">
        <f t="shared" si="2508"/>
        <v>0</v>
      </c>
      <c r="BL209" s="75">
        <f t="shared" si="2508"/>
        <v>0</v>
      </c>
      <c r="BM209" s="75">
        <f t="shared" si="2508"/>
        <v>0</v>
      </c>
      <c r="BN209" s="75">
        <f t="shared" si="2508"/>
        <v>0</v>
      </c>
      <c r="BO209" s="75">
        <f t="shared" si="2508"/>
        <v>0</v>
      </c>
      <c r="BP209" s="75">
        <f t="shared" si="2508"/>
        <v>0</v>
      </c>
      <c r="BQ209" s="75">
        <f t="shared" si="2508"/>
        <v>0</v>
      </c>
      <c r="BR209" s="75">
        <f t="shared" si="2508"/>
        <v>0</v>
      </c>
      <c r="BS209" s="75">
        <f t="shared" si="2508"/>
        <v>0</v>
      </c>
      <c r="BT209" s="75">
        <f t="shared" si="2508"/>
        <v>0</v>
      </c>
      <c r="BU209" s="75">
        <f t="shared" si="2508"/>
        <v>0</v>
      </c>
      <c r="BV209" s="75">
        <f t="shared" si="2508"/>
        <v>0</v>
      </c>
      <c r="BW209" s="75">
        <f t="shared" si="2508"/>
        <v>0</v>
      </c>
      <c r="BX209" s="75">
        <f t="shared" si="2508"/>
        <v>0</v>
      </c>
      <c r="BY209" s="75">
        <f t="shared" si="2508"/>
        <v>0</v>
      </c>
      <c r="BZ209" s="75">
        <f t="shared" si="2508"/>
        <v>0</v>
      </c>
      <c r="CA209" s="75">
        <f t="shared" si="2508"/>
        <v>0</v>
      </c>
      <c r="CB209" s="75">
        <f t="shared" ref="CB209:CG209" si="2509">SUM(CB206:CB207)</f>
        <v>0</v>
      </c>
      <c r="CC209" s="75">
        <f t="shared" si="2509"/>
        <v>0</v>
      </c>
      <c r="CD209" s="75">
        <f t="shared" si="2509"/>
        <v>0</v>
      </c>
      <c r="CE209" s="75">
        <f t="shared" si="2509"/>
        <v>0</v>
      </c>
      <c r="CF209" s="75">
        <f t="shared" si="2509"/>
        <v>0</v>
      </c>
      <c r="CG209" s="75">
        <f t="shared" si="2509"/>
        <v>0</v>
      </c>
      <c r="CH209" s="74">
        <f t="shared" si="2241"/>
        <v>0</v>
      </c>
      <c r="CI209" s="73">
        <f t="shared" ca="1" si="2242"/>
        <v>0</v>
      </c>
      <c r="GM209" s="2" t="s">
        <v>17</v>
      </c>
      <c r="GN209" s="103" t="str">
        <f t="shared" si="2236"/>
        <v>NTH-A-FMCG-CM-01</v>
      </c>
      <c r="GO209" s="4">
        <v>0</v>
      </c>
      <c r="GP209" s="3">
        <v>0</v>
      </c>
      <c r="GQ209" s="3">
        <v>0</v>
      </c>
      <c r="GR209" s="3">
        <v>0</v>
      </c>
      <c r="GS209" s="3">
        <v>0</v>
      </c>
      <c r="GT209" s="3">
        <v>0</v>
      </c>
      <c r="GU209" s="3">
        <v>0</v>
      </c>
      <c r="GV209" s="3">
        <v>0</v>
      </c>
      <c r="GW209" s="3">
        <v>0</v>
      </c>
      <c r="GX209" s="3">
        <v>0</v>
      </c>
      <c r="GY209" s="3">
        <v>0</v>
      </c>
      <c r="GZ209" s="3">
        <v>0</v>
      </c>
      <c r="HA209" s="3">
        <v>0</v>
      </c>
      <c r="HB209" s="3">
        <v>0</v>
      </c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6"/>
      <c r="HT209" s="4">
        <v>0</v>
      </c>
      <c r="HU209" s="3">
        <v>0</v>
      </c>
      <c r="HV209" s="3">
        <v>0</v>
      </c>
      <c r="HW209" s="3">
        <v>0</v>
      </c>
      <c r="HX209" s="3">
        <v>0</v>
      </c>
      <c r="HY209" s="3">
        <v>0</v>
      </c>
      <c r="HZ209" s="3">
        <v>0</v>
      </c>
      <c r="IA209" s="3">
        <v>0</v>
      </c>
      <c r="IB209" s="3">
        <v>0</v>
      </c>
      <c r="IC209" s="3">
        <v>0</v>
      </c>
      <c r="ID209" s="3">
        <v>0</v>
      </c>
      <c r="IE209" s="3">
        <v>0</v>
      </c>
      <c r="IF209" s="3">
        <v>0</v>
      </c>
      <c r="IG209" s="3">
        <v>0</v>
      </c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6"/>
    </row>
    <row r="210" spans="1:258">
      <c r="A210" s="97" t="s">
        <v>1397</v>
      </c>
      <c r="B210" s="98" t="s">
        <v>20</v>
      </c>
      <c r="C210" s="98" t="s">
        <v>449</v>
      </c>
      <c r="D210" s="99" t="s">
        <v>505</v>
      </c>
      <c r="E210" s="98" t="s">
        <v>506</v>
      </c>
      <c r="F210" s="113" t="s">
        <v>507</v>
      </c>
      <c r="G210" s="98" t="s">
        <v>508</v>
      </c>
      <c r="H210" s="98" t="s">
        <v>509</v>
      </c>
      <c r="I210" s="98" t="s">
        <v>509</v>
      </c>
      <c r="J210" s="98" t="s">
        <v>425</v>
      </c>
      <c r="K210" s="98" t="s">
        <v>31</v>
      </c>
      <c r="L210" s="98" t="s">
        <v>510</v>
      </c>
      <c r="M210" s="98" t="s">
        <v>52</v>
      </c>
      <c r="N210" s="108">
        <v>43437</v>
      </c>
      <c r="O210" s="100">
        <v>1</v>
      </c>
      <c r="P210" s="69">
        <v>0</v>
      </c>
      <c r="Q210" s="69">
        <f>IFERROR(IF(OR(AI210&gt;0),1,0),0)</f>
        <v>0</v>
      </c>
      <c r="R210" s="69">
        <f t="shared" ref="R210:R212" si="2510">IFERROR(IF(OR(BA210&gt;0),1,0),0)</f>
        <v>0</v>
      </c>
      <c r="S210" s="69">
        <f>IFERROR(IF(OR(BP210&gt;0),1,0),0)</f>
        <v>0</v>
      </c>
      <c r="T210" s="69">
        <f t="shared" ref="T210:T212" si="2511">IFERROR(IF(OR(CH210&gt;0),1,0),0)</f>
        <v>0</v>
      </c>
      <c r="U210" s="69">
        <f t="shared" ref="U210:U212" si="2512">IFERROR(IF(OR(BA210&gt;0,CH210&gt;0),1,0),0)</f>
        <v>0</v>
      </c>
      <c r="V210" s="70">
        <f t="shared" ref="V210:V212" si="2513">GO210</f>
        <v>0</v>
      </c>
      <c r="W210" s="71">
        <f t="shared" ref="W210:W212" si="2514">GP210</f>
        <v>0</v>
      </c>
      <c r="X210" s="71">
        <f t="shared" ref="X210:X212" si="2515">GQ210</f>
        <v>0</v>
      </c>
      <c r="Y210" s="71">
        <f t="shared" ref="Y210:Y212" si="2516">GR210</f>
        <v>0</v>
      </c>
      <c r="Z210" s="71">
        <f t="shared" ref="Z210:Z212" si="2517">GS210</f>
        <v>0</v>
      </c>
      <c r="AA210" s="71">
        <f t="shared" ref="AA210:AA212" si="2518">GT210</f>
        <v>0</v>
      </c>
      <c r="AB210" s="71">
        <f t="shared" ref="AB210:AB212" si="2519">GU210</f>
        <v>0</v>
      </c>
      <c r="AC210" s="71">
        <f t="shared" ref="AC210:AC212" si="2520">GV210</f>
        <v>0</v>
      </c>
      <c r="AD210" s="71">
        <f t="shared" ref="AD210:AD212" si="2521">GW210</f>
        <v>0</v>
      </c>
      <c r="AE210" s="71">
        <f t="shared" ref="AE210:AE212" si="2522">GX210</f>
        <v>0</v>
      </c>
      <c r="AF210" s="71">
        <f t="shared" ref="AF210:AF212" si="2523">GY210</f>
        <v>0</v>
      </c>
      <c r="AG210" s="71">
        <f t="shared" ref="AG210:AG212" si="2524">GZ210</f>
        <v>0</v>
      </c>
      <c r="AH210" s="71">
        <f t="shared" ref="AH210:AH212" si="2525">HA210</f>
        <v>0</v>
      </c>
      <c r="AI210" s="71">
        <f t="shared" ref="AI210:AI212" si="2526">HB210</f>
        <v>0</v>
      </c>
      <c r="AJ210" s="71">
        <f t="shared" ref="AJ210:AJ212" si="2527">HC210</f>
        <v>0</v>
      </c>
      <c r="AK210" s="71">
        <f t="shared" ref="AK210:AK212" si="2528">HD210</f>
        <v>0</v>
      </c>
      <c r="AL210" s="71">
        <f t="shared" ref="AL210:AL212" si="2529">HE210</f>
        <v>0</v>
      </c>
      <c r="AM210" s="71">
        <f t="shared" ref="AM210:AM212" si="2530">HF210</f>
        <v>0</v>
      </c>
      <c r="AN210" s="71">
        <f t="shared" ref="AN210:AN212" si="2531">HG210</f>
        <v>0</v>
      </c>
      <c r="AO210" s="71">
        <f t="shared" ref="AO210:AO212" si="2532">HH210</f>
        <v>0</v>
      </c>
      <c r="AP210" s="71">
        <f t="shared" ref="AP210:AP212" si="2533">HI210</f>
        <v>0</v>
      </c>
      <c r="AQ210" s="71">
        <f t="shared" ref="AQ210:AQ212" si="2534">HJ210</f>
        <v>0</v>
      </c>
      <c r="AR210" s="71">
        <f t="shared" ref="AR210:AR212" si="2535">HK210</f>
        <v>0</v>
      </c>
      <c r="AS210" s="71">
        <f t="shared" ref="AS210:AS212" si="2536">HL210</f>
        <v>0</v>
      </c>
      <c r="AT210" s="71">
        <f t="shared" ref="AT210:AT212" si="2537">HM210</f>
        <v>0</v>
      </c>
      <c r="AU210" s="71">
        <f t="shared" ref="AU210:AU212" si="2538">HN210</f>
        <v>0</v>
      </c>
      <c r="AV210" s="71">
        <f t="shared" ref="AV210:AV212" si="2539">HO210</f>
        <v>0</v>
      </c>
      <c r="AW210" s="71">
        <f t="shared" ref="AW210:AW212" si="2540">HP210</f>
        <v>0</v>
      </c>
      <c r="AX210" s="71">
        <f t="shared" ref="AX210:AX212" si="2541">HQ210</f>
        <v>0</v>
      </c>
      <c r="AY210" s="71">
        <f t="shared" ref="AY210:AY212" si="2542">HR210</f>
        <v>0</v>
      </c>
      <c r="AZ210" s="72">
        <f t="shared" ref="AZ210:AZ212" si="2543">HS210</f>
        <v>0</v>
      </c>
      <c r="BA210" s="70">
        <f t="shared" si="2238"/>
        <v>0</v>
      </c>
      <c r="BB210" s="69">
        <f t="shared" ca="1" si="2239"/>
        <v>0</v>
      </c>
      <c r="BC210" s="70">
        <f t="shared" ref="BC210:BC212" si="2544">HT210</f>
        <v>0</v>
      </c>
      <c r="BD210" s="71">
        <f t="shared" ref="BD210:BD212" si="2545">HU210</f>
        <v>0</v>
      </c>
      <c r="BE210" s="71">
        <f t="shared" ref="BE210:BE212" si="2546">HV210</f>
        <v>0</v>
      </c>
      <c r="BF210" s="71">
        <f t="shared" ref="BF210:BF212" si="2547">HW210</f>
        <v>0</v>
      </c>
      <c r="BG210" s="71">
        <f t="shared" ref="BG210:BG212" si="2548">HX210</f>
        <v>0</v>
      </c>
      <c r="BH210" s="71">
        <f t="shared" ref="BH210:BH212" si="2549">HY210</f>
        <v>0</v>
      </c>
      <c r="BI210" s="71">
        <f t="shared" ref="BI210:BI212" si="2550">HZ210</f>
        <v>0</v>
      </c>
      <c r="BJ210" s="71">
        <f t="shared" ref="BJ210:BJ212" si="2551">IA210</f>
        <v>0</v>
      </c>
      <c r="BK210" s="71">
        <f t="shared" ref="BK210:BK212" si="2552">IB210</f>
        <v>0</v>
      </c>
      <c r="BL210" s="71">
        <f t="shared" ref="BL210:BL212" si="2553">IC210</f>
        <v>0</v>
      </c>
      <c r="BM210" s="71">
        <f t="shared" ref="BM210:BM212" si="2554">ID210</f>
        <v>0</v>
      </c>
      <c r="BN210" s="71">
        <f t="shared" ref="BN210:BN212" si="2555">IE210</f>
        <v>0</v>
      </c>
      <c r="BO210" s="71">
        <f t="shared" ref="BO210:BO212" si="2556">IF210</f>
        <v>0</v>
      </c>
      <c r="BP210" s="71">
        <f t="shared" ref="BP210:BP212" si="2557">IG210</f>
        <v>0</v>
      </c>
      <c r="BQ210" s="71">
        <f t="shared" ref="BQ210:BQ212" si="2558">IH210</f>
        <v>0</v>
      </c>
      <c r="BR210" s="71">
        <f t="shared" ref="BR210:BR212" si="2559">II210</f>
        <v>0</v>
      </c>
      <c r="BS210" s="71">
        <f t="shared" ref="BS210:BS212" si="2560">IJ210</f>
        <v>0</v>
      </c>
      <c r="BT210" s="71">
        <f t="shared" ref="BT210:BT212" si="2561">IK210</f>
        <v>0</v>
      </c>
      <c r="BU210" s="71">
        <f t="shared" ref="BU210:BU212" si="2562">IL210</f>
        <v>0</v>
      </c>
      <c r="BV210" s="71">
        <f t="shared" ref="BV210:BV212" si="2563">IM210</f>
        <v>0</v>
      </c>
      <c r="BW210" s="71">
        <f t="shared" ref="BW210:BW212" si="2564">IN210</f>
        <v>0</v>
      </c>
      <c r="BX210" s="71">
        <f t="shared" ref="BX210:BX212" si="2565">IO210</f>
        <v>0</v>
      </c>
      <c r="BY210" s="71">
        <f t="shared" ref="BY210:BY212" si="2566">IP210</f>
        <v>0</v>
      </c>
      <c r="BZ210" s="71">
        <f t="shared" ref="BZ210:BZ212" si="2567">IQ210</f>
        <v>0</v>
      </c>
      <c r="CA210" s="71">
        <f t="shared" ref="CA210:CA212" si="2568">IR210</f>
        <v>0</v>
      </c>
      <c r="CB210" s="71">
        <f t="shared" ref="CB210:CB212" si="2569">IS210</f>
        <v>0</v>
      </c>
      <c r="CC210" s="71">
        <f t="shared" ref="CC210:CC212" si="2570">IT210</f>
        <v>0</v>
      </c>
      <c r="CD210" s="71">
        <f t="shared" ref="CD210:CD212" si="2571">IU210</f>
        <v>0</v>
      </c>
      <c r="CE210" s="71">
        <f t="shared" ref="CE210:CE212" si="2572">IV210</f>
        <v>0</v>
      </c>
      <c r="CF210" s="71">
        <f t="shared" ref="CF210:CF212" si="2573">IW210</f>
        <v>0</v>
      </c>
      <c r="CG210" s="71">
        <f t="shared" ref="CG210:CG212" si="2574">IX210</f>
        <v>0</v>
      </c>
      <c r="CH210" s="70">
        <f t="shared" si="2241"/>
        <v>0</v>
      </c>
      <c r="CI210" s="69">
        <f t="shared" ca="1" si="2242"/>
        <v>0</v>
      </c>
      <c r="GM210" s="2" t="s">
        <v>16</v>
      </c>
      <c r="GN210" s="113" t="str">
        <f t="shared" si="2236"/>
        <v>NTH-A-FMCG-RSM-01</v>
      </c>
      <c r="GO210" s="4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6"/>
      <c r="HT210" s="4">
        <v>0</v>
      </c>
      <c r="HU210" s="3">
        <v>0</v>
      </c>
      <c r="HV210" s="3">
        <v>0</v>
      </c>
      <c r="HW210" s="3">
        <v>0</v>
      </c>
      <c r="HX210" s="3">
        <v>0</v>
      </c>
      <c r="HY210" s="3">
        <v>0</v>
      </c>
      <c r="HZ210" s="3">
        <v>0</v>
      </c>
      <c r="IA210" s="3">
        <v>0</v>
      </c>
      <c r="IB210" s="3">
        <v>0</v>
      </c>
      <c r="IC210" s="3">
        <v>0</v>
      </c>
      <c r="ID210" s="3">
        <v>0</v>
      </c>
      <c r="IE210" s="3">
        <v>0</v>
      </c>
      <c r="IF210" s="3">
        <v>0</v>
      </c>
      <c r="IG210" s="3">
        <v>0</v>
      </c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6"/>
    </row>
    <row r="211" spans="1:258">
      <c r="A211" s="97" t="s">
        <v>149</v>
      </c>
      <c r="B211" s="98" t="s">
        <v>1290</v>
      </c>
      <c r="C211" s="98" t="s">
        <v>449</v>
      </c>
      <c r="D211" s="99" t="s">
        <v>1318</v>
      </c>
      <c r="E211" s="98" t="s">
        <v>1319</v>
      </c>
      <c r="F211" s="113" t="s">
        <v>1370</v>
      </c>
      <c r="G211" s="98" t="s">
        <v>1321</v>
      </c>
      <c r="H211" s="98" t="s">
        <v>1541</v>
      </c>
      <c r="I211" s="98" t="s">
        <v>1541</v>
      </c>
      <c r="J211" s="98" t="s">
        <v>885</v>
      </c>
      <c r="K211" s="98" t="s">
        <v>1323</v>
      </c>
      <c r="L211" s="98" t="s">
        <v>1324</v>
      </c>
      <c r="M211" s="113" t="s">
        <v>0</v>
      </c>
      <c r="N211" s="108">
        <v>45139</v>
      </c>
      <c r="O211" s="100">
        <v>1</v>
      </c>
      <c r="P211" s="69">
        <v>0</v>
      </c>
      <c r="Q211" s="69">
        <f>IFERROR(IF(OR(AI211&gt;0),1,0),0)</f>
        <v>1</v>
      </c>
      <c r="R211" s="69">
        <f t="shared" si="2510"/>
        <v>1</v>
      </c>
      <c r="S211" s="69">
        <f>IFERROR(IF(OR(BP211&gt;0),1,0),0)</f>
        <v>0</v>
      </c>
      <c r="T211" s="69">
        <f t="shared" si="2511"/>
        <v>0</v>
      </c>
      <c r="U211" s="69">
        <f t="shared" si="2512"/>
        <v>1</v>
      </c>
      <c r="V211" s="70">
        <f t="shared" si="2513"/>
        <v>1</v>
      </c>
      <c r="W211" s="71">
        <f t="shared" si="2514"/>
        <v>1</v>
      </c>
      <c r="X211" s="71">
        <f t="shared" si="2515"/>
        <v>1</v>
      </c>
      <c r="Y211" s="71">
        <f t="shared" si="2516"/>
        <v>0</v>
      </c>
      <c r="Z211" s="71">
        <f t="shared" si="2517"/>
        <v>1</v>
      </c>
      <c r="AA211" s="71">
        <f t="shared" si="2518"/>
        <v>1</v>
      </c>
      <c r="AB211" s="71">
        <f t="shared" si="2519"/>
        <v>1</v>
      </c>
      <c r="AC211" s="71">
        <f t="shared" si="2520"/>
        <v>1</v>
      </c>
      <c r="AD211" s="71">
        <f t="shared" si="2521"/>
        <v>1</v>
      </c>
      <c r="AE211" s="71">
        <f t="shared" si="2522"/>
        <v>1</v>
      </c>
      <c r="AF211" s="71">
        <f t="shared" si="2523"/>
        <v>0</v>
      </c>
      <c r="AG211" s="71">
        <f t="shared" si="2524"/>
        <v>1</v>
      </c>
      <c r="AH211" s="71">
        <f t="shared" si="2525"/>
        <v>0</v>
      </c>
      <c r="AI211" s="71">
        <f t="shared" si="2526"/>
        <v>1</v>
      </c>
      <c r="AJ211" s="71">
        <f t="shared" si="2527"/>
        <v>0</v>
      </c>
      <c r="AK211" s="71">
        <f t="shared" si="2528"/>
        <v>0</v>
      </c>
      <c r="AL211" s="71">
        <f t="shared" si="2529"/>
        <v>0</v>
      </c>
      <c r="AM211" s="71">
        <f t="shared" si="2530"/>
        <v>0</v>
      </c>
      <c r="AN211" s="71">
        <f t="shared" si="2531"/>
        <v>0</v>
      </c>
      <c r="AO211" s="71">
        <f t="shared" si="2532"/>
        <v>0</v>
      </c>
      <c r="AP211" s="71">
        <f t="shared" si="2533"/>
        <v>0</v>
      </c>
      <c r="AQ211" s="71">
        <f t="shared" si="2534"/>
        <v>0</v>
      </c>
      <c r="AR211" s="71">
        <f t="shared" si="2535"/>
        <v>0</v>
      </c>
      <c r="AS211" s="71">
        <f t="shared" si="2536"/>
        <v>0</v>
      </c>
      <c r="AT211" s="71">
        <f t="shared" si="2537"/>
        <v>0</v>
      </c>
      <c r="AU211" s="71">
        <f t="shared" si="2538"/>
        <v>0</v>
      </c>
      <c r="AV211" s="71">
        <f t="shared" si="2539"/>
        <v>0</v>
      </c>
      <c r="AW211" s="71">
        <f t="shared" si="2540"/>
        <v>0</v>
      </c>
      <c r="AX211" s="71">
        <f t="shared" si="2541"/>
        <v>0</v>
      </c>
      <c r="AY211" s="71">
        <f t="shared" si="2542"/>
        <v>0</v>
      </c>
      <c r="AZ211" s="72">
        <f t="shared" si="2543"/>
        <v>0</v>
      </c>
      <c r="BA211" s="70">
        <f t="shared" si="2238"/>
        <v>11</v>
      </c>
      <c r="BB211" s="69">
        <f t="shared" ca="1" si="2239"/>
        <v>0.84615384615384615</v>
      </c>
      <c r="BC211" s="70">
        <f t="shared" si="2544"/>
        <v>0</v>
      </c>
      <c r="BD211" s="71">
        <f t="shared" si="2545"/>
        <v>0</v>
      </c>
      <c r="BE211" s="71">
        <f t="shared" si="2546"/>
        <v>0</v>
      </c>
      <c r="BF211" s="71">
        <f t="shared" si="2547"/>
        <v>0</v>
      </c>
      <c r="BG211" s="71">
        <f t="shared" si="2548"/>
        <v>0</v>
      </c>
      <c r="BH211" s="71">
        <f t="shared" si="2549"/>
        <v>0</v>
      </c>
      <c r="BI211" s="71">
        <f t="shared" si="2550"/>
        <v>0</v>
      </c>
      <c r="BJ211" s="71">
        <f t="shared" si="2551"/>
        <v>0</v>
      </c>
      <c r="BK211" s="71">
        <f t="shared" si="2552"/>
        <v>0</v>
      </c>
      <c r="BL211" s="71">
        <f t="shared" si="2553"/>
        <v>0</v>
      </c>
      <c r="BM211" s="71">
        <f t="shared" si="2554"/>
        <v>0</v>
      </c>
      <c r="BN211" s="71">
        <f t="shared" si="2555"/>
        <v>0</v>
      </c>
      <c r="BO211" s="71">
        <f t="shared" si="2556"/>
        <v>0</v>
      </c>
      <c r="BP211" s="71">
        <f t="shared" si="2557"/>
        <v>0</v>
      </c>
      <c r="BQ211" s="71">
        <f t="shared" si="2558"/>
        <v>0</v>
      </c>
      <c r="BR211" s="71">
        <f t="shared" si="2559"/>
        <v>0</v>
      </c>
      <c r="BS211" s="71">
        <f t="shared" si="2560"/>
        <v>0</v>
      </c>
      <c r="BT211" s="71">
        <f t="shared" si="2561"/>
        <v>0</v>
      </c>
      <c r="BU211" s="71">
        <f t="shared" si="2562"/>
        <v>0</v>
      </c>
      <c r="BV211" s="71">
        <f t="shared" si="2563"/>
        <v>0</v>
      </c>
      <c r="BW211" s="71">
        <f t="shared" si="2564"/>
        <v>0</v>
      </c>
      <c r="BX211" s="71">
        <f t="shared" si="2565"/>
        <v>0</v>
      </c>
      <c r="BY211" s="71">
        <f t="shared" si="2566"/>
        <v>0</v>
      </c>
      <c r="BZ211" s="71">
        <f t="shared" si="2567"/>
        <v>0</v>
      </c>
      <c r="CA211" s="71">
        <f t="shared" si="2568"/>
        <v>0</v>
      </c>
      <c r="CB211" s="71">
        <f t="shared" si="2569"/>
        <v>0</v>
      </c>
      <c r="CC211" s="71">
        <f t="shared" si="2570"/>
        <v>0</v>
      </c>
      <c r="CD211" s="71">
        <f t="shared" si="2571"/>
        <v>0</v>
      </c>
      <c r="CE211" s="71">
        <f t="shared" si="2572"/>
        <v>0</v>
      </c>
      <c r="CF211" s="71">
        <f t="shared" si="2573"/>
        <v>0</v>
      </c>
      <c r="CG211" s="71">
        <f t="shared" si="2574"/>
        <v>0</v>
      </c>
      <c r="CH211" s="70">
        <f t="shared" si="2241"/>
        <v>0</v>
      </c>
      <c r="CI211" s="69">
        <f t="shared" ca="1" si="2242"/>
        <v>0</v>
      </c>
      <c r="GM211" s="2" t="s">
        <v>16</v>
      </c>
      <c r="GN211" s="113" t="str">
        <f t="shared" si="2236"/>
        <v>NTH-A-FMCG01-TE-01</v>
      </c>
      <c r="GO211" s="4">
        <v>1</v>
      </c>
      <c r="GP211" s="3">
        <v>1</v>
      </c>
      <c r="GQ211" s="3">
        <v>1</v>
      </c>
      <c r="GR211" s="3">
        <v>0</v>
      </c>
      <c r="GS211" s="3">
        <v>1</v>
      </c>
      <c r="GT211" s="3">
        <v>1</v>
      </c>
      <c r="GU211" s="3">
        <v>1</v>
      </c>
      <c r="GV211" s="3">
        <v>1</v>
      </c>
      <c r="GW211" s="3">
        <v>1</v>
      </c>
      <c r="GX211" s="3">
        <v>1</v>
      </c>
      <c r="GY211" s="3">
        <v>0</v>
      </c>
      <c r="GZ211" s="3">
        <v>1</v>
      </c>
      <c r="HA211" s="3">
        <v>0</v>
      </c>
      <c r="HB211" s="3">
        <v>1</v>
      </c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6"/>
      <c r="HT211" s="4">
        <v>0</v>
      </c>
      <c r="HU211" s="3">
        <v>0</v>
      </c>
      <c r="HV211" s="3">
        <v>0</v>
      </c>
      <c r="HW211" s="3">
        <v>0</v>
      </c>
      <c r="HX211" s="3">
        <v>0</v>
      </c>
      <c r="HY211" s="3">
        <v>0</v>
      </c>
      <c r="HZ211" s="3">
        <v>0</v>
      </c>
      <c r="IA211" s="3">
        <v>0</v>
      </c>
      <c r="IB211" s="3">
        <v>0</v>
      </c>
      <c r="IC211" s="3">
        <v>0</v>
      </c>
      <c r="ID211" s="3">
        <v>0</v>
      </c>
      <c r="IE211" s="3">
        <v>0</v>
      </c>
      <c r="IF211" s="3">
        <v>0</v>
      </c>
      <c r="IG211" s="3">
        <v>0</v>
      </c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6"/>
    </row>
    <row r="212" spans="1:258">
      <c r="A212" s="97" t="s">
        <v>25</v>
      </c>
      <c r="B212" s="98" t="s">
        <v>1317</v>
      </c>
      <c r="C212" s="98" t="s">
        <v>449</v>
      </c>
      <c r="D212" s="99" t="s">
        <v>1318</v>
      </c>
      <c r="E212" s="98" t="s">
        <v>1320</v>
      </c>
      <c r="F212" s="113" t="s">
        <v>1371</v>
      </c>
      <c r="G212" s="98" t="s">
        <v>1322</v>
      </c>
      <c r="H212" s="98" t="s">
        <v>1659</v>
      </c>
      <c r="I212" s="98" t="s">
        <v>1667</v>
      </c>
      <c r="J212" s="98" t="s">
        <v>885</v>
      </c>
      <c r="K212" s="98" t="s">
        <v>31</v>
      </c>
      <c r="L212" s="113" t="s">
        <v>469</v>
      </c>
      <c r="M212" s="101" t="s">
        <v>1093</v>
      </c>
      <c r="N212" s="134">
        <v>45766</v>
      </c>
      <c r="O212" s="100">
        <v>1</v>
      </c>
      <c r="P212" s="69">
        <v>0</v>
      </c>
      <c r="Q212" s="69">
        <f>IFERROR(IF(OR(AI212&gt;0),1,0),0)</f>
        <v>0</v>
      </c>
      <c r="R212" s="69">
        <f t="shared" si="2510"/>
        <v>1</v>
      </c>
      <c r="S212" s="69">
        <f>IFERROR(IF(OR(BP212&gt;0),1,0),0)</f>
        <v>0</v>
      </c>
      <c r="T212" s="69">
        <f t="shared" si="2511"/>
        <v>1</v>
      </c>
      <c r="U212" s="69">
        <f t="shared" si="2512"/>
        <v>1</v>
      </c>
      <c r="V212" s="70">
        <f t="shared" si="2513"/>
        <v>1</v>
      </c>
      <c r="W212" s="71">
        <f t="shared" si="2514"/>
        <v>1</v>
      </c>
      <c r="X212" s="71">
        <f t="shared" si="2515"/>
        <v>1</v>
      </c>
      <c r="Y212" s="71">
        <f t="shared" si="2516"/>
        <v>0</v>
      </c>
      <c r="Z212" s="71">
        <f t="shared" si="2517"/>
        <v>1</v>
      </c>
      <c r="AA212" s="71">
        <f t="shared" si="2518"/>
        <v>1</v>
      </c>
      <c r="AB212" s="71">
        <f t="shared" si="2519"/>
        <v>1</v>
      </c>
      <c r="AC212" s="71">
        <f t="shared" si="2520"/>
        <v>1</v>
      </c>
      <c r="AD212" s="71">
        <f t="shared" si="2521"/>
        <v>1</v>
      </c>
      <c r="AE212" s="71">
        <f t="shared" si="2522"/>
        <v>1</v>
      </c>
      <c r="AF212" s="71">
        <f t="shared" si="2523"/>
        <v>0</v>
      </c>
      <c r="AG212" s="71">
        <f t="shared" si="2524"/>
        <v>1</v>
      </c>
      <c r="AH212" s="71">
        <f t="shared" si="2525"/>
        <v>1</v>
      </c>
      <c r="AI212" s="71">
        <f t="shared" si="2526"/>
        <v>0</v>
      </c>
      <c r="AJ212" s="71">
        <f t="shared" si="2527"/>
        <v>0</v>
      </c>
      <c r="AK212" s="71">
        <f t="shared" si="2528"/>
        <v>0</v>
      </c>
      <c r="AL212" s="71">
        <f t="shared" si="2529"/>
        <v>0</v>
      </c>
      <c r="AM212" s="71">
        <f t="shared" si="2530"/>
        <v>0</v>
      </c>
      <c r="AN212" s="71">
        <f t="shared" si="2531"/>
        <v>0</v>
      </c>
      <c r="AO212" s="71">
        <f t="shared" si="2532"/>
        <v>0</v>
      </c>
      <c r="AP212" s="71">
        <f t="shared" si="2533"/>
        <v>0</v>
      </c>
      <c r="AQ212" s="71">
        <f t="shared" si="2534"/>
        <v>0</v>
      </c>
      <c r="AR212" s="71">
        <f t="shared" si="2535"/>
        <v>0</v>
      </c>
      <c r="AS212" s="71">
        <f t="shared" si="2536"/>
        <v>0</v>
      </c>
      <c r="AT212" s="71">
        <f t="shared" si="2537"/>
        <v>0</v>
      </c>
      <c r="AU212" s="71">
        <f t="shared" si="2538"/>
        <v>0</v>
      </c>
      <c r="AV212" s="71">
        <f t="shared" si="2539"/>
        <v>0</v>
      </c>
      <c r="AW212" s="71">
        <f t="shared" si="2540"/>
        <v>0</v>
      </c>
      <c r="AX212" s="71">
        <f t="shared" si="2541"/>
        <v>0</v>
      </c>
      <c r="AY212" s="71">
        <f t="shared" si="2542"/>
        <v>0</v>
      </c>
      <c r="AZ212" s="72">
        <f t="shared" si="2543"/>
        <v>0</v>
      </c>
      <c r="BA212" s="70">
        <f t="shared" si="2238"/>
        <v>11</v>
      </c>
      <c r="BB212" s="69">
        <f t="shared" ca="1" si="2239"/>
        <v>0.84615384615384615</v>
      </c>
      <c r="BC212" s="70">
        <f t="shared" si="2544"/>
        <v>0</v>
      </c>
      <c r="BD212" s="71">
        <f t="shared" si="2545"/>
        <v>0</v>
      </c>
      <c r="BE212" s="71">
        <f t="shared" si="2546"/>
        <v>0</v>
      </c>
      <c r="BF212" s="71">
        <f t="shared" si="2547"/>
        <v>0</v>
      </c>
      <c r="BG212" s="71">
        <f t="shared" si="2548"/>
        <v>0</v>
      </c>
      <c r="BH212" s="71">
        <f t="shared" si="2549"/>
        <v>0</v>
      </c>
      <c r="BI212" s="71">
        <f t="shared" si="2550"/>
        <v>41</v>
      </c>
      <c r="BJ212" s="71">
        <f t="shared" si="2551"/>
        <v>0</v>
      </c>
      <c r="BK212" s="71">
        <f t="shared" si="2552"/>
        <v>44</v>
      </c>
      <c r="BL212" s="71">
        <f t="shared" si="2553"/>
        <v>49</v>
      </c>
      <c r="BM212" s="71">
        <f t="shared" si="2554"/>
        <v>0</v>
      </c>
      <c r="BN212" s="71">
        <f t="shared" si="2555"/>
        <v>32</v>
      </c>
      <c r="BO212" s="71">
        <f t="shared" si="2556"/>
        <v>38</v>
      </c>
      <c r="BP212" s="71">
        <f t="shared" si="2557"/>
        <v>0</v>
      </c>
      <c r="BQ212" s="71">
        <f t="shared" si="2558"/>
        <v>0</v>
      </c>
      <c r="BR212" s="71">
        <f t="shared" si="2559"/>
        <v>0</v>
      </c>
      <c r="BS212" s="71">
        <f t="shared" si="2560"/>
        <v>0</v>
      </c>
      <c r="BT212" s="71">
        <f t="shared" si="2561"/>
        <v>0</v>
      </c>
      <c r="BU212" s="71">
        <f t="shared" si="2562"/>
        <v>0</v>
      </c>
      <c r="BV212" s="71">
        <f t="shared" si="2563"/>
        <v>0</v>
      </c>
      <c r="BW212" s="71">
        <f t="shared" si="2564"/>
        <v>0</v>
      </c>
      <c r="BX212" s="71">
        <f t="shared" si="2565"/>
        <v>0</v>
      </c>
      <c r="BY212" s="71">
        <f t="shared" si="2566"/>
        <v>0</v>
      </c>
      <c r="BZ212" s="71">
        <f t="shared" si="2567"/>
        <v>0</v>
      </c>
      <c r="CA212" s="71">
        <f t="shared" si="2568"/>
        <v>0</v>
      </c>
      <c r="CB212" s="71">
        <f t="shared" si="2569"/>
        <v>0</v>
      </c>
      <c r="CC212" s="71">
        <f t="shared" si="2570"/>
        <v>0</v>
      </c>
      <c r="CD212" s="71">
        <f t="shared" si="2571"/>
        <v>0</v>
      </c>
      <c r="CE212" s="71">
        <f t="shared" si="2572"/>
        <v>0</v>
      </c>
      <c r="CF212" s="71">
        <f t="shared" si="2573"/>
        <v>0</v>
      </c>
      <c r="CG212" s="71">
        <f t="shared" si="2574"/>
        <v>0</v>
      </c>
      <c r="CH212" s="70">
        <f t="shared" si="2241"/>
        <v>204</v>
      </c>
      <c r="CI212" s="69">
        <f t="shared" ca="1" si="2242"/>
        <v>15.692307692307692</v>
      </c>
      <c r="GM212" s="2" t="s">
        <v>16</v>
      </c>
      <c r="GN212" s="113" t="str">
        <f t="shared" si="2236"/>
        <v>NTH-A-FMCG03-SPO-01</v>
      </c>
      <c r="GO212" s="4">
        <v>1</v>
      </c>
      <c r="GP212" s="3">
        <v>1</v>
      </c>
      <c r="GQ212" s="3">
        <v>1</v>
      </c>
      <c r="GR212" s="3">
        <v>0</v>
      </c>
      <c r="GS212" s="3">
        <v>1</v>
      </c>
      <c r="GT212" s="3">
        <v>1</v>
      </c>
      <c r="GU212" s="3">
        <v>1</v>
      </c>
      <c r="GV212" s="3">
        <v>1</v>
      </c>
      <c r="GW212" s="3">
        <v>1</v>
      </c>
      <c r="GX212" s="3">
        <v>1</v>
      </c>
      <c r="GY212" s="3">
        <v>0</v>
      </c>
      <c r="GZ212" s="3">
        <v>1</v>
      </c>
      <c r="HA212" s="3">
        <v>1</v>
      </c>
      <c r="HB212" s="3">
        <v>0</v>
      </c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6"/>
      <c r="HT212" s="4">
        <v>0</v>
      </c>
      <c r="HU212" s="3">
        <v>0</v>
      </c>
      <c r="HV212" s="3">
        <v>0</v>
      </c>
      <c r="HW212" s="3">
        <v>0</v>
      </c>
      <c r="HX212" s="3">
        <v>0</v>
      </c>
      <c r="HY212" s="3">
        <v>0</v>
      </c>
      <c r="HZ212" s="3">
        <v>41</v>
      </c>
      <c r="IA212" s="3">
        <v>0</v>
      </c>
      <c r="IB212" s="3">
        <v>44</v>
      </c>
      <c r="IC212" s="3">
        <v>49</v>
      </c>
      <c r="ID212" s="3">
        <v>0</v>
      </c>
      <c r="IE212" s="3">
        <v>32</v>
      </c>
      <c r="IF212" s="3">
        <v>38</v>
      </c>
      <c r="IG212" s="3">
        <v>0</v>
      </c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6"/>
    </row>
    <row r="213" spans="1:258">
      <c r="A213" s="109" t="s">
        <v>158</v>
      </c>
      <c r="B213" s="110" t="s">
        <v>20</v>
      </c>
      <c r="C213" s="110" t="s">
        <v>449</v>
      </c>
      <c r="D213" s="111" t="s">
        <v>505</v>
      </c>
      <c r="E213" s="110" t="s">
        <v>506</v>
      </c>
      <c r="F213" s="135" t="s">
        <v>507</v>
      </c>
      <c r="G213" s="110" t="s">
        <v>508</v>
      </c>
      <c r="H213" s="110" t="s">
        <v>509</v>
      </c>
      <c r="I213" s="110" t="s">
        <v>509</v>
      </c>
      <c r="J213" s="110" t="s">
        <v>425</v>
      </c>
      <c r="K213" s="110" t="s">
        <v>31</v>
      </c>
      <c r="L213" s="110" t="s">
        <v>510</v>
      </c>
      <c r="M213" s="110" t="s">
        <v>52</v>
      </c>
      <c r="N213" s="140">
        <v>43437</v>
      </c>
      <c r="O213" s="112">
        <f t="shared" ref="O213:AZ213" si="2575">O210+O209+O205+O197+O189+O212+O211</f>
        <v>20</v>
      </c>
      <c r="P213" s="77">
        <f t="shared" si="2575"/>
        <v>3</v>
      </c>
      <c r="Q213" s="77">
        <f t="shared" si="2575"/>
        <v>11</v>
      </c>
      <c r="R213" s="77">
        <f t="shared" si="2575"/>
        <v>17</v>
      </c>
      <c r="S213" s="77">
        <f t="shared" si="2575"/>
        <v>1</v>
      </c>
      <c r="T213" s="77">
        <f t="shared" si="2575"/>
        <v>12</v>
      </c>
      <c r="U213" s="77">
        <f t="shared" si="2575"/>
        <v>17</v>
      </c>
      <c r="V213" s="78">
        <f t="shared" si="2575"/>
        <v>14</v>
      </c>
      <c r="W213" s="79">
        <f t="shared" si="2575"/>
        <v>14</v>
      </c>
      <c r="X213" s="79">
        <f t="shared" si="2575"/>
        <v>14</v>
      </c>
      <c r="Y213" s="79">
        <f t="shared" si="2575"/>
        <v>1</v>
      </c>
      <c r="Z213" s="79">
        <f t="shared" si="2575"/>
        <v>14</v>
      </c>
      <c r="AA213" s="79">
        <f t="shared" si="2575"/>
        <v>13</v>
      </c>
      <c r="AB213" s="79">
        <f t="shared" si="2575"/>
        <v>14</v>
      </c>
      <c r="AC213" s="79">
        <f t="shared" si="2575"/>
        <v>13</v>
      </c>
      <c r="AD213" s="79">
        <f t="shared" si="2575"/>
        <v>12</v>
      </c>
      <c r="AE213" s="79">
        <f t="shared" si="2575"/>
        <v>14</v>
      </c>
      <c r="AF213" s="79">
        <f t="shared" si="2575"/>
        <v>0</v>
      </c>
      <c r="AG213" s="79">
        <f t="shared" si="2575"/>
        <v>13</v>
      </c>
      <c r="AH213" s="79">
        <f t="shared" si="2575"/>
        <v>10</v>
      </c>
      <c r="AI213" s="79">
        <f t="shared" si="2575"/>
        <v>11</v>
      </c>
      <c r="AJ213" s="79">
        <f t="shared" si="2575"/>
        <v>0</v>
      </c>
      <c r="AK213" s="79">
        <f t="shared" si="2575"/>
        <v>0</v>
      </c>
      <c r="AL213" s="79">
        <f t="shared" si="2575"/>
        <v>0</v>
      </c>
      <c r="AM213" s="79">
        <f t="shared" si="2575"/>
        <v>0</v>
      </c>
      <c r="AN213" s="79">
        <f t="shared" si="2575"/>
        <v>0</v>
      </c>
      <c r="AO213" s="79">
        <f t="shared" si="2575"/>
        <v>0</v>
      </c>
      <c r="AP213" s="79">
        <f t="shared" si="2575"/>
        <v>0</v>
      </c>
      <c r="AQ213" s="79">
        <f t="shared" si="2575"/>
        <v>0</v>
      </c>
      <c r="AR213" s="79">
        <f t="shared" si="2575"/>
        <v>0</v>
      </c>
      <c r="AS213" s="79">
        <f t="shared" si="2575"/>
        <v>0</v>
      </c>
      <c r="AT213" s="79">
        <f t="shared" si="2575"/>
        <v>0</v>
      </c>
      <c r="AU213" s="79">
        <f t="shared" si="2575"/>
        <v>0</v>
      </c>
      <c r="AV213" s="79">
        <f t="shared" si="2575"/>
        <v>0</v>
      </c>
      <c r="AW213" s="79">
        <f t="shared" si="2575"/>
        <v>0</v>
      </c>
      <c r="AX213" s="79">
        <f t="shared" si="2575"/>
        <v>0</v>
      </c>
      <c r="AY213" s="79">
        <f t="shared" si="2575"/>
        <v>0</v>
      </c>
      <c r="AZ213" s="80">
        <f t="shared" si="2575"/>
        <v>0</v>
      </c>
      <c r="BA213" s="78">
        <f t="shared" si="2238"/>
        <v>157</v>
      </c>
      <c r="BB213" s="77">
        <f t="shared" ca="1" si="2239"/>
        <v>0.71040723981900455</v>
      </c>
      <c r="BC213" s="78">
        <f t="shared" ref="BC213:CG213" si="2576">BC210+BC209+BC205+BC197+BC189+BC212+BC211</f>
        <v>24</v>
      </c>
      <c r="BD213" s="79">
        <f t="shared" si="2576"/>
        <v>24</v>
      </c>
      <c r="BE213" s="79">
        <f t="shared" si="2576"/>
        <v>13</v>
      </c>
      <c r="BF213" s="79">
        <f t="shared" si="2576"/>
        <v>0</v>
      </c>
      <c r="BG213" s="79">
        <f t="shared" si="2576"/>
        <v>47</v>
      </c>
      <c r="BH213" s="79">
        <f t="shared" si="2576"/>
        <v>93</v>
      </c>
      <c r="BI213" s="79">
        <f t="shared" si="2576"/>
        <v>424</v>
      </c>
      <c r="BJ213" s="79">
        <f t="shared" si="2576"/>
        <v>449</v>
      </c>
      <c r="BK213" s="79">
        <f t="shared" si="2576"/>
        <v>418</v>
      </c>
      <c r="BL213" s="79">
        <f t="shared" si="2576"/>
        <v>498</v>
      </c>
      <c r="BM213" s="79">
        <f t="shared" si="2576"/>
        <v>0</v>
      </c>
      <c r="BN213" s="79">
        <f t="shared" si="2576"/>
        <v>489</v>
      </c>
      <c r="BO213" s="79">
        <f t="shared" si="2576"/>
        <v>447</v>
      </c>
      <c r="BP213" s="79">
        <f t="shared" si="2576"/>
        <v>1</v>
      </c>
      <c r="BQ213" s="79">
        <f t="shared" si="2576"/>
        <v>0</v>
      </c>
      <c r="BR213" s="79">
        <f t="shared" si="2576"/>
        <v>0</v>
      </c>
      <c r="BS213" s="79">
        <f t="shared" si="2576"/>
        <v>0</v>
      </c>
      <c r="BT213" s="79">
        <f t="shared" si="2576"/>
        <v>0</v>
      </c>
      <c r="BU213" s="79">
        <f t="shared" si="2576"/>
        <v>0</v>
      </c>
      <c r="BV213" s="79">
        <f t="shared" si="2576"/>
        <v>0</v>
      </c>
      <c r="BW213" s="79">
        <f t="shared" si="2576"/>
        <v>0</v>
      </c>
      <c r="BX213" s="79">
        <f t="shared" si="2576"/>
        <v>0</v>
      </c>
      <c r="BY213" s="79">
        <f t="shared" si="2576"/>
        <v>0</v>
      </c>
      <c r="BZ213" s="79">
        <f t="shared" si="2576"/>
        <v>0</v>
      </c>
      <c r="CA213" s="79">
        <f t="shared" si="2576"/>
        <v>0</v>
      </c>
      <c r="CB213" s="79">
        <f t="shared" si="2576"/>
        <v>0</v>
      </c>
      <c r="CC213" s="79">
        <f t="shared" si="2576"/>
        <v>0</v>
      </c>
      <c r="CD213" s="79">
        <f t="shared" si="2576"/>
        <v>0</v>
      </c>
      <c r="CE213" s="79">
        <f t="shared" si="2576"/>
        <v>0</v>
      </c>
      <c r="CF213" s="79">
        <f t="shared" si="2576"/>
        <v>0</v>
      </c>
      <c r="CG213" s="79">
        <f t="shared" si="2576"/>
        <v>0</v>
      </c>
      <c r="CH213" s="78">
        <f t="shared" si="2241"/>
        <v>2927</v>
      </c>
      <c r="CI213" s="77">
        <f t="shared" ca="1" si="2242"/>
        <v>13.244343891402716</v>
      </c>
      <c r="GM213" s="2" t="s">
        <v>17</v>
      </c>
      <c r="GN213" s="135" t="str">
        <f t="shared" si="2236"/>
        <v>NTH-A-FMCG-RSM-01</v>
      </c>
      <c r="GO213" s="4">
        <v>0</v>
      </c>
      <c r="GP213" s="3">
        <v>0</v>
      </c>
      <c r="GQ213" s="3">
        <v>0</v>
      </c>
      <c r="GR213" s="3">
        <v>0</v>
      </c>
      <c r="GS213" s="3">
        <v>0</v>
      </c>
      <c r="GT213" s="3">
        <v>0</v>
      </c>
      <c r="GU213" s="3">
        <v>0</v>
      </c>
      <c r="GV213" s="3">
        <v>0</v>
      </c>
      <c r="GW213" s="3">
        <v>0</v>
      </c>
      <c r="GX213" s="3">
        <v>0</v>
      </c>
      <c r="GY213" s="3">
        <v>0</v>
      </c>
      <c r="GZ213" s="3">
        <v>0</v>
      </c>
      <c r="HA213" s="3">
        <v>0</v>
      </c>
      <c r="HB213" s="3">
        <v>0</v>
      </c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6"/>
      <c r="HT213" s="4">
        <v>0</v>
      </c>
      <c r="HU213" s="3">
        <v>0</v>
      </c>
      <c r="HV213" s="3">
        <v>0</v>
      </c>
      <c r="HW213" s="3">
        <v>0</v>
      </c>
      <c r="HX213" s="3">
        <v>0</v>
      </c>
      <c r="HY213" s="3">
        <v>0</v>
      </c>
      <c r="HZ213" s="3">
        <v>0</v>
      </c>
      <c r="IA213" s="3">
        <v>0</v>
      </c>
      <c r="IB213" s="3">
        <v>0</v>
      </c>
      <c r="IC213" s="3">
        <v>0</v>
      </c>
      <c r="ID213" s="3">
        <v>0</v>
      </c>
      <c r="IE213" s="3">
        <v>0</v>
      </c>
      <c r="IF213" s="3">
        <v>0</v>
      </c>
      <c r="IG213" s="3">
        <v>0</v>
      </c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6"/>
    </row>
    <row r="214" spans="1:258" hidden="1">
      <c r="A214" s="97" t="s">
        <v>25</v>
      </c>
      <c r="B214" s="98" t="s">
        <v>26</v>
      </c>
      <c r="C214" s="98" t="s">
        <v>511</v>
      </c>
      <c r="D214" s="99" t="s">
        <v>1211</v>
      </c>
      <c r="E214" s="98" t="s">
        <v>512</v>
      </c>
      <c r="F214" s="98" t="s">
        <v>513</v>
      </c>
      <c r="G214" s="98" t="s">
        <v>514</v>
      </c>
      <c r="H214" s="98" t="s">
        <v>1542</v>
      </c>
      <c r="I214" s="98" t="s">
        <v>1542</v>
      </c>
      <c r="J214" s="98" t="s">
        <v>870</v>
      </c>
      <c r="K214" s="98" t="s">
        <v>1127</v>
      </c>
      <c r="L214" s="98" t="s">
        <v>515</v>
      </c>
      <c r="M214" s="98" t="s">
        <v>1093</v>
      </c>
      <c r="N214" s="108">
        <v>45117</v>
      </c>
      <c r="O214" s="100">
        <v>1</v>
      </c>
      <c r="P214" s="69">
        <v>0</v>
      </c>
      <c r="Q214" s="69">
        <f t="shared" ref="Q214:Q241" si="2577">IFERROR(IF(OR(AI214&gt;0),1,0),0)</f>
        <v>1</v>
      </c>
      <c r="R214" s="69">
        <f t="shared" ref="R214:R218" si="2578">IFERROR(IF(OR(BA214&gt;0),1,0),0)</f>
        <v>1</v>
      </c>
      <c r="S214" s="69">
        <f>IFERROR(IF(OR(BP214&gt;0),1,0),0)</f>
        <v>0</v>
      </c>
      <c r="T214" s="69">
        <f t="shared" ref="T214:T218" si="2579">IFERROR(IF(OR(CH214&gt;0),1,0),0)</f>
        <v>1</v>
      </c>
      <c r="U214" s="69">
        <f t="shared" ref="U214:U218" si="2580">IFERROR(IF(OR(BA214&gt;0,CH214&gt;0),1,0),0)</f>
        <v>1</v>
      </c>
      <c r="V214" s="70">
        <f t="shared" ref="V214:V218" si="2581">GO214</f>
        <v>1</v>
      </c>
      <c r="W214" s="71">
        <f t="shared" ref="W214:W218" si="2582">GP214</f>
        <v>1</v>
      </c>
      <c r="X214" s="71">
        <f t="shared" ref="X214:X218" si="2583">GQ214</f>
        <v>1</v>
      </c>
      <c r="Y214" s="71">
        <f t="shared" ref="Y214:Y218" si="2584">GR214</f>
        <v>0</v>
      </c>
      <c r="Z214" s="71">
        <f t="shared" ref="Z214:Z218" si="2585">GS214</f>
        <v>1</v>
      </c>
      <c r="AA214" s="71">
        <f t="shared" ref="AA214:AA218" si="2586">GT214</f>
        <v>1</v>
      </c>
      <c r="AB214" s="71">
        <f t="shared" ref="AB214:AB218" si="2587">GU214</f>
        <v>1</v>
      </c>
      <c r="AC214" s="71">
        <f t="shared" ref="AC214:AC218" si="2588">GV214</f>
        <v>1</v>
      </c>
      <c r="AD214" s="71">
        <f t="shared" ref="AD214:AD218" si="2589">GW214</f>
        <v>1</v>
      </c>
      <c r="AE214" s="71">
        <f t="shared" ref="AE214:AE218" si="2590">GX214</f>
        <v>1</v>
      </c>
      <c r="AF214" s="71">
        <f t="shared" ref="AF214:AF218" si="2591">GY214</f>
        <v>0</v>
      </c>
      <c r="AG214" s="71">
        <f t="shared" ref="AG214:AG218" si="2592">GZ214</f>
        <v>1</v>
      </c>
      <c r="AH214" s="71">
        <f t="shared" ref="AH214:AH218" si="2593">HA214</f>
        <v>1</v>
      </c>
      <c r="AI214" s="71">
        <f t="shared" ref="AI214:AI218" si="2594">HB214</f>
        <v>1</v>
      </c>
      <c r="AJ214" s="71">
        <f t="shared" ref="AJ214:AJ218" si="2595">HC214</f>
        <v>0</v>
      </c>
      <c r="AK214" s="71">
        <f t="shared" ref="AK214:AK218" si="2596">HD214</f>
        <v>0</v>
      </c>
      <c r="AL214" s="71">
        <f t="shared" ref="AL214:AL218" si="2597">HE214</f>
        <v>0</v>
      </c>
      <c r="AM214" s="71">
        <f t="shared" ref="AM214:AM218" si="2598">HF214</f>
        <v>0</v>
      </c>
      <c r="AN214" s="71">
        <f t="shared" ref="AN214:AN218" si="2599">HG214</f>
        <v>0</v>
      </c>
      <c r="AO214" s="71">
        <f t="shared" ref="AO214:AO218" si="2600">HH214</f>
        <v>0</v>
      </c>
      <c r="AP214" s="71">
        <f t="shared" ref="AP214:AP218" si="2601">HI214</f>
        <v>0</v>
      </c>
      <c r="AQ214" s="71">
        <f t="shared" ref="AQ214:AQ218" si="2602">HJ214</f>
        <v>0</v>
      </c>
      <c r="AR214" s="71">
        <f t="shared" ref="AR214:AR218" si="2603">HK214</f>
        <v>0</v>
      </c>
      <c r="AS214" s="71">
        <f t="shared" ref="AS214:AS218" si="2604">HL214</f>
        <v>0</v>
      </c>
      <c r="AT214" s="71">
        <f t="shared" ref="AT214:AT218" si="2605">HM214</f>
        <v>0</v>
      </c>
      <c r="AU214" s="71">
        <f t="shared" ref="AU214:AU218" si="2606">HN214</f>
        <v>0</v>
      </c>
      <c r="AV214" s="71">
        <f t="shared" ref="AV214:AV218" si="2607">HO214</f>
        <v>0</v>
      </c>
      <c r="AW214" s="71">
        <f t="shared" ref="AW214:AW218" si="2608">HP214</f>
        <v>0</v>
      </c>
      <c r="AX214" s="71">
        <f t="shared" ref="AX214:AX218" si="2609">HQ214</f>
        <v>0</v>
      </c>
      <c r="AY214" s="71">
        <f t="shared" ref="AY214:AY218" si="2610">HR214</f>
        <v>0</v>
      </c>
      <c r="AZ214" s="72">
        <f t="shared" ref="AZ214:AZ218" si="2611">HS214</f>
        <v>0</v>
      </c>
      <c r="BA214" s="70">
        <f t="shared" si="2238"/>
        <v>12</v>
      </c>
      <c r="BB214" s="69">
        <f t="shared" ca="1" si="2239"/>
        <v>0.92307692307692313</v>
      </c>
      <c r="BC214" s="70">
        <f t="shared" ref="BC214:BC218" si="2612">HT214</f>
        <v>0</v>
      </c>
      <c r="BD214" s="71">
        <f t="shared" ref="BD214:BD218" si="2613">HU214</f>
        <v>6</v>
      </c>
      <c r="BE214" s="71">
        <f t="shared" ref="BE214:BE218" si="2614">HV214</f>
        <v>12</v>
      </c>
      <c r="BF214" s="71">
        <f t="shared" ref="BF214:BF218" si="2615">HW214</f>
        <v>0</v>
      </c>
      <c r="BG214" s="71">
        <f t="shared" ref="BG214:BG218" si="2616">HX214</f>
        <v>13</v>
      </c>
      <c r="BH214" s="71">
        <f t="shared" ref="BH214:BH218" si="2617">HY214</f>
        <v>24</v>
      </c>
      <c r="BI214" s="71">
        <f t="shared" ref="BI214:BI218" si="2618">HZ214</f>
        <v>51</v>
      </c>
      <c r="BJ214" s="71">
        <f t="shared" ref="BJ214:BJ218" si="2619">IA214</f>
        <v>0</v>
      </c>
      <c r="BK214" s="71">
        <f t="shared" ref="BK214:BK218" si="2620">IB214</f>
        <v>33</v>
      </c>
      <c r="BL214" s="71">
        <f t="shared" ref="BL214:BL218" si="2621">IC214</f>
        <v>26</v>
      </c>
      <c r="BM214" s="71">
        <f t="shared" ref="BM214:BM218" si="2622">ID214</f>
        <v>0</v>
      </c>
      <c r="BN214" s="71">
        <f t="shared" ref="BN214:BN218" si="2623">IE214</f>
        <v>0</v>
      </c>
      <c r="BO214" s="71">
        <f t="shared" ref="BO214:BO218" si="2624">IF214</f>
        <v>10</v>
      </c>
      <c r="BP214" s="71">
        <f t="shared" ref="BP214:BP218" si="2625">IG214</f>
        <v>0</v>
      </c>
      <c r="BQ214" s="71">
        <f t="shared" ref="BQ214:BQ218" si="2626">IH214</f>
        <v>0</v>
      </c>
      <c r="BR214" s="71">
        <f t="shared" ref="BR214:BR218" si="2627">II214</f>
        <v>0</v>
      </c>
      <c r="BS214" s="71">
        <f t="shared" ref="BS214:BS218" si="2628">IJ214</f>
        <v>0</v>
      </c>
      <c r="BT214" s="71">
        <f t="shared" ref="BT214:BT218" si="2629">IK214</f>
        <v>0</v>
      </c>
      <c r="BU214" s="71">
        <f t="shared" ref="BU214:BU218" si="2630">IL214</f>
        <v>0</v>
      </c>
      <c r="BV214" s="71">
        <f t="shared" ref="BV214:BV218" si="2631">IM214</f>
        <v>0</v>
      </c>
      <c r="BW214" s="71">
        <f t="shared" ref="BW214:BW218" si="2632">IN214</f>
        <v>0</v>
      </c>
      <c r="BX214" s="71">
        <f t="shared" ref="BX214:BX218" si="2633">IO214</f>
        <v>0</v>
      </c>
      <c r="BY214" s="71">
        <f t="shared" ref="BY214:BY218" si="2634">IP214</f>
        <v>0</v>
      </c>
      <c r="BZ214" s="71">
        <f t="shared" ref="BZ214:BZ218" si="2635">IQ214</f>
        <v>0</v>
      </c>
      <c r="CA214" s="71">
        <f t="shared" ref="CA214:CA218" si="2636">IR214</f>
        <v>0</v>
      </c>
      <c r="CB214" s="71">
        <f t="shared" ref="CB214:CB218" si="2637">IS214</f>
        <v>0</v>
      </c>
      <c r="CC214" s="71">
        <f t="shared" ref="CC214:CC218" si="2638">IT214</f>
        <v>0</v>
      </c>
      <c r="CD214" s="71">
        <f t="shared" ref="CD214:CD218" si="2639">IU214</f>
        <v>0</v>
      </c>
      <c r="CE214" s="71">
        <f t="shared" ref="CE214:CE218" si="2640">IV214</f>
        <v>0</v>
      </c>
      <c r="CF214" s="71">
        <f t="shared" ref="CF214:CF218" si="2641">IW214</f>
        <v>0</v>
      </c>
      <c r="CG214" s="71">
        <f t="shared" ref="CG214:CG218" si="2642">IX214</f>
        <v>0</v>
      </c>
      <c r="CH214" s="70">
        <f t="shared" si="2241"/>
        <v>175</v>
      </c>
      <c r="CI214" s="69">
        <f t="shared" ca="1" si="2242"/>
        <v>13.461538461538462</v>
      </c>
      <c r="GM214" s="2" t="s">
        <v>16</v>
      </c>
      <c r="GN214" s="98" t="str">
        <f t="shared" si="2236"/>
        <v>SKT01-FMCG01-SPO-01</v>
      </c>
      <c r="GO214" s="4">
        <v>1</v>
      </c>
      <c r="GP214" s="3">
        <v>1</v>
      </c>
      <c r="GQ214" s="3">
        <v>1</v>
      </c>
      <c r="GR214" s="3">
        <v>0</v>
      </c>
      <c r="GS214" s="3">
        <v>1</v>
      </c>
      <c r="GT214" s="3">
        <v>1</v>
      </c>
      <c r="GU214" s="3">
        <v>1</v>
      </c>
      <c r="GV214" s="3">
        <v>1</v>
      </c>
      <c r="GW214" s="3">
        <v>1</v>
      </c>
      <c r="GX214" s="3">
        <v>1</v>
      </c>
      <c r="GY214" s="3">
        <v>0</v>
      </c>
      <c r="GZ214" s="3">
        <v>1</v>
      </c>
      <c r="HA214" s="3">
        <v>1</v>
      </c>
      <c r="HB214" s="3">
        <v>1</v>
      </c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6"/>
      <c r="HT214" s="4">
        <v>0</v>
      </c>
      <c r="HU214" s="3">
        <v>6</v>
      </c>
      <c r="HV214" s="3">
        <v>12</v>
      </c>
      <c r="HW214" s="3">
        <v>0</v>
      </c>
      <c r="HX214" s="3">
        <v>13</v>
      </c>
      <c r="HY214" s="3">
        <v>24</v>
      </c>
      <c r="HZ214" s="3">
        <v>51</v>
      </c>
      <c r="IA214" s="3">
        <v>0</v>
      </c>
      <c r="IB214" s="3">
        <v>33</v>
      </c>
      <c r="IC214" s="3">
        <v>26</v>
      </c>
      <c r="ID214" s="3">
        <v>0</v>
      </c>
      <c r="IE214" s="3">
        <v>0</v>
      </c>
      <c r="IF214" s="3">
        <v>10</v>
      </c>
      <c r="IG214" s="3">
        <v>0</v>
      </c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6"/>
    </row>
    <row r="215" spans="1:258" hidden="1">
      <c r="A215" s="97" t="s">
        <v>25</v>
      </c>
      <c r="B215" s="98" t="s">
        <v>26</v>
      </c>
      <c r="C215" s="98" t="s">
        <v>511</v>
      </c>
      <c r="D215" s="99" t="s">
        <v>1211</v>
      </c>
      <c r="E215" s="98" t="s">
        <v>518</v>
      </c>
      <c r="F215" s="98" t="s">
        <v>519</v>
      </c>
      <c r="G215" s="98" t="s">
        <v>521</v>
      </c>
      <c r="H215" s="98" t="s">
        <v>1543</v>
      </c>
      <c r="I215" s="98" t="s">
        <v>1543</v>
      </c>
      <c r="J215" s="98" t="s">
        <v>870</v>
      </c>
      <c r="K215" s="98" t="s">
        <v>1127</v>
      </c>
      <c r="L215" s="98" t="s">
        <v>522</v>
      </c>
      <c r="M215" s="101" t="s">
        <v>1093</v>
      </c>
      <c r="N215" s="139">
        <v>45166</v>
      </c>
      <c r="O215" s="100">
        <v>1</v>
      </c>
      <c r="P215" s="69">
        <v>0</v>
      </c>
      <c r="Q215" s="69">
        <f t="shared" si="2577"/>
        <v>1</v>
      </c>
      <c r="R215" s="69">
        <f t="shared" si="2578"/>
        <v>1</v>
      </c>
      <c r="S215" s="69">
        <f>IFERROR(IF(OR(BP215&gt;0),1,0),0)</f>
        <v>0</v>
      </c>
      <c r="T215" s="69">
        <f t="shared" si="2579"/>
        <v>1</v>
      </c>
      <c r="U215" s="69">
        <f t="shared" si="2580"/>
        <v>1</v>
      </c>
      <c r="V215" s="70">
        <f t="shared" si="2581"/>
        <v>1</v>
      </c>
      <c r="W215" s="71">
        <f t="shared" si="2582"/>
        <v>1</v>
      </c>
      <c r="X215" s="71">
        <f t="shared" si="2583"/>
        <v>1</v>
      </c>
      <c r="Y215" s="71">
        <f t="shared" si="2584"/>
        <v>0</v>
      </c>
      <c r="Z215" s="71">
        <f t="shared" si="2585"/>
        <v>1</v>
      </c>
      <c r="AA215" s="71">
        <f t="shared" si="2586"/>
        <v>1</v>
      </c>
      <c r="AB215" s="71">
        <f t="shared" si="2587"/>
        <v>1</v>
      </c>
      <c r="AC215" s="71">
        <f t="shared" si="2588"/>
        <v>1</v>
      </c>
      <c r="AD215" s="71">
        <f t="shared" si="2589"/>
        <v>1</v>
      </c>
      <c r="AE215" s="71">
        <f t="shared" si="2590"/>
        <v>1</v>
      </c>
      <c r="AF215" s="71">
        <f t="shared" si="2591"/>
        <v>0</v>
      </c>
      <c r="AG215" s="71">
        <f t="shared" si="2592"/>
        <v>1</v>
      </c>
      <c r="AH215" s="71">
        <f t="shared" si="2593"/>
        <v>1</v>
      </c>
      <c r="AI215" s="71">
        <f t="shared" si="2594"/>
        <v>1</v>
      </c>
      <c r="AJ215" s="71">
        <f t="shared" si="2595"/>
        <v>0</v>
      </c>
      <c r="AK215" s="71">
        <f t="shared" si="2596"/>
        <v>0</v>
      </c>
      <c r="AL215" s="71">
        <f t="shared" si="2597"/>
        <v>0</v>
      </c>
      <c r="AM215" s="71">
        <f t="shared" si="2598"/>
        <v>0</v>
      </c>
      <c r="AN215" s="71">
        <f t="shared" si="2599"/>
        <v>0</v>
      </c>
      <c r="AO215" s="71">
        <f t="shared" si="2600"/>
        <v>0</v>
      </c>
      <c r="AP215" s="71">
        <f t="shared" si="2601"/>
        <v>0</v>
      </c>
      <c r="AQ215" s="71">
        <f t="shared" si="2602"/>
        <v>0</v>
      </c>
      <c r="AR215" s="71">
        <f t="shared" si="2603"/>
        <v>0</v>
      </c>
      <c r="AS215" s="71">
        <f t="shared" si="2604"/>
        <v>0</v>
      </c>
      <c r="AT215" s="71">
        <f t="shared" si="2605"/>
        <v>0</v>
      </c>
      <c r="AU215" s="71">
        <f t="shared" si="2606"/>
        <v>0</v>
      </c>
      <c r="AV215" s="71">
        <f t="shared" si="2607"/>
        <v>0</v>
      </c>
      <c r="AW215" s="71">
        <f t="shared" si="2608"/>
        <v>0</v>
      </c>
      <c r="AX215" s="71">
        <f t="shared" si="2609"/>
        <v>0</v>
      </c>
      <c r="AY215" s="71">
        <f t="shared" si="2610"/>
        <v>0</v>
      </c>
      <c r="AZ215" s="72">
        <f t="shared" si="2611"/>
        <v>0</v>
      </c>
      <c r="BA215" s="70">
        <f t="shared" si="2238"/>
        <v>12</v>
      </c>
      <c r="BB215" s="69">
        <f t="shared" ca="1" si="2239"/>
        <v>0.92307692307692313</v>
      </c>
      <c r="BC215" s="70">
        <f t="shared" si="2612"/>
        <v>10</v>
      </c>
      <c r="BD215" s="71">
        <f t="shared" si="2613"/>
        <v>18</v>
      </c>
      <c r="BE215" s="71">
        <f t="shared" si="2614"/>
        <v>18</v>
      </c>
      <c r="BF215" s="71">
        <f t="shared" si="2615"/>
        <v>0</v>
      </c>
      <c r="BG215" s="71">
        <f t="shared" si="2616"/>
        <v>0</v>
      </c>
      <c r="BH215" s="71">
        <f t="shared" si="2617"/>
        <v>41</v>
      </c>
      <c r="BI215" s="71">
        <f t="shared" si="2618"/>
        <v>52</v>
      </c>
      <c r="BJ215" s="71">
        <f t="shared" si="2619"/>
        <v>0</v>
      </c>
      <c r="BK215" s="71">
        <f t="shared" si="2620"/>
        <v>40</v>
      </c>
      <c r="BL215" s="71">
        <f t="shared" si="2621"/>
        <v>42</v>
      </c>
      <c r="BM215" s="71">
        <f t="shared" si="2622"/>
        <v>0</v>
      </c>
      <c r="BN215" s="71">
        <f t="shared" si="2623"/>
        <v>41</v>
      </c>
      <c r="BO215" s="71">
        <f t="shared" si="2624"/>
        <v>29</v>
      </c>
      <c r="BP215" s="71">
        <f t="shared" si="2625"/>
        <v>0</v>
      </c>
      <c r="BQ215" s="71">
        <f t="shared" si="2626"/>
        <v>0</v>
      </c>
      <c r="BR215" s="71">
        <f t="shared" si="2627"/>
        <v>0</v>
      </c>
      <c r="BS215" s="71">
        <f t="shared" si="2628"/>
        <v>0</v>
      </c>
      <c r="BT215" s="71">
        <f t="shared" si="2629"/>
        <v>0</v>
      </c>
      <c r="BU215" s="71">
        <f t="shared" si="2630"/>
        <v>0</v>
      </c>
      <c r="BV215" s="71">
        <f t="shared" si="2631"/>
        <v>0</v>
      </c>
      <c r="BW215" s="71">
        <f t="shared" si="2632"/>
        <v>0</v>
      </c>
      <c r="BX215" s="71">
        <f t="shared" si="2633"/>
        <v>0</v>
      </c>
      <c r="BY215" s="71">
        <f t="shared" si="2634"/>
        <v>0</v>
      </c>
      <c r="BZ215" s="71">
        <f t="shared" si="2635"/>
        <v>0</v>
      </c>
      <c r="CA215" s="71">
        <f t="shared" si="2636"/>
        <v>0</v>
      </c>
      <c r="CB215" s="71">
        <f t="shared" si="2637"/>
        <v>0</v>
      </c>
      <c r="CC215" s="71">
        <f t="shared" si="2638"/>
        <v>0</v>
      </c>
      <c r="CD215" s="71">
        <f t="shared" si="2639"/>
        <v>0</v>
      </c>
      <c r="CE215" s="71">
        <f t="shared" si="2640"/>
        <v>0</v>
      </c>
      <c r="CF215" s="71">
        <f t="shared" si="2641"/>
        <v>0</v>
      </c>
      <c r="CG215" s="71">
        <f t="shared" si="2642"/>
        <v>0</v>
      </c>
      <c r="CH215" s="70">
        <f t="shared" si="2241"/>
        <v>291</v>
      </c>
      <c r="CI215" s="69">
        <f t="shared" ca="1" si="2242"/>
        <v>22.384615384615383</v>
      </c>
      <c r="GM215" s="2" t="s">
        <v>16</v>
      </c>
      <c r="GN215" s="98" t="str">
        <f t="shared" si="2236"/>
        <v>SKT01-FMCG02-SPO-01</v>
      </c>
      <c r="GO215" s="4">
        <v>1</v>
      </c>
      <c r="GP215" s="3">
        <v>1</v>
      </c>
      <c r="GQ215" s="3">
        <v>1</v>
      </c>
      <c r="GR215" s="3">
        <v>0</v>
      </c>
      <c r="GS215" s="3">
        <v>1</v>
      </c>
      <c r="GT215" s="3">
        <v>1</v>
      </c>
      <c r="GU215" s="3">
        <v>1</v>
      </c>
      <c r="GV215" s="3">
        <v>1</v>
      </c>
      <c r="GW215" s="3">
        <v>1</v>
      </c>
      <c r="GX215" s="3">
        <v>1</v>
      </c>
      <c r="GY215" s="3">
        <v>0</v>
      </c>
      <c r="GZ215" s="3">
        <v>1</v>
      </c>
      <c r="HA215" s="3">
        <v>1</v>
      </c>
      <c r="HB215" s="3">
        <v>1</v>
      </c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6"/>
      <c r="HT215" s="4">
        <v>10</v>
      </c>
      <c r="HU215" s="3">
        <v>18</v>
      </c>
      <c r="HV215" s="3">
        <v>18</v>
      </c>
      <c r="HW215" s="3">
        <v>0</v>
      </c>
      <c r="HX215" s="3">
        <v>0</v>
      </c>
      <c r="HY215" s="3">
        <v>41</v>
      </c>
      <c r="HZ215" s="3">
        <v>52</v>
      </c>
      <c r="IA215" s="3">
        <v>0</v>
      </c>
      <c r="IB215" s="3">
        <v>40</v>
      </c>
      <c r="IC215" s="3">
        <v>42</v>
      </c>
      <c r="ID215" s="3">
        <v>0</v>
      </c>
      <c r="IE215" s="3">
        <v>41</v>
      </c>
      <c r="IF215" s="3">
        <v>29</v>
      </c>
      <c r="IG215" s="3">
        <v>0</v>
      </c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6"/>
    </row>
    <row r="216" spans="1:258" hidden="1">
      <c r="A216" s="97" t="s">
        <v>25</v>
      </c>
      <c r="B216" s="98" t="s">
        <v>90</v>
      </c>
      <c r="C216" s="98" t="s">
        <v>511</v>
      </c>
      <c r="D216" s="99" t="s">
        <v>1211</v>
      </c>
      <c r="E216" s="98" t="s">
        <v>1027</v>
      </c>
      <c r="F216" s="98" t="s">
        <v>1059</v>
      </c>
      <c r="G216" s="98" t="s">
        <v>516</v>
      </c>
      <c r="H216" s="98" t="s">
        <v>1544</v>
      </c>
      <c r="I216" s="98" t="s">
        <v>1544</v>
      </c>
      <c r="J216" s="98" t="s">
        <v>1212</v>
      </c>
      <c r="K216" s="98" t="s">
        <v>179</v>
      </c>
      <c r="L216" s="98" t="s">
        <v>517</v>
      </c>
      <c r="M216" s="101" t="s">
        <v>1093</v>
      </c>
      <c r="N216" s="139">
        <v>45870</v>
      </c>
      <c r="O216" s="100">
        <v>1</v>
      </c>
      <c r="P216" s="69">
        <v>0</v>
      </c>
      <c r="Q216" s="69">
        <f t="shared" si="2577"/>
        <v>1</v>
      </c>
      <c r="R216" s="69">
        <f t="shared" si="2578"/>
        <v>1</v>
      </c>
      <c r="S216" s="69">
        <f>IFERROR(IF(OR(BP216&gt;0),1,0),0)</f>
        <v>0</v>
      </c>
      <c r="T216" s="69">
        <f t="shared" si="2579"/>
        <v>0</v>
      </c>
      <c r="U216" s="69">
        <f t="shared" si="2580"/>
        <v>1</v>
      </c>
      <c r="V216" s="70">
        <f t="shared" si="2581"/>
        <v>1</v>
      </c>
      <c r="W216" s="71">
        <f t="shared" si="2582"/>
        <v>1</v>
      </c>
      <c r="X216" s="71">
        <f t="shared" si="2583"/>
        <v>1</v>
      </c>
      <c r="Y216" s="71">
        <f t="shared" si="2584"/>
        <v>0</v>
      </c>
      <c r="Z216" s="71">
        <f t="shared" si="2585"/>
        <v>1</v>
      </c>
      <c r="AA216" s="71">
        <f t="shared" si="2586"/>
        <v>1</v>
      </c>
      <c r="AB216" s="71">
        <f t="shared" si="2587"/>
        <v>1</v>
      </c>
      <c r="AC216" s="71">
        <f t="shared" si="2588"/>
        <v>1</v>
      </c>
      <c r="AD216" s="71">
        <f t="shared" si="2589"/>
        <v>1</v>
      </c>
      <c r="AE216" s="71">
        <f t="shared" si="2590"/>
        <v>1</v>
      </c>
      <c r="AF216" s="71">
        <f t="shared" si="2591"/>
        <v>0</v>
      </c>
      <c r="AG216" s="71">
        <f t="shared" si="2592"/>
        <v>1</v>
      </c>
      <c r="AH216" s="71">
        <f t="shared" si="2593"/>
        <v>1</v>
      </c>
      <c r="AI216" s="71">
        <f t="shared" si="2594"/>
        <v>1</v>
      </c>
      <c r="AJ216" s="71">
        <f t="shared" si="2595"/>
        <v>0</v>
      </c>
      <c r="AK216" s="71">
        <f t="shared" si="2596"/>
        <v>0</v>
      </c>
      <c r="AL216" s="71">
        <f t="shared" si="2597"/>
        <v>0</v>
      </c>
      <c r="AM216" s="71">
        <f t="shared" si="2598"/>
        <v>0</v>
      </c>
      <c r="AN216" s="71">
        <f t="shared" si="2599"/>
        <v>0</v>
      </c>
      <c r="AO216" s="71">
        <f t="shared" si="2600"/>
        <v>0</v>
      </c>
      <c r="AP216" s="71">
        <f t="shared" si="2601"/>
        <v>0</v>
      </c>
      <c r="AQ216" s="71">
        <f t="shared" si="2602"/>
        <v>0</v>
      </c>
      <c r="AR216" s="71">
        <f t="shared" si="2603"/>
        <v>0</v>
      </c>
      <c r="AS216" s="71">
        <f t="shared" si="2604"/>
        <v>0</v>
      </c>
      <c r="AT216" s="71">
        <f t="shared" si="2605"/>
        <v>0</v>
      </c>
      <c r="AU216" s="71">
        <f t="shared" si="2606"/>
        <v>0</v>
      </c>
      <c r="AV216" s="71">
        <f t="shared" si="2607"/>
        <v>0</v>
      </c>
      <c r="AW216" s="71">
        <f t="shared" si="2608"/>
        <v>0</v>
      </c>
      <c r="AX216" s="71">
        <f t="shared" si="2609"/>
        <v>0</v>
      </c>
      <c r="AY216" s="71">
        <f t="shared" si="2610"/>
        <v>0</v>
      </c>
      <c r="AZ216" s="72">
        <f t="shared" si="2611"/>
        <v>0</v>
      </c>
      <c r="BA216" s="70">
        <f t="shared" si="2238"/>
        <v>12</v>
      </c>
      <c r="BB216" s="69">
        <f t="shared" ca="1" si="2239"/>
        <v>0.92307692307692313</v>
      </c>
      <c r="BC216" s="70">
        <f t="shared" si="2612"/>
        <v>0</v>
      </c>
      <c r="BD216" s="71">
        <f t="shared" si="2613"/>
        <v>0</v>
      </c>
      <c r="BE216" s="71">
        <f t="shared" si="2614"/>
        <v>0</v>
      </c>
      <c r="BF216" s="71">
        <f t="shared" si="2615"/>
        <v>0</v>
      </c>
      <c r="BG216" s="71">
        <f t="shared" si="2616"/>
        <v>0</v>
      </c>
      <c r="BH216" s="71">
        <f t="shared" si="2617"/>
        <v>0</v>
      </c>
      <c r="BI216" s="71">
        <f t="shared" si="2618"/>
        <v>0</v>
      </c>
      <c r="BJ216" s="71">
        <f t="shared" si="2619"/>
        <v>0</v>
      </c>
      <c r="BK216" s="71">
        <f t="shared" si="2620"/>
        <v>0</v>
      </c>
      <c r="BL216" s="71">
        <f t="shared" si="2621"/>
        <v>0</v>
      </c>
      <c r="BM216" s="71">
        <f t="shared" si="2622"/>
        <v>0</v>
      </c>
      <c r="BN216" s="71">
        <f t="shared" si="2623"/>
        <v>0</v>
      </c>
      <c r="BO216" s="71">
        <f t="shared" si="2624"/>
        <v>0</v>
      </c>
      <c r="BP216" s="71">
        <f t="shared" si="2625"/>
        <v>0</v>
      </c>
      <c r="BQ216" s="71">
        <f t="shared" si="2626"/>
        <v>0</v>
      </c>
      <c r="BR216" s="71">
        <f t="shared" si="2627"/>
        <v>0</v>
      </c>
      <c r="BS216" s="71">
        <f t="shared" si="2628"/>
        <v>0</v>
      </c>
      <c r="BT216" s="71">
        <f t="shared" si="2629"/>
        <v>0</v>
      </c>
      <c r="BU216" s="71">
        <f t="shared" si="2630"/>
        <v>0</v>
      </c>
      <c r="BV216" s="71">
        <f t="shared" si="2631"/>
        <v>0</v>
      </c>
      <c r="BW216" s="71">
        <f t="shared" si="2632"/>
        <v>0</v>
      </c>
      <c r="BX216" s="71">
        <f t="shared" si="2633"/>
        <v>0</v>
      </c>
      <c r="BY216" s="71">
        <f t="shared" si="2634"/>
        <v>0</v>
      </c>
      <c r="BZ216" s="71">
        <f t="shared" si="2635"/>
        <v>0</v>
      </c>
      <c r="CA216" s="71">
        <f t="shared" si="2636"/>
        <v>0</v>
      </c>
      <c r="CB216" s="71">
        <f t="shared" si="2637"/>
        <v>0</v>
      </c>
      <c r="CC216" s="71">
        <f t="shared" si="2638"/>
        <v>0</v>
      </c>
      <c r="CD216" s="71">
        <f t="shared" si="2639"/>
        <v>0</v>
      </c>
      <c r="CE216" s="71">
        <f t="shared" si="2640"/>
        <v>0</v>
      </c>
      <c r="CF216" s="71">
        <f t="shared" si="2641"/>
        <v>0</v>
      </c>
      <c r="CG216" s="71">
        <f t="shared" si="2642"/>
        <v>0</v>
      </c>
      <c r="CH216" s="70">
        <f t="shared" si="2241"/>
        <v>0</v>
      </c>
      <c r="CI216" s="69">
        <f t="shared" ca="1" si="2242"/>
        <v>0</v>
      </c>
      <c r="GM216" s="2" t="s">
        <v>16</v>
      </c>
      <c r="GN216" s="98" t="str">
        <f t="shared" si="2236"/>
        <v>SKT01-FMCG-SPO-01</v>
      </c>
      <c r="GO216" s="4">
        <v>1</v>
      </c>
      <c r="GP216" s="3">
        <v>1</v>
      </c>
      <c r="GQ216" s="3">
        <v>1</v>
      </c>
      <c r="GR216" s="3">
        <v>0</v>
      </c>
      <c r="GS216" s="3">
        <v>1</v>
      </c>
      <c r="GT216" s="3">
        <v>1</v>
      </c>
      <c r="GU216" s="3">
        <v>1</v>
      </c>
      <c r="GV216" s="3">
        <v>1</v>
      </c>
      <c r="GW216" s="3">
        <v>1</v>
      </c>
      <c r="GX216" s="3">
        <v>1</v>
      </c>
      <c r="GY216" s="3">
        <v>0</v>
      </c>
      <c r="GZ216" s="3">
        <v>1</v>
      </c>
      <c r="HA216" s="3">
        <v>1</v>
      </c>
      <c r="HB216" s="3">
        <v>1</v>
      </c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6"/>
      <c r="HT216" s="4">
        <v>0</v>
      </c>
      <c r="HU216" s="3">
        <v>0</v>
      </c>
      <c r="HV216" s="3">
        <v>0</v>
      </c>
      <c r="HW216" s="3">
        <v>0</v>
      </c>
      <c r="HX216" s="3">
        <v>0</v>
      </c>
      <c r="HY216" s="3">
        <v>0</v>
      </c>
      <c r="HZ216" s="3">
        <v>0</v>
      </c>
      <c r="IA216" s="3">
        <v>0</v>
      </c>
      <c r="IB216" s="3">
        <v>0</v>
      </c>
      <c r="IC216" s="3">
        <v>0</v>
      </c>
      <c r="ID216" s="3">
        <v>0</v>
      </c>
      <c r="IE216" s="3">
        <v>0</v>
      </c>
      <c r="IF216" s="3">
        <v>0</v>
      </c>
      <c r="IG216" s="3">
        <v>0</v>
      </c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6"/>
    </row>
    <row r="217" spans="1:258" hidden="1">
      <c r="A217" s="97" t="s">
        <v>25</v>
      </c>
      <c r="B217" s="98" t="s">
        <v>90</v>
      </c>
      <c r="C217" s="98" t="s">
        <v>511</v>
      </c>
      <c r="D217" s="99" t="s">
        <v>1211</v>
      </c>
      <c r="E217" s="98" t="s">
        <v>1028</v>
      </c>
      <c r="F217" s="98" t="s">
        <v>1060</v>
      </c>
      <c r="G217" s="98" t="s">
        <v>520</v>
      </c>
      <c r="H217" s="98" t="s">
        <v>1545</v>
      </c>
      <c r="I217" s="98" t="s">
        <v>1545</v>
      </c>
      <c r="J217" s="98" t="s">
        <v>870</v>
      </c>
      <c r="K217" s="98" t="s">
        <v>1127</v>
      </c>
      <c r="L217" s="98" t="s">
        <v>933</v>
      </c>
      <c r="M217" s="101" t="s">
        <v>1093</v>
      </c>
      <c r="N217" s="139">
        <v>46210</v>
      </c>
      <c r="O217" s="100">
        <v>1</v>
      </c>
      <c r="P217" s="69">
        <v>0</v>
      </c>
      <c r="Q217" s="69">
        <f t="shared" si="2577"/>
        <v>1</v>
      </c>
      <c r="R217" s="69">
        <f t="shared" si="2578"/>
        <v>1</v>
      </c>
      <c r="S217" s="69">
        <f>IFERROR(IF(OR(BP217&gt;0),1,0),0)</f>
        <v>0</v>
      </c>
      <c r="T217" s="69">
        <f t="shared" si="2579"/>
        <v>1</v>
      </c>
      <c r="U217" s="69">
        <f t="shared" si="2580"/>
        <v>1</v>
      </c>
      <c r="V217" s="70">
        <f t="shared" si="2581"/>
        <v>1</v>
      </c>
      <c r="W217" s="71">
        <f t="shared" si="2582"/>
        <v>1</v>
      </c>
      <c r="X217" s="71">
        <f t="shared" si="2583"/>
        <v>1</v>
      </c>
      <c r="Y217" s="71">
        <f t="shared" si="2584"/>
        <v>0</v>
      </c>
      <c r="Z217" s="71">
        <f t="shared" si="2585"/>
        <v>1</v>
      </c>
      <c r="AA217" s="71">
        <f t="shared" si="2586"/>
        <v>1</v>
      </c>
      <c r="AB217" s="71">
        <f t="shared" si="2587"/>
        <v>1</v>
      </c>
      <c r="AC217" s="71">
        <f t="shared" si="2588"/>
        <v>1</v>
      </c>
      <c r="AD217" s="71">
        <f t="shared" si="2589"/>
        <v>1</v>
      </c>
      <c r="AE217" s="71">
        <f t="shared" si="2590"/>
        <v>1</v>
      </c>
      <c r="AF217" s="71">
        <f t="shared" si="2591"/>
        <v>0</v>
      </c>
      <c r="AG217" s="71">
        <f t="shared" si="2592"/>
        <v>1</v>
      </c>
      <c r="AH217" s="71">
        <f t="shared" si="2593"/>
        <v>1</v>
      </c>
      <c r="AI217" s="71">
        <f t="shared" si="2594"/>
        <v>1</v>
      </c>
      <c r="AJ217" s="71">
        <f t="shared" si="2595"/>
        <v>0</v>
      </c>
      <c r="AK217" s="71">
        <f t="shared" si="2596"/>
        <v>0</v>
      </c>
      <c r="AL217" s="71">
        <f t="shared" si="2597"/>
        <v>0</v>
      </c>
      <c r="AM217" s="71">
        <f t="shared" si="2598"/>
        <v>0</v>
      </c>
      <c r="AN217" s="71">
        <f t="shared" si="2599"/>
        <v>0</v>
      </c>
      <c r="AO217" s="71">
        <f t="shared" si="2600"/>
        <v>0</v>
      </c>
      <c r="AP217" s="71">
        <f t="shared" si="2601"/>
        <v>0</v>
      </c>
      <c r="AQ217" s="71">
        <f t="shared" si="2602"/>
        <v>0</v>
      </c>
      <c r="AR217" s="71">
        <f t="shared" si="2603"/>
        <v>0</v>
      </c>
      <c r="AS217" s="71">
        <f t="shared" si="2604"/>
        <v>0</v>
      </c>
      <c r="AT217" s="71">
        <f t="shared" si="2605"/>
        <v>0</v>
      </c>
      <c r="AU217" s="71">
        <f t="shared" si="2606"/>
        <v>0</v>
      </c>
      <c r="AV217" s="71">
        <f t="shared" si="2607"/>
        <v>0</v>
      </c>
      <c r="AW217" s="71">
        <f t="shared" si="2608"/>
        <v>0</v>
      </c>
      <c r="AX217" s="71">
        <f t="shared" si="2609"/>
        <v>0</v>
      </c>
      <c r="AY217" s="71">
        <f t="shared" si="2610"/>
        <v>0</v>
      </c>
      <c r="AZ217" s="72">
        <f t="shared" si="2611"/>
        <v>0</v>
      </c>
      <c r="BA217" s="70">
        <f t="shared" si="2238"/>
        <v>12</v>
      </c>
      <c r="BB217" s="69">
        <f t="shared" ca="1" si="2239"/>
        <v>0.92307692307692313</v>
      </c>
      <c r="BC217" s="70">
        <f t="shared" si="2612"/>
        <v>33</v>
      </c>
      <c r="BD217" s="71">
        <f t="shared" si="2613"/>
        <v>37</v>
      </c>
      <c r="BE217" s="71">
        <f t="shared" si="2614"/>
        <v>35</v>
      </c>
      <c r="BF217" s="71">
        <f t="shared" si="2615"/>
        <v>0</v>
      </c>
      <c r="BG217" s="71">
        <f t="shared" si="2616"/>
        <v>46</v>
      </c>
      <c r="BH217" s="71">
        <f t="shared" si="2617"/>
        <v>16</v>
      </c>
      <c r="BI217" s="71">
        <f t="shared" si="2618"/>
        <v>39</v>
      </c>
      <c r="BJ217" s="71">
        <f t="shared" si="2619"/>
        <v>0</v>
      </c>
      <c r="BK217" s="71">
        <f t="shared" si="2620"/>
        <v>28</v>
      </c>
      <c r="BL217" s="71">
        <f t="shared" si="2621"/>
        <v>34</v>
      </c>
      <c r="BM217" s="71">
        <f t="shared" si="2622"/>
        <v>0</v>
      </c>
      <c r="BN217" s="71">
        <f t="shared" si="2623"/>
        <v>29</v>
      </c>
      <c r="BO217" s="71">
        <f t="shared" si="2624"/>
        <v>40</v>
      </c>
      <c r="BP217" s="71">
        <f t="shared" si="2625"/>
        <v>0</v>
      </c>
      <c r="BQ217" s="71">
        <f t="shared" si="2626"/>
        <v>0</v>
      </c>
      <c r="BR217" s="71">
        <f t="shared" si="2627"/>
        <v>0</v>
      </c>
      <c r="BS217" s="71">
        <f t="shared" si="2628"/>
        <v>0</v>
      </c>
      <c r="BT217" s="71">
        <f t="shared" si="2629"/>
        <v>0</v>
      </c>
      <c r="BU217" s="71">
        <f t="shared" si="2630"/>
        <v>0</v>
      </c>
      <c r="BV217" s="71">
        <f t="shared" si="2631"/>
        <v>0</v>
      </c>
      <c r="BW217" s="71">
        <f t="shared" si="2632"/>
        <v>0</v>
      </c>
      <c r="BX217" s="71">
        <f t="shared" si="2633"/>
        <v>0</v>
      </c>
      <c r="BY217" s="71">
        <f t="shared" si="2634"/>
        <v>0</v>
      </c>
      <c r="BZ217" s="71">
        <f t="shared" si="2635"/>
        <v>0</v>
      </c>
      <c r="CA217" s="71">
        <f t="shared" si="2636"/>
        <v>0</v>
      </c>
      <c r="CB217" s="71">
        <f t="shared" si="2637"/>
        <v>0</v>
      </c>
      <c r="CC217" s="71">
        <f t="shared" si="2638"/>
        <v>0</v>
      </c>
      <c r="CD217" s="71">
        <f t="shared" si="2639"/>
        <v>0</v>
      </c>
      <c r="CE217" s="71">
        <f t="shared" si="2640"/>
        <v>0</v>
      </c>
      <c r="CF217" s="71">
        <f t="shared" si="2641"/>
        <v>0</v>
      </c>
      <c r="CG217" s="71">
        <f t="shared" si="2642"/>
        <v>0</v>
      </c>
      <c r="CH217" s="70">
        <f t="shared" si="2241"/>
        <v>337</v>
      </c>
      <c r="CI217" s="69">
        <f t="shared" ca="1" si="2242"/>
        <v>25.923076923076923</v>
      </c>
      <c r="GM217" s="2" t="s">
        <v>16</v>
      </c>
      <c r="GN217" s="98" t="str">
        <f t="shared" si="2236"/>
        <v>SKT01-FMCG03-SPO-01</v>
      </c>
      <c r="GO217" s="4">
        <v>1</v>
      </c>
      <c r="GP217" s="3">
        <v>1</v>
      </c>
      <c r="GQ217" s="3">
        <v>1</v>
      </c>
      <c r="GR217" s="3">
        <v>0</v>
      </c>
      <c r="GS217" s="3">
        <v>1</v>
      </c>
      <c r="GT217" s="3">
        <v>1</v>
      </c>
      <c r="GU217" s="3">
        <v>1</v>
      </c>
      <c r="GV217" s="3">
        <v>1</v>
      </c>
      <c r="GW217" s="3">
        <v>1</v>
      </c>
      <c r="GX217" s="3">
        <v>1</v>
      </c>
      <c r="GY217" s="3">
        <v>0</v>
      </c>
      <c r="GZ217" s="3">
        <v>1</v>
      </c>
      <c r="HA217" s="3">
        <v>1</v>
      </c>
      <c r="HB217" s="3">
        <v>1</v>
      </c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6"/>
      <c r="HT217" s="4">
        <v>33</v>
      </c>
      <c r="HU217" s="3">
        <v>37</v>
      </c>
      <c r="HV217" s="3">
        <v>35</v>
      </c>
      <c r="HW217" s="3">
        <v>0</v>
      </c>
      <c r="HX217" s="3">
        <v>46</v>
      </c>
      <c r="HY217" s="3">
        <v>16</v>
      </c>
      <c r="HZ217" s="3">
        <v>39</v>
      </c>
      <c r="IA217" s="3">
        <v>0</v>
      </c>
      <c r="IB217" s="3">
        <v>28</v>
      </c>
      <c r="IC217" s="3">
        <v>34</v>
      </c>
      <c r="ID217" s="3">
        <v>0</v>
      </c>
      <c r="IE217" s="3">
        <v>29</v>
      </c>
      <c r="IF217" s="3">
        <v>40</v>
      </c>
      <c r="IG217" s="3">
        <v>0</v>
      </c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6"/>
    </row>
    <row r="218" spans="1:258" hidden="1">
      <c r="A218" s="97" t="s">
        <v>1287</v>
      </c>
      <c r="B218" s="98" t="s">
        <v>20</v>
      </c>
      <c r="C218" s="98" t="s">
        <v>511</v>
      </c>
      <c r="D218" s="99" t="s">
        <v>1211</v>
      </c>
      <c r="E218" s="98" t="s">
        <v>1098</v>
      </c>
      <c r="F218" s="98" t="s">
        <v>523</v>
      </c>
      <c r="G218" s="98" t="s">
        <v>524</v>
      </c>
      <c r="H218" s="98" t="s">
        <v>1546</v>
      </c>
      <c r="I218" s="98" t="s">
        <v>1546</v>
      </c>
      <c r="J218" s="98" t="s">
        <v>870</v>
      </c>
      <c r="K218" s="98" t="s">
        <v>1099</v>
      </c>
      <c r="L218" s="98" t="s">
        <v>1099</v>
      </c>
      <c r="M218" s="101" t="s">
        <v>1099</v>
      </c>
      <c r="N218" s="108">
        <v>45474</v>
      </c>
      <c r="O218" s="100">
        <v>0</v>
      </c>
      <c r="P218" s="69">
        <v>0</v>
      </c>
      <c r="Q218" s="69">
        <f t="shared" si="2577"/>
        <v>0</v>
      </c>
      <c r="R218" s="69">
        <f t="shared" si="2578"/>
        <v>0</v>
      </c>
      <c r="S218" s="69">
        <f>IFERROR(IF(OR(BP218&gt;0),1,0),0)</f>
        <v>0</v>
      </c>
      <c r="T218" s="69">
        <f t="shared" si="2579"/>
        <v>0</v>
      </c>
      <c r="U218" s="69">
        <f t="shared" si="2580"/>
        <v>0</v>
      </c>
      <c r="V218" s="70">
        <f t="shared" si="2581"/>
        <v>0</v>
      </c>
      <c r="W218" s="71">
        <f t="shared" si="2582"/>
        <v>0</v>
      </c>
      <c r="X218" s="71">
        <f t="shared" si="2583"/>
        <v>0</v>
      </c>
      <c r="Y218" s="71">
        <f t="shared" si="2584"/>
        <v>0</v>
      </c>
      <c r="Z218" s="71">
        <f t="shared" si="2585"/>
        <v>0</v>
      </c>
      <c r="AA218" s="71">
        <f t="shared" si="2586"/>
        <v>0</v>
      </c>
      <c r="AB218" s="71">
        <f t="shared" si="2587"/>
        <v>0</v>
      </c>
      <c r="AC218" s="71">
        <f t="shared" si="2588"/>
        <v>0</v>
      </c>
      <c r="AD218" s="71">
        <f t="shared" si="2589"/>
        <v>0</v>
      </c>
      <c r="AE218" s="71">
        <f t="shared" si="2590"/>
        <v>0</v>
      </c>
      <c r="AF218" s="71">
        <f t="shared" si="2591"/>
        <v>0</v>
      </c>
      <c r="AG218" s="71">
        <f t="shared" si="2592"/>
        <v>0</v>
      </c>
      <c r="AH218" s="71">
        <f t="shared" si="2593"/>
        <v>0</v>
      </c>
      <c r="AI218" s="71">
        <f t="shared" si="2594"/>
        <v>0</v>
      </c>
      <c r="AJ218" s="71">
        <f t="shared" si="2595"/>
        <v>0</v>
      </c>
      <c r="AK218" s="71">
        <f t="shared" si="2596"/>
        <v>0</v>
      </c>
      <c r="AL218" s="71">
        <f t="shared" si="2597"/>
        <v>0</v>
      </c>
      <c r="AM218" s="71">
        <f t="shared" si="2598"/>
        <v>0</v>
      </c>
      <c r="AN218" s="71">
        <f t="shared" si="2599"/>
        <v>0</v>
      </c>
      <c r="AO218" s="71">
        <f t="shared" si="2600"/>
        <v>0</v>
      </c>
      <c r="AP218" s="71">
        <f t="shared" si="2601"/>
        <v>0</v>
      </c>
      <c r="AQ218" s="71">
        <f t="shared" si="2602"/>
        <v>0</v>
      </c>
      <c r="AR218" s="71">
        <f t="shared" si="2603"/>
        <v>0</v>
      </c>
      <c r="AS218" s="71">
        <f t="shared" si="2604"/>
        <v>0</v>
      </c>
      <c r="AT218" s="71">
        <f t="shared" si="2605"/>
        <v>0</v>
      </c>
      <c r="AU218" s="71">
        <f t="shared" si="2606"/>
        <v>0</v>
      </c>
      <c r="AV218" s="71">
        <f t="shared" si="2607"/>
        <v>0</v>
      </c>
      <c r="AW218" s="71">
        <f t="shared" si="2608"/>
        <v>0</v>
      </c>
      <c r="AX218" s="71">
        <f t="shared" si="2609"/>
        <v>0</v>
      </c>
      <c r="AY218" s="71">
        <f t="shared" si="2610"/>
        <v>0</v>
      </c>
      <c r="AZ218" s="72">
        <f t="shared" si="2611"/>
        <v>0</v>
      </c>
      <c r="BA218" s="70">
        <f t="shared" si="2238"/>
        <v>0</v>
      </c>
      <c r="BB218" s="69">
        <f t="shared" ca="1" si="2239"/>
        <v>0</v>
      </c>
      <c r="BC218" s="70">
        <f t="shared" si="2612"/>
        <v>0</v>
      </c>
      <c r="BD218" s="71">
        <f t="shared" si="2613"/>
        <v>0</v>
      </c>
      <c r="BE218" s="71">
        <f t="shared" si="2614"/>
        <v>0</v>
      </c>
      <c r="BF218" s="71">
        <f t="shared" si="2615"/>
        <v>0</v>
      </c>
      <c r="BG218" s="71">
        <f t="shared" si="2616"/>
        <v>0</v>
      </c>
      <c r="BH218" s="71">
        <f t="shared" si="2617"/>
        <v>0</v>
      </c>
      <c r="BI218" s="71">
        <f t="shared" si="2618"/>
        <v>0</v>
      </c>
      <c r="BJ218" s="71">
        <f t="shared" si="2619"/>
        <v>0</v>
      </c>
      <c r="BK218" s="71">
        <f t="shared" si="2620"/>
        <v>0</v>
      </c>
      <c r="BL218" s="71">
        <f t="shared" si="2621"/>
        <v>0</v>
      </c>
      <c r="BM218" s="71">
        <f t="shared" si="2622"/>
        <v>0</v>
      </c>
      <c r="BN218" s="71">
        <f t="shared" si="2623"/>
        <v>0</v>
      </c>
      <c r="BO218" s="71">
        <f t="shared" si="2624"/>
        <v>0</v>
      </c>
      <c r="BP218" s="71">
        <f t="shared" si="2625"/>
        <v>0</v>
      </c>
      <c r="BQ218" s="71">
        <f t="shared" si="2626"/>
        <v>0</v>
      </c>
      <c r="BR218" s="71">
        <f t="shared" si="2627"/>
        <v>0</v>
      </c>
      <c r="BS218" s="71">
        <f t="shared" si="2628"/>
        <v>0</v>
      </c>
      <c r="BT218" s="71">
        <f t="shared" si="2629"/>
        <v>0</v>
      </c>
      <c r="BU218" s="71">
        <f t="shared" si="2630"/>
        <v>0</v>
      </c>
      <c r="BV218" s="71">
        <f t="shared" si="2631"/>
        <v>0</v>
      </c>
      <c r="BW218" s="71">
        <f t="shared" si="2632"/>
        <v>0</v>
      </c>
      <c r="BX218" s="71">
        <f t="shared" si="2633"/>
        <v>0</v>
      </c>
      <c r="BY218" s="71">
        <f t="shared" si="2634"/>
        <v>0</v>
      </c>
      <c r="BZ218" s="71">
        <f t="shared" si="2635"/>
        <v>0</v>
      </c>
      <c r="CA218" s="71">
        <f t="shared" si="2636"/>
        <v>0</v>
      </c>
      <c r="CB218" s="71">
        <f t="shared" si="2637"/>
        <v>0</v>
      </c>
      <c r="CC218" s="71">
        <f t="shared" si="2638"/>
        <v>0</v>
      </c>
      <c r="CD218" s="71">
        <f t="shared" si="2639"/>
        <v>0</v>
      </c>
      <c r="CE218" s="71">
        <f t="shared" si="2640"/>
        <v>0</v>
      </c>
      <c r="CF218" s="71">
        <f t="shared" si="2641"/>
        <v>0</v>
      </c>
      <c r="CG218" s="71">
        <f t="shared" si="2642"/>
        <v>0</v>
      </c>
      <c r="CH218" s="70">
        <f t="shared" si="2241"/>
        <v>0</v>
      </c>
      <c r="CI218" s="69">
        <f t="shared" ca="1" si="2242"/>
        <v>0</v>
      </c>
      <c r="GM218" s="2" t="s">
        <v>16</v>
      </c>
      <c r="GN218" s="98" t="str">
        <f t="shared" si="2236"/>
        <v>SKT01-FMCG-SPO-00</v>
      </c>
      <c r="GO218" s="4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6"/>
      <c r="HT218" s="4">
        <v>0</v>
      </c>
      <c r="HU218" s="3">
        <v>0</v>
      </c>
      <c r="HV218" s="3">
        <v>0</v>
      </c>
      <c r="HW218" s="3">
        <v>0</v>
      </c>
      <c r="HX218" s="3">
        <v>0</v>
      </c>
      <c r="HY218" s="3">
        <v>0</v>
      </c>
      <c r="HZ218" s="3">
        <v>0</v>
      </c>
      <c r="IA218" s="3">
        <v>0</v>
      </c>
      <c r="IB218" s="3">
        <v>0</v>
      </c>
      <c r="IC218" s="3">
        <v>0</v>
      </c>
      <c r="ID218" s="3">
        <v>0</v>
      </c>
      <c r="IE218" s="3">
        <v>0</v>
      </c>
      <c r="IF218" s="3">
        <v>0</v>
      </c>
      <c r="IG218" s="3">
        <v>0</v>
      </c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6"/>
    </row>
    <row r="219" spans="1:258" hidden="1">
      <c r="A219" s="102" t="s">
        <v>53</v>
      </c>
      <c r="B219" s="103" t="s">
        <v>20</v>
      </c>
      <c r="C219" s="103" t="s">
        <v>511</v>
      </c>
      <c r="D219" s="104" t="s">
        <v>1211</v>
      </c>
      <c r="E219" s="103" t="s">
        <v>525</v>
      </c>
      <c r="F219" s="103" t="s">
        <v>526</v>
      </c>
      <c r="G219" s="103" t="s">
        <v>527</v>
      </c>
      <c r="H219" s="103" t="s">
        <v>1213</v>
      </c>
      <c r="I219" s="103" t="s">
        <v>1213</v>
      </c>
      <c r="J219" s="103" t="s">
        <v>870</v>
      </c>
      <c r="K219" s="103" t="s">
        <v>1127</v>
      </c>
      <c r="L219" s="103" t="s">
        <v>528</v>
      </c>
      <c r="M219" s="103" t="s">
        <v>52</v>
      </c>
      <c r="N219" s="119">
        <v>45352</v>
      </c>
      <c r="O219" s="105">
        <f>O218+O217+O216+O215+O214</f>
        <v>4</v>
      </c>
      <c r="P219" s="73">
        <f>P218+P217+P216+P215+P214</f>
        <v>0</v>
      </c>
      <c r="Q219" s="73">
        <f t="shared" si="2577"/>
        <v>1</v>
      </c>
      <c r="R219" s="73">
        <f t="shared" ref="R219:AZ219" si="2643">R218+R217+R216+R215+R214</f>
        <v>4</v>
      </c>
      <c r="S219" s="73">
        <f t="shared" si="2643"/>
        <v>0</v>
      </c>
      <c r="T219" s="73">
        <f t="shared" si="2643"/>
        <v>3</v>
      </c>
      <c r="U219" s="73">
        <f t="shared" si="2643"/>
        <v>4</v>
      </c>
      <c r="V219" s="74">
        <f t="shared" si="2643"/>
        <v>4</v>
      </c>
      <c r="W219" s="75">
        <f t="shared" si="2643"/>
        <v>4</v>
      </c>
      <c r="X219" s="75">
        <f t="shared" si="2643"/>
        <v>4</v>
      </c>
      <c r="Y219" s="75">
        <f t="shared" si="2643"/>
        <v>0</v>
      </c>
      <c r="Z219" s="75">
        <f t="shared" si="2643"/>
        <v>4</v>
      </c>
      <c r="AA219" s="75">
        <f t="shared" si="2643"/>
        <v>4</v>
      </c>
      <c r="AB219" s="75">
        <f t="shared" si="2643"/>
        <v>4</v>
      </c>
      <c r="AC219" s="75">
        <f t="shared" si="2643"/>
        <v>4</v>
      </c>
      <c r="AD219" s="75">
        <f t="shared" si="2643"/>
        <v>4</v>
      </c>
      <c r="AE219" s="75">
        <f t="shared" si="2643"/>
        <v>4</v>
      </c>
      <c r="AF219" s="75">
        <f t="shared" si="2643"/>
        <v>0</v>
      </c>
      <c r="AG219" s="75">
        <f t="shared" si="2643"/>
        <v>4</v>
      </c>
      <c r="AH219" s="75">
        <f t="shared" si="2643"/>
        <v>4</v>
      </c>
      <c r="AI219" s="75">
        <f t="shared" si="2643"/>
        <v>4</v>
      </c>
      <c r="AJ219" s="75">
        <f t="shared" si="2643"/>
        <v>0</v>
      </c>
      <c r="AK219" s="75">
        <f t="shared" si="2643"/>
        <v>0</v>
      </c>
      <c r="AL219" s="75">
        <f t="shared" si="2643"/>
        <v>0</v>
      </c>
      <c r="AM219" s="75">
        <f t="shared" si="2643"/>
        <v>0</v>
      </c>
      <c r="AN219" s="75">
        <f t="shared" si="2643"/>
        <v>0</v>
      </c>
      <c r="AO219" s="75">
        <f t="shared" si="2643"/>
        <v>0</v>
      </c>
      <c r="AP219" s="75">
        <f t="shared" si="2643"/>
        <v>0</v>
      </c>
      <c r="AQ219" s="75">
        <f t="shared" si="2643"/>
        <v>0</v>
      </c>
      <c r="AR219" s="75">
        <f t="shared" si="2643"/>
        <v>0</v>
      </c>
      <c r="AS219" s="75">
        <f t="shared" si="2643"/>
        <v>0</v>
      </c>
      <c r="AT219" s="75">
        <f t="shared" si="2643"/>
        <v>0</v>
      </c>
      <c r="AU219" s="75">
        <f t="shared" si="2643"/>
        <v>0</v>
      </c>
      <c r="AV219" s="75">
        <f t="shared" si="2643"/>
        <v>0</v>
      </c>
      <c r="AW219" s="75">
        <f t="shared" si="2643"/>
        <v>0</v>
      </c>
      <c r="AX219" s="75">
        <f t="shared" si="2643"/>
        <v>0</v>
      </c>
      <c r="AY219" s="75">
        <f t="shared" si="2643"/>
        <v>0</v>
      </c>
      <c r="AZ219" s="76">
        <f t="shared" si="2643"/>
        <v>0</v>
      </c>
      <c r="BA219" s="74">
        <f t="shared" si="2238"/>
        <v>48</v>
      </c>
      <c r="BB219" s="73">
        <f t="shared" ca="1" si="2239"/>
        <v>0.92307692307692313</v>
      </c>
      <c r="BC219" s="74">
        <f>BC218+BC217+BC216+BC215+BC214</f>
        <v>43</v>
      </c>
      <c r="BD219" s="75">
        <f>BD218+BD217+BD216+BD215+BD214</f>
        <v>61</v>
      </c>
      <c r="BE219" s="75">
        <f t="shared" ref="BE219:BP219" si="2644">BE218++BE217+BE216+BE215+BE214</f>
        <v>65</v>
      </c>
      <c r="BF219" s="75">
        <f t="shared" si="2644"/>
        <v>0</v>
      </c>
      <c r="BG219" s="75">
        <f t="shared" si="2644"/>
        <v>59</v>
      </c>
      <c r="BH219" s="75">
        <f t="shared" si="2644"/>
        <v>81</v>
      </c>
      <c r="BI219" s="75">
        <f t="shared" si="2644"/>
        <v>142</v>
      </c>
      <c r="BJ219" s="75">
        <f t="shared" si="2644"/>
        <v>0</v>
      </c>
      <c r="BK219" s="75">
        <f t="shared" si="2644"/>
        <v>101</v>
      </c>
      <c r="BL219" s="75">
        <f t="shared" si="2644"/>
        <v>102</v>
      </c>
      <c r="BM219" s="75">
        <f t="shared" si="2644"/>
        <v>0</v>
      </c>
      <c r="BN219" s="75">
        <f t="shared" si="2644"/>
        <v>70</v>
      </c>
      <c r="BO219" s="75">
        <f t="shared" si="2644"/>
        <v>79</v>
      </c>
      <c r="BP219" s="75">
        <f t="shared" si="2644"/>
        <v>0</v>
      </c>
      <c r="BQ219" s="75">
        <f>BQ218+BQ217+BQ216+BQ215+BQ214</f>
        <v>0</v>
      </c>
      <c r="BR219" s="75">
        <f>BR218+BR217+BR216+BR215+BR214</f>
        <v>0</v>
      </c>
      <c r="BS219" s="75">
        <f t="shared" ref="BS219:CA219" si="2645">BS218++BS217+BS216+BS215+BS214</f>
        <v>0</v>
      </c>
      <c r="BT219" s="75">
        <f t="shared" si="2645"/>
        <v>0</v>
      </c>
      <c r="BU219" s="75">
        <f t="shared" si="2645"/>
        <v>0</v>
      </c>
      <c r="BV219" s="75">
        <f t="shared" si="2645"/>
        <v>0</v>
      </c>
      <c r="BW219" s="75">
        <f t="shared" si="2645"/>
        <v>0</v>
      </c>
      <c r="BX219" s="75">
        <f t="shared" si="2645"/>
        <v>0</v>
      </c>
      <c r="BY219" s="75">
        <f t="shared" si="2645"/>
        <v>0</v>
      </c>
      <c r="BZ219" s="75">
        <f t="shared" si="2645"/>
        <v>0</v>
      </c>
      <c r="CA219" s="75">
        <f t="shared" si="2645"/>
        <v>0</v>
      </c>
      <c r="CB219" s="75">
        <f t="shared" ref="CB219:CG219" si="2646">CB218++CB217+CB216+CB215+CB214</f>
        <v>0</v>
      </c>
      <c r="CC219" s="75">
        <f t="shared" si="2646"/>
        <v>0</v>
      </c>
      <c r="CD219" s="75">
        <f t="shared" si="2646"/>
        <v>0</v>
      </c>
      <c r="CE219" s="75">
        <f t="shared" si="2646"/>
        <v>0</v>
      </c>
      <c r="CF219" s="75">
        <f t="shared" si="2646"/>
        <v>0</v>
      </c>
      <c r="CG219" s="75">
        <f t="shared" si="2646"/>
        <v>0</v>
      </c>
      <c r="CH219" s="74">
        <f t="shared" si="2241"/>
        <v>803</v>
      </c>
      <c r="CI219" s="73">
        <f t="shared" ca="1" si="2242"/>
        <v>15.442307692307692</v>
      </c>
      <c r="GM219" s="2" t="s">
        <v>17</v>
      </c>
      <c r="GN219" s="103" t="str">
        <f t="shared" si="2236"/>
        <v>SKT01-FMCG-ASM-01</v>
      </c>
      <c r="GO219" s="4">
        <v>0</v>
      </c>
      <c r="GP219" s="3">
        <v>0</v>
      </c>
      <c r="GQ219" s="3">
        <v>0</v>
      </c>
      <c r="GR219" s="3">
        <v>0</v>
      </c>
      <c r="GS219" s="3">
        <v>0</v>
      </c>
      <c r="GT219" s="3">
        <v>0</v>
      </c>
      <c r="GU219" s="3">
        <v>0</v>
      </c>
      <c r="GV219" s="3">
        <v>0</v>
      </c>
      <c r="GW219" s="3">
        <v>0</v>
      </c>
      <c r="GX219" s="3">
        <v>0</v>
      </c>
      <c r="GY219" s="3">
        <v>0</v>
      </c>
      <c r="GZ219" s="3">
        <v>0</v>
      </c>
      <c r="HA219" s="3">
        <v>0</v>
      </c>
      <c r="HB219" s="3">
        <v>0</v>
      </c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6"/>
      <c r="HT219" s="4">
        <v>0</v>
      </c>
      <c r="HU219" s="3">
        <v>0</v>
      </c>
      <c r="HV219" s="3">
        <v>0</v>
      </c>
      <c r="HW219" s="3">
        <v>0</v>
      </c>
      <c r="HX219" s="3">
        <v>0</v>
      </c>
      <c r="HY219" s="3">
        <v>0</v>
      </c>
      <c r="HZ219" s="3">
        <v>0</v>
      </c>
      <c r="IA219" s="3">
        <v>0</v>
      </c>
      <c r="IB219" s="3">
        <v>0</v>
      </c>
      <c r="IC219" s="3">
        <v>0</v>
      </c>
      <c r="ID219" s="3">
        <v>0</v>
      </c>
      <c r="IE219" s="3">
        <v>0</v>
      </c>
      <c r="IF219" s="3">
        <v>0</v>
      </c>
      <c r="IG219" s="3">
        <v>0</v>
      </c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6"/>
    </row>
    <row r="220" spans="1:258" hidden="1">
      <c r="A220" s="97" t="s">
        <v>25</v>
      </c>
      <c r="B220" s="98" t="s">
        <v>26</v>
      </c>
      <c r="C220" s="98" t="s">
        <v>511</v>
      </c>
      <c r="D220" s="99" t="s">
        <v>1218</v>
      </c>
      <c r="E220" s="98" t="s">
        <v>987</v>
      </c>
      <c r="F220" s="98" t="s">
        <v>539</v>
      </c>
      <c r="G220" s="98" t="s">
        <v>542</v>
      </c>
      <c r="H220" s="98" t="s">
        <v>1552</v>
      </c>
      <c r="I220" s="98" t="s">
        <v>1552</v>
      </c>
      <c r="J220" s="98" t="s">
        <v>871</v>
      </c>
      <c r="K220" s="98" t="s">
        <v>1127</v>
      </c>
      <c r="L220" s="98" t="s">
        <v>543</v>
      </c>
      <c r="M220" s="101" t="s">
        <v>1093</v>
      </c>
      <c r="N220" s="139">
        <v>46010</v>
      </c>
      <c r="O220" s="100">
        <v>1</v>
      </c>
      <c r="P220" s="69">
        <v>0</v>
      </c>
      <c r="Q220" s="69">
        <f t="shared" si="2577"/>
        <v>1</v>
      </c>
      <c r="R220" s="69">
        <f t="shared" ref="R220:R224" si="2647">IFERROR(IF(OR(BA220&gt;0),1,0),0)</f>
        <v>1</v>
      </c>
      <c r="S220" s="69">
        <f>IFERROR(IF(OR(BP220&gt;0),1,0),0)</f>
        <v>1</v>
      </c>
      <c r="T220" s="69">
        <f t="shared" ref="T220:T224" si="2648">IFERROR(IF(OR(CH220&gt;0),1,0),0)</f>
        <v>1</v>
      </c>
      <c r="U220" s="69">
        <f t="shared" ref="U220:U224" si="2649">IFERROR(IF(OR(BA220&gt;0,CH220&gt;0),1,0),0)</f>
        <v>1</v>
      </c>
      <c r="V220" s="70">
        <f t="shared" ref="V220:V224" si="2650">GO220</f>
        <v>1</v>
      </c>
      <c r="W220" s="71">
        <f t="shared" ref="W220:W224" si="2651">GP220</f>
        <v>1</v>
      </c>
      <c r="X220" s="71">
        <f t="shared" ref="X220:X224" si="2652">GQ220</f>
        <v>1</v>
      </c>
      <c r="Y220" s="71">
        <f t="shared" ref="Y220:Y224" si="2653">GR220</f>
        <v>0</v>
      </c>
      <c r="Z220" s="71">
        <f t="shared" ref="Z220:Z224" si="2654">GS220</f>
        <v>1</v>
      </c>
      <c r="AA220" s="71">
        <f t="shared" ref="AA220:AA224" si="2655">GT220</f>
        <v>1</v>
      </c>
      <c r="AB220" s="71">
        <f t="shared" ref="AB220:AB224" si="2656">GU220</f>
        <v>1</v>
      </c>
      <c r="AC220" s="71">
        <f t="shared" ref="AC220:AC224" si="2657">GV220</f>
        <v>1</v>
      </c>
      <c r="AD220" s="71">
        <f t="shared" ref="AD220:AD224" si="2658">GW220</f>
        <v>1</v>
      </c>
      <c r="AE220" s="71">
        <f t="shared" ref="AE220:AE224" si="2659">GX220</f>
        <v>1</v>
      </c>
      <c r="AF220" s="71">
        <f t="shared" ref="AF220:AF224" si="2660">GY220</f>
        <v>0</v>
      </c>
      <c r="AG220" s="71">
        <f t="shared" ref="AG220:AG224" si="2661">GZ220</f>
        <v>1</v>
      </c>
      <c r="AH220" s="71">
        <f t="shared" ref="AH220:AH224" si="2662">HA220</f>
        <v>1</v>
      </c>
      <c r="AI220" s="71">
        <f t="shared" ref="AI220:AI224" si="2663">HB220</f>
        <v>1</v>
      </c>
      <c r="AJ220" s="71">
        <f t="shared" ref="AJ220:AJ224" si="2664">HC220</f>
        <v>0</v>
      </c>
      <c r="AK220" s="71">
        <f t="shared" ref="AK220:AK224" si="2665">HD220</f>
        <v>0</v>
      </c>
      <c r="AL220" s="71">
        <f t="shared" ref="AL220:AL224" si="2666">HE220</f>
        <v>0</v>
      </c>
      <c r="AM220" s="71">
        <f t="shared" ref="AM220:AM224" si="2667">HF220</f>
        <v>0</v>
      </c>
      <c r="AN220" s="71">
        <f t="shared" ref="AN220:AN224" si="2668">HG220</f>
        <v>0</v>
      </c>
      <c r="AO220" s="71">
        <f t="shared" ref="AO220:AO224" si="2669">HH220</f>
        <v>0</v>
      </c>
      <c r="AP220" s="71">
        <f t="shared" ref="AP220:AP224" si="2670">HI220</f>
        <v>0</v>
      </c>
      <c r="AQ220" s="71">
        <f t="shared" ref="AQ220:AQ224" si="2671">HJ220</f>
        <v>0</v>
      </c>
      <c r="AR220" s="71">
        <f t="shared" ref="AR220:AR224" si="2672">HK220</f>
        <v>0</v>
      </c>
      <c r="AS220" s="71">
        <f t="shared" ref="AS220:AS224" si="2673">HL220</f>
        <v>0</v>
      </c>
      <c r="AT220" s="71">
        <f t="shared" ref="AT220:AT224" si="2674">HM220</f>
        <v>0</v>
      </c>
      <c r="AU220" s="71">
        <f t="shared" ref="AU220:AU224" si="2675">HN220</f>
        <v>0</v>
      </c>
      <c r="AV220" s="71">
        <f t="shared" ref="AV220:AV224" si="2676">HO220</f>
        <v>0</v>
      </c>
      <c r="AW220" s="71">
        <f t="shared" ref="AW220:AW224" si="2677">HP220</f>
        <v>0</v>
      </c>
      <c r="AX220" s="71">
        <f t="shared" ref="AX220:AX224" si="2678">HQ220</f>
        <v>0</v>
      </c>
      <c r="AY220" s="71">
        <f t="shared" ref="AY220:AY224" si="2679">HR220</f>
        <v>0</v>
      </c>
      <c r="AZ220" s="72">
        <f t="shared" ref="AZ220:AZ224" si="2680">HS220</f>
        <v>0</v>
      </c>
      <c r="BA220" s="70">
        <f t="shared" si="2238"/>
        <v>12</v>
      </c>
      <c r="BB220" s="69">
        <f t="shared" ca="1" si="2239"/>
        <v>0.92307692307692313</v>
      </c>
      <c r="BC220" s="70">
        <f t="shared" ref="BC220:BC224" si="2681">HT220</f>
        <v>41</v>
      </c>
      <c r="BD220" s="71">
        <f t="shared" ref="BD220:BD224" si="2682">HU220</f>
        <v>35</v>
      </c>
      <c r="BE220" s="71">
        <f t="shared" ref="BE220:BE224" si="2683">HV220</f>
        <v>36</v>
      </c>
      <c r="BF220" s="71">
        <f t="shared" ref="BF220:BF224" si="2684">HW220</f>
        <v>0</v>
      </c>
      <c r="BG220" s="71">
        <f t="shared" ref="BG220:BG224" si="2685">HX220</f>
        <v>55</v>
      </c>
      <c r="BH220" s="71">
        <f t="shared" ref="BH220:BH224" si="2686">HY220</f>
        <v>41</v>
      </c>
      <c r="BI220" s="71">
        <f t="shared" ref="BI220:BI224" si="2687">HZ220</f>
        <v>36</v>
      </c>
      <c r="BJ220" s="71">
        <f t="shared" ref="BJ220:BJ224" si="2688">IA220</f>
        <v>45</v>
      </c>
      <c r="BK220" s="71">
        <f t="shared" ref="BK220:BK224" si="2689">IB220</f>
        <v>45</v>
      </c>
      <c r="BL220" s="71">
        <f t="shared" ref="BL220:BL224" si="2690">IC220</f>
        <v>56</v>
      </c>
      <c r="BM220" s="71">
        <f t="shared" ref="BM220:BM224" si="2691">ID220</f>
        <v>0</v>
      </c>
      <c r="BN220" s="71">
        <f t="shared" ref="BN220:BN224" si="2692">IE220</f>
        <v>42</v>
      </c>
      <c r="BO220" s="71">
        <f t="shared" ref="BO220:BO224" si="2693">IF220</f>
        <v>0</v>
      </c>
      <c r="BP220" s="71">
        <f t="shared" ref="BP220:BP224" si="2694">IG220</f>
        <v>26</v>
      </c>
      <c r="BQ220" s="71">
        <f t="shared" ref="BQ220:BQ224" si="2695">IH220</f>
        <v>0</v>
      </c>
      <c r="BR220" s="71">
        <f t="shared" ref="BR220:BR224" si="2696">II220</f>
        <v>0</v>
      </c>
      <c r="BS220" s="71">
        <f t="shared" ref="BS220:BS224" si="2697">IJ220</f>
        <v>0</v>
      </c>
      <c r="BT220" s="71">
        <f t="shared" ref="BT220:BT224" si="2698">IK220</f>
        <v>0</v>
      </c>
      <c r="BU220" s="71">
        <f t="shared" ref="BU220:BU224" si="2699">IL220</f>
        <v>0</v>
      </c>
      <c r="BV220" s="71">
        <f t="shared" ref="BV220:BV224" si="2700">IM220</f>
        <v>0</v>
      </c>
      <c r="BW220" s="71">
        <f t="shared" ref="BW220:BW224" si="2701">IN220</f>
        <v>0</v>
      </c>
      <c r="BX220" s="71">
        <f t="shared" ref="BX220:BX224" si="2702">IO220</f>
        <v>0</v>
      </c>
      <c r="BY220" s="71">
        <f t="shared" ref="BY220:BY224" si="2703">IP220</f>
        <v>0</v>
      </c>
      <c r="BZ220" s="71">
        <f t="shared" ref="BZ220:BZ224" si="2704">IQ220</f>
        <v>0</v>
      </c>
      <c r="CA220" s="71">
        <f t="shared" ref="CA220:CA224" si="2705">IR220</f>
        <v>0</v>
      </c>
      <c r="CB220" s="71">
        <f t="shared" ref="CB220:CB224" si="2706">IS220</f>
        <v>0</v>
      </c>
      <c r="CC220" s="71">
        <f t="shared" ref="CC220:CC224" si="2707">IT220</f>
        <v>0</v>
      </c>
      <c r="CD220" s="71">
        <f t="shared" ref="CD220:CD224" si="2708">IU220</f>
        <v>0</v>
      </c>
      <c r="CE220" s="71">
        <f t="shared" ref="CE220:CE224" si="2709">IV220</f>
        <v>0</v>
      </c>
      <c r="CF220" s="71">
        <f t="shared" ref="CF220:CF224" si="2710">IW220</f>
        <v>0</v>
      </c>
      <c r="CG220" s="71">
        <f t="shared" ref="CG220:CG224" si="2711">IX220</f>
        <v>0</v>
      </c>
      <c r="CH220" s="70">
        <f t="shared" si="2241"/>
        <v>458</v>
      </c>
      <c r="CI220" s="69">
        <f t="shared" ca="1" si="2242"/>
        <v>35.230769230769234</v>
      </c>
      <c r="GM220" s="2" t="s">
        <v>16</v>
      </c>
      <c r="GN220" s="98" t="str">
        <f t="shared" si="2236"/>
        <v>GUJ01-FMCG01-SPO-01</v>
      </c>
      <c r="GO220" s="4">
        <v>1</v>
      </c>
      <c r="GP220" s="3">
        <v>1</v>
      </c>
      <c r="GQ220" s="3">
        <v>1</v>
      </c>
      <c r="GR220" s="3">
        <v>0</v>
      </c>
      <c r="GS220" s="3">
        <v>1</v>
      </c>
      <c r="GT220" s="3">
        <v>1</v>
      </c>
      <c r="GU220" s="3">
        <v>1</v>
      </c>
      <c r="GV220" s="3">
        <v>1</v>
      </c>
      <c r="GW220" s="3">
        <v>1</v>
      </c>
      <c r="GX220" s="3">
        <v>1</v>
      </c>
      <c r="GY220" s="3">
        <v>0</v>
      </c>
      <c r="GZ220" s="3">
        <v>1</v>
      </c>
      <c r="HA220" s="3">
        <v>1</v>
      </c>
      <c r="HB220" s="3">
        <v>1</v>
      </c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6"/>
      <c r="HT220" s="4">
        <v>41</v>
      </c>
      <c r="HU220" s="3">
        <v>35</v>
      </c>
      <c r="HV220" s="3">
        <v>36</v>
      </c>
      <c r="HW220" s="3">
        <v>0</v>
      </c>
      <c r="HX220" s="3">
        <v>55</v>
      </c>
      <c r="HY220" s="3">
        <v>41</v>
      </c>
      <c r="HZ220" s="3">
        <v>36</v>
      </c>
      <c r="IA220" s="3">
        <v>45</v>
      </c>
      <c r="IB220" s="3">
        <v>45</v>
      </c>
      <c r="IC220" s="3">
        <v>56</v>
      </c>
      <c r="ID220" s="3">
        <v>0</v>
      </c>
      <c r="IE220" s="3">
        <v>42</v>
      </c>
      <c r="IF220" s="3">
        <v>0</v>
      </c>
      <c r="IG220" s="3">
        <v>26</v>
      </c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6"/>
    </row>
    <row r="221" spans="1:258" hidden="1">
      <c r="A221" s="106" t="s">
        <v>25</v>
      </c>
      <c r="B221" s="101" t="s">
        <v>26</v>
      </c>
      <c r="C221" s="98" t="s">
        <v>511</v>
      </c>
      <c r="D221" s="107" t="s">
        <v>1218</v>
      </c>
      <c r="E221" s="101" t="s">
        <v>988</v>
      </c>
      <c r="F221" s="101" t="s">
        <v>544</v>
      </c>
      <c r="G221" s="98" t="s">
        <v>545</v>
      </c>
      <c r="H221" s="101" t="s">
        <v>1553</v>
      </c>
      <c r="I221" s="101" t="s">
        <v>1553</v>
      </c>
      <c r="J221" s="101" t="s">
        <v>871</v>
      </c>
      <c r="K221" s="101" t="s">
        <v>1127</v>
      </c>
      <c r="L221" s="101" t="s">
        <v>546</v>
      </c>
      <c r="M221" s="101" t="s">
        <v>1093</v>
      </c>
      <c r="N221" s="139">
        <v>46001</v>
      </c>
      <c r="O221" s="100">
        <v>1</v>
      </c>
      <c r="P221" s="69">
        <v>0</v>
      </c>
      <c r="Q221" s="69">
        <f t="shared" si="2577"/>
        <v>1</v>
      </c>
      <c r="R221" s="69">
        <f t="shared" si="2647"/>
        <v>1</v>
      </c>
      <c r="S221" s="69">
        <f>IFERROR(IF(OR(BP221&gt;0),1,0),0)</f>
        <v>0</v>
      </c>
      <c r="T221" s="69">
        <f t="shared" si="2648"/>
        <v>1</v>
      </c>
      <c r="U221" s="69">
        <f t="shared" si="2649"/>
        <v>1</v>
      </c>
      <c r="V221" s="70">
        <f t="shared" si="2650"/>
        <v>1</v>
      </c>
      <c r="W221" s="71">
        <f t="shared" si="2651"/>
        <v>1</v>
      </c>
      <c r="X221" s="71">
        <f t="shared" si="2652"/>
        <v>1</v>
      </c>
      <c r="Y221" s="71">
        <f t="shared" si="2653"/>
        <v>0</v>
      </c>
      <c r="Z221" s="71">
        <f t="shared" si="2654"/>
        <v>1</v>
      </c>
      <c r="AA221" s="71">
        <f t="shared" si="2655"/>
        <v>1</v>
      </c>
      <c r="AB221" s="71">
        <f t="shared" si="2656"/>
        <v>1</v>
      </c>
      <c r="AC221" s="71">
        <f t="shared" si="2657"/>
        <v>1</v>
      </c>
      <c r="AD221" s="71">
        <f t="shared" si="2658"/>
        <v>1</v>
      </c>
      <c r="AE221" s="71">
        <f t="shared" si="2659"/>
        <v>1</v>
      </c>
      <c r="AF221" s="71">
        <f t="shared" si="2660"/>
        <v>0</v>
      </c>
      <c r="AG221" s="71">
        <f t="shared" si="2661"/>
        <v>1</v>
      </c>
      <c r="AH221" s="71">
        <f t="shared" si="2662"/>
        <v>1</v>
      </c>
      <c r="AI221" s="71">
        <f t="shared" si="2663"/>
        <v>1</v>
      </c>
      <c r="AJ221" s="71">
        <f t="shared" si="2664"/>
        <v>0</v>
      </c>
      <c r="AK221" s="71">
        <f t="shared" si="2665"/>
        <v>0</v>
      </c>
      <c r="AL221" s="71">
        <f t="shared" si="2666"/>
        <v>0</v>
      </c>
      <c r="AM221" s="71">
        <f t="shared" si="2667"/>
        <v>0</v>
      </c>
      <c r="AN221" s="71">
        <f t="shared" si="2668"/>
        <v>0</v>
      </c>
      <c r="AO221" s="71">
        <f t="shared" si="2669"/>
        <v>0</v>
      </c>
      <c r="AP221" s="71">
        <f t="shared" si="2670"/>
        <v>0</v>
      </c>
      <c r="AQ221" s="71">
        <f t="shared" si="2671"/>
        <v>0</v>
      </c>
      <c r="AR221" s="71">
        <f t="shared" si="2672"/>
        <v>0</v>
      </c>
      <c r="AS221" s="71">
        <f t="shared" si="2673"/>
        <v>0</v>
      </c>
      <c r="AT221" s="71">
        <f t="shared" si="2674"/>
        <v>0</v>
      </c>
      <c r="AU221" s="71">
        <f t="shared" si="2675"/>
        <v>0</v>
      </c>
      <c r="AV221" s="71">
        <f t="shared" si="2676"/>
        <v>0</v>
      </c>
      <c r="AW221" s="71">
        <f t="shared" si="2677"/>
        <v>0</v>
      </c>
      <c r="AX221" s="71">
        <f t="shared" si="2678"/>
        <v>0</v>
      </c>
      <c r="AY221" s="71">
        <f t="shared" si="2679"/>
        <v>0</v>
      </c>
      <c r="AZ221" s="72">
        <f t="shared" si="2680"/>
        <v>0</v>
      </c>
      <c r="BA221" s="70">
        <f t="shared" si="2238"/>
        <v>12</v>
      </c>
      <c r="BB221" s="69">
        <f t="shared" ca="1" si="2239"/>
        <v>0.92307692307692313</v>
      </c>
      <c r="BC221" s="70">
        <f t="shared" si="2681"/>
        <v>35</v>
      </c>
      <c r="BD221" s="71">
        <f t="shared" si="2682"/>
        <v>0</v>
      </c>
      <c r="BE221" s="71">
        <f t="shared" si="2683"/>
        <v>0</v>
      </c>
      <c r="BF221" s="71">
        <f t="shared" si="2684"/>
        <v>0</v>
      </c>
      <c r="BG221" s="71">
        <f t="shared" si="2685"/>
        <v>0</v>
      </c>
      <c r="BH221" s="71">
        <f t="shared" si="2686"/>
        <v>46</v>
      </c>
      <c r="BI221" s="71">
        <f t="shared" si="2687"/>
        <v>0</v>
      </c>
      <c r="BJ221" s="71">
        <f t="shared" si="2688"/>
        <v>0</v>
      </c>
      <c r="BK221" s="71">
        <f t="shared" si="2689"/>
        <v>0</v>
      </c>
      <c r="BL221" s="71">
        <f t="shared" si="2690"/>
        <v>0</v>
      </c>
      <c r="BM221" s="71">
        <f t="shared" si="2691"/>
        <v>0</v>
      </c>
      <c r="BN221" s="71">
        <f t="shared" si="2692"/>
        <v>0</v>
      </c>
      <c r="BO221" s="71">
        <f t="shared" si="2693"/>
        <v>0</v>
      </c>
      <c r="BP221" s="71">
        <f t="shared" si="2694"/>
        <v>0</v>
      </c>
      <c r="BQ221" s="71">
        <f t="shared" si="2695"/>
        <v>0</v>
      </c>
      <c r="BR221" s="71">
        <f t="shared" si="2696"/>
        <v>0</v>
      </c>
      <c r="BS221" s="71">
        <f t="shared" si="2697"/>
        <v>0</v>
      </c>
      <c r="BT221" s="71">
        <f t="shared" si="2698"/>
        <v>0</v>
      </c>
      <c r="BU221" s="71">
        <f t="shared" si="2699"/>
        <v>0</v>
      </c>
      <c r="BV221" s="71">
        <f t="shared" si="2700"/>
        <v>0</v>
      </c>
      <c r="BW221" s="71">
        <f t="shared" si="2701"/>
        <v>0</v>
      </c>
      <c r="BX221" s="71">
        <f t="shared" si="2702"/>
        <v>0</v>
      </c>
      <c r="BY221" s="71">
        <f t="shared" si="2703"/>
        <v>0</v>
      </c>
      <c r="BZ221" s="71">
        <f t="shared" si="2704"/>
        <v>0</v>
      </c>
      <c r="CA221" s="71">
        <f t="shared" si="2705"/>
        <v>0</v>
      </c>
      <c r="CB221" s="71">
        <f t="shared" si="2706"/>
        <v>0</v>
      </c>
      <c r="CC221" s="71">
        <f t="shared" si="2707"/>
        <v>0</v>
      </c>
      <c r="CD221" s="71">
        <f t="shared" si="2708"/>
        <v>0</v>
      </c>
      <c r="CE221" s="71">
        <f t="shared" si="2709"/>
        <v>0</v>
      </c>
      <c r="CF221" s="71">
        <f t="shared" si="2710"/>
        <v>0</v>
      </c>
      <c r="CG221" s="71">
        <f t="shared" si="2711"/>
        <v>0</v>
      </c>
      <c r="CH221" s="70">
        <f t="shared" si="2241"/>
        <v>81</v>
      </c>
      <c r="CI221" s="69">
        <f t="shared" ca="1" si="2242"/>
        <v>6.2307692307692308</v>
      </c>
      <c r="GM221" s="2" t="s">
        <v>16</v>
      </c>
      <c r="GN221" s="101" t="str">
        <f t="shared" si="2236"/>
        <v>GUJ01-FMCG02-SPO-01</v>
      </c>
      <c r="GO221" s="4">
        <v>1</v>
      </c>
      <c r="GP221" s="3">
        <v>1</v>
      </c>
      <c r="GQ221" s="3">
        <v>1</v>
      </c>
      <c r="GR221" s="3">
        <v>0</v>
      </c>
      <c r="GS221" s="3">
        <v>1</v>
      </c>
      <c r="GT221" s="3">
        <v>1</v>
      </c>
      <c r="GU221" s="3">
        <v>1</v>
      </c>
      <c r="GV221" s="3">
        <v>1</v>
      </c>
      <c r="GW221" s="3">
        <v>1</v>
      </c>
      <c r="GX221" s="3">
        <v>1</v>
      </c>
      <c r="GY221" s="3">
        <v>0</v>
      </c>
      <c r="GZ221" s="3">
        <v>1</v>
      </c>
      <c r="HA221" s="3">
        <v>1</v>
      </c>
      <c r="HB221" s="3">
        <v>1</v>
      </c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6"/>
      <c r="HT221" s="4">
        <v>35</v>
      </c>
      <c r="HU221" s="3">
        <v>0</v>
      </c>
      <c r="HV221" s="3">
        <v>0</v>
      </c>
      <c r="HW221" s="3">
        <v>0</v>
      </c>
      <c r="HX221" s="3">
        <v>0</v>
      </c>
      <c r="HY221" s="3">
        <v>46</v>
      </c>
      <c r="HZ221" s="3">
        <v>0</v>
      </c>
      <c r="IA221" s="3">
        <v>0</v>
      </c>
      <c r="IB221" s="3">
        <v>0</v>
      </c>
      <c r="IC221" s="3">
        <v>0</v>
      </c>
      <c r="ID221" s="3">
        <v>0</v>
      </c>
      <c r="IE221" s="3">
        <v>0</v>
      </c>
      <c r="IF221" s="3">
        <v>0</v>
      </c>
      <c r="IG221" s="3">
        <v>0</v>
      </c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6"/>
    </row>
    <row r="222" spans="1:258" hidden="1">
      <c r="A222" s="97" t="s">
        <v>25</v>
      </c>
      <c r="B222" s="98" t="s">
        <v>90</v>
      </c>
      <c r="C222" s="98" t="s">
        <v>511</v>
      </c>
      <c r="D222" s="99" t="s">
        <v>1218</v>
      </c>
      <c r="E222" s="98" t="s">
        <v>986</v>
      </c>
      <c r="F222" s="98" t="s">
        <v>1064</v>
      </c>
      <c r="G222" s="98" t="s">
        <v>540</v>
      </c>
      <c r="H222" s="98" t="s">
        <v>1554</v>
      </c>
      <c r="I222" s="98" t="s">
        <v>1554</v>
      </c>
      <c r="J222" s="98" t="s">
        <v>1219</v>
      </c>
      <c r="K222" s="98" t="s">
        <v>179</v>
      </c>
      <c r="L222" s="98" t="s">
        <v>541</v>
      </c>
      <c r="M222" s="101" t="s">
        <v>1093</v>
      </c>
      <c r="N222" s="139">
        <v>45833</v>
      </c>
      <c r="O222" s="100">
        <v>1</v>
      </c>
      <c r="P222" s="69">
        <v>0</v>
      </c>
      <c r="Q222" s="69">
        <f t="shared" si="2577"/>
        <v>1</v>
      </c>
      <c r="R222" s="69">
        <f t="shared" si="2647"/>
        <v>1</v>
      </c>
      <c r="S222" s="69">
        <f>IFERROR(IF(OR(BP222&gt;0),1,0),0)</f>
        <v>1</v>
      </c>
      <c r="T222" s="69">
        <f t="shared" si="2648"/>
        <v>1</v>
      </c>
      <c r="U222" s="69">
        <f t="shared" si="2649"/>
        <v>1</v>
      </c>
      <c r="V222" s="70">
        <f t="shared" si="2650"/>
        <v>1</v>
      </c>
      <c r="W222" s="71">
        <f t="shared" si="2651"/>
        <v>1</v>
      </c>
      <c r="X222" s="71">
        <f t="shared" si="2652"/>
        <v>1</v>
      </c>
      <c r="Y222" s="71">
        <f t="shared" si="2653"/>
        <v>0</v>
      </c>
      <c r="Z222" s="71">
        <f t="shared" si="2654"/>
        <v>1</v>
      </c>
      <c r="AA222" s="71">
        <f t="shared" si="2655"/>
        <v>1</v>
      </c>
      <c r="AB222" s="71">
        <f t="shared" si="2656"/>
        <v>1</v>
      </c>
      <c r="AC222" s="71">
        <f t="shared" si="2657"/>
        <v>1</v>
      </c>
      <c r="AD222" s="71">
        <f t="shared" si="2658"/>
        <v>1</v>
      </c>
      <c r="AE222" s="71">
        <f t="shared" si="2659"/>
        <v>1</v>
      </c>
      <c r="AF222" s="71">
        <f t="shared" si="2660"/>
        <v>0</v>
      </c>
      <c r="AG222" s="71">
        <f t="shared" si="2661"/>
        <v>1</v>
      </c>
      <c r="AH222" s="71">
        <f t="shared" si="2662"/>
        <v>1</v>
      </c>
      <c r="AI222" s="71">
        <f t="shared" si="2663"/>
        <v>1</v>
      </c>
      <c r="AJ222" s="71">
        <f t="shared" si="2664"/>
        <v>0</v>
      </c>
      <c r="AK222" s="71">
        <f t="shared" si="2665"/>
        <v>0</v>
      </c>
      <c r="AL222" s="71">
        <f t="shared" si="2666"/>
        <v>0</v>
      </c>
      <c r="AM222" s="71">
        <f t="shared" si="2667"/>
        <v>0</v>
      </c>
      <c r="AN222" s="71">
        <f t="shared" si="2668"/>
        <v>0</v>
      </c>
      <c r="AO222" s="71">
        <f t="shared" si="2669"/>
        <v>0</v>
      </c>
      <c r="AP222" s="71">
        <f t="shared" si="2670"/>
        <v>0</v>
      </c>
      <c r="AQ222" s="71">
        <f t="shared" si="2671"/>
        <v>0</v>
      </c>
      <c r="AR222" s="71">
        <f t="shared" si="2672"/>
        <v>0</v>
      </c>
      <c r="AS222" s="71">
        <f t="shared" si="2673"/>
        <v>0</v>
      </c>
      <c r="AT222" s="71">
        <f t="shared" si="2674"/>
        <v>0</v>
      </c>
      <c r="AU222" s="71">
        <f t="shared" si="2675"/>
        <v>0</v>
      </c>
      <c r="AV222" s="71">
        <f t="shared" si="2676"/>
        <v>0</v>
      </c>
      <c r="AW222" s="71">
        <f t="shared" si="2677"/>
        <v>0</v>
      </c>
      <c r="AX222" s="71">
        <f t="shared" si="2678"/>
        <v>0</v>
      </c>
      <c r="AY222" s="71">
        <f t="shared" si="2679"/>
        <v>0</v>
      </c>
      <c r="AZ222" s="72">
        <f t="shared" si="2680"/>
        <v>0</v>
      </c>
      <c r="BA222" s="70">
        <f t="shared" si="2238"/>
        <v>12</v>
      </c>
      <c r="BB222" s="69">
        <f t="shared" ca="1" si="2239"/>
        <v>0.92307692307692313</v>
      </c>
      <c r="BC222" s="70">
        <f t="shared" si="2681"/>
        <v>0</v>
      </c>
      <c r="BD222" s="71">
        <f t="shared" si="2682"/>
        <v>0</v>
      </c>
      <c r="BE222" s="71">
        <f t="shared" si="2683"/>
        <v>0</v>
      </c>
      <c r="BF222" s="71">
        <f t="shared" si="2684"/>
        <v>0</v>
      </c>
      <c r="BG222" s="71">
        <f t="shared" si="2685"/>
        <v>0</v>
      </c>
      <c r="BH222" s="71">
        <f t="shared" si="2686"/>
        <v>9</v>
      </c>
      <c r="BI222" s="71">
        <f t="shared" si="2687"/>
        <v>0</v>
      </c>
      <c r="BJ222" s="71">
        <f t="shared" si="2688"/>
        <v>0</v>
      </c>
      <c r="BK222" s="71">
        <f t="shared" si="2689"/>
        <v>0</v>
      </c>
      <c r="BL222" s="71">
        <f t="shared" si="2690"/>
        <v>0</v>
      </c>
      <c r="BM222" s="71">
        <f t="shared" si="2691"/>
        <v>0</v>
      </c>
      <c r="BN222" s="71">
        <f t="shared" si="2692"/>
        <v>20</v>
      </c>
      <c r="BO222" s="71">
        <f t="shared" si="2693"/>
        <v>0</v>
      </c>
      <c r="BP222" s="71">
        <f t="shared" si="2694"/>
        <v>6</v>
      </c>
      <c r="BQ222" s="71">
        <f t="shared" si="2695"/>
        <v>0</v>
      </c>
      <c r="BR222" s="71">
        <f t="shared" si="2696"/>
        <v>0</v>
      </c>
      <c r="BS222" s="71">
        <f t="shared" si="2697"/>
        <v>0</v>
      </c>
      <c r="BT222" s="71">
        <f t="shared" si="2698"/>
        <v>0</v>
      </c>
      <c r="BU222" s="71">
        <f t="shared" si="2699"/>
        <v>0</v>
      </c>
      <c r="BV222" s="71">
        <f t="shared" si="2700"/>
        <v>0</v>
      </c>
      <c r="BW222" s="71">
        <f t="shared" si="2701"/>
        <v>0</v>
      </c>
      <c r="BX222" s="71">
        <f t="shared" si="2702"/>
        <v>0</v>
      </c>
      <c r="BY222" s="71">
        <f t="shared" si="2703"/>
        <v>0</v>
      </c>
      <c r="BZ222" s="71">
        <f t="shared" si="2704"/>
        <v>0</v>
      </c>
      <c r="CA222" s="71">
        <f t="shared" si="2705"/>
        <v>0</v>
      </c>
      <c r="CB222" s="71">
        <f t="shared" si="2706"/>
        <v>0</v>
      </c>
      <c r="CC222" s="71">
        <f t="shared" si="2707"/>
        <v>0</v>
      </c>
      <c r="CD222" s="71">
        <f t="shared" si="2708"/>
        <v>0</v>
      </c>
      <c r="CE222" s="71">
        <f t="shared" si="2709"/>
        <v>0</v>
      </c>
      <c r="CF222" s="71">
        <f t="shared" si="2710"/>
        <v>0</v>
      </c>
      <c r="CG222" s="71">
        <f t="shared" si="2711"/>
        <v>0</v>
      </c>
      <c r="CH222" s="70">
        <f t="shared" si="2241"/>
        <v>35</v>
      </c>
      <c r="CI222" s="69">
        <f t="shared" ca="1" si="2242"/>
        <v>2.6923076923076925</v>
      </c>
      <c r="GM222" s="2" t="s">
        <v>16</v>
      </c>
      <c r="GN222" s="98" t="str">
        <f t="shared" si="2236"/>
        <v>GUJ01-FMCG-SPO-01</v>
      </c>
      <c r="GO222" s="4">
        <v>1</v>
      </c>
      <c r="GP222" s="3">
        <v>1</v>
      </c>
      <c r="GQ222" s="3">
        <v>1</v>
      </c>
      <c r="GR222" s="3">
        <v>0</v>
      </c>
      <c r="GS222" s="3">
        <v>1</v>
      </c>
      <c r="GT222" s="3">
        <v>1</v>
      </c>
      <c r="GU222" s="3">
        <v>1</v>
      </c>
      <c r="GV222" s="3">
        <v>1</v>
      </c>
      <c r="GW222" s="3">
        <v>1</v>
      </c>
      <c r="GX222" s="3">
        <v>1</v>
      </c>
      <c r="GY222" s="3">
        <v>0</v>
      </c>
      <c r="GZ222" s="3">
        <v>1</v>
      </c>
      <c r="HA222" s="3">
        <v>1</v>
      </c>
      <c r="HB222" s="3">
        <v>1</v>
      </c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6"/>
      <c r="HT222" s="4">
        <v>0</v>
      </c>
      <c r="HU222" s="3">
        <v>0</v>
      </c>
      <c r="HV222" s="3">
        <v>0</v>
      </c>
      <c r="HW222" s="3">
        <v>0</v>
      </c>
      <c r="HX222" s="3">
        <v>0</v>
      </c>
      <c r="HY222" s="3">
        <v>9</v>
      </c>
      <c r="HZ222" s="3">
        <v>0</v>
      </c>
      <c r="IA222" s="3">
        <v>0</v>
      </c>
      <c r="IB222" s="3">
        <v>0</v>
      </c>
      <c r="IC222" s="3">
        <v>0</v>
      </c>
      <c r="ID222" s="3">
        <v>0</v>
      </c>
      <c r="IE222" s="3">
        <v>20</v>
      </c>
      <c r="IF222" s="3">
        <v>0</v>
      </c>
      <c r="IG222" s="3">
        <v>6</v>
      </c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6"/>
    </row>
    <row r="223" spans="1:258" hidden="1">
      <c r="A223" s="97" t="s">
        <v>1287</v>
      </c>
      <c r="B223" s="98" t="s">
        <v>20</v>
      </c>
      <c r="C223" s="98" t="s">
        <v>511</v>
      </c>
      <c r="D223" s="99" t="s">
        <v>1218</v>
      </c>
      <c r="E223" s="98" t="s">
        <v>1098</v>
      </c>
      <c r="F223" s="98" t="s">
        <v>547</v>
      </c>
      <c r="G223" s="98" t="s">
        <v>548</v>
      </c>
      <c r="H223" s="98" t="s">
        <v>1555</v>
      </c>
      <c r="I223" s="98" t="s">
        <v>1555</v>
      </c>
      <c r="J223" s="98" t="s">
        <v>871</v>
      </c>
      <c r="K223" s="98" t="s">
        <v>1099</v>
      </c>
      <c r="L223" s="98" t="s">
        <v>1099</v>
      </c>
      <c r="M223" s="98" t="s">
        <v>1099</v>
      </c>
      <c r="N223" s="108">
        <v>45474</v>
      </c>
      <c r="O223" s="100">
        <v>0</v>
      </c>
      <c r="P223" s="69">
        <v>0</v>
      </c>
      <c r="Q223" s="69">
        <f t="shared" si="2577"/>
        <v>0</v>
      </c>
      <c r="R223" s="69">
        <f t="shared" si="2647"/>
        <v>0</v>
      </c>
      <c r="S223" s="69">
        <f>IFERROR(IF(OR(BP223&gt;0),1,0),0)</f>
        <v>0</v>
      </c>
      <c r="T223" s="69">
        <f t="shared" si="2648"/>
        <v>0</v>
      </c>
      <c r="U223" s="69">
        <f t="shared" si="2649"/>
        <v>0</v>
      </c>
      <c r="V223" s="70">
        <f t="shared" si="2650"/>
        <v>0</v>
      </c>
      <c r="W223" s="71">
        <f t="shared" si="2651"/>
        <v>0</v>
      </c>
      <c r="X223" s="71">
        <f t="shared" si="2652"/>
        <v>0</v>
      </c>
      <c r="Y223" s="71">
        <f t="shared" si="2653"/>
        <v>0</v>
      </c>
      <c r="Z223" s="71">
        <f t="shared" si="2654"/>
        <v>0</v>
      </c>
      <c r="AA223" s="71">
        <f t="shared" si="2655"/>
        <v>0</v>
      </c>
      <c r="AB223" s="71">
        <f t="shared" si="2656"/>
        <v>0</v>
      </c>
      <c r="AC223" s="71">
        <f t="shared" si="2657"/>
        <v>0</v>
      </c>
      <c r="AD223" s="71">
        <f t="shared" si="2658"/>
        <v>0</v>
      </c>
      <c r="AE223" s="71">
        <f t="shared" si="2659"/>
        <v>0</v>
      </c>
      <c r="AF223" s="71">
        <f t="shared" si="2660"/>
        <v>0</v>
      </c>
      <c r="AG223" s="71">
        <f t="shared" si="2661"/>
        <v>0</v>
      </c>
      <c r="AH223" s="71">
        <f t="shared" si="2662"/>
        <v>0</v>
      </c>
      <c r="AI223" s="71">
        <f t="shared" si="2663"/>
        <v>0</v>
      </c>
      <c r="AJ223" s="71">
        <f t="shared" si="2664"/>
        <v>0</v>
      </c>
      <c r="AK223" s="71">
        <f t="shared" si="2665"/>
        <v>0</v>
      </c>
      <c r="AL223" s="71">
        <f t="shared" si="2666"/>
        <v>0</v>
      </c>
      <c r="AM223" s="71">
        <f t="shared" si="2667"/>
        <v>0</v>
      </c>
      <c r="AN223" s="71">
        <f t="shared" si="2668"/>
        <v>0</v>
      </c>
      <c r="AO223" s="71">
        <f t="shared" si="2669"/>
        <v>0</v>
      </c>
      <c r="AP223" s="71">
        <f t="shared" si="2670"/>
        <v>0</v>
      </c>
      <c r="AQ223" s="71">
        <f t="shared" si="2671"/>
        <v>0</v>
      </c>
      <c r="AR223" s="71">
        <f t="shared" si="2672"/>
        <v>0</v>
      </c>
      <c r="AS223" s="71">
        <f t="shared" si="2673"/>
        <v>0</v>
      </c>
      <c r="AT223" s="71">
        <f t="shared" si="2674"/>
        <v>0</v>
      </c>
      <c r="AU223" s="71">
        <f t="shared" si="2675"/>
        <v>0</v>
      </c>
      <c r="AV223" s="71">
        <f t="shared" si="2676"/>
        <v>0</v>
      </c>
      <c r="AW223" s="71">
        <f t="shared" si="2677"/>
        <v>0</v>
      </c>
      <c r="AX223" s="71">
        <f t="shared" si="2678"/>
        <v>0</v>
      </c>
      <c r="AY223" s="71">
        <f t="shared" si="2679"/>
        <v>0</v>
      </c>
      <c r="AZ223" s="72">
        <f t="shared" si="2680"/>
        <v>0</v>
      </c>
      <c r="BA223" s="70">
        <f t="shared" si="2238"/>
        <v>0</v>
      </c>
      <c r="BB223" s="69">
        <f t="shared" ca="1" si="2239"/>
        <v>0</v>
      </c>
      <c r="BC223" s="70">
        <f t="shared" si="2681"/>
        <v>0</v>
      </c>
      <c r="BD223" s="71">
        <f t="shared" si="2682"/>
        <v>0</v>
      </c>
      <c r="BE223" s="71">
        <f t="shared" si="2683"/>
        <v>0</v>
      </c>
      <c r="BF223" s="71">
        <f t="shared" si="2684"/>
        <v>0</v>
      </c>
      <c r="BG223" s="71">
        <f t="shared" si="2685"/>
        <v>0</v>
      </c>
      <c r="BH223" s="71">
        <f t="shared" si="2686"/>
        <v>0</v>
      </c>
      <c r="BI223" s="71">
        <f t="shared" si="2687"/>
        <v>0</v>
      </c>
      <c r="BJ223" s="71">
        <f t="shared" si="2688"/>
        <v>0</v>
      </c>
      <c r="BK223" s="71">
        <f t="shared" si="2689"/>
        <v>0</v>
      </c>
      <c r="BL223" s="71">
        <f t="shared" si="2690"/>
        <v>0</v>
      </c>
      <c r="BM223" s="71">
        <f t="shared" si="2691"/>
        <v>0</v>
      </c>
      <c r="BN223" s="71">
        <f t="shared" si="2692"/>
        <v>0</v>
      </c>
      <c r="BO223" s="71">
        <f t="shared" si="2693"/>
        <v>0</v>
      </c>
      <c r="BP223" s="71">
        <f t="shared" si="2694"/>
        <v>0</v>
      </c>
      <c r="BQ223" s="71">
        <f t="shared" si="2695"/>
        <v>0</v>
      </c>
      <c r="BR223" s="71">
        <f t="shared" si="2696"/>
        <v>0</v>
      </c>
      <c r="BS223" s="71">
        <f t="shared" si="2697"/>
        <v>0</v>
      </c>
      <c r="BT223" s="71">
        <f t="shared" si="2698"/>
        <v>0</v>
      </c>
      <c r="BU223" s="71">
        <f t="shared" si="2699"/>
        <v>0</v>
      </c>
      <c r="BV223" s="71">
        <f t="shared" si="2700"/>
        <v>0</v>
      </c>
      <c r="BW223" s="71">
        <f t="shared" si="2701"/>
        <v>0</v>
      </c>
      <c r="BX223" s="71">
        <f t="shared" si="2702"/>
        <v>0</v>
      </c>
      <c r="BY223" s="71">
        <f t="shared" si="2703"/>
        <v>0</v>
      </c>
      <c r="BZ223" s="71">
        <f t="shared" si="2704"/>
        <v>0</v>
      </c>
      <c r="CA223" s="71">
        <f t="shared" si="2705"/>
        <v>0</v>
      </c>
      <c r="CB223" s="71">
        <f t="shared" si="2706"/>
        <v>0</v>
      </c>
      <c r="CC223" s="71">
        <f t="shared" si="2707"/>
        <v>0</v>
      </c>
      <c r="CD223" s="71">
        <f t="shared" si="2708"/>
        <v>0</v>
      </c>
      <c r="CE223" s="71">
        <f t="shared" si="2709"/>
        <v>0</v>
      </c>
      <c r="CF223" s="71">
        <f t="shared" si="2710"/>
        <v>0</v>
      </c>
      <c r="CG223" s="71">
        <f t="shared" si="2711"/>
        <v>0</v>
      </c>
      <c r="CH223" s="70">
        <f t="shared" si="2241"/>
        <v>0</v>
      </c>
      <c r="CI223" s="69">
        <f t="shared" ca="1" si="2242"/>
        <v>0</v>
      </c>
      <c r="GM223" s="2" t="s">
        <v>16</v>
      </c>
      <c r="GN223" s="98" t="str">
        <f t="shared" si="2236"/>
        <v>GUJ01-FMCG-SPO-00</v>
      </c>
      <c r="GO223" s="4">
        <v>0</v>
      </c>
      <c r="GP223" s="3">
        <v>0</v>
      </c>
      <c r="GQ223" s="3">
        <v>0</v>
      </c>
      <c r="GR223" s="3">
        <v>0</v>
      </c>
      <c r="GS223" s="3">
        <v>0</v>
      </c>
      <c r="GT223" s="3">
        <v>0</v>
      </c>
      <c r="GU223" s="3">
        <v>0</v>
      </c>
      <c r="GV223" s="3">
        <v>0</v>
      </c>
      <c r="GW223" s="3">
        <v>0</v>
      </c>
      <c r="GX223" s="3">
        <v>0</v>
      </c>
      <c r="GY223" s="3">
        <v>0</v>
      </c>
      <c r="GZ223" s="3">
        <v>0</v>
      </c>
      <c r="HA223" s="3">
        <v>0</v>
      </c>
      <c r="HB223" s="3">
        <v>0</v>
      </c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6"/>
      <c r="HT223" s="4">
        <v>0</v>
      </c>
      <c r="HU223" s="3">
        <v>0</v>
      </c>
      <c r="HV223" s="3">
        <v>0</v>
      </c>
      <c r="HW223" s="3">
        <v>0</v>
      </c>
      <c r="HX223" s="3">
        <v>0</v>
      </c>
      <c r="HY223" s="3">
        <v>0</v>
      </c>
      <c r="HZ223" s="3">
        <v>0</v>
      </c>
      <c r="IA223" s="3">
        <v>0</v>
      </c>
      <c r="IB223" s="3">
        <v>0</v>
      </c>
      <c r="IC223" s="3">
        <v>0</v>
      </c>
      <c r="ID223" s="3">
        <v>0</v>
      </c>
      <c r="IE223" s="3">
        <v>0</v>
      </c>
      <c r="IF223" s="3">
        <v>0</v>
      </c>
      <c r="IG223" s="3">
        <v>0</v>
      </c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6"/>
    </row>
    <row r="224" spans="1:258" hidden="1">
      <c r="A224" s="97" t="s">
        <v>1380</v>
      </c>
      <c r="B224" s="98" t="s">
        <v>20</v>
      </c>
      <c r="C224" s="98" t="s">
        <v>511</v>
      </c>
      <c r="D224" s="99" t="s">
        <v>1218</v>
      </c>
      <c r="E224" s="98" t="s">
        <v>549</v>
      </c>
      <c r="F224" s="98" t="s">
        <v>550</v>
      </c>
      <c r="G224" s="98" t="s">
        <v>551</v>
      </c>
      <c r="H224" s="98" t="s">
        <v>1220</v>
      </c>
      <c r="I224" s="98" t="s">
        <v>1220</v>
      </c>
      <c r="J224" s="98" t="s">
        <v>871</v>
      </c>
      <c r="K224" s="98" t="s">
        <v>1127</v>
      </c>
      <c r="L224" s="98" t="s">
        <v>552</v>
      </c>
      <c r="M224" s="98" t="s">
        <v>1093</v>
      </c>
      <c r="N224" s="108">
        <v>44999</v>
      </c>
      <c r="O224" s="100">
        <v>0</v>
      </c>
      <c r="P224" s="69">
        <v>0</v>
      </c>
      <c r="Q224" s="69">
        <f t="shared" si="2577"/>
        <v>0</v>
      </c>
      <c r="R224" s="69">
        <f t="shared" si="2647"/>
        <v>0</v>
      </c>
      <c r="S224" s="69">
        <f>IFERROR(IF(OR(BP224&gt;0),1,0),0)</f>
        <v>0</v>
      </c>
      <c r="T224" s="69">
        <f t="shared" si="2648"/>
        <v>0</v>
      </c>
      <c r="U224" s="69">
        <f t="shared" si="2649"/>
        <v>0</v>
      </c>
      <c r="V224" s="70">
        <f t="shared" si="2650"/>
        <v>0</v>
      </c>
      <c r="W224" s="71">
        <f t="shared" si="2651"/>
        <v>0</v>
      </c>
      <c r="X224" s="71">
        <f t="shared" si="2652"/>
        <v>0</v>
      </c>
      <c r="Y224" s="71">
        <f t="shared" si="2653"/>
        <v>0</v>
      </c>
      <c r="Z224" s="71">
        <f t="shared" si="2654"/>
        <v>0</v>
      </c>
      <c r="AA224" s="71">
        <f t="shared" si="2655"/>
        <v>0</v>
      </c>
      <c r="AB224" s="71">
        <f t="shared" si="2656"/>
        <v>0</v>
      </c>
      <c r="AC224" s="71">
        <f t="shared" si="2657"/>
        <v>0</v>
      </c>
      <c r="AD224" s="71">
        <f t="shared" si="2658"/>
        <v>0</v>
      </c>
      <c r="AE224" s="71">
        <f t="shared" si="2659"/>
        <v>0</v>
      </c>
      <c r="AF224" s="71">
        <f t="shared" si="2660"/>
        <v>0</v>
      </c>
      <c r="AG224" s="71">
        <f t="shared" si="2661"/>
        <v>0</v>
      </c>
      <c r="AH224" s="71">
        <f t="shared" si="2662"/>
        <v>0</v>
      </c>
      <c r="AI224" s="71">
        <f t="shared" si="2663"/>
        <v>0</v>
      </c>
      <c r="AJ224" s="71">
        <f t="shared" si="2664"/>
        <v>0</v>
      </c>
      <c r="AK224" s="71">
        <f t="shared" si="2665"/>
        <v>0</v>
      </c>
      <c r="AL224" s="71">
        <f t="shared" si="2666"/>
        <v>0</v>
      </c>
      <c r="AM224" s="71">
        <f t="shared" si="2667"/>
        <v>0</v>
      </c>
      <c r="AN224" s="71">
        <f t="shared" si="2668"/>
        <v>0</v>
      </c>
      <c r="AO224" s="71">
        <f t="shared" si="2669"/>
        <v>0</v>
      </c>
      <c r="AP224" s="71">
        <f t="shared" si="2670"/>
        <v>0</v>
      </c>
      <c r="AQ224" s="71">
        <f t="shared" si="2671"/>
        <v>0</v>
      </c>
      <c r="AR224" s="71">
        <f t="shared" si="2672"/>
        <v>0</v>
      </c>
      <c r="AS224" s="71">
        <f t="shared" si="2673"/>
        <v>0</v>
      </c>
      <c r="AT224" s="71">
        <f t="shared" si="2674"/>
        <v>0</v>
      </c>
      <c r="AU224" s="71">
        <f t="shared" si="2675"/>
        <v>0</v>
      </c>
      <c r="AV224" s="71">
        <f t="shared" si="2676"/>
        <v>0</v>
      </c>
      <c r="AW224" s="71">
        <f t="shared" si="2677"/>
        <v>0</v>
      </c>
      <c r="AX224" s="71">
        <f t="shared" si="2678"/>
        <v>0</v>
      </c>
      <c r="AY224" s="71">
        <f t="shared" si="2679"/>
        <v>0</v>
      </c>
      <c r="AZ224" s="72">
        <f t="shared" si="2680"/>
        <v>0</v>
      </c>
      <c r="BA224" s="70">
        <f t="shared" si="2238"/>
        <v>0</v>
      </c>
      <c r="BB224" s="69">
        <f t="shared" ca="1" si="2239"/>
        <v>0</v>
      </c>
      <c r="BC224" s="70">
        <f t="shared" si="2681"/>
        <v>0</v>
      </c>
      <c r="BD224" s="71">
        <f t="shared" si="2682"/>
        <v>0</v>
      </c>
      <c r="BE224" s="71">
        <f t="shared" si="2683"/>
        <v>0</v>
      </c>
      <c r="BF224" s="71">
        <f t="shared" si="2684"/>
        <v>0</v>
      </c>
      <c r="BG224" s="71">
        <f t="shared" si="2685"/>
        <v>0</v>
      </c>
      <c r="BH224" s="71">
        <f t="shared" si="2686"/>
        <v>0</v>
      </c>
      <c r="BI224" s="71">
        <f t="shared" si="2687"/>
        <v>0</v>
      </c>
      <c r="BJ224" s="71">
        <f t="shared" si="2688"/>
        <v>0</v>
      </c>
      <c r="BK224" s="71">
        <f t="shared" si="2689"/>
        <v>0</v>
      </c>
      <c r="BL224" s="71">
        <f t="shared" si="2690"/>
        <v>0</v>
      </c>
      <c r="BM224" s="71">
        <f t="shared" si="2691"/>
        <v>0</v>
      </c>
      <c r="BN224" s="71">
        <f t="shared" si="2692"/>
        <v>0</v>
      </c>
      <c r="BO224" s="71">
        <f t="shared" si="2693"/>
        <v>0</v>
      </c>
      <c r="BP224" s="71">
        <f t="shared" si="2694"/>
        <v>0</v>
      </c>
      <c r="BQ224" s="71">
        <f t="shared" si="2695"/>
        <v>0</v>
      </c>
      <c r="BR224" s="71">
        <f t="shared" si="2696"/>
        <v>0</v>
      </c>
      <c r="BS224" s="71">
        <f t="shared" si="2697"/>
        <v>0</v>
      </c>
      <c r="BT224" s="71">
        <f t="shared" si="2698"/>
        <v>0</v>
      </c>
      <c r="BU224" s="71">
        <f t="shared" si="2699"/>
        <v>0</v>
      </c>
      <c r="BV224" s="71">
        <f t="shared" si="2700"/>
        <v>0</v>
      </c>
      <c r="BW224" s="71">
        <f t="shared" si="2701"/>
        <v>0</v>
      </c>
      <c r="BX224" s="71">
        <f t="shared" si="2702"/>
        <v>0</v>
      </c>
      <c r="BY224" s="71">
        <f t="shared" si="2703"/>
        <v>0</v>
      </c>
      <c r="BZ224" s="71">
        <f t="shared" si="2704"/>
        <v>0</v>
      </c>
      <c r="CA224" s="71">
        <f t="shared" si="2705"/>
        <v>0</v>
      </c>
      <c r="CB224" s="71">
        <f t="shared" si="2706"/>
        <v>0</v>
      </c>
      <c r="CC224" s="71">
        <f t="shared" si="2707"/>
        <v>0</v>
      </c>
      <c r="CD224" s="71">
        <f t="shared" si="2708"/>
        <v>0</v>
      </c>
      <c r="CE224" s="71">
        <f t="shared" si="2709"/>
        <v>0</v>
      </c>
      <c r="CF224" s="71">
        <f t="shared" si="2710"/>
        <v>0</v>
      </c>
      <c r="CG224" s="71">
        <f t="shared" si="2711"/>
        <v>0</v>
      </c>
      <c r="CH224" s="70">
        <f t="shared" si="2241"/>
        <v>0</v>
      </c>
      <c r="CI224" s="69">
        <f t="shared" ca="1" si="2242"/>
        <v>0</v>
      </c>
      <c r="GM224" s="2" t="s">
        <v>16</v>
      </c>
      <c r="GN224" s="98" t="str">
        <f t="shared" si="2236"/>
        <v>GUJ01-FMCG-ASM-01</v>
      </c>
      <c r="GO224" s="4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6"/>
      <c r="HT224" s="4">
        <v>0</v>
      </c>
      <c r="HU224" s="3">
        <v>0</v>
      </c>
      <c r="HV224" s="3">
        <v>0</v>
      </c>
      <c r="HW224" s="3">
        <v>0</v>
      </c>
      <c r="HX224" s="3">
        <v>0</v>
      </c>
      <c r="HY224" s="3">
        <v>0</v>
      </c>
      <c r="HZ224" s="3">
        <v>0</v>
      </c>
      <c r="IA224" s="3">
        <v>0</v>
      </c>
      <c r="IB224" s="3">
        <v>0</v>
      </c>
      <c r="IC224" s="3">
        <v>0</v>
      </c>
      <c r="ID224" s="3">
        <v>0</v>
      </c>
      <c r="IE224" s="3">
        <v>0</v>
      </c>
      <c r="IF224" s="3">
        <v>0</v>
      </c>
      <c r="IG224" s="3">
        <v>0</v>
      </c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6"/>
    </row>
    <row r="225" spans="1:258" hidden="1">
      <c r="A225" s="102" t="s">
        <v>53</v>
      </c>
      <c r="B225" s="103" t="s">
        <v>20</v>
      </c>
      <c r="C225" s="103" t="s">
        <v>511</v>
      </c>
      <c r="D225" s="104" t="s">
        <v>1218</v>
      </c>
      <c r="E225" s="103" t="s">
        <v>549</v>
      </c>
      <c r="F225" s="103" t="s">
        <v>550</v>
      </c>
      <c r="G225" s="103" t="s">
        <v>551</v>
      </c>
      <c r="H225" s="103" t="s">
        <v>1220</v>
      </c>
      <c r="I225" s="103" t="s">
        <v>1220</v>
      </c>
      <c r="J225" s="103" t="s">
        <v>871</v>
      </c>
      <c r="K225" s="103" t="s">
        <v>1127</v>
      </c>
      <c r="L225" s="103" t="s">
        <v>552</v>
      </c>
      <c r="M225" s="103" t="s">
        <v>1093</v>
      </c>
      <c r="N225" s="119">
        <v>44999</v>
      </c>
      <c r="O225" s="105">
        <f>+O223+O222+O221+O220</f>
        <v>3</v>
      </c>
      <c r="P225" s="73">
        <f>P223+P222+P221+P220</f>
        <v>0</v>
      </c>
      <c r="Q225" s="73">
        <f t="shared" si="2577"/>
        <v>1</v>
      </c>
      <c r="R225" s="73">
        <f t="shared" ref="R225:AZ225" si="2712">R223+R222+R221+R220</f>
        <v>3</v>
      </c>
      <c r="S225" s="73">
        <f t="shared" si="2712"/>
        <v>2</v>
      </c>
      <c r="T225" s="73">
        <f t="shared" si="2712"/>
        <v>3</v>
      </c>
      <c r="U225" s="73">
        <f t="shared" si="2712"/>
        <v>3</v>
      </c>
      <c r="V225" s="74">
        <f t="shared" si="2712"/>
        <v>3</v>
      </c>
      <c r="W225" s="75">
        <f t="shared" si="2712"/>
        <v>3</v>
      </c>
      <c r="X225" s="75">
        <f t="shared" si="2712"/>
        <v>3</v>
      </c>
      <c r="Y225" s="75">
        <f t="shared" si="2712"/>
        <v>0</v>
      </c>
      <c r="Z225" s="75">
        <f t="shared" si="2712"/>
        <v>3</v>
      </c>
      <c r="AA225" s="75">
        <f t="shared" si="2712"/>
        <v>3</v>
      </c>
      <c r="AB225" s="75">
        <f t="shared" si="2712"/>
        <v>3</v>
      </c>
      <c r="AC225" s="75">
        <f t="shared" si="2712"/>
        <v>3</v>
      </c>
      <c r="AD225" s="75">
        <f t="shared" si="2712"/>
        <v>3</v>
      </c>
      <c r="AE225" s="75">
        <f t="shared" si="2712"/>
        <v>3</v>
      </c>
      <c r="AF225" s="75">
        <f t="shared" si="2712"/>
        <v>0</v>
      </c>
      <c r="AG225" s="75">
        <f t="shared" si="2712"/>
        <v>3</v>
      </c>
      <c r="AH225" s="75">
        <f t="shared" si="2712"/>
        <v>3</v>
      </c>
      <c r="AI225" s="75">
        <f t="shared" si="2712"/>
        <v>3</v>
      </c>
      <c r="AJ225" s="75">
        <f t="shared" si="2712"/>
        <v>0</v>
      </c>
      <c r="AK225" s="75">
        <f t="shared" si="2712"/>
        <v>0</v>
      </c>
      <c r="AL225" s="75">
        <f t="shared" si="2712"/>
        <v>0</v>
      </c>
      <c r="AM225" s="75">
        <f t="shared" si="2712"/>
        <v>0</v>
      </c>
      <c r="AN225" s="75">
        <f t="shared" si="2712"/>
        <v>0</v>
      </c>
      <c r="AO225" s="75">
        <f t="shared" si="2712"/>
        <v>0</v>
      </c>
      <c r="AP225" s="75">
        <f t="shared" si="2712"/>
        <v>0</v>
      </c>
      <c r="AQ225" s="75">
        <f t="shared" si="2712"/>
        <v>0</v>
      </c>
      <c r="AR225" s="75">
        <f t="shared" si="2712"/>
        <v>0</v>
      </c>
      <c r="AS225" s="75">
        <f t="shared" si="2712"/>
        <v>0</v>
      </c>
      <c r="AT225" s="75">
        <f t="shared" si="2712"/>
        <v>0</v>
      </c>
      <c r="AU225" s="75">
        <f t="shared" si="2712"/>
        <v>0</v>
      </c>
      <c r="AV225" s="75">
        <f t="shared" si="2712"/>
        <v>0</v>
      </c>
      <c r="AW225" s="75">
        <f t="shared" si="2712"/>
        <v>0</v>
      </c>
      <c r="AX225" s="75">
        <f t="shared" si="2712"/>
        <v>0</v>
      </c>
      <c r="AY225" s="75">
        <f t="shared" si="2712"/>
        <v>0</v>
      </c>
      <c r="AZ225" s="76">
        <f t="shared" si="2712"/>
        <v>0</v>
      </c>
      <c r="BA225" s="74">
        <f t="shared" si="2238"/>
        <v>36</v>
      </c>
      <c r="BB225" s="73">
        <f t="shared" ca="1" si="2239"/>
        <v>0.92307692307692302</v>
      </c>
      <c r="BC225" s="74">
        <f>BC223+BC222+BC221+BC220</f>
        <v>76</v>
      </c>
      <c r="BD225" s="75">
        <f>BD223+BD222+BD221+BD220</f>
        <v>35</v>
      </c>
      <c r="BE225" s="75">
        <f t="shared" ref="BE225:CG225" si="2713">BE223+BE222+BE221+BE220</f>
        <v>36</v>
      </c>
      <c r="BF225" s="75">
        <f t="shared" si="2713"/>
        <v>0</v>
      </c>
      <c r="BG225" s="75">
        <f t="shared" si="2713"/>
        <v>55</v>
      </c>
      <c r="BH225" s="75">
        <f t="shared" si="2713"/>
        <v>96</v>
      </c>
      <c r="BI225" s="75">
        <f t="shared" si="2713"/>
        <v>36</v>
      </c>
      <c r="BJ225" s="75">
        <f t="shared" si="2713"/>
        <v>45</v>
      </c>
      <c r="BK225" s="75">
        <f t="shared" si="2713"/>
        <v>45</v>
      </c>
      <c r="BL225" s="75">
        <f t="shared" si="2713"/>
        <v>56</v>
      </c>
      <c r="BM225" s="75">
        <f t="shared" si="2713"/>
        <v>0</v>
      </c>
      <c r="BN225" s="75">
        <f t="shared" si="2713"/>
        <v>62</v>
      </c>
      <c r="BO225" s="75">
        <f t="shared" si="2713"/>
        <v>0</v>
      </c>
      <c r="BP225" s="75">
        <f t="shared" si="2713"/>
        <v>32</v>
      </c>
      <c r="BQ225" s="75">
        <f t="shared" si="2713"/>
        <v>0</v>
      </c>
      <c r="BR225" s="75">
        <f t="shared" si="2713"/>
        <v>0</v>
      </c>
      <c r="BS225" s="75">
        <f t="shared" si="2713"/>
        <v>0</v>
      </c>
      <c r="BT225" s="75">
        <f t="shared" si="2713"/>
        <v>0</v>
      </c>
      <c r="BU225" s="75">
        <f t="shared" si="2713"/>
        <v>0</v>
      </c>
      <c r="BV225" s="75">
        <f t="shared" si="2713"/>
        <v>0</v>
      </c>
      <c r="BW225" s="75">
        <f t="shared" si="2713"/>
        <v>0</v>
      </c>
      <c r="BX225" s="75">
        <f t="shared" si="2713"/>
        <v>0</v>
      </c>
      <c r="BY225" s="75">
        <f t="shared" si="2713"/>
        <v>0</v>
      </c>
      <c r="BZ225" s="75">
        <f t="shared" si="2713"/>
        <v>0</v>
      </c>
      <c r="CA225" s="75">
        <f t="shared" si="2713"/>
        <v>0</v>
      </c>
      <c r="CB225" s="75">
        <f t="shared" si="2713"/>
        <v>0</v>
      </c>
      <c r="CC225" s="75">
        <f t="shared" si="2713"/>
        <v>0</v>
      </c>
      <c r="CD225" s="75">
        <f t="shared" si="2713"/>
        <v>0</v>
      </c>
      <c r="CE225" s="75">
        <f t="shared" si="2713"/>
        <v>0</v>
      </c>
      <c r="CF225" s="75">
        <f t="shared" si="2713"/>
        <v>0</v>
      </c>
      <c r="CG225" s="75">
        <f t="shared" si="2713"/>
        <v>0</v>
      </c>
      <c r="CH225" s="74">
        <f t="shared" si="2241"/>
        <v>574</v>
      </c>
      <c r="CI225" s="73">
        <f t="shared" ca="1" si="2242"/>
        <v>14.717948717948717</v>
      </c>
      <c r="GM225" s="2" t="s">
        <v>17</v>
      </c>
      <c r="GN225" s="103" t="str">
        <f t="shared" si="2236"/>
        <v>GUJ01-FMCG-ASM-01</v>
      </c>
      <c r="GO225" s="4">
        <v>0</v>
      </c>
      <c r="GP225" s="3">
        <v>0</v>
      </c>
      <c r="GQ225" s="3">
        <v>0</v>
      </c>
      <c r="GR225" s="3">
        <v>0</v>
      </c>
      <c r="GS225" s="3">
        <v>0</v>
      </c>
      <c r="GT225" s="3">
        <v>0</v>
      </c>
      <c r="GU225" s="3">
        <v>0</v>
      </c>
      <c r="GV225" s="3">
        <v>0</v>
      </c>
      <c r="GW225" s="3">
        <v>0</v>
      </c>
      <c r="GX225" s="3">
        <v>0</v>
      </c>
      <c r="GY225" s="3">
        <v>0</v>
      </c>
      <c r="GZ225" s="3">
        <v>0</v>
      </c>
      <c r="HA225" s="3">
        <v>0</v>
      </c>
      <c r="HB225" s="3">
        <v>0</v>
      </c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6"/>
      <c r="HT225" s="4">
        <v>0</v>
      </c>
      <c r="HU225" s="3">
        <v>0</v>
      </c>
      <c r="HV225" s="3">
        <v>0</v>
      </c>
      <c r="HW225" s="3">
        <v>0</v>
      </c>
      <c r="HX225" s="3">
        <v>0</v>
      </c>
      <c r="HY225" s="3">
        <v>0</v>
      </c>
      <c r="HZ225" s="3">
        <v>0</v>
      </c>
      <c r="IA225" s="3">
        <v>0</v>
      </c>
      <c r="IB225" s="3">
        <v>0</v>
      </c>
      <c r="IC225" s="3">
        <v>0</v>
      </c>
      <c r="ID225" s="3">
        <v>0</v>
      </c>
      <c r="IE225" s="3">
        <v>0</v>
      </c>
      <c r="IF225" s="3">
        <v>0</v>
      </c>
      <c r="IG225" s="3">
        <v>0</v>
      </c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6"/>
    </row>
    <row r="226" spans="1:258" hidden="1">
      <c r="A226" s="97" t="s">
        <v>25</v>
      </c>
      <c r="B226" s="98" t="s">
        <v>26</v>
      </c>
      <c r="C226" s="98" t="s">
        <v>511</v>
      </c>
      <c r="D226" s="99" t="s">
        <v>1221</v>
      </c>
      <c r="E226" s="98" t="s">
        <v>553</v>
      </c>
      <c r="F226" s="98" t="s">
        <v>554</v>
      </c>
      <c r="G226" s="98" t="s">
        <v>559</v>
      </c>
      <c r="H226" s="98" t="s">
        <v>1556</v>
      </c>
      <c r="I226" s="98" t="s">
        <v>1556</v>
      </c>
      <c r="J226" s="98" t="s">
        <v>1222</v>
      </c>
      <c r="K226" s="98" t="s">
        <v>1127</v>
      </c>
      <c r="L226" s="98" t="s">
        <v>560</v>
      </c>
      <c r="M226" s="101" t="s">
        <v>1093</v>
      </c>
      <c r="N226" s="139">
        <v>46027</v>
      </c>
      <c r="O226" s="100">
        <v>1</v>
      </c>
      <c r="P226" s="69">
        <v>0</v>
      </c>
      <c r="Q226" s="69">
        <f t="shared" si="2577"/>
        <v>1</v>
      </c>
      <c r="R226" s="69">
        <f t="shared" ref="R226:R231" si="2714">IFERROR(IF(OR(BA226&gt;0),1,0),0)</f>
        <v>1</v>
      </c>
      <c r="S226" s="69">
        <f t="shared" ref="S226:S231" si="2715">IFERROR(IF(OR(BP226&gt;0),1,0),0)</f>
        <v>0</v>
      </c>
      <c r="T226" s="69">
        <f t="shared" ref="T226:T231" si="2716">IFERROR(IF(OR(CH226&gt;0),1,0),0)</f>
        <v>1</v>
      </c>
      <c r="U226" s="69">
        <f t="shared" ref="U226:U231" si="2717">IFERROR(IF(OR(BA226&gt;0,CH226&gt;0),1,0),0)</f>
        <v>1</v>
      </c>
      <c r="V226" s="70">
        <f t="shared" ref="V226:V231" si="2718">GO226</f>
        <v>1</v>
      </c>
      <c r="W226" s="71">
        <f t="shared" ref="W226:W231" si="2719">GP226</f>
        <v>1</v>
      </c>
      <c r="X226" s="71">
        <f t="shared" ref="X226:X231" si="2720">GQ226</f>
        <v>1</v>
      </c>
      <c r="Y226" s="71">
        <f t="shared" ref="Y226:Y231" si="2721">GR226</f>
        <v>0</v>
      </c>
      <c r="Z226" s="71">
        <f t="shared" ref="Z226:Z231" si="2722">GS226</f>
        <v>1</v>
      </c>
      <c r="AA226" s="71">
        <f t="shared" ref="AA226:AA231" si="2723">GT226</f>
        <v>1</v>
      </c>
      <c r="AB226" s="71">
        <f t="shared" ref="AB226:AB231" si="2724">GU226</f>
        <v>1</v>
      </c>
      <c r="AC226" s="71">
        <f t="shared" ref="AC226:AC231" si="2725">GV226</f>
        <v>1</v>
      </c>
      <c r="AD226" s="71">
        <f t="shared" ref="AD226:AD231" si="2726">GW226</f>
        <v>1</v>
      </c>
      <c r="AE226" s="71">
        <f t="shared" ref="AE226:AE231" si="2727">GX226</f>
        <v>1</v>
      </c>
      <c r="AF226" s="71">
        <f t="shared" ref="AF226:AF231" si="2728">GY226</f>
        <v>0</v>
      </c>
      <c r="AG226" s="71">
        <f t="shared" ref="AG226:AG231" si="2729">GZ226</f>
        <v>1</v>
      </c>
      <c r="AH226" s="71">
        <f t="shared" ref="AH226:AH231" si="2730">HA226</f>
        <v>1</v>
      </c>
      <c r="AI226" s="71">
        <f t="shared" ref="AI226:AI231" si="2731">HB226</f>
        <v>1</v>
      </c>
      <c r="AJ226" s="71">
        <f t="shared" ref="AJ226:AJ231" si="2732">HC226</f>
        <v>0</v>
      </c>
      <c r="AK226" s="71">
        <f t="shared" ref="AK226:AK231" si="2733">HD226</f>
        <v>0</v>
      </c>
      <c r="AL226" s="71">
        <f t="shared" ref="AL226:AL231" si="2734">HE226</f>
        <v>0</v>
      </c>
      <c r="AM226" s="71">
        <f t="shared" ref="AM226:AM231" si="2735">HF226</f>
        <v>0</v>
      </c>
      <c r="AN226" s="71">
        <f t="shared" ref="AN226:AN231" si="2736">HG226</f>
        <v>0</v>
      </c>
      <c r="AO226" s="71">
        <f t="shared" ref="AO226:AO231" si="2737">HH226</f>
        <v>0</v>
      </c>
      <c r="AP226" s="71">
        <f t="shared" ref="AP226:AP231" si="2738">HI226</f>
        <v>0</v>
      </c>
      <c r="AQ226" s="71">
        <f t="shared" ref="AQ226:AQ231" si="2739">HJ226</f>
        <v>0</v>
      </c>
      <c r="AR226" s="71">
        <f t="shared" ref="AR226:AR231" si="2740">HK226</f>
        <v>0</v>
      </c>
      <c r="AS226" s="71">
        <f t="shared" ref="AS226:AS231" si="2741">HL226</f>
        <v>0</v>
      </c>
      <c r="AT226" s="71">
        <f t="shared" ref="AT226:AT231" si="2742">HM226</f>
        <v>0</v>
      </c>
      <c r="AU226" s="71">
        <f t="shared" ref="AU226:AU231" si="2743">HN226</f>
        <v>0</v>
      </c>
      <c r="AV226" s="71">
        <f t="shared" ref="AV226:AV231" si="2744">HO226</f>
        <v>0</v>
      </c>
      <c r="AW226" s="71">
        <f t="shared" ref="AW226:AW231" si="2745">HP226</f>
        <v>0</v>
      </c>
      <c r="AX226" s="71">
        <f t="shared" ref="AX226:AX231" si="2746">HQ226</f>
        <v>0</v>
      </c>
      <c r="AY226" s="71">
        <f t="shared" ref="AY226:AY231" si="2747">HR226</f>
        <v>0</v>
      </c>
      <c r="AZ226" s="72">
        <f t="shared" ref="AZ226:AZ231" si="2748">HS226</f>
        <v>0</v>
      </c>
      <c r="BA226" s="70">
        <f t="shared" si="2238"/>
        <v>12</v>
      </c>
      <c r="BB226" s="69">
        <f t="shared" ca="1" si="2239"/>
        <v>0.92307692307692313</v>
      </c>
      <c r="BC226" s="70">
        <f t="shared" ref="BC226:BC231" si="2749">HT226</f>
        <v>40</v>
      </c>
      <c r="BD226" s="71">
        <f t="shared" ref="BD226:BD231" si="2750">HU226</f>
        <v>40</v>
      </c>
      <c r="BE226" s="71">
        <f t="shared" ref="BE226:BE231" si="2751">HV226</f>
        <v>57</v>
      </c>
      <c r="BF226" s="71">
        <f t="shared" ref="BF226:BF231" si="2752">HW226</f>
        <v>0</v>
      </c>
      <c r="BG226" s="71">
        <f t="shared" ref="BG226:BG231" si="2753">HX226</f>
        <v>0</v>
      </c>
      <c r="BH226" s="71">
        <f t="shared" ref="BH226:BH231" si="2754">HY226</f>
        <v>40</v>
      </c>
      <c r="BI226" s="71">
        <f t="shared" ref="BI226:BI231" si="2755">HZ226</f>
        <v>40</v>
      </c>
      <c r="BJ226" s="71">
        <f t="shared" ref="BJ226:BJ231" si="2756">IA226</f>
        <v>55</v>
      </c>
      <c r="BK226" s="71">
        <f t="shared" ref="BK226:BK231" si="2757">IB226</f>
        <v>43</v>
      </c>
      <c r="BL226" s="71">
        <f t="shared" ref="BL226:BL231" si="2758">IC226</f>
        <v>37</v>
      </c>
      <c r="BM226" s="71">
        <f t="shared" ref="BM226:BM231" si="2759">ID226</f>
        <v>0</v>
      </c>
      <c r="BN226" s="71">
        <f t="shared" ref="BN226:BN231" si="2760">IE226</f>
        <v>39</v>
      </c>
      <c r="BO226" s="71">
        <f t="shared" ref="BO226:BO231" si="2761">IF226</f>
        <v>0</v>
      </c>
      <c r="BP226" s="71">
        <f t="shared" ref="BP226:BP231" si="2762">IG226</f>
        <v>0</v>
      </c>
      <c r="BQ226" s="71">
        <f t="shared" ref="BQ226:BQ231" si="2763">IH226</f>
        <v>0</v>
      </c>
      <c r="BR226" s="71">
        <f t="shared" ref="BR226:BR231" si="2764">II226</f>
        <v>0</v>
      </c>
      <c r="BS226" s="71">
        <f t="shared" ref="BS226:BS231" si="2765">IJ226</f>
        <v>0</v>
      </c>
      <c r="BT226" s="71">
        <f t="shared" ref="BT226:BT231" si="2766">IK226</f>
        <v>0</v>
      </c>
      <c r="BU226" s="71">
        <f t="shared" ref="BU226:BU231" si="2767">IL226</f>
        <v>0</v>
      </c>
      <c r="BV226" s="71">
        <f t="shared" ref="BV226:BV231" si="2768">IM226</f>
        <v>0</v>
      </c>
      <c r="BW226" s="71">
        <f t="shared" ref="BW226:BW231" si="2769">IN226</f>
        <v>0</v>
      </c>
      <c r="BX226" s="71">
        <f t="shared" ref="BX226:BX231" si="2770">IO226</f>
        <v>0</v>
      </c>
      <c r="BY226" s="71">
        <f t="shared" ref="BY226:BY231" si="2771">IP226</f>
        <v>0</v>
      </c>
      <c r="BZ226" s="71">
        <f t="shared" ref="BZ226:BZ231" si="2772">IQ226</f>
        <v>0</v>
      </c>
      <c r="CA226" s="71">
        <f t="shared" ref="CA226:CA231" si="2773">IR226</f>
        <v>0</v>
      </c>
      <c r="CB226" s="71">
        <f t="shared" ref="CB226:CB231" si="2774">IS226</f>
        <v>0</v>
      </c>
      <c r="CC226" s="71">
        <f t="shared" ref="CC226:CC231" si="2775">IT226</f>
        <v>0</v>
      </c>
      <c r="CD226" s="71">
        <f t="shared" ref="CD226:CD231" si="2776">IU226</f>
        <v>0</v>
      </c>
      <c r="CE226" s="71">
        <f t="shared" ref="CE226:CE231" si="2777">IV226</f>
        <v>0</v>
      </c>
      <c r="CF226" s="71">
        <f t="shared" ref="CF226:CF231" si="2778">IW226</f>
        <v>0</v>
      </c>
      <c r="CG226" s="71">
        <f t="shared" ref="CG226:CG231" si="2779">IX226</f>
        <v>0</v>
      </c>
      <c r="CH226" s="70">
        <f t="shared" si="2241"/>
        <v>391</v>
      </c>
      <c r="CI226" s="69">
        <f t="shared" ca="1" si="2242"/>
        <v>30.076923076923077</v>
      </c>
      <c r="GM226" s="2" t="s">
        <v>16</v>
      </c>
      <c r="GN226" s="98" t="str">
        <f t="shared" si="2236"/>
        <v>GJW01-FMCG01-SPO-01</v>
      </c>
      <c r="GO226" s="4">
        <v>1</v>
      </c>
      <c r="GP226" s="3">
        <v>1</v>
      </c>
      <c r="GQ226" s="3">
        <v>1</v>
      </c>
      <c r="GR226" s="3">
        <v>0</v>
      </c>
      <c r="GS226" s="3">
        <v>1</v>
      </c>
      <c r="GT226" s="3">
        <v>1</v>
      </c>
      <c r="GU226" s="3">
        <v>1</v>
      </c>
      <c r="GV226" s="3">
        <v>1</v>
      </c>
      <c r="GW226" s="3">
        <v>1</v>
      </c>
      <c r="GX226" s="3">
        <v>1</v>
      </c>
      <c r="GY226" s="3">
        <v>0</v>
      </c>
      <c r="GZ226" s="3">
        <v>1</v>
      </c>
      <c r="HA226" s="3">
        <v>1</v>
      </c>
      <c r="HB226" s="3">
        <v>1</v>
      </c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6"/>
      <c r="HT226" s="4">
        <v>40</v>
      </c>
      <c r="HU226" s="3">
        <v>40</v>
      </c>
      <c r="HV226" s="3">
        <v>57</v>
      </c>
      <c r="HW226" s="3">
        <v>0</v>
      </c>
      <c r="HX226" s="3">
        <v>0</v>
      </c>
      <c r="HY226" s="3">
        <v>40</v>
      </c>
      <c r="HZ226" s="3">
        <v>40</v>
      </c>
      <c r="IA226" s="3">
        <v>55</v>
      </c>
      <c r="IB226" s="3">
        <v>43</v>
      </c>
      <c r="IC226" s="3">
        <v>37</v>
      </c>
      <c r="ID226" s="3">
        <v>0</v>
      </c>
      <c r="IE226" s="3">
        <v>39</v>
      </c>
      <c r="IF226" s="3">
        <v>0</v>
      </c>
      <c r="IG226" s="3">
        <v>0</v>
      </c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6"/>
    </row>
    <row r="227" spans="1:258" hidden="1">
      <c r="A227" s="106" t="s">
        <v>25</v>
      </c>
      <c r="B227" s="101" t="s">
        <v>26</v>
      </c>
      <c r="C227" s="98" t="s">
        <v>511</v>
      </c>
      <c r="D227" s="107" t="s">
        <v>1221</v>
      </c>
      <c r="E227" s="101" t="s">
        <v>561</v>
      </c>
      <c r="F227" s="101" t="s">
        <v>562</v>
      </c>
      <c r="G227" s="98" t="s">
        <v>566</v>
      </c>
      <c r="H227" s="101" t="s">
        <v>1719</v>
      </c>
      <c r="I227" s="101" t="s">
        <v>1557</v>
      </c>
      <c r="J227" s="101" t="s">
        <v>1222</v>
      </c>
      <c r="K227" s="101" t="s">
        <v>1127</v>
      </c>
      <c r="L227" s="101" t="s">
        <v>950</v>
      </c>
      <c r="M227" s="101" t="s">
        <v>1093</v>
      </c>
      <c r="N227" s="139" t="s">
        <v>1708</v>
      </c>
      <c r="O227" s="100">
        <v>1</v>
      </c>
      <c r="P227" s="69">
        <v>1</v>
      </c>
      <c r="Q227" s="69">
        <f t="shared" si="2577"/>
        <v>0</v>
      </c>
      <c r="R227" s="69">
        <f t="shared" si="2714"/>
        <v>1</v>
      </c>
      <c r="S227" s="69">
        <f t="shared" si="2715"/>
        <v>0</v>
      </c>
      <c r="T227" s="69">
        <f t="shared" si="2716"/>
        <v>0</v>
      </c>
      <c r="U227" s="69">
        <f t="shared" si="2717"/>
        <v>1</v>
      </c>
      <c r="V227" s="70">
        <f t="shared" si="2718"/>
        <v>1</v>
      </c>
      <c r="W227" s="71">
        <f t="shared" si="2719"/>
        <v>1</v>
      </c>
      <c r="X227" s="71">
        <f t="shared" si="2720"/>
        <v>1</v>
      </c>
      <c r="Y227" s="71">
        <f t="shared" si="2721"/>
        <v>0</v>
      </c>
      <c r="Z227" s="71">
        <f t="shared" si="2722"/>
        <v>1</v>
      </c>
      <c r="AA227" s="71">
        <f t="shared" si="2723"/>
        <v>0</v>
      </c>
      <c r="AB227" s="71">
        <f t="shared" si="2724"/>
        <v>0</v>
      </c>
      <c r="AC227" s="71">
        <f t="shared" si="2725"/>
        <v>0</v>
      </c>
      <c r="AD227" s="71">
        <f t="shared" si="2726"/>
        <v>0</v>
      </c>
      <c r="AE227" s="71">
        <f t="shared" si="2727"/>
        <v>0</v>
      </c>
      <c r="AF227" s="71">
        <f t="shared" si="2728"/>
        <v>0</v>
      </c>
      <c r="AG227" s="71">
        <f t="shared" si="2729"/>
        <v>0</v>
      </c>
      <c r="AH227" s="71">
        <f t="shared" si="2730"/>
        <v>0</v>
      </c>
      <c r="AI227" s="71">
        <f t="shared" si="2731"/>
        <v>0</v>
      </c>
      <c r="AJ227" s="71">
        <f t="shared" si="2732"/>
        <v>0</v>
      </c>
      <c r="AK227" s="71">
        <f t="shared" si="2733"/>
        <v>0</v>
      </c>
      <c r="AL227" s="71">
        <f t="shared" si="2734"/>
        <v>0</v>
      </c>
      <c r="AM227" s="71">
        <f t="shared" si="2735"/>
        <v>0</v>
      </c>
      <c r="AN227" s="71">
        <f t="shared" si="2736"/>
        <v>0</v>
      </c>
      <c r="AO227" s="71">
        <f t="shared" si="2737"/>
        <v>0</v>
      </c>
      <c r="AP227" s="71">
        <f t="shared" si="2738"/>
        <v>0</v>
      </c>
      <c r="AQ227" s="71">
        <f t="shared" si="2739"/>
        <v>0</v>
      </c>
      <c r="AR227" s="71">
        <f t="shared" si="2740"/>
        <v>0</v>
      </c>
      <c r="AS227" s="71">
        <f t="shared" si="2741"/>
        <v>0</v>
      </c>
      <c r="AT227" s="71">
        <f t="shared" si="2742"/>
        <v>0</v>
      </c>
      <c r="AU227" s="71">
        <f t="shared" si="2743"/>
        <v>0</v>
      </c>
      <c r="AV227" s="71">
        <f t="shared" si="2744"/>
        <v>0</v>
      </c>
      <c r="AW227" s="71">
        <f t="shared" si="2745"/>
        <v>0</v>
      </c>
      <c r="AX227" s="71">
        <f t="shared" si="2746"/>
        <v>0</v>
      </c>
      <c r="AY227" s="71">
        <f t="shared" si="2747"/>
        <v>0</v>
      </c>
      <c r="AZ227" s="72">
        <f t="shared" si="2748"/>
        <v>0</v>
      </c>
      <c r="BA227" s="70">
        <f t="shared" si="2238"/>
        <v>4</v>
      </c>
      <c r="BB227" s="69">
        <f t="shared" ca="1" si="2239"/>
        <v>0</v>
      </c>
      <c r="BC227" s="70">
        <f t="shared" si="2749"/>
        <v>0</v>
      </c>
      <c r="BD227" s="71">
        <f t="shared" si="2750"/>
        <v>0</v>
      </c>
      <c r="BE227" s="71">
        <f t="shared" si="2751"/>
        <v>0</v>
      </c>
      <c r="BF227" s="71">
        <f t="shared" si="2752"/>
        <v>0</v>
      </c>
      <c r="BG227" s="71">
        <f t="shared" si="2753"/>
        <v>0</v>
      </c>
      <c r="BH227" s="71">
        <f t="shared" si="2754"/>
        <v>0</v>
      </c>
      <c r="BI227" s="71">
        <f t="shared" si="2755"/>
        <v>0</v>
      </c>
      <c r="BJ227" s="71">
        <f t="shared" si="2756"/>
        <v>0</v>
      </c>
      <c r="BK227" s="71">
        <f t="shared" si="2757"/>
        <v>0</v>
      </c>
      <c r="BL227" s="71">
        <f t="shared" si="2758"/>
        <v>0</v>
      </c>
      <c r="BM227" s="71">
        <f t="shared" si="2759"/>
        <v>0</v>
      </c>
      <c r="BN227" s="71">
        <f t="shared" si="2760"/>
        <v>0</v>
      </c>
      <c r="BO227" s="71">
        <f t="shared" si="2761"/>
        <v>0</v>
      </c>
      <c r="BP227" s="71">
        <f t="shared" si="2762"/>
        <v>0</v>
      </c>
      <c r="BQ227" s="71">
        <f t="shared" si="2763"/>
        <v>0</v>
      </c>
      <c r="BR227" s="71">
        <f t="shared" si="2764"/>
        <v>0</v>
      </c>
      <c r="BS227" s="71">
        <f t="shared" si="2765"/>
        <v>0</v>
      </c>
      <c r="BT227" s="71">
        <f t="shared" si="2766"/>
        <v>0</v>
      </c>
      <c r="BU227" s="71">
        <f t="shared" si="2767"/>
        <v>0</v>
      </c>
      <c r="BV227" s="71">
        <f t="shared" si="2768"/>
        <v>0</v>
      </c>
      <c r="BW227" s="71">
        <f t="shared" si="2769"/>
        <v>0</v>
      </c>
      <c r="BX227" s="71">
        <f t="shared" si="2770"/>
        <v>0</v>
      </c>
      <c r="BY227" s="71">
        <f t="shared" si="2771"/>
        <v>0</v>
      </c>
      <c r="BZ227" s="71">
        <f t="shared" si="2772"/>
        <v>0</v>
      </c>
      <c r="CA227" s="71">
        <f t="shared" si="2773"/>
        <v>0</v>
      </c>
      <c r="CB227" s="71">
        <f t="shared" si="2774"/>
        <v>0</v>
      </c>
      <c r="CC227" s="71">
        <f t="shared" si="2775"/>
        <v>0</v>
      </c>
      <c r="CD227" s="71">
        <f t="shared" si="2776"/>
        <v>0</v>
      </c>
      <c r="CE227" s="71">
        <f t="shared" si="2777"/>
        <v>0</v>
      </c>
      <c r="CF227" s="71">
        <f t="shared" si="2778"/>
        <v>0</v>
      </c>
      <c r="CG227" s="71">
        <f t="shared" si="2779"/>
        <v>0</v>
      </c>
      <c r="CH227" s="70">
        <f t="shared" si="2241"/>
        <v>0</v>
      </c>
      <c r="CI227" s="69">
        <f t="shared" ca="1" si="2242"/>
        <v>0</v>
      </c>
      <c r="GM227" s="2" t="s">
        <v>16</v>
      </c>
      <c r="GN227" s="101" t="str">
        <f t="shared" si="2236"/>
        <v>GJW01-FMCG02-SPO-01</v>
      </c>
      <c r="GO227" s="4">
        <v>1</v>
      </c>
      <c r="GP227" s="3">
        <v>1</v>
      </c>
      <c r="GQ227" s="3">
        <v>1</v>
      </c>
      <c r="GR227" s="3">
        <v>0</v>
      </c>
      <c r="GS227" s="3">
        <v>1</v>
      </c>
      <c r="GT227" s="3">
        <v>0</v>
      </c>
      <c r="GU227" s="3">
        <v>0</v>
      </c>
      <c r="GV227" s="3">
        <v>0</v>
      </c>
      <c r="GW227" s="3">
        <v>0</v>
      </c>
      <c r="GX227" s="3">
        <v>0</v>
      </c>
      <c r="GY227" s="3">
        <v>0</v>
      </c>
      <c r="GZ227" s="3">
        <v>0</v>
      </c>
      <c r="HA227" s="3">
        <v>0</v>
      </c>
      <c r="HB227" s="3">
        <v>0</v>
      </c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6"/>
      <c r="HT227" s="4">
        <v>0</v>
      </c>
      <c r="HU227" s="3">
        <v>0</v>
      </c>
      <c r="HV227" s="3">
        <v>0</v>
      </c>
      <c r="HW227" s="3">
        <v>0</v>
      </c>
      <c r="HX227" s="3">
        <v>0</v>
      </c>
      <c r="HY227" s="3">
        <v>0</v>
      </c>
      <c r="HZ227" s="3">
        <v>0</v>
      </c>
      <c r="IA227" s="3">
        <v>0</v>
      </c>
      <c r="IB227" s="3">
        <v>0</v>
      </c>
      <c r="IC227" s="3">
        <v>0</v>
      </c>
      <c r="ID227" s="3">
        <v>0</v>
      </c>
      <c r="IE227" s="3">
        <v>0</v>
      </c>
      <c r="IF227" s="3">
        <v>0</v>
      </c>
      <c r="IG227" s="3">
        <v>0</v>
      </c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6"/>
    </row>
    <row r="228" spans="1:258" hidden="1">
      <c r="A228" s="97" t="s">
        <v>25</v>
      </c>
      <c r="B228" s="98" t="s">
        <v>90</v>
      </c>
      <c r="C228" s="98" t="s">
        <v>511</v>
      </c>
      <c r="D228" s="99" t="s">
        <v>1221</v>
      </c>
      <c r="E228" s="98" t="s">
        <v>982</v>
      </c>
      <c r="F228" s="98" t="s">
        <v>1065</v>
      </c>
      <c r="G228" s="98" t="s">
        <v>563</v>
      </c>
      <c r="H228" s="98" t="s">
        <v>1558</v>
      </c>
      <c r="I228" s="98" t="s">
        <v>1558</v>
      </c>
      <c r="J228" s="98" t="s">
        <v>1223</v>
      </c>
      <c r="K228" s="98" t="s">
        <v>179</v>
      </c>
      <c r="L228" s="98" t="s">
        <v>564</v>
      </c>
      <c r="M228" s="101" t="s">
        <v>1093</v>
      </c>
      <c r="N228" s="139">
        <v>45988</v>
      </c>
      <c r="O228" s="100">
        <v>1</v>
      </c>
      <c r="P228" s="69">
        <v>0</v>
      </c>
      <c r="Q228" s="69">
        <f t="shared" si="2577"/>
        <v>0</v>
      </c>
      <c r="R228" s="69">
        <f t="shared" si="2714"/>
        <v>1</v>
      </c>
      <c r="S228" s="69">
        <f t="shared" si="2715"/>
        <v>0</v>
      </c>
      <c r="T228" s="69">
        <f t="shared" si="2716"/>
        <v>0</v>
      </c>
      <c r="U228" s="69">
        <f t="shared" si="2717"/>
        <v>1</v>
      </c>
      <c r="V228" s="70">
        <f t="shared" si="2718"/>
        <v>1</v>
      </c>
      <c r="W228" s="71">
        <f t="shared" si="2719"/>
        <v>0</v>
      </c>
      <c r="X228" s="71">
        <f t="shared" si="2720"/>
        <v>1</v>
      </c>
      <c r="Y228" s="71">
        <f t="shared" si="2721"/>
        <v>1</v>
      </c>
      <c r="Z228" s="71">
        <f t="shared" si="2722"/>
        <v>1</v>
      </c>
      <c r="AA228" s="71">
        <f t="shared" si="2723"/>
        <v>1</v>
      </c>
      <c r="AB228" s="71">
        <f t="shared" si="2724"/>
        <v>1</v>
      </c>
      <c r="AC228" s="71">
        <f t="shared" si="2725"/>
        <v>1</v>
      </c>
      <c r="AD228" s="71">
        <f t="shared" si="2726"/>
        <v>0</v>
      </c>
      <c r="AE228" s="71">
        <f t="shared" si="2727"/>
        <v>1</v>
      </c>
      <c r="AF228" s="71">
        <f t="shared" si="2728"/>
        <v>1</v>
      </c>
      <c r="AG228" s="71">
        <f t="shared" si="2729"/>
        <v>1</v>
      </c>
      <c r="AH228" s="71">
        <f t="shared" si="2730"/>
        <v>0</v>
      </c>
      <c r="AI228" s="71">
        <f t="shared" si="2731"/>
        <v>0</v>
      </c>
      <c r="AJ228" s="71">
        <f t="shared" si="2732"/>
        <v>0</v>
      </c>
      <c r="AK228" s="71">
        <f t="shared" si="2733"/>
        <v>0</v>
      </c>
      <c r="AL228" s="71">
        <f t="shared" si="2734"/>
        <v>0</v>
      </c>
      <c r="AM228" s="71">
        <f t="shared" si="2735"/>
        <v>0</v>
      </c>
      <c r="AN228" s="71">
        <f t="shared" si="2736"/>
        <v>0</v>
      </c>
      <c r="AO228" s="71">
        <f t="shared" si="2737"/>
        <v>0</v>
      </c>
      <c r="AP228" s="71">
        <f t="shared" si="2738"/>
        <v>0</v>
      </c>
      <c r="AQ228" s="71">
        <f t="shared" si="2739"/>
        <v>0</v>
      </c>
      <c r="AR228" s="71">
        <f t="shared" si="2740"/>
        <v>0</v>
      </c>
      <c r="AS228" s="71">
        <f t="shared" si="2741"/>
        <v>0</v>
      </c>
      <c r="AT228" s="71">
        <f t="shared" si="2742"/>
        <v>0</v>
      </c>
      <c r="AU228" s="71">
        <f t="shared" si="2743"/>
        <v>0</v>
      </c>
      <c r="AV228" s="71">
        <f t="shared" si="2744"/>
        <v>0</v>
      </c>
      <c r="AW228" s="71">
        <f t="shared" si="2745"/>
        <v>0</v>
      </c>
      <c r="AX228" s="71">
        <f t="shared" si="2746"/>
        <v>0</v>
      </c>
      <c r="AY228" s="71">
        <f t="shared" si="2747"/>
        <v>0</v>
      </c>
      <c r="AZ228" s="72">
        <f t="shared" si="2748"/>
        <v>0</v>
      </c>
      <c r="BA228" s="70">
        <f t="shared" si="2238"/>
        <v>10</v>
      </c>
      <c r="BB228" s="69">
        <f t="shared" ca="1" si="2239"/>
        <v>0.76923076923076927</v>
      </c>
      <c r="BC228" s="70">
        <f t="shared" si="2749"/>
        <v>0</v>
      </c>
      <c r="BD228" s="71">
        <f t="shared" si="2750"/>
        <v>0</v>
      </c>
      <c r="BE228" s="71">
        <f t="shared" si="2751"/>
        <v>0</v>
      </c>
      <c r="BF228" s="71">
        <f t="shared" si="2752"/>
        <v>0</v>
      </c>
      <c r="BG228" s="71">
        <f t="shared" si="2753"/>
        <v>0</v>
      </c>
      <c r="BH228" s="71">
        <f t="shared" si="2754"/>
        <v>0</v>
      </c>
      <c r="BI228" s="71">
        <f t="shared" si="2755"/>
        <v>0</v>
      </c>
      <c r="BJ228" s="71">
        <f t="shared" si="2756"/>
        <v>0</v>
      </c>
      <c r="BK228" s="71">
        <f t="shared" si="2757"/>
        <v>0</v>
      </c>
      <c r="BL228" s="71">
        <f t="shared" si="2758"/>
        <v>0</v>
      </c>
      <c r="BM228" s="71">
        <f t="shared" si="2759"/>
        <v>0</v>
      </c>
      <c r="BN228" s="71">
        <f t="shared" si="2760"/>
        <v>0</v>
      </c>
      <c r="BO228" s="71">
        <f t="shared" si="2761"/>
        <v>0</v>
      </c>
      <c r="BP228" s="71">
        <f t="shared" si="2762"/>
        <v>0</v>
      </c>
      <c r="BQ228" s="71">
        <f t="shared" si="2763"/>
        <v>0</v>
      </c>
      <c r="BR228" s="71">
        <f t="shared" si="2764"/>
        <v>0</v>
      </c>
      <c r="BS228" s="71">
        <f t="shared" si="2765"/>
        <v>0</v>
      </c>
      <c r="BT228" s="71">
        <f t="shared" si="2766"/>
        <v>0</v>
      </c>
      <c r="BU228" s="71">
        <f t="shared" si="2767"/>
        <v>0</v>
      </c>
      <c r="BV228" s="71">
        <f t="shared" si="2768"/>
        <v>0</v>
      </c>
      <c r="BW228" s="71">
        <f t="shared" si="2769"/>
        <v>0</v>
      </c>
      <c r="BX228" s="71">
        <f t="shared" si="2770"/>
        <v>0</v>
      </c>
      <c r="BY228" s="71">
        <f t="shared" si="2771"/>
        <v>0</v>
      </c>
      <c r="BZ228" s="71">
        <f t="shared" si="2772"/>
        <v>0</v>
      </c>
      <c r="CA228" s="71">
        <f t="shared" si="2773"/>
        <v>0</v>
      </c>
      <c r="CB228" s="71">
        <f t="shared" si="2774"/>
        <v>0</v>
      </c>
      <c r="CC228" s="71">
        <f t="shared" si="2775"/>
        <v>0</v>
      </c>
      <c r="CD228" s="71">
        <f t="shared" si="2776"/>
        <v>0</v>
      </c>
      <c r="CE228" s="71">
        <f t="shared" si="2777"/>
        <v>0</v>
      </c>
      <c r="CF228" s="71">
        <f t="shared" si="2778"/>
        <v>0</v>
      </c>
      <c r="CG228" s="71">
        <f t="shared" si="2779"/>
        <v>0</v>
      </c>
      <c r="CH228" s="70">
        <f t="shared" si="2241"/>
        <v>0</v>
      </c>
      <c r="CI228" s="69">
        <f t="shared" ca="1" si="2242"/>
        <v>0</v>
      </c>
      <c r="GM228" s="2" t="s">
        <v>16</v>
      </c>
      <c r="GN228" s="98" t="str">
        <f t="shared" si="2236"/>
        <v>GJW01-FMCG-SPO-01</v>
      </c>
      <c r="GO228" s="4">
        <v>1</v>
      </c>
      <c r="GP228" s="3">
        <v>0</v>
      </c>
      <c r="GQ228" s="3">
        <v>1</v>
      </c>
      <c r="GR228" s="3">
        <v>1</v>
      </c>
      <c r="GS228" s="3">
        <v>1</v>
      </c>
      <c r="GT228" s="3">
        <v>1</v>
      </c>
      <c r="GU228" s="3">
        <v>1</v>
      </c>
      <c r="GV228" s="3">
        <v>1</v>
      </c>
      <c r="GW228" s="3">
        <v>0</v>
      </c>
      <c r="GX228" s="3">
        <v>1</v>
      </c>
      <c r="GY228" s="3">
        <v>1</v>
      </c>
      <c r="GZ228" s="3">
        <v>1</v>
      </c>
      <c r="HA228" s="3">
        <v>0</v>
      </c>
      <c r="HB228" s="3">
        <v>0</v>
      </c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6"/>
      <c r="HT228" s="4">
        <v>0</v>
      </c>
      <c r="HU228" s="3">
        <v>0</v>
      </c>
      <c r="HV228" s="3">
        <v>0</v>
      </c>
      <c r="HW228" s="3">
        <v>0</v>
      </c>
      <c r="HX228" s="3">
        <v>0</v>
      </c>
      <c r="HY228" s="3">
        <v>0</v>
      </c>
      <c r="HZ228" s="3">
        <v>0</v>
      </c>
      <c r="IA228" s="3">
        <v>0</v>
      </c>
      <c r="IB228" s="3">
        <v>0</v>
      </c>
      <c r="IC228" s="3">
        <v>0</v>
      </c>
      <c r="ID228" s="3">
        <v>0</v>
      </c>
      <c r="IE228" s="3">
        <v>0</v>
      </c>
      <c r="IF228" s="3">
        <v>0</v>
      </c>
      <c r="IG228" s="3">
        <v>0</v>
      </c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6"/>
    </row>
    <row r="229" spans="1:258" hidden="1">
      <c r="A229" s="97" t="s">
        <v>25</v>
      </c>
      <c r="B229" s="98" t="s">
        <v>90</v>
      </c>
      <c r="C229" s="98" t="s">
        <v>511</v>
      </c>
      <c r="D229" s="99" t="s">
        <v>1221</v>
      </c>
      <c r="E229" s="98" t="s">
        <v>983</v>
      </c>
      <c r="F229" s="98" t="s">
        <v>932</v>
      </c>
      <c r="G229" s="98" t="s">
        <v>931</v>
      </c>
      <c r="H229" s="98" t="s">
        <v>1559</v>
      </c>
      <c r="I229" s="98" t="s">
        <v>1559</v>
      </c>
      <c r="J229" s="98" t="s">
        <v>1222</v>
      </c>
      <c r="K229" s="98" t="s">
        <v>1127</v>
      </c>
      <c r="L229" s="98" t="s">
        <v>577</v>
      </c>
      <c r="M229" s="101" t="s">
        <v>1093</v>
      </c>
      <c r="N229" s="139">
        <v>45212</v>
      </c>
      <c r="O229" s="100">
        <v>1</v>
      </c>
      <c r="P229" s="69">
        <v>0</v>
      </c>
      <c r="Q229" s="69">
        <f t="shared" si="2577"/>
        <v>1</v>
      </c>
      <c r="R229" s="69">
        <f t="shared" si="2714"/>
        <v>1</v>
      </c>
      <c r="S229" s="69">
        <f t="shared" si="2715"/>
        <v>0</v>
      </c>
      <c r="T229" s="69">
        <f t="shared" si="2716"/>
        <v>1</v>
      </c>
      <c r="U229" s="69">
        <f t="shared" si="2717"/>
        <v>1</v>
      </c>
      <c r="V229" s="70">
        <f t="shared" si="2718"/>
        <v>1</v>
      </c>
      <c r="W229" s="71">
        <f t="shared" si="2719"/>
        <v>1</v>
      </c>
      <c r="X229" s="71">
        <f t="shared" si="2720"/>
        <v>1</v>
      </c>
      <c r="Y229" s="71">
        <f t="shared" si="2721"/>
        <v>0</v>
      </c>
      <c r="Z229" s="71">
        <f t="shared" si="2722"/>
        <v>1</v>
      </c>
      <c r="AA229" s="71">
        <f t="shared" si="2723"/>
        <v>1</v>
      </c>
      <c r="AB229" s="71">
        <f t="shared" si="2724"/>
        <v>1</v>
      </c>
      <c r="AC229" s="71">
        <f t="shared" si="2725"/>
        <v>1</v>
      </c>
      <c r="AD229" s="71">
        <f t="shared" si="2726"/>
        <v>1</v>
      </c>
      <c r="AE229" s="71">
        <f t="shared" si="2727"/>
        <v>1</v>
      </c>
      <c r="AF229" s="71">
        <f t="shared" si="2728"/>
        <v>0</v>
      </c>
      <c r="AG229" s="71">
        <f t="shared" si="2729"/>
        <v>1</v>
      </c>
      <c r="AH229" s="71">
        <f t="shared" si="2730"/>
        <v>1</v>
      </c>
      <c r="AI229" s="71">
        <f t="shared" si="2731"/>
        <v>1</v>
      </c>
      <c r="AJ229" s="71">
        <f t="shared" si="2732"/>
        <v>0</v>
      </c>
      <c r="AK229" s="71">
        <f t="shared" si="2733"/>
        <v>0</v>
      </c>
      <c r="AL229" s="71">
        <f t="shared" si="2734"/>
        <v>0</v>
      </c>
      <c r="AM229" s="71">
        <f t="shared" si="2735"/>
        <v>0</v>
      </c>
      <c r="AN229" s="71">
        <f t="shared" si="2736"/>
        <v>0</v>
      </c>
      <c r="AO229" s="71">
        <f t="shared" si="2737"/>
        <v>0</v>
      </c>
      <c r="AP229" s="71">
        <f t="shared" si="2738"/>
        <v>0</v>
      </c>
      <c r="AQ229" s="71">
        <f t="shared" si="2739"/>
        <v>0</v>
      </c>
      <c r="AR229" s="71">
        <f t="shared" si="2740"/>
        <v>0</v>
      </c>
      <c r="AS229" s="71">
        <f t="shared" si="2741"/>
        <v>0</v>
      </c>
      <c r="AT229" s="71">
        <f t="shared" si="2742"/>
        <v>0</v>
      </c>
      <c r="AU229" s="71">
        <f t="shared" si="2743"/>
        <v>0</v>
      </c>
      <c r="AV229" s="71">
        <f t="shared" si="2744"/>
        <v>0</v>
      </c>
      <c r="AW229" s="71">
        <f t="shared" si="2745"/>
        <v>0</v>
      </c>
      <c r="AX229" s="71">
        <f t="shared" si="2746"/>
        <v>0</v>
      </c>
      <c r="AY229" s="71">
        <f t="shared" si="2747"/>
        <v>0</v>
      </c>
      <c r="AZ229" s="72">
        <f t="shared" si="2748"/>
        <v>0</v>
      </c>
      <c r="BA229" s="70">
        <f t="shared" si="2238"/>
        <v>12</v>
      </c>
      <c r="BB229" s="69">
        <f t="shared" ca="1" si="2239"/>
        <v>0.92307692307692313</v>
      </c>
      <c r="BC229" s="70">
        <f t="shared" si="2749"/>
        <v>32</v>
      </c>
      <c r="BD229" s="71">
        <f t="shared" si="2750"/>
        <v>22</v>
      </c>
      <c r="BE229" s="71">
        <f t="shared" si="2751"/>
        <v>25</v>
      </c>
      <c r="BF229" s="71">
        <f t="shared" si="2752"/>
        <v>0</v>
      </c>
      <c r="BG229" s="71">
        <f t="shared" si="2753"/>
        <v>21</v>
      </c>
      <c r="BH229" s="71">
        <f t="shared" si="2754"/>
        <v>40</v>
      </c>
      <c r="BI229" s="71">
        <f t="shared" si="2755"/>
        <v>9</v>
      </c>
      <c r="BJ229" s="71">
        <f t="shared" si="2756"/>
        <v>26</v>
      </c>
      <c r="BK229" s="71">
        <f t="shared" si="2757"/>
        <v>0</v>
      </c>
      <c r="BL229" s="71">
        <f t="shared" si="2758"/>
        <v>40</v>
      </c>
      <c r="BM229" s="71">
        <f t="shared" si="2759"/>
        <v>0</v>
      </c>
      <c r="BN229" s="71">
        <f t="shared" si="2760"/>
        <v>46</v>
      </c>
      <c r="BO229" s="71">
        <f t="shared" si="2761"/>
        <v>45</v>
      </c>
      <c r="BP229" s="71">
        <f t="shared" si="2762"/>
        <v>0</v>
      </c>
      <c r="BQ229" s="71">
        <f t="shared" si="2763"/>
        <v>0</v>
      </c>
      <c r="BR229" s="71">
        <f t="shared" si="2764"/>
        <v>0</v>
      </c>
      <c r="BS229" s="71">
        <f t="shared" si="2765"/>
        <v>0</v>
      </c>
      <c r="BT229" s="71">
        <f t="shared" si="2766"/>
        <v>0</v>
      </c>
      <c r="BU229" s="71">
        <f t="shared" si="2767"/>
        <v>0</v>
      </c>
      <c r="BV229" s="71">
        <f t="shared" si="2768"/>
        <v>0</v>
      </c>
      <c r="BW229" s="71">
        <f t="shared" si="2769"/>
        <v>0</v>
      </c>
      <c r="BX229" s="71">
        <f t="shared" si="2770"/>
        <v>0</v>
      </c>
      <c r="BY229" s="71">
        <f t="shared" si="2771"/>
        <v>0</v>
      </c>
      <c r="BZ229" s="71">
        <f t="shared" si="2772"/>
        <v>0</v>
      </c>
      <c r="CA229" s="71">
        <f t="shared" si="2773"/>
        <v>0</v>
      </c>
      <c r="CB229" s="71">
        <f t="shared" si="2774"/>
        <v>0</v>
      </c>
      <c r="CC229" s="71">
        <f t="shared" si="2775"/>
        <v>0</v>
      </c>
      <c r="CD229" s="71">
        <f t="shared" si="2776"/>
        <v>0</v>
      </c>
      <c r="CE229" s="71">
        <f t="shared" si="2777"/>
        <v>0</v>
      </c>
      <c r="CF229" s="71">
        <f t="shared" si="2778"/>
        <v>0</v>
      </c>
      <c r="CG229" s="71">
        <f t="shared" si="2779"/>
        <v>0</v>
      </c>
      <c r="CH229" s="70">
        <f t="shared" si="2241"/>
        <v>306</v>
      </c>
      <c r="CI229" s="69">
        <f t="shared" ca="1" si="2242"/>
        <v>23.53846153846154</v>
      </c>
      <c r="GM229" s="2" t="s">
        <v>16</v>
      </c>
      <c r="GN229" s="98" t="str">
        <f t="shared" si="2236"/>
        <v>GJW01-FMCG03-SPO-01</v>
      </c>
      <c r="GO229" s="4">
        <v>1</v>
      </c>
      <c r="GP229" s="3">
        <v>1</v>
      </c>
      <c r="GQ229" s="3">
        <v>1</v>
      </c>
      <c r="GR229" s="3">
        <v>0</v>
      </c>
      <c r="GS229" s="3">
        <v>1</v>
      </c>
      <c r="GT229" s="3">
        <v>1</v>
      </c>
      <c r="GU229" s="3">
        <v>1</v>
      </c>
      <c r="GV229" s="3">
        <v>1</v>
      </c>
      <c r="GW229" s="3">
        <v>1</v>
      </c>
      <c r="GX229" s="3">
        <v>1</v>
      </c>
      <c r="GY229" s="3">
        <v>0</v>
      </c>
      <c r="GZ229" s="3">
        <v>1</v>
      </c>
      <c r="HA229" s="3">
        <v>1</v>
      </c>
      <c r="HB229" s="3">
        <v>1</v>
      </c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6"/>
      <c r="HT229" s="4">
        <v>32</v>
      </c>
      <c r="HU229" s="3">
        <v>22</v>
      </c>
      <c r="HV229" s="3">
        <v>25</v>
      </c>
      <c r="HW229" s="3">
        <v>0</v>
      </c>
      <c r="HX229" s="3">
        <v>21</v>
      </c>
      <c r="HY229" s="3">
        <v>40</v>
      </c>
      <c r="HZ229" s="3">
        <v>9</v>
      </c>
      <c r="IA229" s="3">
        <v>26</v>
      </c>
      <c r="IB229" s="3">
        <v>0</v>
      </c>
      <c r="IC229" s="3">
        <v>40</v>
      </c>
      <c r="ID229" s="3">
        <v>0</v>
      </c>
      <c r="IE229" s="3">
        <v>46</v>
      </c>
      <c r="IF229" s="3">
        <v>45</v>
      </c>
      <c r="IG229" s="3">
        <v>0</v>
      </c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6"/>
    </row>
    <row r="230" spans="1:258" hidden="1">
      <c r="A230" s="97" t="s">
        <v>1287</v>
      </c>
      <c r="B230" s="98" t="s">
        <v>20</v>
      </c>
      <c r="C230" s="98" t="s">
        <v>511</v>
      </c>
      <c r="D230" s="99" t="s">
        <v>1221</v>
      </c>
      <c r="E230" s="98" t="s">
        <v>1098</v>
      </c>
      <c r="F230" s="98" t="s">
        <v>567</v>
      </c>
      <c r="G230" s="98" t="s">
        <v>568</v>
      </c>
      <c r="H230" s="98" t="s">
        <v>1560</v>
      </c>
      <c r="I230" s="98" t="s">
        <v>1560</v>
      </c>
      <c r="J230" s="98" t="s">
        <v>1222</v>
      </c>
      <c r="K230" s="98" t="s">
        <v>1099</v>
      </c>
      <c r="L230" s="98" t="s">
        <v>1099</v>
      </c>
      <c r="M230" s="98" t="s">
        <v>1099</v>
      </c>
      <c r="N230" s="108">
        <v>45474</v>
      </c>
      <c r="O230" s="100">
        <v>0</v>
      </c>
      <c r="P230" s="69">
        <v>0</v>
      </c>
      <c r="Q230" s="69">
        <f t="shared" si="2577"/>
        <v>0</v>
      </c>
      <c r="R230" s="69">
        <f t="shared" si="2714"/>
        <v>0</v>
      </c>
      <c r="S230" s="69">
        <f t="shared" si="2715"/>
        <v>0</v>
      </c>
      <c r="T230" s="69">
        <f t="shared" si="2716"/>
        <v>0</v>
      </c>
      <c r="U230" s="69">
        <f t="shared" si="2717"/>
        <v>0</v>
      </c>
      <c r="V230" s="70">
        <f t="shared" si="2718"/>
        <v>0</v>
      </c>
      <c r="W230" s="71">
        <f t="shared" si="2719"/>
        <v>0</v>
      </c>
      <c r="X230" s="71">
        <f t="shared" si="2720"/>
        <v>0</v>
      </c>
      <c r="Y230" s="71">
        <f t="shared" si="2721"/>
        <v>0</v>
      </c>
      <c r="Z230" s="71">
        <f t="shared" si="2722"/>
        <v>0</v>
      </c>
      <c r="AA230" s="71">
        <f t="shared" si="2723"/>
        <v>0</v>
      </c>
      <c r="AB230" s="71">
        <f t="shared" si="2724"/>
        <v>0</v>
      </c>
      <c r="AC230" s="71">
        <f t="shared" si="2725"/>
        <v>0</v>
      </c>
      <c r="AD230" s="71">
        <f t="shared" si="2726"/>
        <v>0</v>
      </c>
      <c r="AE230" s="71">
        <f t="shared" si="2727"/>
        <v>0</v>
      </c>
      <c r="AF230" s="71">
        <f t="shared" si="2728"/>
        <v>0</v>
      </c>
      <c r="AG230" s="71">
        <f t="shared" si="2729"/>
        <v>0</v>
      </c>
      <c r="AH230" s="71">
        <f t="shared" si="2730"/>
        <v>0</v>
      </c>
      <c r="AI230" s="71">
        <f t="shared" si="2731"/>
        <v>0</v>
      </c>
      <c r="AJ230" s="71">
        <f t="shared" si="2732"/>
        <v>0</v>
      </c>
      <c r="AK230" s="71">
        <f t="shared" si="2733"/>
        <v>0</v>
      </c>
      <c r="AL230" s="71">
        <f t="shared" si="2734"/>
        <v>0</v>
      </c>
      <c r="AM230" s="71">
        <f t="shared" si="2735"/>
        <v>0</v>
      </c>
      <c r="AN230" s="71">
        <f t="shared" si="2736"/>
        <v>0</v>
      </c>
      <c r="AO230" s="71">
        <f t="shared" si="2737"/>
        <v>0</v>
      </c>
      <c r="AP230" s="71">
        <f t="shared" si="2738"/>
        <v>0</v>
      </c>
      <c r="AQ230" s="71">
        <f t="shared" si="2739"/>
        <v>0</v>
      </c>
      <c r="AR230" s="71">
        <f t="shared" si="2740"/>
        <v>0</v>
      </c>
      <c r="AS230" s="71">
        <f t="shared" si="2741"/>
        <v>0</v>
      </c>
      <c r="AT230" s="71">
        <f t="shared" si="2742"/>
        <v>0</v>
      </c>
      <c r="AU230" s="71">
        <f t="shared" si="2743"/>
        <v>0</v>
      </c>
      <c r="AV230" s="71">
        <f t="shared" si="2744"/>
        <v>0</v>
      </c>
      <c r="AW230" s="71">
        <f t="shared" si="2745"/>
        <v>0</v>
      </c>
      <c r="AX230" s="71">
        <f t="shared" si="2746"/>
        <v>0</v>
      </c>
      <c r="AY230" s="71">
        <f t="shared" si="2747"/>
        <v>0</v>
      </c>
      <c r="AZ230" s="72">
        <f t="shared" si="2748"/>
        <v>0</v>
      </c>
      <c r="BA230" s="70">
        <f t="shared" si="2238"/>
        <v>0</v>
      </c>
      <c r="BB230" s="69">
        <f t="shared" ca="1" si="2239"/>
        <v>0</v>
      </c>
      <c r="BC230" s="70">
        <f t="shared" si="2749"/>
        <v>0</v>
      </c>
      <c r="BD230" s="71">
        <f t="shared" si="2750"/>
        <v>0</v>
      </c>
      <c r="BE230" s="71">
        <f t="shared" si="2751"/>
        <v>0</v>
      </c>
      <c r="BF230" s="71">
        <f t="shared" si="2752"/>
        <v>0</v>
      </c>
      <c r="BG230" s="71">
        <f t="shared" si="2753"/>
        <v>0</v>
      </c>
      <c r="BH230" s="71">
        <f t="shared" si="2754"/>
        <v>0</v>
      </c>
      <c r="BI230" s="71">
        <f t="shared" si="2755"/>
        <v>0</v>
      </c>
      <c r="BJ230" s="71">
        <f t="shared" si="2756"/>
        <v>0</v>
      </c>
      <c r="BK230" s="71">
        <f t="shared" si="2757"/>
        <v>0</v>
      </c>
      <c r="BL230" s="71">
        <f t="shared" si="2758"/>
        <v>0</v>
      </c>
      <c r="BM230" s="71">
        <f t="shared" si="2759"/>
        <v>0</v>
      </c>
      <c r="BN230" s="71">
        <f t="shared" si="2760"/>
        <v>0</v>
      </c>
      <c r="BO230" s="71">
        <f t="shared" si="2761"/>
        <v>0</v>
      </c>
      <c r="BP230" s="71">
        <f t="shared" si="2762"/>
        <v>0</v>
      </c>
      <c r="BQ230" s="71">
        <f t="shared" si="2763"/>
        <v>0</v>
      </c>
      <c r="BR230" s="71">
        <f t="shared" si="2764"/>
        <v>0</v>
      </c>
      <c r="BS230" s="71">
        <f t="shared" si="2765"/>
        <v>0</v>
      </c>
      <c r="BT230" s="71">
        <f t="shared" si="2766"/>
        <v>0</v>
      </c>
      <c r="BU230" s="71">
        <f t="shared" si="2767"/>
        <v>0</v>
      </c>
      <c r="BV230" s="71">
        <f t="shared" si="2768"/>
        <v>0</v>
      </c>
      <c r="BW230" s="71">
        <f t="shared" si="2769"/>
        <v>0</v>
      </c>
      <c r="BX230" s="71">
        <f t="shared" si="2770"/>
        <v>0</v>
      </c>
      <c r="BY230" s="71">
        <f t="shared" si="2771"/>
        <v>0</v>
      </c>
      <c r="BZ230" s="71">
        <f t="shared" si="2772"/>
        <v>0</v>
      </c>
      <c r="CA230" s="71">
        <f t="shared" si="2773"/>
        <v>0</v>
      </c>
      <c r="CB230" s="71">
        <f t="shared" si="2774"/>
        <v>0</v>
      </c>
      <c r="CC230" s="71">
        <f t="shared" si="2775"/>
        <v>0</v>
      </c>
      <c r="CD230" s="71">
        <f t="shared" si="2776"/>
        <v>0</v>
      </c>
      <c r="CE230" s="71">
        <f t="shared" si="2777"/>
        <v>0</v>
      </c>
      <c r="CF230" s="71">
        <f t="shared" si="2778"/>
        <v>0</v>
      </c>
      <c r="CG230" s="71">
        <f t="shared" si="2779"/>
        <v>0</v>
      </c>
      <c r="CH230" s="70">
        <f t="shared" si="2241"/>
        <v>0</v>
      </c>
      <c r="CI230" s="69">
        <f t="shared" ca="1" si="2242"/>
        <v>0</v>
      </c>
      <c r="GM230" s="2" t="s">
        <v>16</v>
      </c>
      <c r="GN230" s="98" t="str">
        <f t="shared" si="2236"/>
        <v>GJW01-FMCG-SPO-00</v>
      </c>
      <c r="GO230" s="4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6"/>
      <c r="HT230" s="4">
        <v>0</v>
      </c>
      <c r="HU230" s="3">
        <v>0</v>
      </c>
      <c r="HV230" s="3">
        <v>0</v>
      </c>
      <c r="HW230" s="3">
        <v>0</v>
      </c>
      <c r="HX230" s="3">
        <v>0</v>
      </c>
      <c r="HY230" s="3">
        <v>0</v>
      </c>
      <c r="HZ230" s="3">
        <v>0</v>
      </c>
      <c r="IA230" s="3">
        <v>0</v>
      </c>
      <c r="IB230" s="3">
        <v>0</v>
      </c>
      <c r="IC230" s="3">
        <v>0</v>
      </c>
      <c r="ID230" s="3">
        <v>0</v>
      </c>
      <c r="IE230" s="3">
        <v>0</v>
      </c>
      <c r="IF230" s="3">
        <v>0</v>
      </c>
      <c r="IG230" s="3">
        <v>0</v>
      </c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6"/>
    </row>
    <row r="231" spans="1:258" hidden="1">
      <c r="A231" s="97" t="s">
        <v>1380</v>
      </c>
      <c r="B231" s="98" t="s">
        <v>20</v>
      </c>
      <c r="C231" s="98" t="s">
        <v>511</v>
      </c>
      <c r="D231" s="99" t="s">
        <v>1221</v>
      </c>
      <c r="E231" s="98" t="s">
        <v>569</v>
      </c>
      <c r="F231" s="98" t="s">
        <v>570</v>
      </c>
      <c r="G231" s="98" t="s">
        <v>571</v>
      </c>
      <c r="H231" s="98" t="s">
        <v>1720</v>
      </c>
      <c r="I231" s="98" t="s">
        <v>1224</v>
      </c>
      <c r="J231" s="98" t="s">
        <v>1222</v>
      </c>
      <c r="K231" s="98" t="s">
        <v>1127</v>
      </c>
      <c r="L231" s="98" t="s">
        <v>950</v>
      </c>
      <c r="M231" s="98" t="s">
        <v>52</v>
      </c>
      <c r="N231" s="139" t="s">
        <v>1708</v>
      </c>
      <c r="O231" s="100">
        <v>0</v>
      </c>
      <c r="P231" s="69">
        <v>1</v>
      </c>
      <c r="Q231" s="69">
        <f t="shared" si="2577"/>
        <v>0</v>
      </c>
      <c r="R231" s="69">
        <f t="shared" si="2714"/>
        <v>0</v>
      </c>
      <c r="S231" s="69">
        <f t="shared" si="2715"/>
        <v>0</v>
      </c>
      <c r="T231" s="69">
        <f t="shared" si="2716"/>
        <v>0</v>
      </c>
      <c r="U231" s="69">
        <f t="shared" si="2717"/>
        <v>0</v>
      </c>
      <c r="V231" s="70">
        <f t="shared" si="2718"/>
        <v>0</v>
      </c>
      <c r="W231" s="71">
        <f t="shared" si="2719"/>
        <v>0</v>
      </c>
      <c r="X231" s="71">
        <f t="shared" si="2720"/>
        <v>0</v>
      </c>
      <c r="Y231" s="71">
        <f t="shared" si="2721"/>
        <v>0</v>
      </c>
      <c r="Z231" s="71">
        <f t="shared" si="2722"/>
        <v>0</v>
      </c>
      <c r="AA231" s="71">
        <f t="shared" si="2723"/>
        <v>0</v>
      </c>
      <c r="AB231" s="71">
        <f t="shared" si="2724"/>
        <v>0</v>
      </c>
      <c r="AC231" s="71">
        <f t="shared" si="2725"/>
        <v>0</v>
      </c>
      <c r="AD231" s="71">
        <f t="shared" si="2726"/>
        <v>0</v>
      </c>
      <c r="AE231" s="71">
        <f t="shared" si="2727"/>
        <v>0</v>
      </c>
      <c r="AF231" s="71">
        <f t="shared" si="2728"/>
        <v>0</v>
      </c>
      <c r="AG231" s="71">
        <f t="shared" si="2729"/>
        <v>0</v>
      </c>
      <c r="AH231" s="71">
        <f t="shared" si="2730"/>
        <v>0</v>
      </c>
      <c r="AI231" s="71">
        <f t="shared" si="2731"/>
        <v>0</v>
      </c>
      <c r="AJ231" s="71">
        <f t="shared" si="2732"/>
        <v>0</v>
      </c>
      <c r="AK231" s="71">
        <f t="shared" si="2733"/>
        <v>0</v>
      </c>
      <c r="AL231" s="71">
        <f t="shared" si="2734"/>
        <v>0</v>
      </c>
      <c r="AM231" s="71">
        <f t="shared" si="2735"/>
        <v>0</v>
      </c>
      <c r="AN231" s="71">
        <f t="shared" si="2736"/>
        <v>0</v>
      </c>
      <c r="AO231" s="71">
        <f t="shared" si="2737"/>
        <v>0</v>
      </c>
      <c r="AP231" s="71">
        <f t="shared" si="2738"/>
        <v>0</v>
      </c>
      <c r="AQ231" s="71">
        <f t="shared" si="2739"/>
        <v>0</v>
      </c>
      <c r="AR231" s="71">
        <f t="shared" si="2740"/>
        <v>0</v>
      </c>
      <c r="AS231" s="71">
        <f t="shared" si="2741"/>
        <v>0</v>
      </c>
      <c r="AT231" s="71">
        <f t="shared" si="2742"/>
        <v>0</v>
      </c>
      <c r="AU231" s="71">
        <f t="shared" si="2743"/>
        <v>0</v>
      </c>
      <c r="AV231" s="71">
        <f t="shared" si="2744"/>
        <v>0</v>
      </c>
      <c r="AW231" s="71">
        <f t="shared" si="2745"/>
        <v>0</v>
      </c>
      <c r="AX231" s="71">
        <f t="shared" si="2746"/>
        <v>0</v>
      </c>
      <c r="AY231" s="71">
        <f t="shared" si="2747"/>
        <v>0</v>
      </c>
      <c r="AZ231" s="72">
        <f t="shared" si="2748"/>
        <v>0</v>
      </c>
      <c r="BA231" s="70">
        <f t="shared" si="2238"/>
        <v>0</v>
      </c>
      <c r="BB231" s="69">
        <f t="shared" ca="1" si="2239"/>
        <v>0</v>
      </c>
      <c r="BC231" s="70">
        <f t="shared" si="2749"/>
        <v>0</v>
      </c>
      <c r="BD231" s="71">
        <f t="shared" si="2750"/>
        <v>0</v>
      </c>
      <c r="BE231" s="71">
        <f t="shared" si="2751"/>
        <v>0</v>
      </c>
      <c r="BF231" s="71">
        <f t="shared" si="2752"/>
        <v>0</v>
      </c>
      <c r="BG231" s="71">
        <f t="shared" si="2753"/>
        <v>0</v>
      </c>
      <c r="BH231" s="71">
        <f t="shared" si="2754"/>
        <v>0</v>
      </c>
      <c r="BI231" s="71">
        <f t="shared" si="2755"/>
        <v>0</v>
      </c>
      <c r="BJ231" s="71">
        <f t="shared" si="2756"/>
        <v>0</v>
      </c>
      <c r="BK231" s="71">
        <f t="shared" si="2757"/>
        <v>0</v>
      </c>
      <c r="BL231" s="71">
        <f t="shared" si="2758"/>
        <v>0</v>
      </c>
      <c r="BM231" s="71">
        <f t="shared" si="2759"/>
        <v>0</v>
      </c>
      <c r="BN231" s="71">
        <f t="shared" si="2760"/>
        <v>0</v>
      </c>
      <c r="BO231" s="71">
        <f t="shared" si="2761"/>
        <v>0</v>
      </c>
      <c r="BP231" s="71">
        <f t="shared" si="2762"/>
        <v>0</v>
      </c>
      <c r="BQ231" s="71">
        <f t="shared" si="2763"/>
        <v>0</v>
      </c>
      <c r="BR231" s="71">
        <f t="shared" si="2764"/>
        <v>0</v>
      </c>
      <c r="BS231" s="71">
        <f t="shared" si="2765"/>
        <v>0</v>
      </c>
      <c r="BT231" s="71">
        <f t="shared" si="2766"/>
        <v>0</v>
      </c>
      <c r="BU231" s="71">
        <f t="shared" si="2767"/>
        <v>0</v>
      </c>
      <c r="BV231" s="71">
        <f t="shared" si="2768"/>
        <v>0</v>
      </c>
      <c r="BW231" s="71">
        <f t="shared" si="2769"/>
        <v>0</v>
      </c>
      <c r="BX231" s="71">
        <f t="shared" si="2770"/>
        <v>0</v>
      </c>
      <c r="BY231" s="71">
        <f t="shared" si="2771"/>
        <v>0</v>
      </c>
      <c r="BZ231" s="71">
        <f t="shared" si="2772"/>
        <v>0</v>
      </c>
      <c r="CA231" s="71">
        <f t="shared" si="2773"/>
        <v>0</v>
      </c>
      <c r="CB231" s="71">
        <f t="shared" si="2774"/>
        <v>0</v>
      </c>
      <c r="CC231" s="71">
        <f t="shared" si="2775"/>
        <v>0</v>
      </c>
      <c r="CD231" s="71">
        <f t="shared" si="2776"/>
        <v>0</v>
      </c>
      <c r="CE231" s="71">
        <f t="shared" si="2777"/>
        <v>0</v>
      </c>
      <c r="CF231" s="71">
        <f t="shared" si="2778"/>
        <v>0</v>
      </c>
      <c r="CG231" s="71">
        <f t="shared" si="2779"/>
        <v>0</v>
      </c>
      <c r="CH231" s="70">
        <f t="shared" si="2241"/>
        <v>0</v>
      </c>
      <c r="CI231" s="69">
        <f t="shared" ca="1" si="2242"/>
        <v>0</v>
      </c>
      <c r="GM231" s="2" t="s">
        <v>16</v>
      </c>
      <c r="GN231" s="98" t="str">
        <f t="shared" si="2236"/>
        <v>GJW01-FMCG-ASM-01</v>
      </c>
      <c r="GO231" s="4">
        <v>0</v>
      </c>
      <c r="GP231" s="3">
        <v>0</v>
      </c>
      <c r="GQ231" s="3">
        <v>0</v>
      </c>
      <c r="GR231" s="3">
        <v>0</v>
      </c>
      <c r="GS231" s="3">
        <v>0</v>
      </c>
      <c r="GT231" s="3">
        <v>0</v>
      </c>
      <c r="GU231" s="3">
        <v>0</v>
      </c>
      <c r="GV231" s="3">
        <v>0</v>
      </c>
      <c r="GW231" s="3">
        <v>0</v>
      </c>
      <c r="GX231" s="3">
        <v>0</v>
      </c>
      <c r="GY231" s="3">
        <v>0</v>
      </c>
      <c r="GZ231" s="3">
        <v>0</v>
      </c>
      <c r="HA231" s="3">
        <v>0</v>
      </c>
      <c r="HB231" s="3">
        <v>0</v>
      </c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6"/>
      <c r="HT231" s="4">
        <v>0</v>
      </c>
      <c r="HU231" s="3">
        <v>0</v>
      </c>
      <c r="HV231" s="3">
        <v>0</v>
      </c>
      <c r="HW231" s="3">
        <v>0</v>
      </c>
      <c r="HX231" s="3">
        <v>0</v>
      </c>
      <c r="HY231" s="3">
        <v>0</v>
      </c>
      <c r="HZ231" s="3">
        <v>0</v>
      </c>
      <c r="IA231" s="3">
        <v>0</v>
      </c>
      <c r="IB231" s="3">
        <v>0</v>
      </c>
      <c r="IC231" s="3">
        <v>0</v>
      </c>
      <c r="ID231" s="3">
        <v>0</v>
      </c>
      <c r="IE231" s="3">
        <v>0</v>
      </c>
      <c r="IF231" s="3">
        <v>0</v>
      </c>
      <c r="IG231" s="3">
        <v>0</v>
      </c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6"/>
    </row>
    <row r="232" spans="1:258" hidden="1">
      <c r="A232" s="102" t="s">
        <v>53</v>
      </c>
      <c r="B232" s="103" t="s">
        <v>20</v>
      </c>
      <c r="C232" s="103" t="s">
        <v>511</v>
      </c>
      <c r="D232" s="104" t="s">
        <v>1221</v>
      </c>
      <c r="E232" s="103" t="s">
        <v>569</v>
      </c>
      <c r="F232" s="103" t="s">
        <v>570</v>
      </c>
      <c r="G232" s="103" t="s">
        <v>571</v>
      </c>
      <c r="H232" s="103" t="s">
        <v>1720</v>
      </c>
      <c r="I232" s="103" t="s">
        <v>1224</v>
      </c>
      <c r="J232" s="103" t="s">
        <v>1222</v>
      </c>
      <c r="K232" s="103" t="s">
        <v>1127</v>
      </c>
      <c r="L232" s="103" t="s">
        <v>950</v>
      </c>
      <c r="M232" s="103" t="s">
        <v>52</v>
      </c>
      <c r="N232" s="119" t="s">
        <v>1708</v>
      </c>
      <c r="O232" s="105">
        <f>O230+O229+O228+O227+O226</f>
        <v>4</v>
      </c>
      <c r="P232" s="73">
        <f>P230+P229+P228+P227+P226</f>
        <v>1</v>
      </c>
      <c r="Q232" s="73">
        <f t="shared" si="2577"/>
        <v>1</v>
      </c>
      <c r="R232" s="73">
        <f t="shared" ref="R232:AZ232" si="2780">R230+R229+R228+R227+R226</f>
        <v>4</v>
      </c>
      <c r="S232" s="73">
        <f t="shared" si="2780"/>
        <v>0</v>
      </c>
      <c r="T232" s="73">
        <f t="shared" si="2780"/>
        <v>2</v>
      </c>
      <c r="U232" s="73">
        <f t="shared" si="2780"/>
        <v>4</v>
      </c>
      <c r="V232" s="74">
        <f t="shared" si="2780"/>
        <v>4</v>
      </c>
      <c r="W232" s="75">
        <f t="shared" si="2780"/>
        <v>3</v>
      </c>
      <c r="X232" s="75">
        <f t="shared" si="2780"/>
        <v>4</v>
      </c>
      <c r="Y232" s="75">
        <f t="shared" si="2780"/>
        <v>1</v>
      </c>
      <c r="Z232" s="75">
        <f t="shared" si="2780"/>
        <v>4</v>
      </c>
      <c r="AA232" s="75">
        <f t="shared" si="2780"/>
        <v>3</v>
      </c>
      <c r="AB232" s="75">
        <f t="shared" si="2780"/>
        <v>3</v>
      </c>
      <c r="AC232" s="75">
        <f t="shared" si="2780"/>
        <v>3</v>
      </c>
      <c r="AD232" s="75">
        <f t="shared" si="2780"/>
        <v>2</v>
      </c>
      <c r="AE232" s="75">
        <f t="shared" si="2780"/>
        <v>3</v>
      </c>
      <c r="AF232" s="75">
        <f t="shared" si="2780"/>
        <v>1</v>
      </c>
      <c r="AG232" s="75">
        <f t="shared" si="2780"/>
        <v>3</v>
      </c>
      <c r="AH232" s="75">
        <f t="shared" si="2780"/>
        <v>2</v>
      </c>
      <c r="AI232" s="75">
        <f t="shared" si="2780"/>
        <v>2</v>
      </c>
      <c r="AJ232" s="75">
        <f t="shared" si="2780"/>
        <v>0</v>
      </c>
      <c r="AK232" s="75">
        <f t="shared" si="2780"/>
        <v>0</v>
      </c>
      <c r="AL232" s="75">
        <f t="shared" si="2780"/>
        <v>0</v>
      </c>
      <c r="AM232" s="75">
        <f t="shared" si="2780"/>
        <v>0</v>
      </c>
      <c r="AN232" s="75">
        <f t="shared" si="2780"/>
        <v>0</v>
      </c>
      <c r="AO232" s="75">
        <f t="shared" si="2780"/>
        <v>0</v>
      </c>
      <c r="AP232" s="75">
        <f t="shared" si="2780"/>
        <v>0</v>
      </c>
      <c r="AQ232" s="75">
        <f t="shared" si="2780"/>
        <v>0</v>
      </c>
      <c r="AR232" s="75">
        <f t="shared" si="2780"/>
        <v>0</v>
      </c>
      <c r="AS232" s="75">
        <f t="shared" si="2780"/>
        <v>0</v>
      </c>
      <c r="AT232" s="75">
        <f t="shared" si="2780"/>
        <v>0</v>
      </c>
      <c r="AU232" s="75">
        <f t="shared" si="2780"/>
        <v>0</v>
      </c>
      <c r="AV232" s="75">
        <f t="shared" si="2780"/>
        <v>0</v>
      </c>
      <c r="AW232" s="75">
        <f t="shared" si="2780"/>
        <v>0</v>
      </c>
      <c r="AX232" s="75">
        <f t="shared" si="2780"/>
        <v>0</v>
      </c>
      <c r="AY232" s="75">
        <f t="shared" si="2780"/>
        <v>0</v>
      </c>
      <c r="AZ232" s="76">
        <f t="shared" si="2780"/>
        <v>0</v>
      </c>
      <c r="BA232" s="74">
        <f t="shared" si="2238"/>
        <v>38</v>
      </c>
      <c r="BB232" s="73">
        <f t="shared" ca="1" si="2239"/>
        <v>0.97435897435897434</v>
      </c>
      <c r="BC232" s="74">
        <f>BC230+BC229+BC228+BC227+BC226</f>
        <v>72</v>
      </c>
      <c r="BD232" s="75">
        <f>BD230+BD229+BD228+BD227+BD226</f>
        <v>62</v>
      </c>
      <c r="BE232" s="75">
        <f t="shared" ref="BE232:CG232" si="2781">BE230+BE229+BE228+BE227+BE226</f>
        <v>82</v>
      </c>
      <c r="BF232" s="75">
        <f t="shared" si="2781"/>
        <v>0</v>
      </c>
      <c r="BG232" s="75">
        <f t="shared" si="2781"/>
        <v>21</v>
      </c>
      <c r="BH232" s="75">
        <f t="shared" si="2781"/>
        <v>80</v>
      </c>
      <c r="BI232" s="75">
        <f t="shared" si="2781"/>
        <v>49</v>
      </c>
      <c r="BJ232" s="75">
        <f t="shared" si="2781"/>
        <v>81</v>
      </c>
      <c r="BK232" s="75">
        <f t="shared" si="2781"/>
        <v>43</v>
      </c>
      <c r="BL232" s="75">
        <f t="shared" si="2781"/>
        <v>77</v>
      </c>
      <c r="BM232" s="75">
        <f t="shared" si="2781"/>
        <v>0</v>
      </c>
      <c r="BN232" s="75">
        <f t="shared" si="2781"/>
        <v>85</v>
      </c>
      <c r="BO232" s="75">
        <f t="shared" si="2781"/>
        <v>45</v>
      </c>
      <c r="BP232" s="75">
        <f t="shared" si="2781"/>
        <v>0</v>
      </c>
      <c r="BQ232" s="75">
        <f t="shared" si="2781"/>
        <v>0</v>
      </c>
      <c r="BR232" s="75">
        <f t="shared" si="2781"/>
        <v>0</v>
      </c>
      <c r="BS232" s="75">
        <f t="shared" si="2781"/>
        <v>0</v>
      </c>
      <c r="BT232" s="75">
        <f t="shared" si="2781"/>
        <v>0</v>
      </c>
      <c r="BU232" s="75">
        <f t="shared" si="2781"/>
        <v>0</v>
      </c>
      <c r="BV232" s="75">
        <f t="shared" si="2781"/>
        <v>0</v>
      </c>
      <c r="BW232" s="75">
        <f t="shared" si="2781"/>
        <v>0</v>
      </c>
      <c r="BX232" s="75">
        <f t="shared" si="2781"/>
        <v>0</v>
      </c>
      <c r="BY232" s="75">
        <f t="shared" si="2781"/>
        <v>0</v>
      </c>
      <c r="BZ232" s="75">
        <f t="shared" si="2781"/>
        <v>0</v>
      </c>
      <c r="CA232" s="75">
        <f t="shared" si="2781"/>
        <v>0</v>
      </c>
      <c r="CB232" s="75">
        <f t="shared" si="2781"/>
        <v>0</v>
      </c>
      <c r="CC232" s="75">
        <f t="shared" si="2781"/>
        <v>0</v>
      </c>
      <c r="CD232" s="75">
        <f t="shared" si="2781"/>
        <v>0</v>
      </c>
      <c r="CE232" s="75">
        <f t="shared" si="2781"/>
        <v>0</v>
      </c>
      <c r="CF232" s="75">
        <f t="shared" si="2781"/>
        <v>0</v>
      </c>
      <c r="CG232" s="75">
        <f t="shared" si="2781"/>
        <v>0</v>
      </c>
      <c r="CH232" s="74">
        <f t="shared" si="2241"/>
        <v>697</v>
      </c>
      <c r="CI232" s="73">
        <f t="shared" ca="1" si="2242"/>
        <v>17.871794871794872</v>
      </c>
      <c r="GM232" s="2" t="s">
        <v>17</v>
      </c>
      <c r="GN232" s="103" t="str">
        <f t="shared" si="2236"/>
        <v>GJW01-FMCG-ASM-01</v>
      </c>
      <c r="GO232" s="4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6"/>
      <c r="HT232" s="4">
        <v>0</v>
      </c>
      <c r="HU232" s="3">
        <v>0</v>
      </c>
      <c r="HV232" s="3">
        <v>0</v>
      </c>
      <c r="HW232" s="3">
        <v>0</v>
      </c>
      <c r="HX232" s="3">
        <v>0</v>
      </c>
      <c r="HY232" s="3">
        <v>0</v>
      </c>
      <c r="HZ232" s="3">
        <v>0</v>
      </c>
      <c r="IA232" s="3">
        <v>0</v>
      </c>
      <c r="IB232" s="3">
        <v>0</v>
      </c>
      <c r="IC232" s="3">
        <v>0</v>
      </c>
      <c r="ID232" s="3">
        <v>0</v>
      </c>
      <c r="IE232" s="3">
        <v>0</v>
      </c>
      <c r="IF232" s="3">
        <v>0</v>
      </c>
      <c r="IG232" s="3">
        <v>0</v>
      </c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6"/>
    </row>
    <row r="233" spans="1:258" hidden="1">
      <c r="A233" s="97" t="s">
        <v>25</v>
      </c>
      <c r="B233" s="98" t="s">
        <v>26</v>
      </c>
      <c r="C233" s="98" t="s">
        <v>511</v>
      </c>
      <c r="D233" s="99" t="s">
        <v>1225</v>
      </c>
      <c r="E233" s="98" t="s">
        <v>558</v>
      </c>
      <c r="F233" s="98" t="s">
        <v>572</v>
      </c>
      <c r="G233" s="98" t="s">
        <v>574</v>
      </c>
      <c r="H233" s="98" t="s">
        <v>1561</v>
      </c>
      <c r="I233" s="98" t="s">
        <v>1561</v>
      </c>
      <c r="J233" s="98" t="s">
        <v>1222</v>
      </c>
      <c r="K233" s="98" t="s">
        <v>179</v>
      </c>
      <c r="L233" s="98" t="s">
        <v>575</v>
      </c>
      <c r="M233" s="98" t="s">
        <v>1093</v>
      </c>
      <c r="N233" s="108">
        <v>45481</v>
      </c>
      <c r="O233" s="100">
        <v>1</v>
      </c>
      <c r="P233" s="69">
        <v>0</v>
      </c>
      <c r="Q233" s="69">
        <f t="shared" si="2577"/>
        <v>1</v>
      </c>
      <c r="R233" s="69">
        <f t="shared" ref="R233:R238" si="2782">IFERROR(IF(OR(BA233&gt;0),1,0),0)</f>
        <v>1</v>
      </c>
      <c r="S233" s="69">
        <f t="shared" ref="S233:S238" si="2783">IFERROR(IF(OR(BP233&gt;0),1,0),0)</f>
        <v>0</v>
      </c>
      <c r="T233" s="69">
        <f t="shared" ref="T233:T238" si="2784">IFERROR(IF(OR(CH233&gt;0),1,0),0)</f>
        <v>1</v>
      </c>
      <c r="U233" s="69">
        <f t="shared" ref="U233:U238" si="2785">IFERROR(IF(OR(BA233&gt;0,CH233&gt;0),1,0),0)</f>
        <v>1</v>
      </c>
      <c r="V233" s="70">
        <f t="shared" ref="V233:V238" si="2786">GO233</f>
        <v>1</v>
      </c>
      <c r="W233" s="71">
        <f t="shared" ref="W233:W238" si="2787">GP233</f>
        <v>1</v>
      </c>
      <c r="X233" s="71">
        <f t="shared" ref="X233:X238" si="2788">GQ233</f>
        <v>1</v>
      </c>
      <c r="Y233" s="71">
        <f t="shared" ref="Y233:Y238" si="2789">GR233</f>
        <v>0</v>
      </c>
      <c r="Z233" s="71">
        <f t="shared" ref="Z233:Z238" si="2790">GS233</f>
        <v>1</v>
      </c>
      <c r="AA233" s="71">
        <f t="shared" ref="AA233:AA238" si="2791">GT233</f>
        <v>1</v>
      </c>
      <c r="AB233" s="71">
        <f t="shared" ref="AB233:AB238" si="2792">GU233</f>
        <v>1</v>
      </c>
      <c r="AC233" s="71">
        <f t="shared" ref="AC233:AC238" si="2793">GV233</f>
        <v>1</v>
      </c>
      <c r="AD233" s="71">
        <f t="shared" ref="AD233:AD238" si="2794">GW233</f>
        <v>1</v>
      </c>
      <c r="AE233" s="71">
        <f t="shared" ref="AE233:AE238" si="2795">GX233</f>
        <v>1</v>
      </c>
      <c r="AF233" s="71">
        <f t="shared" ref="AF233:AF238" si="2796">GY233</f>
        <v>0</v>
      </c>
      <c r="AG233" s="71">
        <f t="shared" ref="AG233:AG238" si="2797">GZ233</f>
        <v>1</v>
      </c>
      <c r="AH233" s="71">
        <f t="shared" ref="AH233:AH238" si="2798">HA233</f>
        <v>1</v>
      </c>
      <c r="AI233" s="71">
        <f t="shared" ref="AI233:AI238" si="2799">HB233</f>
        <v>1</v>
      </c>
      <c r="AJ233" s="71">
        <f t="shared" ref="AJ233:AJ238" si="2800">HC233</f>
        <v>0</v>
      </c>
      <c r="AK233" s="71">
        <f t="shared" ref="AK233:AK238" si="2801">HD233</f>
        <v>0</v>
      </c>
      <c r="AL233" s="71">
        <f t="shared" ref="AL233:AL238" si="2802">HE233</f>
        <v>0</v>
      </c>
      <c r="AM233" s="71">
        <f t="shared" ref="AM233:AM238" si="2803">HF233</f>
        <v>0</v>
      </c>
      <c r="AN233" s="71">
        <f t="shared" ref="AN233:AN238" si="2804">HG233</f>
        <v>0</v>
      </c>
      <c r="AO233" s="71">
        <f t="shared" ref="AO233:AO238" si="2805">HH233</f>
        <v>0</v>
      </c>
      <c r="AP233" s="71">
        <f t="shared" ref="AP233:AP238" si="2806">HI233</f>
        <v>0</v>
      </c>
      <c r="AQ233" s="71">
        <f t="shared" ref="AQ233:AQ238" si="2807">HJ233</f>
        <v>0</v>
      </c>
      <c r="AR233" s="71">
        <f t="shared" ref="AR233:AR238" si="2808">HK233</f>
        <v>0</v>
      </c>
      <c r="AS233" s="71">
        <f t="shared" ref="AS233:AS238" si="2809">HL233</f>
        <v>0</v>
      </c>
      <c r="AT233" s="71">
        <f t="shared" ref="AT233:AT238" si="2810">HM233</f>
        <v>0</v>
      </c>
      <c r="AU233" s="71">
        <f t="shared" ref="AU233:AU238" si="2811">HN233</f>
        <v>0</v>
      </c>
      <c r="AV233" s="71">
        <f t="shared" ref="AV233:AV238" si="2812">HO233</f>
        <v>0</v>
      </c>
      <c r="AW233" s="71">
        <f t="shared" ref="AW233:AW238" si="2813">HP233</f>
        <v>0</v>
      </c>
      <c r="AX233" s="71">
        <f t="shared" ref="AX233:AX238" si="2814">HQ233</f>
        <v>0</v>
      </c>
      <c r="AY233" s="71">
        <f t="shared" ref="AY233:AY238" si="2815">HR233</f>
        <v>0</v>
      </c>
      <c r="AZ233" s="72">
        <f t="shared" ref="AZ233:AZ238" si="2816">HS233</f>
        <v>0</v>
      </c>
      <c r="BA233" s="70">
        <f t="shared" si="2238"/>
        <v>12</v>
      </c>
      <c r="BB233" s="69">
        <f t="shared" ca="1" si="2239"/>
        <v>0.92307692307692313</v>
      </c>
      <c r="BC233" s="70">
        <f t="shared" ref="BC233:BC238" si="2817">HT233</f>
        <v>3</v>
      </c>
      <c r="BD233" s="71">
        <f t="shared" ref="BD233:BD238" si="2818">HU233</f>
        <v>0</v>
      </c>
      <c r="BE233" s="71">
        <f t="shared" ref="BE233:BE238" si="2819">HV233</f>
        <v>0</v>
      </c>
      <c r="BF233" s="71">
        <f t="shared" ref="BF233:BF238" si="2820">HW233</f>
        <v>0</v>
      </c>
      <c r="BG233" s="71">
        <f t="shared" ref="BG233:BG238" si="2821">HX233</f>
        <v>0</v>
      </c>
      <c r="BH233" s="71">
        <f t="shared" ref="BH233:BH238" si="2822">HY233</f>
        <v>0</v>
      </c>
      <c r="BI233" s="71">
        <f t="shared" ref="BI233:BI238" si="2823">HZ233</f>
        <v>0</v>
      </c>
      <c r="BJ233" s="71">
        <f t="shared" ref="BJ233:BJ238" si="2824">IA233</f>
        <v>0</v>
      </c>
      <c r="BK233" s="71">
        <f t="shared" ref="BK233:BK238" si="2825">IB233</f>
        <v>0</v>
      </c>
      <c r="BL233" s="71">
        <f t="shared" ref="BL233:BL238" si="2826">IC233</f>
        <v>0</v>
      </c>
      <c r="BM233" s="71">
        <f t="shared" ref="BM233:BM238" si="2827">ID233</f>
        <v>0</v>
      </c>
      <c r="BN233" s="71">
        <f t="shared" ref="BN233:BN238" si="2828">IE233</f>
        <v>0</v>
      </c>
      <c r="BO233" s="71">
        <f t="shared" ref="BO233:BO238" si="2829">IF233</f>
        <v>3</v>
      </c>
      <c r="BP233" s="71">
        <f t="shared" ref="BP233:BP238" si="2830">IG233</f>
        <v>0</v>
      </c>
      <c r="BQ233" s="71">
        <f t="shared" ref="BQ233:BQ238" si="2831">IH233</f>
        <v>0</v>
      </c>
      <c r="BR233" s="71">
        <f t="shared" ref="BR233:BR238" si="2832">II233</f>
        <v>0</v>
      </c>
      <c r="BS233" s="71">
        <f t="shared" ref="BS233:BS238" si="2833">IJ233</f>
        <v>0</v>
      </c>
      <c r="BT233" s="71">
        <f t="shared" ref="BT233:BT238" si="2834">IK233</f>
        <v>0</v>
      </c>
      <c r="BU233" s="71">
        <f t="shared" ref="BU233:BU238" si="2835">IL233</f>
        <v>0</v>
      </c>
      <c r="BV233" s="71">
        <f t="shared" ref="BV233:BV238" si="2836">IM233</f>
        <v>0</v>
      </c>
      <c r="BW233" s="71">
        <f t="shared" ref="BW233:BW238" si="2837">IN233</f>
        <v>0</v>
      </c>
      <c r="BX233" s="71">
        <f t="shared" ref="BX233:BX238" si="2838">IO233</f>
        <v>0</v>
      </c>
      <c r="BY233" s="71">
        <f t="shared" ref="BY233:BY238" si="2839">IP233</f>
        <v>0</v>
      </c>
      <c r="BZ233" s="71">
        <f t="shared" ref="BZ233:BZ238" si="2840">IQ233</f>
        <v>0</v>
      </c>
      <c r="CA233" s="71">
        <f t="shared" ref="CA233:CA238" si="2841">IR233</f>
        <v>0</v>
      </c>
      <c r="CB233" s="71">
        <f t="shared" ref="CB233:CB238" si="2842">IS233</f>
        <v>0</v>
      </c>
      <c r="CC233" s="71">
        <f t="shared" ref="CC233:CC238" si="2843">IT233</f>
        <v>0</v>
      </c>
      <c r="CD233" s="71">
        <f t="shared" ref="CD233:CD238" si="2844">IU233</f>
        <v>0</v>
      </c>
      <c r="CE233" s="71">
        <f t="shared" ref="CE233:CE238" si="2845">IV233</f>
        <v>0</v>
      </c>
      <c r="CF233" s="71">
        <f t="shared" ref="CF233:CF238" si="2846">IW233</f>
        <v>0</v>
      </c>
      <c r="CG233" s="71">
        <f t="shared" ref="CG233:CG238" si="2847">IX233</f>
        <v>0</v>
      </c>
      <c r="CH233" s="70">
        <f t="shared" si="2241"/>
        <v>6</v>
      </c>
      <c r="CI233" s="69">
        <f t="shared" ca="1" si="2242"/>
        <v>0.46153846153846156</v>
      </c>
      <c r="GM233" s="2" t="s">
        <v>16</v>
      </c>
      <c r="GN233" s="98" t="str">
        <f t="shared" si="2236"/>
        <v>GJW02-FMCG01-SPO-01</v>
      </c>
      <c r="GO233" s="4">
        <v>1</v>
      </c>
      <c r="GP233" s="3">
        <v>1</v>
      </c>
      <c r="GQ233" s="3">
        <v>1</v>
      </c>
      <c r="GR233" s="3">
        <v>0</v>
      </c>
      <c r="GS233" s="3">
        <v>1</v>
      </c>
      <c r="GT233" s="3">
        <v>1</v>
      </c>
      <c r="GU233" s="3">
        <v>1</v>
      </c>
      <c r="GV233" s="3">
        <v>1</v>
      </c>
      <c r="GW233" s="3">
        <v>1</v>
      </c>
      <c r="GX233" s="3">
        <v>1</v>
      </c>
      <c r="GY233" s="3">
        <v>0</v>
      </c>
      <c r="GZ233" s="3">
        <v>1</v>
      </c>
      <c r="HA233" s="3">
        <v>1</v>
      </c>
      <c r="HB233" s="3">
        <v>1</v>
      </c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6"/>
      <c r="HT233" s="4">
        <v>3</v>
      </c>
      <c r="HU233" s="3">
        <v>0</v>
      </c>
      <c r="HV233" s="3">
        <v>0</v>
      </c>
      <c r="HW233" s="3">
        <v>0</v>
      </c>
      <c r="HX233" s="3">
        <v>0</v>
      </c>
      <c r="HY233" s="3">
        <v>0</v>
      </c>
      <c r="HZ233" s="3">
        <v>0</v>
      </c>
      <c r="IA233" s="3">
        <v>0</v>
      </c>
      <c r="IB233" s="3">
        <v>0</v>
      </c>
      <c r="IC233" s="3">
        <v>0</v>
      </c>
      <c r="ID233" s="3">
        <v>0</v>
      </c>
      <c r="IE233" s="3">
        <v>0</v>
      </c>
      <c r="IF233" s="3">
        <v>3</v>
      </c>
      <c r="IG233" s="3">
        <v>0</v>
      </c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6"/>
    </row>
    <row r="234" spans="1:258" hidden="1">
      <c r="A234" s="106" t="s">
        <v>25</v>
      </c>
      <c r="B234" s="101" t="s">
        <v>26</v>
      </c>
      <c r="C234" s="98" t="s">
        <v>511</v>
      </c>
      <c r="D234" s="107" t="s">
        <v>1225</v>
      </c>
      <c r="E234" s="101" t="s">
        <v>565</v>
      </c>
      <c r="F234" s="101" t="s">
        <v>576</v>
      </c>
      <c r="G234" s="98" t="s">
        <v>578</v>
      </c>
      <c r="H234" s="101" t="s">
        <v>1562</v>
      </c>
      <c r="I234" s="101" t="s">
        <v>1562</v>
      </c>
      <c r="J234" s="101" t="s">
        <v>1222</v>
      </c>
      <c r="K234" s="101" t="s">
        <v>1127</v>
      </c>
      <c r="L234" s="101" t="s">
        <v>579</v>
      </c>
      <c r="M234" s="101" t="s">
        <v>1093</v>
      </c>
      <c r="N234" s="139">
        <v>45474</v>
      </c>
      <c r="O234" s="100">
        <v>1</v>
      </c>
      <c r="P234" s="69">
        <v>0</v>
      </c>
      <c r="Q234" s="69">
        <f t="shared" si="2577"/>
        <v>1</v>
      </c>
      <c r="R234" s="69">
        <f t="shared" si="2782"/>
        <v>1</v>
      </c>
      <c r="S234" s="69">
        <f t="shared" si="2783"/>
        <v>0</v>
      </c>
      <c r="T234" s="69">
        <f t="shared" si="2784"/>
        <v>1</v>
      </c>
      <c r="U234" s="69">
        <f t="shared" si="2785"/>
        <v>1</v>
      </c>
      <c r="V234" s="70">
        <f t="shared" si="2786"/>
        <v>1</v>
      </c>
      <c r="W234" s="71">
        <f t="shared" si="2787"/>
        <v>1</v>
      </c>
      <c r="X234" s="71">
        <f t="shared" si="2788"/>
        <v>1</v>
      </c>
      <c r="Y234" s="71">
        <f t="shared" si="2789"/>
        <v>0</v>
      </c>
      <c r="Z234" s="71">
        <f t="shared" si="2790"/>
        <v>1</v>
      </c>
      <c r="AA234" s="71">
        <f t="shared" si="2791"/>
        <v>1</v>
      </c>
      <c r="AB234" s="71">
        <f t="shared" si="2792"/>
        <v>1</v>
      </c>
      <c r="AC234" s="71">
        <f t="shared" si="2793"/>
        <v>1</v>
      </c>
      <c r="AD234" s="71">
        <f t="shared" si="2794"/>
        <v>1</v>
      </c>
      <c r="AE234" s="71">
        <f t="shared" si="2795"/>
        <v>1</v>
      </c>
      <c r="AF234" s="71">
        <f t="shared" si="2796"/>
        <v>0</v>
      </c>
      <c r="AG234" s="71">
        <f t="shared" si="2797"/>
        <v>1</v>
      </c>
      <c r="AH234" s="71">
        <f t="shared" si="2798"/>
        <v>1</v>
      </c>
      <c r="AI234" s="71">
        <f t="shared" si="2799"/>
        <v>1</v>
      </c>
      <c r="AJ234" s="71">
        <f t="shared" si="2800"/>
        <v>0</v>
      </c>
      <c r="AK234" s="71">
        <f t="shared" si="2801"/>
        <v>0</v>
      </c>
      <c r="AL234" s="71">
        <f t="shared" si="2802"/>
        <v>0</v>
      </c>
      <c r="AM234" s="71">
        <f t="shared" si="2803"/>
        <v>0</v>
      </c>
      <c r="AN234" s="71">
        <f t="shared" si="2804"/>
        <v>0</v>
      </c>
      <c r="AO234" s="71">
        <f t="shared" si="2805"/>
        <v>0</v>
      </c>
      <c r="AP234" s="71">
        <f t="shared" si="2806"/>
        <v>0</v>
      </c>
      <c r="AQ234" s="71">
        <f t="shared" si="2807"/>
        <v>0</v>
      </c>
      <c r="AR234" s="71">
        <f t="shared" si="2808"/>
        <v>0</v>
      </c>
      <c r="AS234" s="71">
        <f t="shared" si="2809"/>
        <v>0</v>
      </c>
      <c r="AT234" s="71">
        <f t="shared" si="2810"/>
        <v>0</v>
      </c>
      <c r="AU234" s="71">
        <f t="shared" si="2811"/>
        <v>0</v>
      </c>
      <c r="AV234" s="71">
        <f t="shared" si="2812"/>
        <v>0</v>
      </c>
      <c r="AW234" s="71">
        <f t="shared" si="2813"/>
        <v>0</v>
      </c>
      <c r="AX234" s="71">
        <f t="shared" si="2814"/>
        <v>0</v>
      </c>
      <c r="AY234" s="71">
        <f t="shared" si="2815"/>
        <v>0</v>
      </c>
      <c r="AZ234" s="72">
        <f t="shared" si="2816"/>
        <v>0</v>
      </c>
      <c r="BA234" s="70">
        <f t="shared" si="2238"/>
        <v>12</v>
      </c>
      <c r="BB234" s="69">
        <f t="shared" ca="1" si="2239"/>
        <v>0.92307692307692313</v>
      </c>
      <c r="BC234" s="70">
        <f t="shared" si="2817"/>
        <v>0</v>
      </c>
      <c r="BD234" s="71">
        <f t="shared" si="2818"/>
        <v>0</v>
      </c>
      <c r="BE234" s="71">
        <f t="shared" si="2819"/>
        <v>22</v>
      </c>
      <c r="BF234" s="71">
        <f t="shared" si="2820"/>
        <v>0</v>
      </c>
      <c r="BG234" s="71">
        <f t="shared" si="2821"/>
        <v>0</v>
      </c>
      <c r="BH234" s="71">
        <f t="shared" si="2822"/>
        <v>42</v>
      </c>
      <c r="BI234" s="71">
        <f t="shared" si="2823"/>
        <v>11</v>
      </c>
      <c r="BJ234" s="71">
        <f t="shared" si="2824"/>
        <v>0</v>
      </c>
      <c r="BK234" s="71">
        <f t="shared" si="2825"/>
        <v>0</v>
      </c>
      <c r="BL234" s="71">
        <f t="shared" si="2826"/>
        <v>0</v>
      </c>
      <c r="BM234" s="71">
        <f t="shared" si="2827"/>
        <v>0</v>
      </c>
      <c r="BN234" s="71">
        <f t="shared" si="2828"/>
        <v>4</v>
      </c>
      <c r="BO234" s="71">
        <f t="shared" si="2829"/>
        <v>36</v>
      </c>
      <c r="BP234" s="71">
        <f t="shared" si="2830"/>
        <v>0</v>
      </c>
      <c r="BQ234" s="71">
        <f t="shared" si="2831"/>
        <v>0</v>
      </c>
      <c r="BR234" s="71">
        <f t="shared" si="2832"/>
        <v>0</v>
      </c>
      <c r="BS234" s="71">
        <f t="shared" si="2833"/>
        <v>0</v>
      </c>
      <c r="BT234" s="71">
        <f t="shared" si="2834"/>
        <v>0</v>
      </c>
      <c r="BU234" s="71">
        <f t="shared" si="2835"/>
        <v>0</v>
      </c>
      <c r="BV234" s="71">
        <f t="shared" si="2836"/>
        <v>0</v>
      </c>
      <c r="BW234" s="71">
        <f t="shared" si="2837"/>
        <v>0</v>
      </c>
      <c r="BX234" s="71">
        <f t="shared" si="2838"/>
        <v>0</v>
      </c>
      <c r="BY234" s="71">
        <f t="shared" si="2839"/>
        <v>0</v>
      </c>
      <c r="BZ234" s="71">
        <f t="shared" si="2840"/>
        <v>0</v>
      </c>
      <c r="CA234" s="71">
        <f t="shared" si="2841"/>
        <v>0</v>
      </c>
      <c r="CB234" s="71">
        <f t="shared" si="2842"/>
        <v>0</v>
      </c>
      <c r="CC234" s="71">
        <f t="shared" si="2843"/>
        <v>0</v>
      </c>
      <c r="CD234" s="71">
        <f t="shared" si="2844"/>
        <v>0</v>
      </c>
      <c r="CE234" s="71">
        <f t="shared" si="2845"/>
        <v>0</v>
      </c>
      <c r="CF234" s="71">
        <f t="shared" si="2846"/>
        <v>0</v>
      </c>
      <c r="CG234" s="71">
        <f t="shared" si="2847"/>
        <v>0</v>
      </c>
      <c r="CH234" s="70">
        <f t="shared" si="2241"/>
        <v>115</v>
      </c>
      <c r="CI234" s="69">
        <f t="shared" ca="1" si="2242"/>
        <v>8.8461538461538467</v>
      </c>
      <c r="GM234" s="2" t="s">
        <v>16</v>
      </c>
      <c r="GN234" s="101" t="str">
        <f t="shared" si="2236"/>
        <v>GJW02-FMCG02-SPO-01</v>
      </c>
      <c r="GO234" s="4">
        <v>1</v>
      </c>
      <c r="GP234" s="3">
        <v>1</v>
      </c>
      <c r="GQ234" s="3">
        <v>1</v>
      </c>
      <c r="GR234" s="3">
        <v>0</v>
      </c>
      <c r="GS234" s="3">
        <v>1</v>
      </c>
      <c r="GT234" s="3">
        <v>1</v>
      </c>
      <c r="GU234" s="3">
        <v>1</v>
      </c>
      <c r="GV234" s="3">
        <v>1</v>
      </c>
      <c r="GW234" s="3">
        <v>1</v>
      </c>
      <c r="GX234" s="3">
        <v>1</v>
      </c>
      <c r="GY234" s="3">
        <v>0</v>
      </c>
      <c r="GZ234" s="3">
        <v>1</v>
      </c>
      <c r="HA234" s="3">
        <v>1</v>
      </c>
      <c r="HB234" s="3">
        <v>1</v>
      </c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6"/>
      <c r="HT234" s="4">
        <v>0</v>
      </c>
      <c r="HU234" s="3">
        <v>0</v>
      </c>
      <c r="HV234" s="3">
        <v>22</v>
      </c>
      <c r="HW234" s="3">
        <v>0</v>
      </c>
      <c r="HX234" s="3">
        <v>0</v>
      </c>
      <c r="HY234" s="3">
        <v>42</v>
      </c>
      <c r="HZ234" s="3">
        <v>11</v>
      </c>
      <c r="IA234" s="3">
        <v>0</v>
      </c>
      <c r="IB234" s="3">
        <v>0</v>
      </c>
      <c r="IC234" s="3">
        <v>0</v>
      </c>
      <c r="ID234" s="3">
        <v>0</v>
      </c>
      <c r="IE234" s="3">
        <v>4</v>
      </c>
      <c r="IF234" s="3">
        <v>36</v>
      </c>
      <c r="IG234" s="3">
        <v>0</v>
      </c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6"/>
    </row>
    <row r="235" spans="1:258" hidden="1">
      <c r="A235" s="97" t="s">
        <v>25</v>
      </c>
      <c r="B235" s="98" t="s">
        <v>90</v>
      </c>
      <c r="C235" s="98" t="s">
        <v>511</v>
      </c>
      <c r="D235" s="99" t="s">
        <v>1225</v>
      </c>
      <c r="E235" s="98" t="s">
        <v>984</v>
      </c>
      <c r="F235" s="98" t="s">
        <v>1066</v>
      </c>
      <c r="G235" s="98" t="s">
        <v>573</v>
      </c>
      <c r="H235" s="98" t="s">
        <v>1563</v>
      </c>
      <c r="I235" s="98" t="s">
        <v>1563</v>
      </c>
      <c r="J235" s="98" t="s">
        <v>869</v>
      </c>
      <c r="K235" s="98" t="s">
        <v>1127</v>
      </c>
      <c r="L235" s="98">
        <v>46210</v>
      </c>
      <c r="M235" s="101" t="s">
        <v>1162</v>
      </c>
      <c r="N235" s="139">
        <v>46210</v>
      </c>
      <c r="O235" s="100">
        <v>1</v>
      </c>
      <c r="P235" s="69">
        <v>0</v>
      </c>
      <c r="Q235" s="69">
        <f t="shared" si="2577"/>
        <v>1</v>
      </c>
      <c r="R235" s="69">
        <f t="shared" si="2782"/>
        <v>1</v>
      </c>
      <c r="S235" s="69">
        <f t="shared" si="2783"/>
        <v>0</v>
      </c>
      <c r="T235" s="69">
        <f t="shared" si="2784"/>
        <v>1</v>
      </c>
      <c r="U235" s="69">
        <f t="shared" si="2785"/>
        <v>1</v>
      </c>
      <c r="V235" s="70">
        <f t="shared" si="2786"/>
        <v>1</v>
      </c>
      <c r="W235" s="71">
        <f t="shared" si="2787"/>
        <v>1</v>
      </c>
      <c r="X235" s="71">
        <f t="shared" si="2788"/>
        <v>1</v>
      </c>
      <c r="Y235" s="71">
        <f t="shared" si="2789"/>
        <v>0</v>
      </c>
      <c r="Z235" s="71">
        <f t="shared" si="2790"/>
        <v>1</v>
      </c>
      <c r="AA235" s="71">
        <f t="shared" si="2791"/>
        <v>1</v>
      </c>
      <c r="AB235" s="71">
        <f t="shared" si="2792"/>
        <v>1</v>
      </c>
      <c r="AC235" s="71">
        <f t="shared" si="2793"/>
        <v>1</v>
      </c>
      <c r="AD235" s="71">
        <f t="shared" si="2794"/>
        <v>1</v>
      </c>
      <c r="AE235" s="71">
        <f t="shared" si="2795"/>
        <v>1</v>
      </c>
      <c r="AF235" s="71">
        <f t="shared" si="2796"/>
        <v>0</v>
      </c>
      <c r="AG235" s="71">
        <f t="shared" si="2797"/>
        <v>1</v>
      </c>
      <c r="AH235" s="71">
        <f t="shared" si="2798"/>
        <v>1</v>
      </c>
      <c r="AI235" s="71">
        <f t="shared" si="2799"/>
        <v>1</v>
      </c>
      <c r="AJ235" s="71">
        <f t="shared" si="2800"/>
        <v>0</v>
      </c>
      <c r="AK235" s="71">
        <f t="shared" si="2801"/>
        <v>0</v>
      </c>
      <c r="AL235" s="71">
        <f t="shared" si="2802"/>
        <v>0</v>
      </c>
      <c r="AM235" s="71">
        <f t="shared" si="2803"/>
        <v>0</v>
      </c>
      <c r="AN235" s="71">
        <f t="shared" si="2804"/>
        <v>0</v>
      </c>
      <c r="AO235" s="71">
        <f t="shared" si="2805"/>
        <v>0</v>
      </c>
      <c r="AP235" s="71">
        <f t="shared" si="2806"/>
        <v>0</v>
      </c>
      <c r="AQ235" s="71">
        <f t="shared" si="2807"/>
        <v>0</v>
      </c>
      <c r="AR235" s="71">
        <f t="shared" si="2808"/>
        <v>0</v>
      </c>
      <c r="AS235" s="71">
        <f t="shared" si="2809"/>
        <v>0</v>
      </c>
      <c r="AT235" s="71">
        <f t="shared" si="2810"/>
        <v>0</v>
      </c>
      <c r="AU235" s="71">
        <f t="shared" si="2811"/>
        <v>0</v>
      </c>
      <c r="AV235" s="71">
        <f t="shared" si="2812"/>
        <v>0</v>
      </c>
      <c r="AW235" s="71">
        <f t="shared" si="2813"/>
        <v>0</v>
      </c>
      <c r="AX235" s="71">
        <f t="shared" si="2814"/>
        <v>0</v>
      </c>
      <c r="AY235" s="71">
        <f t="shared" si="2815"/>
        <v>0</v>
      </c>
      <c r="AZ235" s="72">
        <f t="shared" si="2816"/>
        <v>0</v>
      </c>
      <c r="BA235" s="70">
        <f t="shared" si="2238"/>
        <v>12</v>
      </c>
      <c r="BB235" s="69">
        <f t="shared" ca="1" si="2239"/>
        <v>0.92307692307692313</v>
      </c>
      <c r="BC235" s="70">
        <f t="shared" si="2817"/>
        <v>42</v>
      </c>
      <c r="BD235" s="71">
        <f t="shared" si="2818"/>
        <v>0</v>
      </c>
      <c r="BE235" s="71">
        <f t="shared" si="2819"/>
        <v>49</v>
      </c>
      <c r="BF235" s="71">
        <f t="shared" si="2820"/>
        <v>0</v>
      </c>
      <c r="BG235" s="71">
        <f t="shared" si="2821"/>
        <v>47</v>
      </c>
      <c r="BH235" s="71">
        <f t="shared" si="2822"/>
        <v>43</v>
      </c>
      <c r="BI235" s="71">
        <f t="shared" si="2823"/>
        <v>0</v>
      </c>
      <c r="BJ235" s="71">
        <f t="shared" si="2824"/>
        <v>46</v>
      </c>
      <c r="BK235" s="71">
        <f t="shared" si="2825"/>
        <v>32</v>
      </c>
      <c r="BL235" s="71">
        <f t="shared" si="2826"/>
        <v>0</v>
      </c>
      <c r="BM235" s="71">
        <f t="shared" si="2827"/>
        <v>0</v>
      </c>
      <c r="BN235" s="71">
        <f t="shared" si="2828"/>
        <v>37</v>
      </c>
      <c r="BO235" s="71">
        <f t="shared" si="2829"/>
        <v>38</v>
      </c>
      <c r="BP235" s="71">
        <f t="shared" si="2830"/>
        <v>0</v>
      </c>
      <c r="BQ235" s="71">
        <f t="shared" si="2831"/>
        <v>0</v>
      </c>
      <c r="BR235" s="71">
        <f t="shared" si="2832"/>
        <v>0</v>
      </c>
      <c r="BS235" s="71">
        <f t="shared" si="2833"/>
        <v>0</v>
      </c>
      <c r="BT235" s="71">
        <f t="shared" si="2834"/>
        <v>0</v>
      </c>
      <c r="BU235" s="71">
        <f t="shared" si="2835"/>
        <v>0</v>
      </c>
      <c r="BV235" s="71">
        <f t="shared" si="2836"/>
        <v>0</v>
      </c>
      <c r="BW235" s="71">
        <f t="shared" si="2837"/>
        <v>0</v>
      </c>
      <c r="BX235" s="71">
        <f t="shared" si="2838"/>
        <v>0</v>
      </c>
      <c r="BY235" s="71">
        <f t="shared" si="2839"/>
        <v>0</v>
      </c>
      <c r="BZ235" s="71">
        <f t="shared" si="2840"/>
        <v>0</v>
      </c>
      <c r="CA235" s="71">
        <f t="shared" si="2841"/>
        <v>0</v>
      </c>
      <c r="CB235" s="71">
        <f t="shared" si="2842"/>
        <v>0</v>
      </c>
      <c r="CC235" s="71">
        <f t="shared" si="2843"/>
        <v>0</v>
      </c>
      <c r="CD235" s="71">
        <f t="shared" si="2844"/>
        <v>0</v>
      </c>
      <c r="CE235" s="71">
        <f t="shared" si="2845"/>
        <v>0</v>
      </c>
      <c r="CF235" s="71">
        <f t="shared" si="2846"/>
        <v>0</v>
      </c>
      <c r="CG235" s="71">
        <f t="shared" si="2847"/>
        <v>0</v>
      </c>
      <c r="CH235" s="70">
        <f t="shared" si="2241"/>
        <v>334</v>
      </c>
      <c r="CI235" s="69">
        <f t="shared" ca="1" si="2242"/>
        <v>25.692307692307693</v>
      </c>
      <c r="GM235" s="2" t="s">
        <v>16</v>
      </c>
      <c r="GN235" s="98" t="str">
        <f t="shared" si="2236"/>
        <v>GJW02-FMCG-SPO-01</v>
      </c>
      <c r="GO235" s="4">
        <v>1</v>
      </c>
      <c r="GP235" s="3">
        <v>1</v>
      </c>
      <c r="GQ235" s="3">
        <v>1</v>
      </c>
      <c r="GR235" s="3">
        <v>0</v>
      </c>
      <c r="GS235" s="3">
        <v>1</v>
      </c>
      <c r="GT235" s="3">
        <v>1</v>
      </c>
      <c r="GU235" s="3">
        <v>1</v>
      </c>
      <c r="GV235" s="3">
        <v>1</v>
      </c>
      <c r="GW235" s="3">
        <v>1</v>
      </c>
      <c r="GX235" s="3">
        <v>1</v>
      </c>
      <c r="GY235" s="3">
        <v>0</v>
      </c>
      <c r="GZ235" s="3">
        <v>1</v>
      </c>
      <c r="HA235" s="3">
        <v>1</v>
      </c>
      <c r="HB235" s="3">
        <v>1</v>
      </c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6"/>
      <c r="HT235" s="4">
        <v>42</v>
      </c>
      <c r="HU235" s="3">
        <v>0</v>
      </c>
      <c r="HV235" s="3">
        <v>49</v>
      </c>
      <c r="HW235" s="3">
        <v>0</v>
      </c>
      <c r="HX235" s="3">
        <v>47</v>
      </c>
      <c r="HY235" s="3">
        <v>43</v>
      </c>
      <c r="HZ235" s="3">
        <v>0</v>
      </c>
      <c r="IA235" s="3">
        <v>46</v>
      </c>
      <c r="IB235" s="3">
        <v>32</v>
      </c>
      <c r="IC235" s="3">
        <v>0</v>
      </c>
      <c r="ID235" s="3">
        <v>0</v>
      </c>
      <c r="IE235" s="3">
        <v>37</v>
      </c>
      <c r="IF235" s="3">
        <v>38</v>
      </c>
      <c r="IG235" s="3">
        <v>0</v>
      </c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6"/>
    </row>
    <row r="236" spans="1:258" hidden="1">
      <c r="A236" s="97" t="s">
        <v>25</v>
      </c>
      <c r="B236" s="98" t="s">
        <v>90</v>
      </c>
      <c r="C236" s="98" t="s">
        <v>511</v>
      </c>
      <c r="D236" s="99" t="s">
        <v>1225</v>
      </c>
      <c r="E236" s="98" t="s">
        <v>985</v>
      </c>
      <c r="F236" s="98" t="s">
        <v>1067</v>
      </c>
      <c r="G236" s="98" t="s">
        <v>555</v>
      </c>
      <c r="H236" s="98" t="s">
        <v>1564</v>
      </c>
      <c r="I236" s="98" t="s">
        <v>1564</v>
      </c>
      <c r="J236" s="98" t="s">
        <v>1222</v>
      </c>
      <c r="K236" s="98" t="s">
        <v>179</v>
      </c>
      <c r="L236" s="98" t="s">
        <v>557</v>
      </c>
      <c r="M236" s="101" t="s">
        <v>1093</v>
      </c>
      <c r="N236" s="139">
        <v>45474</v>
      </c>
      <c r="O236" s="100">
        <v>1</v>
      </c>
      <c r="P236" s="69">
        <v>0</v>
      </c>
      <c r="Q236" s="69">
        <f t="shared" si="2577"/>
        <v>1</v>
      </c>
      <c r="R236" s="69">
        <f t="shared" si="2782"/>
        <v>1</v>
      </c>
      <c r="S236" s="69">
        <f t="shared" si="2783"/>
        <v>0</v>
      </c>
      <c r="T236" s="69">
        <f t="shared" si="2784"/>
        <v>1</v>
      </c>
      <c r="U236" s="69">
        <f t="shared" si="2785"/>
        <v>1</v>
      </c>
      <c r="V236" s="70">
        <f t="shared" si="2786"/>
        <v>1</v>
      </c>
      <c r="W236" s="71">
        <f t="shared" si="2787"/>
        <v>1</v>
      </c>
      <c r="X236" s="71">
        <f t="shared" si="2788"/>
        <v>1</v>
      </c>
      <c r="Y236" s="71">
        <f t="shared" si="2789"/>
        <v>0</v>
      </c>
      <c r="Z236" s="71">
        <f t="shared" si="2790"/>
        <v>1</v>
      </c>
      <c r="AA236" s="71">
        <f t="shared" si="2791"/>
        <v>1</v>
      </c>
      <c r="AB236" s="71">
        <f t="shared" si="2792"/>
        <v>1</v>
      </c>
      <c r="AC236" s="71">
        <f t="shared" si="2793"/>
        <v>1</v>
      </c>
      <c r="AD236" s="71">
        <f t="shared" si="2794"/>
        <v>1</v>
      </c>
      <c r="AE236" s="71">
        <f t="shared" si="2795"/>
        <v>0</v>
      </c>
      <c r="AF236" s="71">
        <f t="shared" si="2796"/>
        <v>0</v>
      </c>
      <c r="AG236" s="71">
        <f t="shared" si="2797"/>
        <v>0</v>
      </c>
      <c r="AH236" s="71">
        <f t="shared" si="2798"/>
        <v>1</v>
      </c>
      <c r="AI236" s="71">
        <f t="shared" si="2799"/>
        <v>1</v>
      </c>
      <c r="AJ236" s="71">
        <f t="shared" si="2800"/>
        <v>0</v>
      </c>
      <c r="AK236" s="71">
        <f t="shared" si="2801"/>
        <v>0</v>
      </c>
      <c r="AL236" s="71">
        <f t="shared" si="2802"/>
        <v>0</v>
      </c>
      <c r="AM236" s="71">
        <f t="shared" si="2803"/>
        <v>0</v>
      </c>
      <c r="AN236" s="71">
        <f t="shared" si="2804"/>
        <v>0</v>
      </c>
      <c r="AO236" s="71">
        <f t="shared" si="2805"/>
        <v>0</v>
      </c>
      <c r="AP236" s="71">
        <f t="shared" si="2806"/>
        <v>0</v>
      </c>
      <c r="AQ236" s="71">
        <f t="shared" si="2807"/>
        <v>0</v>
      </c>
      <c r="AR236" s="71">
        <f t="shared" si="2808"/>
        <v>0</v>
      </c>
      <c r="AS236" s="71">
        <f t="shared" si="2809"/>
        <v>0</v>
      </c>
      <c r="AT236" s="71">
        <f t="shared" si="2810"/>
        <v>0</v>
      </c>
      <c r="AU236" s="71">
        <f t="shared" si="2811"/>
        <v>0</v>
      </c>
      <c r="AV236" s="71">
        <f t="shared" si="2812"/>
        <v>0</v>
      </c>
      <c r="AW236" s="71">
        <f t="shared" si="2813"/>
        <v>0</v>
      </c>
      <c r="AX236" s="71">
        <f t="shared" si="2814"/>
        <v>0</v>
      </c>
      <c r="AY236" s="71">
        <f t="shared" si="2815"/>
        <v>0</v>
      </c>
      <c r="AZ236" s="72">
        <f t="shared" si="2816"/>
        <v>0</v>
      </c>
      <c r="BA236" s="70">
        <f t="shared" si="2238"/>
        <v>10</v>
      </c>
      <c r="BB236" s="69">
        <f t="shared" ca="1" si="2239"/>
        <v>0.76923076923076927</v>
      </c>
      <c r="BC236" s="70">
        <f t="shared" si="2817"/>
        <v>0</v>
      </c>
      <c r="BD236" s="71">
        <f t="shared" si="2818"/>
        <v>0</v>
      </c>
      <c r="BE236" s="71">
        <f t="shared" si="2819"/>
        <v>0</v>
      </c>
      <c r="BF236" s="71">
        <f t="shared" si="2820"/>
        <v>0</v>
      </c>
      <c r="BG236" s="71">
        <f t="shared" si="2821"/>
        <v>0</v>
      </c>
      <c r="BH236" s="71">
        <f t="shared" si="2822"/>
        <v>18</v>
      </c>
      <c r="BI236" s="71">
        <f t="shared" si="2823"/>
        <v>27</v>
      </c>
      <c r="BJ236" s="71">
        <f t="shared" si="2824"/>
        <v>0</v>
      </c>
      <c r="BK236" s="71">
        <f t="shared" si="2825"/>
        <v>0</v>
      </c>
      <c r="BL236" s="71">
        <f t="shared" si="2826"/>
        <v>0</v>
      </c>
      <c r="BM236" s="71">
        <f t="shared" si="2827"/>
        <v>0</v>
      </c>
      <c r="BN236" s="71">
        <f t="shared" si="2828"/>
        <v>0</v>
      </c>
      <c r="BO236" s="71">
        <f t="shared" si="2829"/>
        <v>0</v>
      </c>
      <c r="BP236" s="71">
        <f t="shared" si="2830"/>
        <v>0</v>
      </c>
      <c r="BQ236" s="71">
        <f t="shared" si="2831"/>
        <v>0</v>
      </c>
      <c r="BR236" s="71">
        <f t="shared" si="2832"/>
        <v>0</v>
      </c>
      <c r="BS236" s="71">
        <f t="shared" si="2833"/>
        <v>0</v>
      </c>
      <c r="BT236" s="71">
        <f t="shared" si="2834"/>
        <v>0</v>
      </c>
      <c r="BU236" s="71">
        <f t="shared" si="2835"/>
        <v>0</v>
      </c>
      <c r="BV236" s="71">
        <f t="shared" si="2836"/>
        <v>0</v>
      </c>
      <c r="BW236" s="71">
        <f t="shared" si="2837"/>
        <v>0</v>
      </c>
      <c r="BX236" s="71">
        <f t="shared" si="2838"/>
        <v>0</v>
      </c>
      <c r="BY236" s="71">
        <f t="shared" si="2839"/>
        <v>0</v>
      </c>
      <c r="BZ236" s="71">
        <f t="shared" si="2840"/>
        <v>0</v>
      </c>
      <c r="CA236" s="71">
        <f t="shared" si="2841"/>
        <v>0</v>
      </c>
      <c r="CB236" s="71">
        <f t="shared" si="2842"/>
        <v>0</v>
      </c>
      <c r="CC236" s="71">
        <f t="shared" si="2843"/>
        <v>0</v>
      </c>
      <c r="CD236" s="71">
        <f t="shared" si="2844"/>
        <v>0</v>
      </c>
      <c r="CE236" s="71">
        <f t="shared" si="2845"/>
        <v>0</v>
      </c>
      <c r="CF236" s="71">
        <f t="shared" si="2846"/>
        <v>0</v>
      </c>
      <c r="CG236" s="71">
        <f t="shared" si="2847"/>
        <v>0</v>
      </c>
      <c r="CH236" s="70">
        <f t="shared" si="2241"/>
        <v>45</v>
      </c>
      <c r="CI236" s="69">
        <f t="shared" ca="1" si="2242"/>
        <v>3.4615384615384617</v>
      </c>
      <c r="GM236" s="2" t="s">
        <v>16</v>
      </c>
      <c r="GN236" s="98" t="str">
        <f t="shared" si="2236"/>
        <v>GJW02-FMCG03-SPO-01</v>
      </c>
      <c r="GO236" s="4">
        <v>1</v>
      </c>
      <c r="GP236" s="3">
        <v>1</v>
      </c>
      <c r="GQ236" s="3">
        <v>1</v>
      </c>
      <c r="GR236" s="3">
        <v>0</v>
      </c>
      <c r="GS236" s="3">
        <v>1</v>
      </c>
      <c r="GT236" s="3">
        <v>1</v>
      </c>
      <c r="GU236" s="3">
        <v>1</v>
      </c>
      <c r="GV236" s="3">
        <v>1</v>
      </c>
      <c r="GW236" s="3">
        <v>1</v>
      </c>
      <c r="GX236" s="3">
        <v>0</v>
      </c>
      <c r="GY236" s="3">
        <v>0</v>
      </c>
      <c r="GZ236" s="3">
        <v>0</v>
      </c>
      <c r="HA236" s="3">
        <v>1</v>
      </c>
      <c r="HB236" s="3">
        <v>1</v>
      </c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6"/>
      <c r="HT236" s="4">
        <v>0</v>
      </c>
      <c r="HU236" s="3">
        <v>0</v>
      </c>
      <c r="HV236" s="3">
        <v>0</v>
      </c>
      <c r="HW236" s="3">
        <v>0</v>
      </c>
      <c r="HX236" s="3">
        <v>0</v>
      </c>
      <c r="HY236" s="3">
        <v>18</v>
      </c>
      <c r="HZ236" s="3">
        <v>27</v>
      </c>
      <c r="IA236" s="3">
        <v>0</v>
      </c>
      <c r="IB236" s="3">
        <v>0</v>
      </c>
      <c r="IC236" s="3">
        <v>0</v>
      </c>
      <c r="ID236" s="3">
        <v>0</v>
      </c>
      <c r="IE236" s="3">
        <v>0</v>
      </c>
      <c r="IF236" s="3">
        <v>0</v>
      </c>
      <c r="IG236" s="3">
        <v>0</v>
      </c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6"/>
    </row>
    <row r="237" spans="1:258" hidden="1">
      <c r="A237" s="97" t="s">
        <v>1287</v>
      </c>
      <c r="B237" s="98" t="s">
        <v>20</v>
      </c>
      <c r="C237" s="98" t="s">
        <v>511</v>
      </c>
      <c r="D237" s="99" t="s">
        <v>1225</v>
      </c>
      <c r="E237" s="98" t="s">
        <v>1098</v>
      </c>
      <c r="F237" s="98" t="s">
        <v>868</v>
      </c>
      <c r="G237" s="98" t="s">
        <v>867</v>
      </c>
      <c r="H237" s="98" t="s">
        <v>1565</v>
      </c>
      <c r="I237" s="98" t="s">
        <v>1565</v>
      </c>
      <c r="J237" s="98" t="s">
        <v>1222</v>
      </c>
      <c r="K237" s="98" t="s">
        <v>1099</v>
      </c>
      <c r="L237" s="98" t="s">
        <v>1099</v>
      </c>
      <c r="M237" s="101" t="s">
        <v>1099</v>
      </c>
      <c r="N237" s="108">
        <v>45474</v>
      </c>
      <c r="O237" s="100">
        <v>0</v>
      </c>
      <c r="P237" s="69">
        <v>0</v>
      </c>
      <c r="Q237" s="69">
        <f t="shared" si="2577"/>
        <v>0</v>
      </c>
      <c r="R237" s="69">
        <f t="shared" si="2782"/>
        <v>0</v>
      </c>
      <c r="S237" s="69">
        <f t="shared" si="2783"/>
        <v>0</v>
      </c>
      <c r="T237" s="69">
        <f t="shared" si="2784"/>
        <v>0</v>
      </c>
      <c r="U237" s="69">
        <f t="shared" si="2785"/>
        <v>0</v>
      </c>
      <c r="V237" s="70">
        <f t="shared" si="2786"/>
        <v>0</v>
      </c>
      <c r="W237" s="71">
        <f t="shared" si="2787"/>
        <v>0</v>
      </c>
      <c r="X237" s="71">
        <f t="shared" si="2788"/>
        <v>0</v>
      </c>
      <c r="Y237" s="71">
        <f t="shared" si="2789"/>
        <v>0</v>
      </c>
      <c r="Z237" s="71">
        <f t="shared" si="2790"/>
        <v>0</v>
      </c>
      <c r="AA237" s="71">
        <f t="shared" si="2791"/>
        <v>0</v>
      </c>
      <c r="AB237" s="71">
        <f t="shared" si="2792"/>
        <v>0</v>
      </c>
      <c r="AC237" s="71">
        <f t="shared" si="2793"/>
        <v>0</v>
      </c>
      <c r="AD237" s="71">
        <f t="shared" si="2794"/>
        <v>0</v>
      </c>
      <c r="AE237" s="71">
        <f t="shared" si="2795"/>
        <v>0</v>
      </c>
      <c r="AF237" s="71">
        <f t="shared" si="2796"/>
        <v>0</v>
      </c>
      <c r="AG237" s="71">
        <f t="shared" si="2797"/>
        <v>0</v>
      </c>
      <c r="AH237" s="71">
        <f t="shared" si="2798"/>
        <v>0</v>
      </c>
      <c r="AI237" s="71">
        <f t="shared" si="2799"/>
        <v>0</v>
      </c>
      <c r="AJ237" s="71">
        <f t="shared" si="2800"/>
        <v>0</v>
      </c>
      <c r="AK237" s="71">
        <f t="shared" si="2801"/>
        <v>0</v>
      </c>
      <c r="AL237" s="71">
        <f t="shared" si="2802"/>
        <v>0</v>
      </c>
      <c r="AM237" s="71">
        <f t="shared" si="2803"/>
        <v>0</v>
      </c>
      <c r="AN237" s="71">
        <f t="shared" si="2804"/>
        <v>0</v>
      </c>
      <c r="AO237" s="71">
        <f t="shared" si="2805"/>
        <v>0</v>
      </c>
      <c r="AP237" s="71">
        <f t="shared" si="2806"/>
        <v>0</v>
      </c>
      <c r="AQ237" s="71">
        <f t="shared" si="2807"/>
        <v>0</v>
      </c>
      <c r="AR237" s="71">
        <f t="shared" si="2808"/>
        <v>0</v>
      </c>
      <c r="AS237" s="71">
        <f t="shared" si="2809"/>
        <v>0</v>
      </c>
      <c r="AT237" s="71">
        <f t="shared" si="2810"/>
        <v>0</v>
      </c>
      <c r="AU237" s="71">
        <f t="shared" si="2811"/>
        <v>0</v>
      </c>
      <c r="AV237" s="71">
        <f t="shared" si="2812"/>
        <v>0</v>
      </c>
      <c r="AW237" s="71">
        <f t="shared" si="2813"/>
        <v>0</v>
      </c>
      <c r="AX237" s="71">
        <f t="shared" si="2814"/>
        <v>0</v>
      </c>
      <c r="AY237" s="71">
        <f t="shared" si="2815"/>
        <v>0</v>
      </c>
      <c r="AZ237" s="72">
        <f t="shared" si="2816"/>
        <v>0</v>
      </c>
      <c r="BA237" s="70">
        <f t="shared" si="2238"/>
        <v>0</v>
      </c>
      <c r="BB237" s="69">
        <f t="shared" ca="1" si="2239"/>
        <v>0</v>
      </c>
      <c r="BC237" s="70">
        <f t="shared" si="2817"/>
        <v>0</v>
      </c>
      <c r="BD237" s="71">
        <f t="shared" si="2818"/>
        <v>0</v>
      </c>
      <c r="BE237" s="71">
        <f t="shared" si="2819"/>
        <v>0</v>
      </c>
      <c r="BF237" s="71">
        <f t="shared" si="2820"/>
        <v>0</v>
      </c>
      <c r="BG237" s="71">
        <f t="shared" si="2821"/>
        <v>0</v>
      </c>
      <c r="BH237" s="71">
        <f t="shared" si="2822"/>
        <v>0</v>
      </c>
      <c r="BI237" s="71">
        <f t="shared" si="2823"/>
        <v>0</v>
      </c>
      <c r="BJ237" s="71">
        <f t="shared" si="2824"/>
        <v>0</v>
      </c>
      <c r="BK237" s="71">
        <f t="shared" si="2825"/>
        <v>0</v>
      </c>
      <c r="BL237" s="71">
        <f t="shared" si="2826"/>
        <v>0</v>
      </c>
      <c r="BM237" s="71">
        <f t="shared" si="2827"/>
        <v>0</v>
      </c>
      <c r="BN237" s="71">
        <f t="shared" si="2828"/>
        <v>0</v>
      </c>
      <c r="BO237" s="71">
        <f t="shared" si="2829"/>
        <v>0</v>
      </c>
      <c r="BP237" s="71">
        <f t="shared" si="2830"/>
        <v>0</v>
      </c>
      <c r="BQ237" s="71">
        <f t="shared" si="2831"/>
        <v>0</v>
      </c>
      <c r="BR237" s="71">
        <f t="shared" si="2832"/>
        <v>0</v>
      </c>
      <c r="BS237" s="71">
        <f t="shared" si="2833"/>
        <v>0</v>
      </c>
      <c r="BT237" s="71">
        <f t="shared" si="2834"/>
        <v>0</v>
      </c>
      <c r="BU237" s="71">
        <f t="shared" si="2835"/>
        <v>0</v>
      </c>
      <c r="BV237" s="71">
        <f t="shared" si="2836"/>
        <v>0</v>
      </c>
      <c r="BW237" s="71">
        <f t="shared" si="2837"/>
        <v>0</v>
      </c>
      <c r="BX237" s="71">
        <f t="shared" si="2838"/>
        <v>0</v>
      </c>
      <c r="BY237" s="71">
        <f t="shared" si="2839"/>
        <v>0</v>
      </c>
      <c r="BZ237" s="71">
        <f t="shared" si="2840"/>
        <v>0</v>
      </c>
      <c r="CA237" s="71">
        <f t="shared" si="2841"/>
        <v>0</v>
      </c>
      <c r="CB237" s="71">
        <f t="shared" si="2842"/>
        <v>0</v>
      </c>
      <c r="CC237" s="71">
        <f t="shared" si="2843"/>
        <v>0</v>
      </c>
      <c r="CD237" s="71">
        <f t="shared" si="2844"/>
        <v>0</v>
      </c>
      <c r="CE237" s="71">
        <f t="shared" si="2845"/>
        <v>0</v>
      </c>
      <c r="CF237" s="71">
        <f t="shared" si="2846"/>
        <v>0</v>
      </c>
      <c r="CG237" s="71">
        <f t="shared" si="2847"/>
        <v>0</v>
      </c>
      <c r="CH237" s="70">
        <f t="shared" si="2241"/>
        <v>0</v>
      </c>
      <c r="CI237" s="69">
        <f t="shared" ca="1" si="2242"/>
        <v>0</v>
      </c>
      <c r="GM237" s="2" t="s">
        <v>16</v>
      </c>
      <c r="GN237" s="98" t="str">
        <f t="shared" si="2236"/>
        <v>GJW02-FMCG-SPO-00</v>
      </c>
      <c r="GO237" s="4">
        <v>0</v>
      </c>
      <c r="GP237" s="3">
        <v>0</v>
      </c>
      <c r="GQ237" s="3">
        <v>0</v>
      </c>
      <c r="GR237" s="3">
        <v>0</v>
      </c>
      <c r="GS237" s="3">
        <v>0</v>
      </c>
      <c r="GT237" s="3">
        <v>0</v>
      </c>
      <c r="GU237" s="3">
        <v>0</v>
      </c>
      <c r="GV237" s="3">
        <v>0</v>
      </c>
      <c r="GW237" s="3">
        <v>0</v>
      </c>
      <c r="GX237" s="3">
        <v>0</v>
      </c>
      <c r="GY237" s="3">
        <v>0</v>
      </c>
      <c r="GZ237" s="3">
        <v>0</v>
      </c>
      <c r="HA237" s="3">
        <v>0</v>
      </c>
      <c r="HB237" s="3">
        <v>0</v>
      </c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6"/>
      <c r="HT237" s="4">
        <v>0</v>
      </c>
      <c r="HU237" s="3">
        <v>0</v>
      </c>
      <c r="HV237" s="3">
        <v>0</v>
      </c>
      <c r="HW237" s="3">
        <v>0</v>
      </c>
      <c r="HX237" s="3">
        <v>0</v>
      </c>
      <c r="HY237" s="3">
        <v>0</v>
      </c>
      <c r="HZ237" s="3">
        <v>0</v>
      </c>
      <c r="IA237" s="3">
        <v>0</v>
      </c>
      <c r="IB237" s="3">
        <v>0</v>
      </c>
      <c r="IC237" s="3">
        <v>0</v>
      </c>
      <c r="ID237" s="3">
        <v>0</v>
      </c>
      <c r="IE237" s="3">
        <v>0</v>
      </c>
      <c r="IF237" s="3">
        <v>0</v>
      </c>
      <c r="IG237" s="3">
        <v>0</v>
      </c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6"/>
    </row>
    <row r="238" spans="1:258" hidden="1">
      <c r="A238" s="97" t="s">
        <v>1380</v>
      </c>
      <c r="B238" s="98" t="s">
        <v>20</v>
      </c>
      <c r="C238" s="98" t="s">
        <v>511</v>
      </c>
      <c r="D238" s="99" t="s">
        <v>1225</v>
      </c>
      <c r="E238" s="98" t="s">
        <v>580</v>
      </c>
      <c r="F238" s="98" t="s">
        <v>581</v>
      </c>
      <c r="G238" s="98" t="s">
        <v>582</v>
      </c>
      <c r="H238" s="98" t="s">
        <v>1226</v>
      </c>
      <c r="I238" s="98" t="s">
        <v>1226</v>
      </c>
      <c r="J238" s="98" t="s">
        <v>1222</v>
      </c>
      <c r="K238" s="98" t="s">
        <v>1127</v>
      </c>
      <c r="L238" s="98">
        <v>42661</v>
      </c>
      <c r="M238" s="101" t="s">
        <v>52</v>
      </c>
      <c r="N238" s="108">
        <v>42661</v>
      </c>
      <c r="O238" s="100">
        <v>0</v>
      </c>
      <c r="P238" s="69">
        <v>0</v>
      </c>
      <c r="Q238" s="69">
        <f t="shared" si="2577"/>
        <v>0</v>
      </c>
      <c r="R238" s="69">
        <f t="shared" si="2782"/>
        <v>0</v>
      </c>
      <c r="S238" s="69">
        <f t="shared" si="2783"/>
        <v>0</v>
      </c>
      <c r="T238" s="69">
        <f t="shared" si="2784"/>
        <v>0</v>
      </c>
      <c r="U238" s="69">
        <f t="shared" si="2785"/>
        <v>0</v>
      </c>
      <c r="V238" s="70">
        <f t="shared" si="2786"/>
        <v>0</v>
      </c>
      <c r="W238" s="71">
        <f t="shared" si="2787"/>
        <v>0</v>
      </c>
      <c r="X238" s="71">
        <f t="shared" si="2788"/>
        <v>0</v>
      </c>
      <c r="Y238" s="71">
        <f t="shared" si="2789"/>
        <v>0</v>
      </c>
      <c r="Z238" s="71">
        <f t="shared" si="2790"/>
        <v>0</v>
      </c>
      <c r="AA238" s="71">
        <f t="shared" si="2791"/>
        <v>0</v>
      </c>
      <c r="AB238" s="71">
        <f t="shared" si="2792"/>
        <v>0</v>
      </c>
      <c r="AC238" s="71">
        <f t="shared" si="2793"/>
        <v>0</v>
      </c>
      <c r="AD238" s="71">
        <f t="shared" si="2794"/>
        <v>0</v>
      </c>
      <c r="AE238" s="71">
        <f t="shared" si="2795"/>
        <v>0</v>
      </c>
      <c r="AF238" s="71">
        <f t="shared" si="2796"/>
        <v>0</v>
      </c>
      <c r="AG238" s="71">
        <f t="shared" si="2797"/>
        <v>0</v>
      </c>
      <c r="AH238" s="71">
        <f t="shared" si="2798"/>
        <v>0</v>
      </c>
      <c r="AI238" s="71">
        <f t="shared" si="2799"/>
        <v>0</v>
      </c>
      <c r="AJ238" s="71">
        <f t="shared" si="2800"/>
        <v>0</v>
      </c>
      <c r="AK238" s="71">
        <f t="shared" si="2801"/>
        <v>0</v>
      </c>
      <c r="AL238" s="71">
        <f t="shared" si="2802"/>
        <v>0</v>
      </c>
      <c r="AM238" s="71">
        <f t="shared" si="2803"/>
        <v>0</v>
      </c>
      <c r="AN238" s="71">
        <f t="shared" si="2804"/>
        <v>0</v>
      </c>
      <c r="AO238" s="71">
        <f t="shared" si="2805"/>
        <v>0</v>
      </c>
      <c r="AP238" s="71">
        <f t="shared" si="2806"/>
        <v>0</v>
      </c>
      <c r="AQ238" s="71">
        <f t="shared" si="2807"/>
        <v>0</v>
      </c>
      <c r="AR238" s="71">
        <f t="shared" si="2808"/>
        <v>0</v>
      </c>
      <c r="AS238" s="71">
        <f t="shared" si="2809"/>
        <v>0</v>
      </c>
      <c r="AT238" s="71">
        <f t="shared" si="2810"/>
        <v>0</v>
      </c>
      <c r="AU238" s="71">
        <f t="shared" si="2811"/>
        <v>0</v>
      </c>
      <c r="AV238" s="71">
        <f t="shared" si="2812"/>
        <v>0</v>
      </c>
      <c r="AW238" s="71">
        <f t="shared" si="2813"/>
        <v>0</v>
      </c>
      <c r="AX238" s="71">
        <f t="shared" si="2814"/>
        <v>0</v>
      </c>
      <c r="AY238" s="71">
        <f t="shared" si="2815"/>
        <v>0</v>
      </c>
      <c r="AZ238" s="72">
        <f t="shared" si="2816"/>
        <v>0</v>
      </c>
      <c r="BA238" s="70">
        <f t="shared" si="2238"/>
        <v>0</v>
      </c>
      <c r="BB238" s="69">
        <f t="shared" ca="1" si="2239"/>
        <v>0</v>
      </c>
      <c r="BC238" s="70">
        <f t="shared" si="2817"/>
        <v>0</v>
      </c>
      <c r="BD238" s="71">
        <f t="shared" si="2818"/>
        <v>0</v>
      </c>
      <c r="BE238" s="71">
        <f t="shared" si="2819"/>
        <v>0</v>
      </c>
      <c r="BF238" s="71">
        <f t="shared" si="2820"/>
        <v>0</v>
      </c>
      <c r="BG238" s="71">
        <f t="shared" si="2821"/>
        <v>0</v>
      </c>
      <c r="BH238" s="71">
        <f t="shared" si="2822"/>
        <v>0</v>
      </c>
      <c r="BI238" s="71">
        <f t="shared" si="2823"/>
        <v>0</v>
      </c>
      <c r="BJ238" s="71">
        <f t="shared" si="2824"/>
        <v>0</v>
      </c>
      <c r="BK238" s="71">
        <f t="shared" si="2825"/>
        <v>0</v>
      </c>
      <c r="BL238" s="71">
        <f t="shared" si="2826"/>
        <v>0</v>
      </c>
      <c r="BM238" s="71">
        <f t="shared" si="2827"/>
        <v>0</v>
      </c>
      <c r="BN238" s="71">
        <f t="shared" si="2828"/>
        <v>0</v>
      </c>
      <c r="BO238" s="71">
        <f t="shared" si="2829"/>
        <v>0</v>
      </c>
      <c r="BP238" s="71">
        <f t="shared" si="2830"/>
        <v>0</v>
      </c>
      <c r="BQ238" s="71">
        <f t="shared" si="2831"/>
        <v>0</v>
      </c>
      <c r="BR238" s="71">
        <f t="shared" si="2832"/>
        <v>0</v>
      </c>
      <c r="BS238" s="71">
        <f t="shared" si="2833"/>
        <v>0</v>
      </c>
      <c r="BT238" s="71">
        <f t="shared" si="2834"/>
        <v>0</v>
      </c>
      <c r="BU238" s="71">
        <f t="shared" si="2835"/>
        <v>0</v>
      </c>
      <c r="BV238" s="71">
        <f t="shared" si="2836"/>
        <v>0</v>
      </c>
      <c r="BW238" s="71">
        <f t="shared" si="2837"/>
        <v>0</v>
      </c>
      <c r="BX238" s="71">
        <f t="shared" si="2838"/>
        <v>0</v>
      </c>
      <c r="BY238" s="71">
        <f t="shared" si="2839"/>
        <v>0</v>
      </c>
      <c r="BZ238" s="71">
        <f t="shared" si="2840"/>
        <v>0</v>
      </c>
      <c r="CA238" s="71">
        <f t="shared" si="2841"/>
        <v>0</v>
      </c>
      <c r="CB238" s="71">
        <f t="shared" si="2842"/>
        <v>0</v>
      </c>
      <c r="CC238" s="71">
        <f t="shared" si="2843"/>
        <v>0</v>
      </c>
      <c r="CD238" s="71">
        <f t="shared" si="2844"/>
        <v>0</v>
      </c>
      <c r="CE238" s="71">
        <f t="shared" si="2845"/>
        <v>0</v>
      </c>
      <c r="CF238" s="71">
        <f t="shared" si="2846"/>
        <v>0</v>
      </c>
      <c r="CG238" s="71">
        <f t="shared" si="2847"/>
        <v>0</v>
      </c>
      <c r="CH238" s="70">
        <f t="shared" si="2241"/>
        <v>0</v>
      </c>
      <c r="CI238" s="69">
        <f t="shared" ca="1" si="2242"/>
        <v>0</v>
      </c>
      <c r="GM238" s="2" t="s">
        <v>16</v>
      </c>
      <c r="GN238" s="98" t="str">
        <f t="shared" si="2236"/>
        <v>GJW02-FMCG-ASM-01</v>
      </c>
      <c r="GO238" s="4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6"/>
      <c r="HT238" s="4">
        <v>0</v>
      </c>
      <c r="HU238" s="3">
        <v>0</v>
      </c>
      <c r="HV238" s="3">
        <v>0</v>
      </c>
      <c r="HW238" s="3">
        <v>0</v>
      </c>
      <c r="HX238" s="3">
        <v>0</v>
      </c>
      <c r="HY238" s="3">
        <v>0</v>
      </c>
      <c r="HZ238" s="3">
        <v>0</v>
      </c>
      <c r="IA238" s="3">
        <v>0</v>
      </c>
      <c r="IB238" s="3">
        <v>0</v>
      </c>
      <c r="IC238" s="3">
        <v>0</v>
      </c>
      <c r="ID238" s="3">
        <v>0</v>
      </c>
      <c r="IE238" s="3">
        <v>0</v>
      </c>
      <c r="IF238" s="3">
        <v>0</v>
      </c>
      <c r="IG238" s="3">
        <v>0</v>
      </c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6"/>
    </row>
    <row r="239" spans="1:258" hidden="1">
      <c r="A239" s="102" t="s">
        <v>53</v>
      </c>
      <c r="B239" s="103" t="s">
        <v>20</v>
      </c>
      <c r="C239" s="103" t="s">
        <v>511</v>
      </c>
      <c r="D239" s="104" t="s">
        <v>1225</v>
      </c>
      <c r="E239" s="103" t="s">
        <v>580</v>
      </c>
      <c r="F239" s="103" t="s">
        <v>581</v>
      </c>
      <c r="G239" s="103" t="s">
        <v>582</v>
      </c>
      <c r="H239" s="103" t="s">
        <v>1226</v>
      </c>
      <c r="I239" s="103" t="s">
        <v>1226</v>
      </c>
      <c r="J239" s="103" t="s">
        <v>1222</v>
      </c>
      <c r="K239" s="103" t="s">
        <v>1127</v>
      </c>
      <c r="L239" s="103">
        <v>42661</v>
      </c>
      <c r="M239" s="103" t="s">
        <v>52</v>
      </c>
      <c r="N239" s="119">
        <v>42661</v>
      </c>
      <c r="O239" s="105">
        <f t="shared" ref="O239" si="2848">O237+O233+O236+O235+O234</f>
        <v>4</v>
      </c>
      <c r="P239" s="73">
        <f>P237+P233+P236+P235+P234</f>
        <v>0</v>
      </c>
      <c r="Q239" s="73">
        <f t="shared" si="2577"/>
        <v>1</v>
      </c>
      <c r="R239" s="73">
        <f t="shared" ref="R239:AZ239" si="2849">R237+R233+R236+R235+R234</f>
        <v>4</v>
      </c>
      <c r="S239" s="73">
        <f t="shared" si="2849"/>
        <v>0</v>
      </c>
      <c r="T239" s="73">
        <f t="shared" si="2849"/>
        <v>4</v>
      </c>
      <c r="U239" s="73">
        <f t="shared" si="2849"/>
        <v>4</v>
      </c>
      <c r="V239" s="74">
        <f t="shared" si="2849"/>
        <v>4</v>
      </c>
      <c r="W239" s="75">
        <f t="shared" si="2849"/>
        <v>4</v>
      </c>
      <c r="X239" s="75">
        <f t="shared" si="2849"/>
        <v>4</v>
      </c>
      <c r="Y239" s="75">
        <f t="shared" si="2849"/>
        <v>0</v>
      </c>
      <c r="Z239" s="75">
        <f t="shared" si="2849"/>
        <v>4</v>
      </c>
      <c r="AA239" s="75">
        <f t="shared" si="2849"/>
        <v>4</v>
      </c>
      <c r="AB239" s="75">
        <f t="shared" si="2849"/>
        <v>4</v>
      </c>
      <c r="AC239" s="75">
        <f t="shared" si="2849"/>
        <v>4</v>
      </c>
      <c r="AD239" s="75">
        <f t="shared" si="2849"/>
        <v>4</v>
      </c>
      <c r="AE239" s="75">
        <f t="shared" si="2849"/>
        <v>3</v>
      </c>
      <c r="AF239" s="75">
        <f t="shared" si="2849"/>
        <v>0</v>
      </c>
      <c r="AG239" s="75">
        <f t="shared" si="2849"/>
        <v>3</v>
      </c>
      <c r="AH239" s="75">
        <f t="shared" si="2849"/>
        <v>4</v>
      </c>
      <c r="AI239" s="75">
        <f t="shared" si="2849"/>
        <v>4</v>
      </c>
      <c r="AJ239" s="75">
        <f t="shared" si="2849"/>
        <v>0</v>
      </c>
      <c r="AK239" s="75">
        <f t="shared" si="2849"/>
        <v>0</v>
      </c>
      <c r="AL239" s="75">
        <f t="shared" si="2849"/>
        <v>0</v>
      </c>
      <c r="AM239" s="75">
        <f t="shared" si="2849"/>
        <v>0</v>
      </c>
      <c r="AN239" s="75">
        <f t="shared" si="2849"/>
        <v>0</v>
      </c>
      <c r="AO239" s="75">
        <f t="shared" si="2849"/>
        <v>0</v>
      </c>
      <c r="AP239" s="75">
        <f t="shared" si="2849"/>
        <v>0</v>
      </c>
      <c r="AQ239" s="75">
        <f t="shared" si="2849"/>
        <v>0</v>
      </c>
      <c r="AR239" s="75">
        <f t="shared" si="2849"/>
        <v>0</v>
      </c>
      <c r="AS239" s="75">
        <f t="shared" si="2849"/>
        <v>0</v>
      </c>
      <c r="AT239" s="75">
        <f t="shared" si="2849"/>
        <v>0</v>
      </c>
      <c r="AU239" s="75">
        <f t="shared" si="2849"/>
        <v>0</v>
      </c>
      <c r="AV239" s="75">
        <f t="shared" si="2849"/>
        <v>0</v>
      </c>
      <c r="AW239" s="75">
        <f t="shared" si="2849"/>
        <v>0</v>
      </c>
      <c r="AX239" s="75">
        <f t="shared" si="2849"/>
        <v>0</v>
      </c>
      <c r="AY239" s="75">
        <f t="shared" si="2849"/>
        <v>0</v>
      </c>
      <c r="AZ239" s="76">
        <f t="shared" si="2849"/>
        <v>0</v>
      </c>
      <c r="BA239" s="74">
        <f t="shared" si="2238"/>
        <v>46</v>
      </c>
      <c r="BB239" s="73">
        <f t="shared" ca="1" si="2239"/>
        <v>0.88461538461538458</v>
      </c>
      <c r="BC239" s="74">
        <f>BC237+BC233+BC236+BC235+BC234</f>
        <v>45</v>
      </c>
      <c r="BD239" s="75">
        <f>BD237+BD233+BD236+BD235+BD234</f>
        <v>0</v>
      </c>
      <c r="BE239" s="75">
        <f t="shared" ref="BE239:CG239" si="2850">BE237+BE233+BE236+BE235+BE234</f>
        <v>71</v>
      </c>
      <c r="BF239" s="75">
        <f t="shared" si="2850"/>
        <v>0</v>
      </c>
      <c r="BG239" s="75">
        <f t="shared" si="2850"/>
        <v>47</v>
      </c>
      <c r="BH239" s="75">
        <f t="shared" si="2850"/>
        <v>103</v>
      </c>
      <c r="BI239" s="75">
        <f t="shared" si="2850"/>
        <v>38</v>
      </c>
      <c r="BJ239" s="75">
        <f t="shared" si="2850"/>
        <v>46</v>
      </c>
      <c r="BK239" s="75">
        <f t="shared" si="2850"/>
        <v>32</v>
      </c>
      <c r="BL239" s="75">
        <f t="shared" si="2850"/>
        <v>0</v>
      </c>
      <c r="BM239" s="75">
        <f t="shared" si="2850"/>
        <v>0</v>
      </c>
      <c r="BN239" s="75">
        <f t="shared" si="2850"/>
        <v>41</v>
      </c>
      <c r="BO239" s="75">
        <f t="shared" si="2850"/>
        <v>77</v>
      </c>
      <c r="BP239" s="75">
        <f t="shared" si="2850"/>
        <v>0</v>
      </c>
      <c r="BQ239" s="75">
        <f t="shared" si="2850"/>
        <v>0</v>
      </c>
      <c r="BR239" s="75">
        <f t="shared" si="2850"/>
        <v>0</v>
      </c>
      <c r="BS239" s="75">
        <f t="shared" si="2850"/>
        <v>0</v>
      </c>
      <c r="BT239" s="75">
        <f t="shared" si="2850"/>
        <v>0</v>
      </c>
      <c r="BU239" s="75">
        <f t="shared" si="2850"/>
        <v>0</v>
      </c>
      <c r="BV239" s="75">
        <f t="shared" si="2850"/>
        <v>0</v>
      </c>
      <c r="BW239" s="75">
        <f t="shared" si="2850"/>
        <v>0</v>
      </c>
      <c r="BX239" s="75">
        <f t="shared" si="2850"/>
        <v>0</v>
      </c>
      <c r="BY239" s="75">
        <f t="shared" si="2850"/>
        <v>0</v>
      </c>
      <c r="BZ239" s="75">
        <f t="shared" si="2850"/>
        <v>0</v>
      </c>
      <c r="CA239" s="75">
        <f t="shared" si="2850"/>
        <v>0</v>
      </c>
      <c r="CB239" s="75">
        <f t="shared" si="2850"/>
        <v>0</v>
      </c>
      <c r="CC239" s="75">
        <f t="shared" si="2850"/>
        <v>0</v>
      </c>
      <c r="CD239" s="75">
        <f t="shared" si="2850"/>
        <v>0</v>
      </c>
      <c r="CE239" s="75">
        <f t="shared" si="2850"/>
        <v>0</v>
      </c>
      <c r="CF239" s="75">
        <f t="shared" si="2850"/>
        <v>0</v>
      </c>
      <c r="CG239" s="75">
        <f t="shared" si="2850"/>
        <v>0</v>
      </c>
      <c r="CH239" s="74">
        <f t="shared" si="2241"/>
        <v>500</v>
      </c>
      <c r="CI239" s="73">
        <f t="shared" ca="1" si="2242"/>
        <v>9.615384615384615</v>
      </c>
      <c r="GM239" s="2" t="s">
        <v>17</v>
      </c>
      <c r="GN239" s="103" t="str">
        <f t="shared" si="2236"/>
        <v>GJW02-FMCG-ASM-01</v>
      </c>
      <c r="GO239" s="4">
        <v>0</v>
      </c>
      <c r="GP239" s="3">
        <v>0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0</v>
      </c>
      <c r="GW239" s="3">
        <v>0</v>
      </c>
      <c r="GX239" s="3">
        <v>0</v>
      </c>
      <c r="GY239" s="3">
        <v>0</v>
      </c>
      <c r="GZ239" s="3">
        <v>0</v>
      </c>
      <c r="HA239" s="3">
        <v>0</v>
      </c>
      <c r="HB239" s="3">
        <v>0</v>
      </c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6"/>
      <c r="HT239" s="4">
        <v>0</v>
      </c>
      <c r="HU239" s="3">
        <v>0</v>
      </c>
      <c r="HV239" s="3">
        <v>0</v>
      </c>
      <c r="HW239" s="3">
        <v>0</v>
      </c>
      <c r="HX239" s="3">
        <v>0</v>
      </c>
      <c r="HY239" s="3">
        <v>0</v>
      </c>
      <c r="HZ239" s="3">
        <v>0</v>
      </c>
      <c r="IA239" s="3">
        <v>0</v>
      </c>
      <c r="IB239" s="3">
        <v>0</v>
      </c>
      <c r="IC239" s="3">
        <v>0</v>
      </c>
      <c r="ID239" s="3">
        <v>0</v>
      </c>
      <c r="IE239" s="3">
        <v>0</v>
      </c>
      <c r="IF239" s="3">
        <v>0</v>
      </c>
      <c r="IG239" s="3">
        <v>0</v>
      </c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6"/>
    </row>
    <row r="240" spans="1:258" hidden="1">
      <c r="A240" s="97" t="s">
        <v>149</v>
      </c>
      <c r="B240" s="98" t="s">
        <v>20</v>
      </c>
      <c r="C240" s="98" t="s">
        <v>511</v>
      </c>
      <c r="D240" s="99" t="s">
        <v>1341</v>
      </c>
      <c r="E240" s="98" t="s">
        <v>1342</v>
      </c>
      <c r="F240" s="98" t="s">
        <v>1372</v>
      </c>
      <c r="G240" s="98" t="s">
        <v>1343</v>
      </c>
      <c r="H240" s="98" t="s">
        <v>1721</v>
      </c>
      <c r="I240" s="98" t="s">
        <v>1566</v>
      </c>
      <c r="J240" s="98" t="s">
        <v>1222</v>
      </c>
      <c r="K240" s="98" t="s">
        <v>1323</v>
      </c>
      <c r="L240" s="113" t="s">
        <v>950</v>
      </c>
      <c r="M240" s="113" t="s">
        <v>0</v>
      </c>
      <c r="N240" s="134" t="s">
        <v>1708</v>
      </c>
      <c r="O240" s="100">
        <v>1</v>
      </c>
      <c r="P240" s="69">
        <v>1</v>
      </c>
      <c r="Q240" s="69">
        <f t="shared" si="2577"/>
        <v>0</v>
      </c>
      <c r="R240" s="69">
        <f t="shared" ref="R240:R241" si="2851">IFERROR(IF(OR(BA240&gt;0),1,0),0)</f>
        <v>1</v>
      </c>
      <c r="S240" s="69">
        <f>IFERROR(IF(OR(BP240&gt;0),1,0),0)</f>
        <v>0</v>
      </c>
      <c r="T240" s="69">
        <f t="shared" ref="T240:T241" si="2852">IFERROR(IF(OR(CH240&gt;0),1,0),0)</f>
        <v>0</v>
      </c>
      <c r="U240" s="69">
        <f t="shared" ref="U240:U241" si="2853">IFERROR(IF(OR(BA240&gt;0,CH240&gt;0),1,0),0)</f>
        <v>1</v>
      </c>
      <c r="V240" s="70">
        <f t="shared" ref="V240:V241" si="2854">GO240</f>
        <v>1</v>
      </c>
      <c r="W240" s="71">
        <f t="shared" ref="W240:W241" si="2855">GP240</f>
        <v>1</v>
      </c>
      <c r="X240" s="71">
        <f t="shared" ref="X240:X241" si="2856">GQ240</f>
        <v>1</v>
      </c>
      <c r="Y240" s="71">
        <f t="shared" ref="Y240:Y241" si="2857">GR240</f>
        <v>0</v>
      </c>
      <c r="Z240" s="71">
        <f t="shared" ref="Z240:Z241" si="2858">GS240</f>
        <v>1</v>
      </c>
      <c r="AA240" s="71">
        <f t="shared" ref="AA240:AA241" si="2859">GT240</f>
        <v>1</v>
      </c>
      <c r="AB240" s="71">
        <f t="shared" ref="AB240:AB241" si="2860">GU240</f>
        <v>0</v>
      </c>
      <c r="AC240" s="71">
        <f t="shared" ref="AC240:AC241" si="2861">GV240</f>
        <v>0</v>
      </c>
      <c r="AD240" s="71">
        <f t="shared" ref="AD240:AD241" si="2862">GW240</f>
        <v>0</v>
      </c>
      <c r="AE240" s="71">
        <f t="shared" ref="AE240:AE241" si="2863">GX240</f>
        <v>0</v>
      </c>
      <c r="AF240" s="71">
        <f t="shared" ref="AF240:AF241" si="2864">GY240</f>
        <v>0</v>
      </c>
      <c r="AG240" s="71">
        <f t="shared" ref="AG240:AG241" si="2865">GZ240</f>
        <v>0</v>
      </c>
      <c r="AH240" s="71">
        <f t="shared" ref="AH240:AH241" si="2866">HA240</f>
        <v>0</v>
      </c>
      <c r="AI240" s="71">
        <f t="shared" ref="AI240:AI241" si="2867">HB240</f>
        <v>0</v>
      </c>
      <c r="AJ240" s="71">
        <f t="shared" ref="AJ240:AJ241" si="2868">HC240</f>
        <v>0</v>
      </c>
      <c r="AK240" s="71">
        <f t="shared" ref="AK240:AK241" si="2869">HD240</f>
        <v>0</v>
      </c>
      <c r="AL240" s="71">
        <f t="shared" ref="AL240:AL241" si="2870">HE240</f>
        <v>0</v>
      </c>
      <c r="AM240" s="71">
        <f t="shared" ref="AM240:AM241" si="2871">HF240</f>
        <v>0</v>
      </c>
      <c r="AN240" s="71">
        <f t="shared" ref="AN240:AN241" si="2872">HG240</f>
        <v>0</v>
      </c>
      <c r="AO240" s="71">
        <f t="shared" ref="AO240:AO241" si="2873">HH240</f>
        <v>0</v>
      </c>
      <c r="AP240" s="71">
        <f t="shared" ref="AP240:AP241" si="2874">HI240</f>
        <v>0</v>
      </c>
      <c r="AQ240" s="71">
        <f t="shared" ref="AQ240:AQ241" si="2875">HJ240</f>
        <v>0</v>
      </c>
      <c r="AR240" s="71">
        <f t="shared" ref="AR240:AR241" si="2876">HK240</f>
        <v>0</v>
      </c>
      <c r="AS240" s="71">
        <f t="shared" ref="AS240:AS241" si="2877">HL240</f>
        <v>0</v>
      </c>
      <c r="AT240" s="71">
        <f t="shared" ref="AT240:AT241" si="2878">HM240</f>
        <v>0</v>
      </c>
      <c r="AU240" s="71">
        <f t="shared" ref="AU240:AU241" si="2879">HN240</f>
        <v>0</v>
      </c>
      <c r="AV240" s="71">
        <f t="shared" ref="AV240:AV241" si="2880">HO240</f>
        <v>0</v>
      </c>
      <c r="AW240" s="71">
        <f t="shared" ref="AW240:AW241" si="2881">HP240</f>
        <v>0</v>
      </c>
      <c r="AX240" s="71">
        <f t="shared" ref="AX240:AX241" si="2882">HQ240</f>
        <v>0</v>
      </c>
      <c r="AY240" s="71">
        <f t="shared" ref="AY240:AY241" si="2883">HR240</f>
        <v>0</v>
      </c>
      <c r="AZ240" s="72">
        <f t="shared" ref="AZ240:AZ241" si="2884">HS240</f>
        <v>0</v>
      </c>
      <c r="BA240" s="70">
        <f t="shared" si="2238"/>
        <v>5</v>
      </c>
      <c r="BB240" s="69">
        <f t="shared" ca="1" si="2239"/>
        <v>0</v>
      </c>
      <c r="BC240" s="70">
        <f t="shared" ref="BC240:BC241" si="2885">HT240</f>
        <v>0</v>
      </c>
      <c r="BD240" s="71">
        <f t="shared" ref="BD240:BD241" si="2886">HU240</f>
        <v>0</v>
      </c>
      <c r="BE240" s="71">
        <f t="shared" ref="BE240:BE241" si="2887">HV240</f>
        <v>0</v>
      </c>
      <c r="BF240" s="71">
        <f t="shared" ref="BF240:BF241" si="2888">HW240</f>
        <v>0</v>
      </c>
      <c r="BG240" s="71">
        <f t="shared" ref="BG240:BG241" si="2889">HX240</f>
        <v>0</v>
      </c>
      <c r="BH240" s="71">
        <f t="shared" ref="BH240:BH241" si="2890">HY240</f>
        <v>0</v>
      </c>
      <c r="BI240" s="71">
        <f t="shared" ref="BI240:BI241" si="2891">HZ240</f>
        <v>0</v>
      </c>
      <c r="BJ240" s="71">
        <f t="shared" ref="BJ240:BJ241" si="2892">IA240</f>
        <v>0</v>
      </c>
      <c r="BK240" s="71">
        <f t="shared" ref="BK240:BK241" si="2893">IB240</f>
        <v>0</v>
      </c>
      <c r="BL240" s="71">
        <f t="shared" ref="BL240:BL241" si="2894">IC240</f>
        <v>0</v>
      </c>
      <c r="BM240" s="71">
        <f t="shared" ref="BM240:BM241" si="2895">ID240</f>
        <v>0</v>
      </c>
      <c r="BN240" s="71">
        <f t="shared" ref="BN240:BN241" si="2896">IE240</f>
        <v>0</v>
      </c>
      <c r="BO240" s="71">
        <f t="shared" ref="BO240:BO241" si="2897">IF240</f>
        <v>0</v>
      </c>
      <c r="BP240" s="71">
        <f t="shared" ref="BP240:BP241" si="2898">IG240</f>
        <v>0</v>
      </c>
      <c r="BQ240" s="71">
        <f t="shared" ref="BQ240:BQ241" si="2899">IH240</f>
        <v>0</v>
      </c>
      <c r="BR240" s="71">
        <f t="shared" ref="BR240:BR241" si="2900">II240</f>
        <v>0</v>
      </c>
      <c r="BS240" s="71">
        <f t="shared" ref="BS240:BS241" si="2901">IJ240</f>
        <v>0</v>
      </c>
      <c r="BT240" s="71">
        <f t="shared" ref="BT240:BT241" si="2902">IK240</f>
        <v>0</v>
      </c>
      <c r="BU240" s="71">
        <f t="shared" ref="BU240:BU241" si="2903">IL240</f>
        <v>0</v>
      </c>
      <c r="BV240" s="71">
        <f t="shared" ref="BV240:BV241" si="2904">IM240</f>
        <v>0</v>
      </c>
      <c r="BW240" s="71">
        <f t="shared" ref="BW240:BW241" si="2905">IN240</f>
        <v>0</v>
      </c>
      <c r="BX240" s="71">
        <f t="shared" ref="BX240:BX241" si="2906">IO240</f>
        <v>0</v>
      </c>
      <c r="BY240" s="71">
        <f t="shared" ref="BY240:BY241" si="2907">IP240</f>
        <v>0</v>
      </c>
      <c r="BZ240" s="71">
        <f t="shared" ref="BZ240:BZ241" si="2908">IQ240</f>
        <v>0</v>
      </c>
      <c r="CA240" s="71">
        <f t="shared" ref="CA240:CA241" si="2909">IR240</f>
        <v>0</v>
      </c>
      <c r="CB240" s="71">
        <f t="shared" ref="CB240:CB241" si="2910">IS240</f>
        <v>0</v>
      </c>
      <c r="CC240" s="71">
        <f t="shared" ref="CC240:CC241" si="2911">IT240</f>
        <v>0</v>
      </c>
      <c r="CD240" s="71">
        <f t="shared" ref="CD240:CD241" si="2912">IU240</f>
        <v>0</v>
      </c>
      <c r="CE240" s="71">
        <f t="shared" ref="CE240:CE241" si="2913">IV240</f>
        <v>0</v>
      </c>
      <c r="CF240" s="71">
        <f t="shared" ref="CF240:CF241" si="2914">IW240</f>
        <v>0</v>
      </c>
      <c r="CG240" s="71">
        <f t="shared" ref="CG240:CG241" si="2915">IX240</f>
        <v>0</v>
      </c>
      <c r="CH240" s="70">
        <f t="shared" si="2241"/>
        <v>0</v>
      </c>
      <c r="CI240" s="69">
        <f t="shared" ca="1" si="2242"/>
        <v>0</v>
      </c>
      <c r="GM240" s="2" t="s">
        <v>16</v>
      </c>
      <c r="GN240" s="98" t="str">
        <f t="shared" si="2236"/>
        <v>NTH-B-FMCG01-TE-01</v>
      </c>
      <c r="GO240" s="4">
        <v>1</v>
      </c>
      <c r="GP240" s="3">
        <v>1</v>
      </c>
      <c r="GQ240" s="3">
        <v>1</v>
      </c>
      <c r="GR240" s="3">
        <v>0</v>
      </c>
      <c r="GS240" s="3">
        <v>1</v>
      </c>
      <c r="GT240" s="3">
        <v>1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6"/>
      <c r="HT240" s="4">
        <v>0</v>
      </c>
      <c r="HU240" s="3">
        <v>0</v>
      </c>
      <c r="HV240" s="3">
        <v>0</v>
      </c>
      <c r="HW240" s="3">
        <v>0</v>
      </c>
      <c r="HX240" s="3">
        <v>0</v>
      </c>
      <c r="HY240" s="3">
        <v>0</v>
      </c>
      <c r="HZ240" s="3">
        <v>0</v>
      </c>
      <c r="IA240" s="3">
        <v>0</v>
      </c>
      <c r="IB240" s="3">
        <v>0</v>
      </c>
      <c r="IC240" s="3">
        <v>0</v>
      </c>
      <c r="ID240" s="3">
        <v>0</v>
      </c>
      <c r="IE240" s="3">
        <v>0</v>
      </c>
      <c r="IF240" s="3">
        <v>0</v>
      </c>
      <c r="IG240" s="3">
        <v>0</v>
      </c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6"/>
    </row>
    <row r="241" spans="1:258" hidden="1">
      <c r="A241" s="97" t="s">
        <v>1397</v>
      </c>
      <c r="B241" s="98" t="s">
        <v>20</v>
      </c>
      <c r="C241" s="98" t="s">
        <v>511</v>
      </c>
      <c r="D241" s="99" t="s">
        <v>583</v>
      </c>
      <c r="E241" s="98" t="s">
        <v>584</v>
      </c>
      <c r="F241" s="98" t="s">
        <v>585</v>
      </c>
      <c r="G241" s="98" t="s">
        <v>586</v>
      </c>
      <c r="H241" s="98" t="s">
        <v>587</v>
      </c>
      <c r="I241" s="98" t="s">
        <v>587</v>
      </c>
      <c r="J241" s="98" t="s">
        <v>556</v>
      </c>
      <c r="K241" s="98" t="s">
        <v>31</v>
      </c>
      <c r="L241" s="98" t="s">
        <v>588</v>
      </c>
      <c r="M241" s="98" t="s">
        <v>52</v>
      </c>
      <c r="N241" s="108">
        <v>42240</v>
      </c>
      <c r="O241" s="100">
        <v>0</v>
      </c>
      <c r="P241" s="69">
        <v>0</v>
      </c>
      <c r="Q241" s="69">
        <f t="shared" si="2577"/>
        <v>0</v>
      </c>
      <c r="R241" s="69">
        <f t="shared" si="2851"/>
        <v>0</v>
      </c>
      <c r="S241" s="69">
        <f>IFERROR(IF(OR(BP241&gt;0),1,0),0)</f>
        <v>0</v>
      </c>
      <c r="T241" s="69">
        <f t="shared" si="2852"/>
        <v>0</v>
      </c>
      <c r="U241" s="69">
        <f t="shared" si="2853"/>
        <v>0</v>
      </c>
      <c r="V241" s="70">
        <f t="shared" si="2854"/>
        <v>0</v>
      </c>
      <c r="W241" s="71">
        <f t="shared" si="2855"/>
        <v>0</v>
      </c>
      <c r="X241" s="71">
        <f t="shared" si="2856"/>
        <v>0</v>
      </c>
      <c r="Y241" s="71">
        <f t="shared" si="2857"/>
        <v>0</v>
      </c>
      <c r="Z241" s="71">
        <f t="shared" si="2858"/>
        <v>0</v>
      </c>
      <c r="AA241" s="71">
        <f t="shared" si="2859"/>
        <v>0</v>
      </c>
      <c r="AB241" s="71">
        <f t="shared" si="2860"/>
        <v>0</v>
      </c>
      <c r="AC241" s="71">
        <f t="shared" si="2861"/>
        <v>0</v>
      </c>
      <c r="AD241" s="71">
        <f t="shared" si="2862"/>
        <v>0</v>
      </c>
      <c r="AE241" s="71">
        <f t="shared" si="2863"/>
        <v>0</v>
      </c>
      <c r="AF241" s="71">
        <f t="shared" si="2864"/>
        <v>0</v>
      </c>
      <c r="AG241" s="71">
        <f t="shared" si="2865"/>
        <v>0</v>
      </c>
      <c r="AH241" s="71">
        <f t="shared" si="2866"/>
        <v>0</v>
      </c>
      <c r="AI241" s="71">
        <f t="shared" si="2867"/>
        <v>0</v>
      </c>
      <c r="AJ241" s="71">
        <f t="shared" si="2868"/>
        <v>0</v>
      </c>
      <c r="AK241" s="71">
        <f t="shared" si="2869"/>
        <v>0</v>
      </c>
      <c r="AL241" s="71">
        <f t="shared" si="2870"/>
        <v>0</v>
      </c>
      <c r="AM241" s="71">
        <f t="shared" si="2871"/>
        <v>0</v>
      </c>
      <c r="AN241" s="71">
        <f t="shared" si="2872"/>
        <v>0</v>
      </c>
      <c r="AO241" s="71">
        <f t="shared" si="2873"/>
        <v>0</v>
      </c>
      <c r="AP241" s="71">
        <f t="shared" si="2874"/>
        <v>0</v>
      </c>
      <c r="AQ241" s="71">
        <f t="shared" si="2875"/>
        <v>0</v>
      </c>
      <c r="AR241" s="71">
        <f t="shared" si="2876"/>
        <v>0</v>
      </c>
      <c r="AS241" s="71">
        <f t="shared" si="2877"/>
        <v>0</v>
      </c>
      <c r="AT241" s="71">
        <f t="shared" si="2878"/>
        <v>0</v>
      </c>
      <c r="AU241" s="71">
        <f t="shared" si="2879"/>
        <v>0</v>
      </c>
      <c r="AV241" s="71">
        <f t="shared" si="2880"/>
        <v>0</v>
      </c>
      <c r="AW241" s="71">
        <f t="shared" si="2881"/>
        <v>0</v>
      </c>
      <c r="AX241" s="71">
        <f t="shared" si="2882"/>
        <v>0</v>
      </c>
      <c r="AY241" s="71">
        <f t="shared" si="2883"/>
        <v>0</v>
      </c>
      <c r="AZ241" s="72">
        <f t="shared" si="2884"/>
        <v>0</v>
      </c>
      <c r="BA241" s="70">
        <f t="shared" si="2238"/>
        <v>0</v>
      </c>
      <c r="BB241" s="69">
        <f t="shared" ca="1" si="2239"/>
        <v>0</v>
      </c>
      <c r="BC241" s="70">
        <f t="shared" si="2885"/>
        <v>0</v>
      </c>
      <c r="BD241" s="71">
        <f t="shared" si="2886"/>
        <v>0</v>
      </c>
      <c r="BE241" s="71">
        <f t="shared" si="2887"/>
        <v>0</v>
      </c>
      <c r="BF241" s="71">
        <f t="shared" si="2888"/>
        <v>0</v>
      </c>
      <c r="BG241" s="71">
        <f t="shared" si="2889"/>
        <v>0</v>
      </c>
      <c r="BH241" s="71">
        <f t="shared" si="2890"/>
        <v>0</v>
      </c>
      <c r="BI241" s="71">
        <f t="shared" si="2891"/>
        <v>0</v>
      </c>
      <c r="BJ241" s="71">
        <f t="shared" si="2892"/>
        <v>0</v>
      </c>
      <c r="BK241" s="71">
        <f t="shared" si="2893"/>
        <v>0</v>
      </c>
      <c r="BL241" s="71">
        <f t="shared" si="2894"/>
        <v>0</v>
      </c>
      <c r="BM241" s="71">
        <f t="shared" si="2895"/>
        <v>0</v>
      </c>
      <c r="BN241" s="71">
        <f t="shared" si="2896"/>
        <v>0</v>
      </c>
      <c r="BO241" s="71">
        <f t="shared" si="2897"/>
        <v>0</v>
      </c>
      <c r="BP241" s="71">
        <f t="shared" si="2898"/>
        <v>0</v>
      </c>
      <c r="BQ241" s="71">
        <f t="shared" si="2899"/>
        <v>0</v>
      </c>
      <c r="BR241" s="71">
        <f t="shared" si="2900"/>
        <v>0</v>
      </c>
      <c r="BS241" s="71">
        <f t="shared" si="2901"/>
        <v>0</v>
      </c>
      <c r="BT241" s="71">
        <f t="shared" si="2902"/>
        <v>0</v>
      </c>
      <c r="BU241" s="71">
        <f t="shared" si="2903"/>
        <v>0</v>
      </c>
      <c r="BV241" s="71">
        <f t="shared" si="2904"/>
        <v>0</v>
      </c>
      <c r="BW241" s="71">
        <f t="shared" si="2905"/>
        <v>0</v>
      </c>
      <c r="BX241" s="71">
        <f t="shared" si="2906"/>
        <v>0</v>
      </c>
      <c r="BY241" s="71">
        <f t="shared" si="2907"/>
        <v>0</v>
      </c>
      <c r="BZ241" s="71">
        <f t="shared" si="2908"/>
        <v>0</v>
      </c>
      <c r="CA241" s="71">
        <f t="shared" si="2909"/>
        <v>0</v>
      </c>
      <c r="CB241" s="71">
        <f t="shared" si="2910"/>
        <v>0</v>
      </c>
      <c r="CC241" s="71">
        <f t="shared" si="2911"/>
        <v>0</v>
      </c>
      <c r="CD241" s="71">
        <f t="shared" si="2912"/>
        <v>0</v>
      </c>
      <c r="CE241" s="71">
        <f t="shared" si="2913"/>
        <v>0</v>
      </c>
      <c r="CF241" s="71">
        <f t="shared" si="2914"/>
        <v>0</v>
      </c>
      <c r="CG241" s="71">
        <f t="shared" si="2915"/>
        <v>0</v>
      </c>
      <c r="CH241" s="70">
        <f t="shared" si="2241"/>
        <v>0</v>
      </c>
      <c r="CI241" s="69">
        <f t="shared" ca="1" si="2242"/>
        <v>0</v>
      </c>
      <c r="GM241" s="2" t="s">
        <v>16</v>
      </c>
      <c r="GN241" s="98" t="str">
        <f t="shared" si="2236"/>
        <v>NTH-B-FMCG-RSM-01</v>
      </c>
      <c r="GO241" s="4">
        <v>0</v>
      </c>
      <c r="GP241" s="3">
        <v>0</v>
      </c>
      <c r="GQ241" s="3">
        <v>0</v>
      </c>
      <c r="GR241" s="3">
        <v>0</v>
      </c>
      <c r="GS241" s="3">
        <v>0</v>
      </c>
      <c r="GT241" s="3">
        <v>0</v>
      </c>
      <c r="GU241" s="3">
        <v>0</v>
      </c>
      <c r="GV241" s="3">
        <v>0</v>
      </c>
      <c r="GW241" s="3">
        <v>0</v>
      </c>
      <c r="GX241" s="3">
        <v>0</v>
      </c>
      <c r="GY241" s="3">
        <v>0</v>
      </c>
      <c r="GZ241" s="3">
        <v>0</v>
      </c>
      <c r="HA241" s="3">
        <v>0</v>
      </c>
      <c r="HB241" s="3">
        <v>0</v>
      </c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6"/>
      <c r="HT241" s="4">
        <v>0</v>
      </c>
      <c r="HU241" s="3">
        <v>0</v>
      </c>
      <c r="HV241" s="3">
        <v>0</v>
      </c>
      <c r="HW241" s="3">
        <v>0</v>
      </c>
      <c r="HX241" s="3">
        <v>0</v>
      </c>
      <c r="HY241" s="3">
        <v>0</v>
      </c>
      <c r="HZ241" s="3">
        <v>0</v>
      </c>
      <c r="IA241" s="3">
        <v>0</v>
      </c>
      <c r="IB241" s="3">
        <v>0</v>
      </c>
      <c r="IC241" s="3">
        <v>0</v>
      </c>
      <c r="ID241" s="3">
        <v>0</v>
      </c>
      <c r="IE241" s="3">
        <v>0</v>
      </c>
      <c r="IF241" s="3">
        <v>0</v>
      </c>
      <c r="IG241" s="3">
        <v>0</v>
      </c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6"/>
    </row>
    <row r="242" spans="1:258" hidden="1">
      <c r="A242" s="109" t="s">
        <v>158</v>
      </c>
      <c r="B242" s="110" t="s">
        <v>20</v>
      </c>
      <c r="C242" s="110" t="s">
        <v>511</v>
      </c>
      <c r="D242" s="111" t="s">
        <v>583</v>
      </c>
      <c r="E242" s="110" t="s">
        <v>584</v>
      </c>
      <c r="F242" s="110" t="s">
        <v>585</v>
      </c>
      <c r="G242" s="110" t="s">
        <v>586</v>
      </c>
      <c r="H242" s="110" t="s">
        <v>587</v>
      </c>
      <c r="I242" s="110" t="s">
        <v>587</v>
      </c>
      <c r="J242" s="110" t="s">
        <v>556</v>
      </c>
      <c r="K242" s="110" t="s">
        <v>31</v>
      </c>
      <c r="L242" s="110" t="s">
        <v>588</v>
      </c>
      <c r="M242" s="110" t="s">
        <v>52</v>
      </c>
      <c r="N242" s="140">
        <v>42240</v>
      </c>
      <c r="O242" s="112">
        <f>O241+O239+O232+O225+O219+O240</f>
        <v>16</v>
      </c>
      <c r="P242" s="77">
        <f t="shared" ref="P242:CA242" si="2916">P241+P239+P232+P225+P219+P240</f>
        <v>2</v>
      </c>
      <c r="Q242" s="77">
        <f t="shared" si="2916"/>
        <v>4</v>
      </c>
      <c r="R242" s="77">
        <f t="shared" si="2916"/>
        <v>16</v>
      </c>
      <c r="S242" s="77">
        <f t="shared" si="2916"/>
        <v>2</v>
      </c>
      <c r="T242" s="77">
        <f t="shared" si="2916"/>
        <v>12</v>
      </c>
      <c r="U242" s="77">
        <f t="shared" si="2916"/>
        <v>16</v>
      </c>
      <c r="V242" s="78">
        <f t="shared" si="2916"/>
        <v>16</v>
      </c>
      <c r="W242" s="79">
        <f t="shared" si="2916"/>
        <v>15</v>
      </c>
      <c r="X242" s="79">
        <f t="shared" si="2916"/>
        <v>16</v>
      </c>
      <c r="Y242" s="79">
        <f t="shared" si="2916"/>
        <v>1</v>
      </c>
      <c r="Z242" s="79">
        <f t="shared" si="2916"/>
        <v>16</v>
      </c>
      <c r="AA242" s="79">
        <f t="shared" si="2916"/>
        <v>15</v>
      </c>
      <c r="AB242" s="79">
        <f t="shared" si="2916"/>
        <v>14</v>
      </c>
      <c r="AC242" s="79">
        <f t="shared" si="2916"/>
        <v>14</v>
      </c>
      <c r="AD242" s="79">
        <f t="shared" si="2916"/>
        <v>13</v>
      </c>
      <c r="AE242" s="79">
        <f t="shared" si="2916"/>
        <v>13</v>
      </c>
      <c r="AF242" s="79">
        <f t="shared" si="2916"/>
        <v>1</v>
      </c>
      <c r="AG242" s="79">
        <f t="shared" si="2916"/>
        <v>13</v>
      </c>
      <c r="AH242" s="79">
        <f t="shared" si="2916"/>
        <v>13</v>
      </c>
      <c r="AI242" s="79">
        <f t="shared" si="2916"/>
        <v>13</v>
      </c>
      <c r="AJ242" s="79">
        <f t="shared" si="2916"/>
        <v>0</v>
      </c>
      <c r="AK242" s="79">
        <f t="shared" si="2916"/>
        <v>0</v>
      </c>
      <c r="AL242" s="79">
        <f t="shared" si="2916"/>
        <v>0</v>
      </c>
      <c r="AM242" s="79">
        <f t="shared" si="2916"/>
        <v>0</v>
      </c>
      <c r="AN242" s="79">
        <f t="shared" si="2916"/>
        <v>0</v>
      </c>
      <c r="AO242" s="79">
        <f t="shared" si="2916"/>
        <v>0</v>
      </c>
      <c r="AP242" s="79">
        <f t="shared" si="2916"/>
        <v>0</v>
      </c>
      <c r="AQ242" s="79">
        <f t="shared" si="2916"/>
        <v>0</v>
      </c>
      <c r="AR242" s="79">
        <f t="shared" si="2916"/>
        <v>0</v>
      </c>
      <c r="AS242" s="79">
        <f t="shared" si="2916"/>
        <v>0</v>
      </c>
      <c r="AT242" s="79">
        <f t="shared" si="2916"/>
        <v>0</v>
      </c>
      <c r="AU242" s="79">
        <f t="shared" si="2916"/>
        <v>0</v>
      </c>
      <c r="AV242" s="79">
        <f t="shared" si="2916"/>
        <v>0</v>
      </c>
      <c r="AW242" s="79">
        <f t="shared" si="2916"/>
        <v>0</v>
      </c>
      <c r="AX242" s="79">
        <f t="shared" si="2916"/>
        <v>0</v>
      </c>
      <c r="AY242" s="79">
        <f t="shared" si="2916"/>
        <v>0</v>
      </c>
      <c r="AZ242" s="80">
        <f t="shared" si="2916"/>
        <v>0</v>
      </c>
      <c r="BA242" s="78">
        <f t="shared" si="2238"/>
        <v>173</v>
      </c>
      <c r="BB242" s="77">
        <f t="shared" ca="1" si="2239"/>
        <v>0.95054945054945061</v>
      </c>
      <c r="BC242" s="78">
        <f t="shared" si="2916"/>
        <v>236</v>
      </c>
      <c r="BD242" s="79">
        <f t="shared" si="2916"/>
        <v>158</v>
      </c>
      <c r="BE242" s="79">
        <f t="shared" si="2916"/>
        <v>254</v>
      </c>
      <c r="BF242" s="79">
        <f t="shared" si="2916"/>
        <v>0</v>
      </c>
      <c r="BG242" s="79">
        <f t="shared" si="2916"/>
        <v>182</v>
      </c>
      <c r="BH242" s="79">
        <f t="shared" si="2916"/>
        <v>360</v>
      </c>
      <c r="BI242" s="79">
        <f t="shared" si="2916"/>
        <v>265</v>
      </c>
      <c r="BJ242" s="79">
        <f t="shared" si="2916"/>
        <v>172</v>
      </c>
      <c r="BK242" s="79">
        <f t="shared" si="2916"/>
        <v>221</v>
      </c>
      <c r="BL242" s="79">
        <f t="shared" si="2916"/>
        <v>235</v>
      </c>
      <c r="BM242" s="79">
        <f t="shared" si="2916"/>
        <v>0</v>
      </c>
      <c r="BN242" s="79">
        <f t="shared" si="2916"/>
        <v>258</v>
      </c>
      <c r="BO242" s="79">
        <f t="shared" si="2916"/>
        <v>201</v>
      </c>
      <c r="BP242" s="79">
        <f t="shared" si="2916"/>
        <v>32</v>
      </c>
      <c r="BQ242" s="79">
        <f t="shared" si="2916"/>
        <v>0</v>
      </c>
      <c r="BR242" s="79">
        <f t="shared" si="2916"/>
        <v>0</v>
      </c>
      <c r="BS242" s="79">
        <f t="shared" si="2916"/>
        <v>0</v>
      </c>
      <c r="BT242" s="79">
        <f t="shared" si="2916"/>
        <v>0</v>
      </c>
      <c r="BU242" s="79">
        <f t="shared" si="2916"/>
        <v>0</v>
      </c>
      <c r="BV242" s="79">
        <f t="shared" si="2916"/>
        <v>0</v>
      </c>
      <c r="BW242" s="79">
        <f t="shared" si="2916"/>
        <v>0</v>
      </c>
      <c r="BX242" s="79">
        <f t="shared" si="2916"/>
        <v>0</v>
      </c>
      <c r="BY242" s="79">
        <f t="shared" si="2916"/>
        <v>0</v>
      </c>
      <c r="BZ242" s="79">
        <f t="shared" si="2916"/>
        <v>0</v>
      </c>
      <c r="CA242" s="79">
        <f t="shared" si="2916"/>
        <v>0</v>
      </c>
      <c r="CB242" s="79">
        <f t="shared" ref="CB242:CG242" si="2917">CB241+CB239+CB232+CB225+CB219+CB240</f>
        <v>0</v>
      </c>
      <c r="CC242" s="79">
        <f t="shared" si="2917"/>
        <v>0</v>
      </c>
      <c r="CD242" s="79">
        <f t="shared" si="2917"/>
        <v>0</v>
      </c>
      <c r="CE242" s="79">
        <f t="shared" si="2917"/>
        <v>0</v>
      </c>
      <c r="CF242" s="79">
        <f t="shared" si="2917"/>
        <v>0</v>
      </c>
      <c r="CG242" s="79">
        <f t="shared" si="2917"/>
        <v>0</v>
      </c>
      <c r="CH242" s="78">
        <f t="shared" si="2241"/>
        <v>2574</v>
      </c>
      <c r="CI242" s="77">
        <f t="shared" ca="1" si="2242"/>
        <v>14.142857142857142</v>
      </c>
      <c r="GM242" s="2" t="s">
        <v>17</v>
      </c>
      <c r="GN242" s="110" t="str">
        <f t="shared" si="2236"/>
        <v>NTH-B-FMCG-RSM-01</v>
      </c>
      <c r="GO242" s="4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6"/>
      <c r="HT242" s="4">
        <v>0</v>
      </c>
      <c r="HU242" s="3">
        <v>0</v>
      </c>
      <c r="HV242" s="3">
        <v>0</v>
      </c>
      <c r="HW242" s="3">
        <v>0</v>
      </c>
      <c r="HX242" s="3">
        <v>0</v>
      </c>
      <c r="HY242" s="3">
        <v>0</v>
      </c>
      <c r="HZ242" s="3">
        <v>0</v>
      </c>
      <c r="IA242" s="3">
        <v>0</v>
      </c>
      <c r="IB242" s="3">
        <v>0</v>
      </c>
      <c r="IC242" s="3">
        <v>0</v>
      </c>
      <c r="ID242" s="3">
        <v>0</v>
      </c>
      <c r="IE242" s="3">
        <v>0</v>
      </c>
      <c r="IF242" s="3">
        <v>0</v>
      </c>
      <c r="IG242" s="3">
        <v>0</v>
      </c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6"/>
    </row>
    <row r="243" spans="1:258" hidden="1">
      <c r="A243" s="97" t="s">
        <v>25</v>
      </c>
      <c r="B243" s="98" t="s">
        <v>26</v>
      </c>
      <c r="C243" s="98" t="s">
        <v>589</v>
      </c>
      <c r="D243" s="99" t="s">
        <v>1227</v>
      </c>
      <c r="E243" s="98" t="s">
        <v>590</v>
      </c>
      <c r="F243" s="98" t="s">
        <v>591</v>
      </c>
      <c r="G243" s="98" t="s">
        <v>592</v>
      </c>
      <c r="H243" s="98" t="s">
        <v>1567</v>
      </c>
      <c r="I243" s="98" t="s">
        <v>1567</v>
      </c>
      <c r="J243" s="98" t="s">
        <v>876</v>
      </c>
      <c r="K243" s="98" t="s">
        <v>1127</v>
      </c>
      <c r="L243" s="98" t="s">
        <v>593</v>
      </c>
      <c r="M243" s="98" t="s">
        <v>1093</v>
      </c>
      <c r="N243" s="108">
        <v>45884</v>
      </c>
      <c r="O243" s="100">
        <v>1</v>
      </c>
      <c r="P243" s="69">
        <v>0</v>
      </c>
      <c r="Q243" s="69">
        <f t="shared" ref="Q243:Q255" si="2918">IFERROR(IF(OR(AI243&gt;0),1,0),0)</f>
        <v>1</v>
      </c>
      <c r="R243" s="69">
        <f t="shared" ref="R243:R248" si="2919">IFERROR(IF(OR(BA243&gt;0),1,0),0)</f>
        <v>1</v>
      </c>
      <c r="S243" s="69">
        <f t="shared" ref="S243:S248" si="2920">IFERROR(IF(OR(BP243&gt;0),1,0),0)</f>
        <v>1</v>
      </c>
      <c r="T243" s="69">
        <f t="shared" ref="T243:T248" si="2921">IFERROR(IF(OR(CH243&gt;0),1,0),0)</f>
        <v>1</v>
      </c>
      <c r="U243" s="69">
        <f t="shared" ref="U243:U248" si="2922">IFERROR(IF(OR(BA243&gt;0,CH243&gt;0),1,0),0)</f>
        <v>1</v>
      </c>
      <c r="V243" s="70">
        <f t="shared" ref="V243:V248" si="2923">GO243</f>
        <v>1</v>
      </c>
      <c r="W243" s="71">
        <f t="shared" ref="W243:W248" si="2924">GP243</f>
        <v>0</v>
      </c>
      <c r="X243" s="71">
        <f t="shared" ref="X243:X248" si="2925">GQ243</f>
        <v>1</v>
      </c>
      <c r="Y243" s="71">
        <f t="shared" ref="Y243:Y248" si="2926">GR243</f>
        <v>1</v>
      </c>
      <c r="Z243" s="71">
        <f t="shared" ref="Z243:Z248" si="2927">GS243</f>
        <v>1</v>
      </c>
      <c r="AA243" s="71">
        <f t="shared" ref="AA243:AA248" si="2928">GT243</f>
        <v>1</v>
      </c>
      <c r="AB243" s="71">
        <f t="shared" ref="AB243:AB248" si="2929">GU243</f>
        <v>1</v>
      </c>
      <c r="AC243" s="71">
        <f t="shared" ref="AC243:AC248" si="2930">GV243</f>
        <v>1</v>
      </c>
      <c r="AD243" s="71">
        <f t="shared" ref="AD243:AD248" si="2931">GW243</f>
        <v>0</v>
      </c>
      <c r="AE243" s="71">
        <f t="shared" ref="AE243:AE248" si="2932">GX243</f>
        <v>1</v>
      </c>
      <c r="AF243" s="71">
        <f t="shared" ref="AF243:AF248" si="2933">GY243</f>
        <v>1</v>
      </c>
      <c r="AG243" s="71">
        <f t="shared" ref="AG243:AG248" si="2934">GZ243</f>
        <v>1</v>
      </c>
      <c r="AH243" s="71">
        <f t="shared" ref="AH243:AH248" si="2935">HA243</f>
        <v>1</v>
      </c>
      <c r="AI243" s="71">
        <f t="shared" ref="AI243:AI248" si="2936">HB243</f>
        <v>1</v>
      </c>
      <c r="AJ243" s="71">
        <f t="shared" ref="AJ243:AJ248" si="2937">HC243</f>
        <v>0</v>
      </c>
      <c r="AK243" s="71">
        <f t="shared" ref="AK243:AK248" si="2938">HD243</f>
        <v>0</v>
      </c>
      <c r="AL243" s="71">
        <f t="shared" ref="AL243:AL248" si="2939">HE243</f>
        <v>0</v>
      </c>
      <c r="AM243" s="71">
        <f t="shared" ref="AM243:AM248" si="2940">HF243</f>
        <v>0</v>
      </c>
      <c r="AN243" s="71">
        <f t="shared" ref="AN243:AN248" si="2941">HG243</f>
        <v>0</v>
      </c>
      <c r="AO243" s="71">
        <f t="shared" ref="AO243:AO248" si="2942">HH243</f>
        <v>0</v>
      </c>
      <c r="AP243" s="71">
        <f t="shared" ref="AP243:AP248" si="2943">HI243</f>
        <v>0</v>
      </c>
      <c r="AQ243" s="71">
        <f t="shared" ref="AQ243:AQ248" si="2944">HJ243</f>
        <v>0</v>
      </c>
      <c r="AR243" s="71">
        <f t="shared" ref="AR243:AR248" si="2945">HK243</f>
        <v>0</v>
      </c>
      <c r="AS243" s="71">
        <f t="shared" ref="AS243:AS248" si="2946">HL243</f>
        <v>0</v>
      </c>
      <c r="AT243" s="71">
        <f t="shared" ref="AT243:AT248" si="2947">HM243</f>
        <v>0</v>
      </c>
      <c r="AU243" s="71">
        <f t="shared" ref="AU243:AU248" si="2948">HN243</f>
        <v>0</v>
      </c>
      <c r="AV243" s="71">
        <f t="shared" ref="AV243:AV248" si="2949">HO243</f>
        <v>0</v>
      </c>
      <c r="AW243" s="71">
        <f t="shared" ref="AW243:AW248" si="2950">HP243</f>
        <v>0</v>
      </c>
      <c r="AX243" s="71">
        <f t="shared" ref="AX243:AX248" si="2951">HQ243</f>
        <v>0</v>
      </c>
      <c r="AY243" s="71">
        <f t="shared" ref="AY243:AY248" si="2952">HR243</f>
        <v>0</v>
      </c>
      <c r="AZ243" s="72">
        <f t="shared" ref="AZ243:AZ248" si="2953">HS243</f>
        <v>0</v>
      </c>
      <c r="BA243" s="70">
        <f t="shared" si="2238"/>
        <v>12</v>
      </c>
      <c r="BB243" s="69">
        <f t="shared" ca="1" si="2239"/>
        <v>0.92307692307692313</v>
      </c>
      <c r="BC243" s="70">
        <f t="shared" ref="BC243:BC248" si="2954">HT243</f>
        <v>20</v>
      </c>
      <c r="BD243" s="71">
        <f t="shared" ref="BD243:BD248" si="2955">HU243</f>
        <v>0</v>
      </c>
      <c r="BE243" s="71">
        <f t="shared" ref="BE243:BE248" si="2956">HV243</f>
        <v>26</v>
      </c>
      <c r="BF243" s="71">
        <f t="shared" ref="BF243:BF248" si="2957">HW243</f>
        <v>23</v>
      </c>
      <c r="BG243" s="71">
        <f t="shared" ref="BG243:BG248" si="2958">HX243</f>
        <v>20</v>
      </c>
      <c r="BH243" s="71">
        <f t="shared" ref="BH243:BH248" si="2959">HY243</f>
        <v>24</v>
      </c>
      <c r="BI243" s="71">
        <f t="shared" ref="BI243:BI248" si="2960">HZ243</f>
        <v>0</v>
      </c>
      <c r="BJ243" s="71">
        <f t="shared" ref="BJ243:BJ248" si="2961">IA243</f>
        <v>36</v>
      </c>
      <c r="BK243" s="71">
        <f t="shared" ref="BK243:BK248" si="2962">IB243</f>
        <v>0</v>
      </c>
      <c r="BL243" s="71">
        <f t="shared" ref="BL243:BL248" si="2963">IC243</f>
        <v>33</v>
      </c>
      <c r="BM243" s="71">
        <f t="shared" ref="BM243:BM248" si="2964">ID243</f>
        <v>26</v>
      </c>
      <c r="BN243" s="71">
        <f t="shared" ref="BN243:BN248" si="2965">IE243</f>
        <v>29</v>
      </c>
      <c r="BO243" s="71">
        <f t="shared" ref="BO243:BO248" si="2966">IF243</f>
        <v>30</v>
      </c>
      <c r="BP243" s="71">
        <f t="shared" ref="BP243:BP248" si="2967">IG243</f>
        <v>7</v>
      </c>
      <c r="BQ243" s="71">
        <f t="shared" ref="BQ243:BQ248" si="2968">IH243</f>
        <v>0</v>
      </c>
      <c r="BR243" s="71">
        <f t="shared" ref="BR243:BR248" si="2969">II243</f>
        <v>0</v>
      </c>
      <c r="BS243" s="71">
        <f t="shared" ref="BS243:BS248" si="2970">IJ243</f>
        <v>0</v>
      </c>
      <c r="BT243" s="71">
        <f t="shared" ref="BT243:BT248" si="2971">IK243</f>
        <v>0</v>
      </c>
      <c r="BU243" s="71">
        <f t="shared" ref="BU243:BU248" si="2972">IL243</f>
        <v>0</v>
      </c>
      <c r="BV243" s="71">
        <f t="shared" ref="BV243:BV248" si="2973">IM243</f>
        <v>0</v>
      </c>
      <c r="BW243" s="71">
        <f t="shared" ref="BW243:BW248" si="2974">IN243</f>
        <v>0</v>
      </c>
      <c r="BX243" s="71">
        <f t="shared" ref="BX243:BX248" si="2975">IO243</f>
        <v>0</v>
      </c>
      <c r="BY243" s="71">
        <f t="shared" ref="BY243:BY248" si="2976">IP243</f>
        <v>0</v>
      </c>
      <c r="BZ243" s="71">
        <f t="shared" ref="BZ243:BZ248" si="2977">IQ243</f>
        <v>0</v>
      </c>
      <c r="CA243" s="71">
        <f t="shared" ref="CA243:CA248" si="2978">IR243</f>
        <v>0</v>
      </c>
      <c r="CB243" s="71">
        <f t="shared" ref="CB243:CB248" si="2979">IS243</f>
        <v>0</v>
      </c>
      <c r="CC243" s="71">
        <f t="shared" ref="CC243:CC248" si="2980">IT243</f>
        <v>0</v>
      </c>
      <c r="CD243" s="71">
        <f t="shared" ref="CD243:CD248" si="2981">IU243</f>
        <v>0</v>
      </c>
      <c r="CE243" s="71">
        <f t="shared" ref="CE243:CE248" si="2982">IV243</f>
        <v>0</v>
      </c>
      <c r="CF243" s="71">
        <f t="shared" ref="CF243:CF248" si="2983">IW243</f>
        <v>0</v>
      </c>
      <c r="CG243" s="71">
        <f t="shared" ref="CG243:CG248" si="2984">IX243</f>
        <v>0</v>
      </c>
      <c r="CH243" s="70">
        <f t="shared" si="2241"/>
        <v>274</v>
      </c>
      <c r="CI243" s="69">
        <f t="shared" ca="1" si="2242"/>
        <v>21.076923076923077</v>
      </c>
      <c r="GM243" s="2" t="s">
        <v>16</v>
      </c>
      <c r="GN243" s="98" t="str">
        <f t="shared" si="2236"/>
        <v>KSR01-FMCG01-SPO-01</v>
      </c>
      <c r="GO243" s="4">
        <v>1</v>
      </c>
      <c r="GP243" s="3">
        <v>0</v>
      </c>
      <c r="GQ243" s="3">
        <v>1</v>
      </c>
      <c r="GR243" s="3">
        <v>1</v>
      </c>
      <c r="GS243" s="3">
        <v>1</v>
      </c>
      <c r="GT243" s="3">
        <v>1</v>
      </c>
      <c r="GU243" s="3">
        <v>1</v>
      </c>
      <c r="GV243" s="3">
        <v>1</v>
      </c>
      <c r="GW243" s="3">
        <v>0</v>
      </c>
      <c r="GX243" s="3">
        <v>1</v>
      </c>
      <c r="GY243" s="3">
        <v>1</v>
      </c>
      <c r="GZ243" s="3">
        <v>1</v>
      </c>
      <c r="HA243" s="3">
        <v>1</v>
      </c>
      <c r="HB243" s="3">
        <v>1</v>
      </c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6"/>
      <c r="HT243" s="4">
        <v>20</v>
      </c>
      <c r="HU243" s="3">
        <v>0</v>
      </c>
      <c r="HV243" s="3">
        <v>26</v>
      </c>
      <c r="HW243" s="3">
        <v>23</v>
      </c>
      <c r="HX243" s="3">
        <v>20</v>
      </c>
      <c r="HY243" s="3">
        <v>24</v>
      </c>
      <c r="HZ243" s="3">
        <v>0</v>
      </c>
      <c r="IA243" s="3">
        <v>36</v>
      </c>
      <c r="IB243" s="3">
        <v>0</v>
      </c>
      <c r="IC243" s="3">
        <v>33</v>
      </c>
      <c r="ID243" s="3">
        <v>26</v>
      </c>
      <c r="IE243" s="3">
        <v>29</v>
      </c>
      <c r="IF243" s="3">
        <v>30</v>
      </c>
      <c r="IG243" s="3">
        <v>7</v>
      </c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6"/>
    </row>
    <row r="244" spans="1:258" hidden="1">
      <c r="A244" s="97" t="s">
        <v>25</v>
      </c>
      <c r="B244" s="98" t="s">
        <v>26</v>
      </c>
      <c r="C244" s="98" t="s">
        <v>589</v>
      </c>
      <c r="D244" s="99" t="s">
        <v>1227</v>
      </c>
      <c r="E244" s="98" t="s">
        <v>596</v>
      </c>
      <c r="F244" s="98" t="s">
        <v>597</v>
      </c>
      <c r="G244" s="98" t="s">
        <v>598</v>
      </c>
      <c r="H244" s="98" t="s">
        <v>1568</v>
      </c>
      <c r="I244" s="98" t="s">
        <v>1568</v>
      </c>
      <c r="J244" s="98" t="s">
        <v>876</v>
      </c>
      <c r="K244" s="98" t="s">
        <v>1127</v>
      </c>
      <c r="L244" s="98" t="s">
        <v>599</v>
      </c>
      <c r="M244" s="101" t="s">
        <v>1093</v>
      </c>
      <c r="N244" s="139">
        <v>45484</v>
      </c>
      <c r="O244" s="100">
        <v>1</v>
      </c>
      <c r="P244" s="69">
        <v>0</v>
      </c>
      <c r="Q244" s="69">
        <f t="shared" si="2918"/>
        <v>1</v>
      </c>
      <c r="R244" s="69">
        <f t="shared" si="2919"/>
        <v>1</v>
      </c>
      <c r="S244" s="69">
        <f t="shared" si="2920"/>
        <v>1</v>
      </c>
      <c r="T244" s="69">
        <f t="shared" si="2921"/>
        <v>1</v>
      </c>
      <c r="U244" s="69">
        <f t="shared" si="2922"/>
        <v>1</v>
      </c>
      <c r="V244" s="70">
        <f t="shared" si="2923"/>
        <v>1</v>
      </c>
      <c r="W244" s="71">
        <f t="shared" si="2924"/>
        <v>0</v>
      </c>
      <c r="X244" s="71">
        <f t="shared" si="2925"/>
        <v>1</v>
      </c>
      <c r="Y244" s="71">
        <f t="shared" si="2926"/>
        <v>1</v>
      </c>
      <c r="Z244" s="71">
        <f t="shared" si="2927"/>
        <v>1</v>
      </c>
      <c r="AA244" s="71">
        <f t="shared" si="2928"/>
        <v>1</v>
      </c>
      <c r="AB244" s="71">
        <f t="shared" si="2929"/>
        <v>1</v>
      </c>
      <c r="AC244" s="71">
        <f t="shared" si="2930"/>
        <v>1</v>
      </c>
      <c r="AD244" s="71">
        <f t="shared" si="2931"/>
        <v>0</v>
      </c>
      <c r="AE244" s="71">
        <f t="shared" si="2932"/>
        <v>1</v>
      </c>
      <c r="AF244" s="71">
        <f t="shared" si="2933"/>
        <v>1</v>
      </c>
      <c r="AG244" s="71">
        <f t="shared" si="2934"/>
        <v>1</v>
      </c>
      <c r="AH244" s="71">
        <f t="shared" si="2935"/>
        <v>1</v>
      </c>
      <c r="AI244" s="71">
        <f t="shared" si="2936"/>
        <v>1</v>
      </c>
      <c r="AJ244" s="71">
        <f t="shared" si="2937"/>
        <v>0</v>
      </c>
      <c r="AK244" s="71">
        <f t="shared" si="2938"/>
        <v>0</v>
      </c>
      <c r="AL244" s="71">
        <f t="shared" si="2939"/>
        <v>0</v>
      </c>
      <c r="AM244" s="71">
        <f t="shared" si="2940"/>
        <v>0</v>
      </c>
      <c r="AN244" s="71">
        <f t="shared" si="2941"/>
        <v>0</v>
      </c>
      <c r="AO244" s="71">
        <f t="shared" si="2942"/>
        <v>0</v>
      </c>
      <c r="AP244" s="71">
        <f t="shared" si="2943"/>
        <v>0</v>
      </c>
      <c r="AQ244" s="71">
        <f t="shared" si="2944"/>
        <v>0</v>
      </c>
      <c r="AR244" s="71">
        <f t="shared" si="2945"/>
        <v>0</v>
      </c>
      <c r="AS244" s="71">
        <f t="shared" si="2946"/>
        <v>0</v>
      </c>
      <c r="AT244" s="71">
        <f t="shared" si="2947"/>
        <v>0</v>
      </c>
      <c r="AU244" s="71">
        <f t="shared" si="2948"/>
        <v>0</v>
      </c>
      <c r="AV244" s="71">
        <f t="shared" si="2949"/>
        <v>0</v>
      </c>
      <c r="AW244" s="71">
        <f t="shared" si="2950"/>
        <v>0</v>
      </c>
      <c r="AX244" s="71">
        <f t="shared" si="2951"/>
        <v>0</v>
      </c>
      <c r="AY244" s="71">
        <f t="shared" si="2952"/>
        <v>0</v>
      </c>
      <c r="AZ244" s="72">
        <f t="shared" si="2953"/>
        <v>0</v>
      </c>
      <c r="BA244" s="70">
        <f t="shared" si="2238"/>
        <v>12</v>
      </c>
      <c r="BB244" s="69">
        <f t="shared" ca="1" si="2239"/>
        <v>0.92307692307692313</v>
      </c>
      <c r="BC244" s="70">
        <f t="shared" si="2954"/>
        <v>35</v>
      </c>
      <c r="BD244" s="71">
        <f t="shared" si="2955"/>
        <v>0</v>
      </c>
      <c r="BE244" s="71">
        <f t="shared" si="2956"/>
        <v>23</v>
      </c>
      <c r="BF244" s="71">
        <f t="shared" si="2957"/>
        <v>26</v>
      </c>
      <c r="BG244" s="71">
        <f t="shared" si="2958"/>
        <v>47</v>
      </c>
      <c r="BH244" s="71">
        <f t="shared" si="2959"/>
        <v>51</v>
      </c>
      <c r="BI244" s="71">
        <f t="shared" si="2960"/>
        <v>0</v>
      </c>
      <c r="BJ244" s="71">
        <f t="shared" si="2961"/>
        <v>48</v>
      </c>
      <c r="BK244" s="71">
        <f t="shared" si="2962"/>
        <v>0</v>
      </c>
      <c r="BL244" s="71">
        <f t="shared" si="2963"/>
        <v>45</v>
      </c>
      <c r="BM244" s="71">
        <f t="shared" si="2964"/>
        <v>50</v>
      </c>
      <c r="BN244" s="71">
        <f t="shared" si="2965"/>
        <v>42</v>
      </c>
      <c r="BO244" s="71">
        <f t="shared" si="2966"/>
        <v>30</v>
      </c>
      <c r="BP244" s="71">
        <f t="shared" si="2967"/>
        <v>16</v>
      </c>
      <c r="BQ244" s="71">
        <f t="shared" si="2968"/>
        <v>0</v>
      </c>
      <c r="BR244" s="71">
        <f t="shared" si="2969"/>
        <v>0</v>
      </c>
      <c r="BS244" s="71">
        <f t="shared" si="2970"/>
        <v>0</v>
      </c>
      <c r="BT244" s="71">
        <f t="shared" si="2971"/>
        <v>0</v>
      </c>
      <c r="BU244" s="71">
        <f t="shared" si="2972"/>
        <v>0</v>
      </c>
      <c r="BV244" s="71">
        <f t="shared" si="2973"/>
        <v>0</v>
      </c>
      <c r="BW244" s="71">
        <f t="shared" si="2974"/>
        <v>0</v>
      </c>
      <c r="BX244" s="71">
        <f t="shared" si="2975"/>
        <v>0</v>
      </c>
      <c r="BY244" s="71">
        <f t="shared" si="2976"/>
        <v>0</v>
      </c>
      <c r="BZ244" s="71">
        <f t="shared" si="2977"/>
        <v>0</v>
      </c>
      <c r="CA244" s="71">
        <f t="shared" si="2978"/>
        <v>0</v>
      </c>
      <c r="CB244" s="71">
        <f t="shared" si="2979"/>
        <v>0</v>
      </c>
      <c r="CC244" s="71">
        <f t="shared" si="2980"/>
        <v>0</v>
      </c>
      <c r="CD244" s="71">
        <f t="shared" si="2981"/>
        <v>0</v>
      </c>
      <c r="CE244" s="71">
        <f t="shared" si="2982"/>
        <v>0</v>
      </c>
      <c r="CF244" s="71">
        <f t="shared" si="2983"/>
        <v>0</v>
      </c>
      <c r="CG244" s="71">
        <f t="shared" si="2984"/>
        <v>0</v>
      </c>
      <c r="CH244" s="70">
        <f t="shared" si="2241"/>
        <v>413</v>
      </c>
      <c r="CI244" s="69">
        <f t="shared" ca="1" si="2242"/>
        <v>31.76923076923077</v>
      </c>
      <c r="GM244" s="2" t="s">
        <v>16</v>
      </c>
      <c r="GN244" s="98" t="str">
        <f t="shared" si="2236"/>
        <v>KSR01-FMCG02-SPO-01</v>
      </c>
      <c r="GO244" s="4">
        <v>1</v>
      </c>
      <c r="GP244" s="3">
        <v>0</v>
      </c>
      <c r="GQ244" s="3">
        <v>1</v>
      </c>
      <c r="GR244" s="3">
        <v>1</v>
      </c>
      <c r="GS244" s="3">
        <v>1</v>
      </c>
      <c r="GT244" s="3">
        <v>1</v>
      </c>
      <c r="GU244" s="3">
        <v>1</v>
      </c>
      <c r="GV244" s="3">
        <v>1</v>
      </c>
      <c r="GW244" s="3">
        <v>0</v>
      </c>
      <c r="GX244" s="3">
        <v>1</v>
      </c>
      <c r="GY244" s="3">
        <v>1</v>
      </c>
      <c r="GZ244" s="3">
        <v>1</v>
      </c>
      <c r="HA244" s="3">
        <v>1</v>
      </c>
      <c r="HB244" s="3">
        <v>1</v>
      </c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6"/>
      <c r="HT244" s="4">
        <v>35</v>
      </c>
      <c r="HU244" s="3">
        <v>0</v>
      </c>
      <c r="HV244" s="3">
        <v>23</v>
      </c>
      <c r="HW244" s="3">
        <v>26</v>
      </c>
      <c r="HX244" s="3">
        <v>47</v>
      </c>
      <c r="HY244" s="3">
        <v>51</v>
      </c>
      <c r="HZ244" s="3">
        <v>0</v>
      </c>
      <c r="IA244" s="3">
        <v>48</v>
      </c>
      <c r="IB244" s="3">
        <v>0</v>
      </c>
      <c r="IC244" s="3">
        <v>45</v>
      </c>
      <c r="ID244" s="3">
        <v>50</v>
      </c>
      <c r="IE244" s="3">
        <v>42</v>
      </c>
      <c r="IF244" s="3">
        <v>30</v>
      </c>
      <c r="IG244" s="3">
        <v>16</v>
      </c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6"/>
    </row>
    <row r="245" spans="1:258" hidden="1">
      <c r="A245" s="97" t="s">
        <v>25</v>
      </c>
      <c r="B245" s="98" t="s">
        <v>90</v>
      </c>
      <c r="C245" s="98" t="s">
        <v>589</v>
      </c>
      <c r="D245" s="99" t="s">
        <v>1227</v>
      </c>
      <c r="E245" s="98" t="s">
        <v>997</v>
      </c>
      <c r="F245" s="98" t="s">
        <v>1068</v>
      </c>
      <c r="G245" s="98" t="s">
        <v>594</v>
      </c>
      <c r="H245" s="98" t="s">
        <v>1569</v>
      </c>
      <c r="I245" s="98" t="s">
        <v>1569</v>
      </c>
      <c r="J245" s="98" t="s">
        <v>877</v>
      </c>
      <c r="K245" s="98" t="s">
        <v>179</v>
      </c>
      <c r="L245" s="98" t="s">
        <v>595</v>
      </c>
      <c r="M245" s="101" t="s">
        <v>1093</v>
      </c>
      <c r="N245" s="139">
        <v>45534</v>
      </c>
      <c r="O245" s="100">
        <v>1</v>
      </c>
      <c r="P245" s="69">
        <v>0</v>
      </c>
      <c r="Q245" s="69">
        <f t="shared" si="2918"/>
        <v>1</v>
      </c>
      <c r="R245" s="69">
        <f t="shared" si="2919"/>
        <v>1</v>
      </c>
      <c r="S245" s="69">
        <f t="shared" si="2920"/>
        <v>1</v>
      </c>
      <c r="T245" s="69">
        <f t="shared" si="2921"/>
        <v>1</v>
      </c>
      <c r="U245" s="69">
        <f t="shared" si="2922"/>
        <v>1</v>
      </c>
      <c r="V245" s="70">
        <f t="shared" si="2923"/>
        <v>1</v>
      </c>
      <c r="W245" s="71">
        <f t="shared" si="2924"/>
        <v>1</v>
      </c>
      <c r="X245" s="71">
        <f t="shared" si="2925"/>
        <v>1</v>
      </c>
      <c r="Y245" s="71">
        <f t="shared" si="2926"/>
        <v>0</v>
      </c>
      <c r="Z245" s="71">
        <f t="shared" si="2927"/>
        <v>1</v>
      </c>
      <c r="AA245" s="71">
        <f t="shared" si="2928"/>
        <v>1</v>
      </c>
      <c r="AB245" s="71">
        <f t="shared" si="2929"/>
        <v>1</v>
      </c>
      <c r="AC245" s="71">
        <f t="shared" si="2930"/>
        <v>1</v>
      </c>
      <c r="AD245" s="71">
        <f t="shared" si="2931"/>
        <v>1</v>
      </c>
      <c r="AE245" s="71">
        <f t="shared" si="2932"/>
        <v>1</v>
      </c>
      <c r="AF245" s="71">
        <f t="shared" si="2933"/>
        <v>0</v>
      </c>
      <c r="AG245" s="71">
        <f t="shared" si="2934"/>
        <v>1</v>
      </c>
      <c r="AH245" s="71">
        <f t="shared" si="2935"/>
        <v>1</v>
      </c>
      <c r="AI245" s="71">
        <f t="shared" si="2936"/>
        <v>1</v>
      </c>
      <c r="AJ245" s="71">
        <f t="shared" si="2937"/>
        <v>0</v>
      </c>
      <c r="AK245" s="71">
        <f t="shared" si="2938"/>
        <v>0</v>
      </c>
      <c r="AL245" s="71">
        <f t="shared" si="2939"/>
        <v>0</v>
      </c>
      <c r="AM245" s="71">
        <f t="shared" si="2940"/>
        <v>0</v>
      </c>
      <c r="AN245" s="71">
        <f t="shared" si="2941"/>
        <v>0</v>
      </c>
      <c r="AO245" s="71">
        <f t="shared" si="2942"/>
        <v>0</v>
      </c>
      <c r="AP245" s="71">
        <f t="shared" si="2943"/>
        <v>0</v>
      </c>
      <c r="AQ245" s="71">
        <f t="shared" si="2944"/>
        <v>0</v>
      </c>
      <c r="AR245" s="71">
        <f t="shared" si="2945"/>
        <v>0</v>
      </c>
      <c r="AS245" s="71">
        <f t="shared" si="2946"/>
        <v>0</v>
      </c>
      <c r="AT245" s="71">
        <f t="shared" si="2947"/>
        <v>0</v>
      </c>
      <c r="AU245" s="71">
        <f t="shared" si="2948"/>
        <v>0</v>
      </c>
      <c r="AV245" s="71">
        <f t="shared" si="2949"/>
        <v>0</v>
      </c>
      <c r="AW245" s="71">
        <f t="shared" si="2950"/>
        <v>0</v>
      </c>
      <c r="AX245" s="71">
        <f t="shared" si="2951"/>
        <v>0</v>
      </c>
      <c r="AY245" s="71">
        <f t="shared" si="2952"/>
        <v>0</v>
      </c>
      <c r="AZ245" s="72">
        <f t="shared" si="2953"/>
        <v>0</v>
      </c>
      <c r="BA245" s="70">
        <f t="shared" si="2238"/>
        <v>12</v>
      </c>
      <c r="BB245" s="69">
        <f t="shared" ca="1" si="2239"/>
        <v>0.92307692307692313</v>
      </c>
      <c r="BC245" s="70">
        <f t="shared" si="2954"/>
        <v>50</v>
      </c>
      <c r="BD245" s="71">
        <f t="shared" si="2955"/>
        <v>46</v>
      </c>
      <c r="BE245" s="71">
        <f t="shared" si="2956"/>
        <v>46</v>
      </c>
      <c r="BF245" s="71">
        <f t="shared" si="2957"/>
        <v>0</v>
      </c>
      <c r="BG245" s="71">
        <f t="shared" si="2958"/>
        <v>50</v>
      </c>
      <c r="BH245" s="71">
        <f t="shared" si="2959"/>
        <v>42</v>
      </c>
      <c r="BI245" s="71">
        <f t="shared" si="2960"/>
        <v>1</v>
      </c>
      <c r="BJ245" s="71">
        <f t="shared" si="2961"/>
        <v>41</v>
      </c>
      <c r="BK245" s="71">
        <f t="shared" si="2962"/>
        <v>15</v>
      </c>
      <c r="BL245" s="71">
        <f t="shared" si="2963"/>
        <v>29</v>
      </c>
      <c r="BM245" s="71">
        <f t="shared" si="2964"/>
        <v>0</v>
      </c>
      <c r="BN245" s="71">
        <f t="shared" si="2965"/>
        <v>11</v>
      </c>
      <c r="BO245" s="71">
        <f t="shared" si="2966"/>
        <v>33</v>
      </c>
      <c r="BP245" s="71">
        <f t="shared" si="2967"/>
        <v>8</v>
      </c>
      <c r="BQ245" s="71">
        <f t="shared" si="2968"/>
        <v>0</v>
      </c>
      <c r="BR245" s="71">
        <f t="shared" si="2969"/>
        <v>0</v>
      </c>
      <c r="BS245" s="71">
        <f t="shared" si="2970"/>
        <v>0</v>
      </c>
      <c r="BT245" s="71">
        <f t="shared" si="2971"/>
        <v>0</v>
      </c>
      <c r="BU245" s="71">
        <f t="shared" si="2972"/>
        <v>0</v>
      </c>
      <c r="BV245" s="71">
        <f t="shared" si="2973"/>
        <v>0</v>
      </c>
      <c r="BW245" s="71">
        <f t="shared" si="2974"/>
        <v>0</v>
      </c>
      <c r="BX245" s="71">
        <f t="shared" si="2975"/>
        <v>0</v>
      </c>
      <c r="BY245" s="71">
        <f t="shared" si="2976"/>
        <v>0</v>
      </c>
      <c r="BZ245" s="71">
        <f t="shared" si="2977"/>
        <v>0</v>
      </c>
      <c r="CA245" s="71">
        <f t="shared" si="2978"/>
        <v>0</v>
      </c>
      <c r="CB245" s="71">
        <f t="shared" si="2979"/>
        <v>0</v>
      </c>
      <c r="CC245" s="71">
        <f t="shared" si="2980"/>
        <v>0</v>
      </c>
      <c r="CD245" s="71">
        <f t="shared" si="2981"/>
        <v>0</v>
      </c>
      <c r="CE245" s="71">
        <f t="shared" si="2982"/>
        <v>0</v>
      </c>
      <c r="CF245" s="71">
        <f t="shared" si="2983"/>
        <v>0</v>
      </c>
      <c r="CG245" s="71">
        <f t="shared" si="2984"/>
        <v>0</v>
      </c>
      <c r="CH245" s="70">
        <f t="shared" si="2241"/>
        <v>372</v>
      </c>
      <c r="CI245" s="69">
        <f t="shared" ca="1" si="2242"/>
        <v>28.615384615384617</v>
      </c>
      <c r="GM245" s="2" t="s">
        <v>16</v>
      </c>
      <c r="GN245" s="98" t="str">
        <f t="shared" si="2236"/>
        <v>KSR01-FMCG-SPO-01</v>
      </c>
      <c r="GO245" s="4">
        <v>1</v>
      </c>
      <c r="GP245" s="3">
        <v>1</v>
      </c>
      <c r="GQ245" s="3">
        <v>1</v>
      </c>
      <c r="GR245" s="3">
        <v>0</v>
      </c>
      <c r="GS245" s="3">
        <v>1</v>
      </c>
      <c r="GT245" s="3">
        <v>1</v>
      </c>
      <c r="GU245" s="3">
        <v>1</v>
      </c>
      <c r="GV245" s="3">
        <v>1</v>
      </c>
      <c r="GW245" s="3">
        <v>1</v>
      </c>
      <c r="GX245" s="3">
        <v>1</v>
      </c>
      <c r="GY245" s="3">
        <v>0</v>
      </c>
      <c r="GZ245" s="3">
        <v>1</v>
      </c>
      <c r="HA245" s="3">
        <v>1</v>
      </c>
      <c r="HB245" s="3">
        <v>1</v>
      </c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6"/>
      <c r="HT245" s="4">
        <v>50</v>
      </c>
      <c r="HU245" s="3">
        <v>46</v>
      </c>
      <c r="HV245" s="3">
        <v>46</v>
      </c>
      <c r="HW245" s="3">
        <v>0</v>
      </c>
      <c r="HX245" s="3">
        <v>50</v>
      </c>
      <c r="HY245" s="3">
        <v>42</v>
      </c>
      <c r="HZ245" s="3">
        <v>1</v>
      </c>
      <c r="IA245" s="3">
        <v>41</v>
      </c>
      <c r="IB245" s="3">
        <v>15</v>
      </c>
      <c r="IC245" s="3">
        <v>29</v>
      </c>
      <c r="ID245" s="3">
        <v>0</v>
      </c>
      <c r="IE245" s="3">
        <v>11</v>
      </c>
      <c r="IF245" s="3">
        <v>33</v>
      </c>
      <c r="IG245" s="3">
        <v>8</v>
      </c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6"/>
    </row>
    <row r="246" spans="1:258" hidden="1">
      <c r="A246" s="97" t="s">
        <v>25</v>
      </c>
      <c r="B246" s="98" t="s">
        <v>90</v>
      </c>
      <c r="C246" s="98" t="s">
        <v>589</v>
      </c>
      <c r="D246" s="99" t="s">
        <v>1227</v>
      </c>
      <c r="E246" s="98" t="s">
        <v>998</v>
      </c>
      <c r="F246" s="98" t="s">
        <v>1069</v>
      </c>
      <c r="G246" s="98" t="s">
        <v>600</v>
      </c>
      <c r="H246" s="98" t="s">
        <v>1570</v>
      </c>
      <c r="I246" s="98" t="s">
        <v>1570</v>
      </c>
      <c r="J246" s="98" t="s">
        <v>877</v>
      </c>
      <c r="K246" s="98" t="s">
        <v>179</v>
      </c>
      <c r="L246" s="98" t="s">
        <v>601</v>
      </c>
      <c r="M246" s="101" t="s">
        <v>1093</v>
      </c>
      <c r="N246" s="139">
        <v>45965</v>
      </c>
      <c r="O246" s="100">
        <v>1</v>
      </c>
      <c r="P246" s="69">
        <v>0</v>
      </c>
      <c r="Q246" s="69">
        <f t="shared" si="2918"/>
        <v>1</v>
      </c>
      <c r="R246" s="69">
        <f t="shared" si="2919"/>
        <v>1</v>
      </c>
      <c r="S246" s="69">
        <f t="shared" si="2920"/>
        <v>0</v>
      </c>
      <c r="T246" s="69">
        <f t="shared" si="2921"/>
        <v>1</v>
      </c>
      <c r="U246" s="69">
        <f t="shared" si="2922"/>
        <v>1</v>
      </c>
      <c r="V246" s="70">
        <f t="shared" si="2923"/>
        <v>1</v>
      </c>
      <c r="W246" s="71">
        <f t="shared" si="2924"/>
        <v>1</v>
      </c>
      <c r="X246" s="71">
        <f t="shared" si="2925"/>
        <v>1</v>
      </c>
      <c r="Y246" s="71">
        <f t="shared" si="2926"/>
        <v>0</v>
      </c>
      <c r="Z246" s="71">
        <f t="shared" si="2927"/>
        <v>1</v>
      </c>
      <c r="AA246" s="71">
        <f t="shared" si="2928"/>
        <v>1</v>
      </c>
      <c r="AB246" s="71">
        <f t="shared" si="2929"/>
        <v>1</v>
      </c>
      <c r="AC246" s="71">
        <f t="shared" si="2930"/>
        <v>1</v>
      </c>
      <c r="AD246" s="71">
        <f t="shared" si="2931"/>
        <v>1</v>
      </c>
      <c r="AE246" s="71">
        <f t="shared" si="2932"/>
        <v>1</v>
      </c>
      <c r="AF246" s="71">
        <f t="shared" si="2933"/>
        <v>0</v>
      </c>
      <c r="AG246" s="71">
        <f t="shared" si="2934"/>
        <v>1</v>
      </c>
      <c r="AH246" s="71">
        <f t="shared" si="2935"/>
        <v>1</v>
      </c>
      <c r="AI246" s="71">
        <f t="shared" si="2936"/>
        <v>1</v>
      </c>
      <c r="AJ246" s="71">
        <f t="shared" si="2937"/>
        <v>0</v>
      </c>
      <c r="AK246" s="71">
        <f t="shared" si="2938"/>
        <v>0</v>
      </c>
      <c r="AL246" s="71">
        <f t="shared" si="2939"/>
        <v>0</v>
      </c>
      <c r="AM246" s="71">
        <f t="shared" si="2940"/>
        <v>0</v>
      </c>
      <c r="AN246" s="71">
        <f t="shared" si="2941"/>
        <v>0</v>
      </c>
      <c r="AO246" s="71">
        <f t="shared" si="2942"/>
        <v>0</v>
      </c>
      <c r="AP246" s="71">
        <f t="shared" si="2943"/>
        <v>0</v>
      </c>
      <c r="AQ246" s="71">
        <f t="shared" si="2944"/>
        <v>0</v>
      </c>
      <c r="AR246" s="71">
        <f t="shared" si="2945"/>
        <v>0</v>
      </c>
      <c r="AS246" s="71">
        <f t="shared" si="2946"/>
        <v>0</v>
      </c>
      <c r="AT246" s="71">
        <f t="shared" si="2947"/>
        <v>0</v>
      </c>
      <c r="AU246" s="71">
        <f t="shared" si="2948"/>
        <v>0</v>
      </c>
      <c r="AV246" s="71">
        <f t="shared" si="2949"/>
        <v>0</v>
      </c>
      <c r="AW246" s="71">
        <f t="shared" si="2950"/>
        <v>0</v>
      </c>
      <c r="AX246" s="71">
        <f t="shared" si="2951"/>
        <v>0</v>
      </c>
      <c r="AY246" s="71">
        <f t="shared" si="2952"/>
        <v>0</v>
      </c>
      <c r="AZ246" s="72">
        <f t="shared" si="2953"/>
        <v>0</v>
      </c>
      <c r="BA246" s="70">
        <f t="shared" si="2238"/>
        <v>12</v>
      </c>
      <c r="BB246" s="69">
        <f t="shared" ca="1" si="2239"/>
        <v>0.92307692307692313</v>
      </c>
      <c r="BC246" s="70">
        <f t="shared" si="2954"/>
        <v>46</v>
      </c>
      <c r="BD246" s="71">
        <f t="shared" si="2955"/>
        <v>40</v>
      </c>
      <c r="BE246" s="71">
        <f t="shared" si="2956"/>
        <v>44</v>
      </c>
      <c r="BF246" s="71">
        <f t="shared" si="2957"/>
        <v>0</v>
      </c>
      <c r="BG246" s="71">
        <f t="shared" si="2958"/>
        <v>44</v>
      </c>
      <c r="BH246" s="71">
        <f t="shared" si="2959"/>
        <v>41</v>
      </c>
      <c r="BI246" s="71">
        <f t="shared" si="2960"/>
        <v>1</v>
      </c>
      <c r="BJ246" s="71">
        <f t="shared" si="2961"/>
        <v>37</v>
      </c>
      <c r="BK246" s="71">
        <f t="shared" si="2962"/>
        <v>47</v>
      </c>
      <c r="BL246" s="71">
        <f t="shared" si="2963"/>
        <v>41</v>
      </c>
      <c r="BM246" s="71">
        <f t="shared" si="2964"/>
        <v>0</v>
      </c>
      <c r="BN246" s="71">
        <f t="shared" si="2965"/>
        <v>0</v>
      </c>
      <c r="BO246" s="71">
        <f t="shared" si="2966"/>
        <v>43</v>
      </c>
      <c r="BP246" s="71">
        <f t="shared" si="2967"/>
        <v>0</v>
      </c>
      <c r="BQ246" s="71">
        <f t="shared" si="2968"/>
        <v>0</v>
      </c>
      <c r="BR246" s="71">
        <f t="shared" si="2969"/>
        <v>0</v>
      </c>
      <c r="BS246" s="71">
        <f t="shared" si="2970"/>
        <v>0</v>
      </c>
      <c r="BT246" s="71">
        <f t="shared" si="2971"/>
        <v>0</v>
      </c>
      <c r="BU246" s="71">
        <f t="shared" si="2972"/>
        <v>0</v>
      </c>
      <c r="BV246" s="71">
        <f t="shared" si="2973"/>
        <v>0</v>
      </c>
      <c r="BW246" s="71">
        <f t="shared" si="2974"/>
        <v>0</v>
      </c>
      <c r="BX246" s="71">
        <f t="shared" si="2975"/>
        <v>0</v>
      </c>
      <c r="BY246" s="71">
        <f t="shared" si="2976"/>
        <v>0</v>
      </c>
      <c r="BZ246" s="71">
        <f t="shared" si="2977"/>
        <v>0</v>
      </c>
      <c r="CA246" s="71">
        <f t="shared" si="2978"/>
        <v>0</v>
      </c>
      <c r="CB246" s="71">
        <f t="shared" si="2979"/>
        <v>0</v>
      </c>
      <c r="CC246" s="71">
        <f t="shared" si="2980"/>
        <v>0</v>
      </c>
      <c r="CD246" s="71">
        <f t="shared" si="2981"/>
        <v>0</v>
      </c>
      <c r="CE246" s="71">
        <f t="shared" si="2982"/>
        <v>0</v>
      </c>
      <c r="CF246" s="71">
        <f t="shared" si="2983"/>
        <v>0</v>
      </c>
      <c r="CG246" s="71">
        <f t="shared" si="2984"/>
        <v>0</v>
      </c>
      <c r="CH246" s="70">
        <f t="shared" si="2241"/>
        <v>384</v>
      </c>
      <c r="CI246" s="69">
        <f t="shared" ca="1" si="2242"/>
        <v>29.53846153846154</v>
      </c>
      <c r="GM246" s="2" t="s">
        <v>16</v>
      </c>
      <c r="GN246" s="98" t="str">
        <f t="shared" si="2236"/>
        <v>KSR01-FMCG03-SPO-01</v>
      </c>
      <c r="GO246" s="4">
        <v>1</v>
      </c>
      <c r="GP246" s="3">
        <v>1</v>
      </c>
      <c r="GQ246" s="3">
        <v>1</v>
      </c>
      <c r="GR246" s="3">
        <v>0</v>
      </c>
      <c r="GS246" s="3">
        <v>1</v>
      </c>
      <c r="GT246" s="3">
        <v>1</v>
      </c>
      <c r="GU246" s="3">
        <v>1</v>
      </c>
      <c r="GV246" s="3">
        <v>1</v>
      </c>
      <c r="GW246" s="3">
        <v>1</v>
      </c>
      <c r="GX246" s="3">
        <v>1</v>
      </c>
      <c r="GY246" s="3">
        <v>0</v>
      </c>
      <c r="GZ246" s="3">
        <v>1</v>
      </c>
      <c r="HA246" s="3">
        <v>1</v>
      </c>
      <c r="HB246" s="3">
        <v>1</v>
      </c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6"/>
      <c r="HT246" s="4">
        <v>46</v>
      </c>
      <c r="HU246" s="3">
        <v>40</v>
      </c>
      <c r="HV246" s="3">
        <v>44</v>
      </c>
      <c r="HW246" s="3">
        <v>0</v>
      </c>
      <c r="HX246" s="3">
        <v>44</v>
      </c>
      <c r="HY246" s="3">
        <v>41</v>
      </c>
      <c r="HZ246" s="3">
        <v>1</v>
      </c>
      <c r="IA246" s="3">
        <v>37</v>
      </c>
      <c r="IB246" s="3">
        <v>47</v>
      </c>
      <c r="IC246" s="3">
        <v>41</v>
      </c>
      <c r="ID246" s="3">
        <v>0</v>
      </c>
      <c r="IE246" s="3">
        <v>0</v>
      </c>
      <c r="IF246" s="3">
        <v>43</v>
      </c>
      <c r="IG246" s="3">
        <v>0</v>
      </c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6"/>
    </row>
    <row r="247" spans="1:258" hidden="1">
      <c r="A247" s="97" t="s">
        <v>1287</v>
      </c>
      <c r="B247" s="98" t="s">
        <v>20</v>
      </c>
      <c r="C247" s="98" t="s">
        <v>589</v>
      </c>
      <c r="D247" s="99" t="s">
        <v>1227</v>
      </c>
      <c r="E247" s="98" t="s">
        <v>1098</v>
      </c>
      <c r="F247" s="98" t="s">
        <v>602</v>
      </c>
      <c r="G247" s="98" t="s">
        <v>603</v>
      </c>
      <c r="H247" s="98" t="s">
        <v>1571</v>
      </c>
      <c r="I247" s="98" t="s">
        <v>1571</v>
      </c>
      <c r="J247" s="98" t="s">
        <v>876</v>
      </c>
      <c r="K247" s="98" t="s">
        <v>1099</v>
      </c>
      <c r="L247" s="98" t="s">
        <v>1099</v>
      </c>
      <c r="M247" s="98" t="s">
        <v>1099</v>
      </c>
      <c r="N247" s="108">
        <v>45474</v>
      </c>
      <c r="O247" s="100">
        <v>0</v>
      </c>
      <c r="P247" s="69">
        <v>0</v>
      </c>
      <c r="Q247" s="69">
        <f t="shared" si="2918"/>
        <v>0</v>
      </c>
      <c r="R247" s="69">
        <f t="shared" si="2919"/>
        <v>0</v>
      </c>
      <c r="S247" s="69">
        <f t="shared" si="2920"/>
        <v>0</v>
      </c>
      <c r="T247" s="69">
        <f t="shared" si="2921"/>
        <v>0</v>
      </c>
      <c r="U247" s="69">
        <f t="shared" si="2922"/>
        <v>0</v>
      </c>
      <c r="V247" s="70">
        <f t="shared" si="2923"/>
        <v>0</v>
      </c>
      <c r="W247" s="71">
        <f t="shared" si="2924"/>
        <v>0</v>
      </c>
      <c r="X247" s="71">
        <f t="shared" si="2925"/>
        <v>0</v>
      </c>
      <c r="Y247" s="71">
        <f t="shared" si="2926"/>
        <v>0</v>
      </c>
      <c r="Z247" s="71">
        <f t="shared" si="2927"/>
        <v>0</v>
      </c>
      <c r="AA247" s="71">
        <f t="shared" si="2928"/>
        <v>0</v>
      </c>
      <c r="AB247" s="71">
        <f t="shared" si="2929"/>
        <v>0</v>
      </c>
      <c r="AC247" s="71">
        <f t="shared" si="2930"/>
        <v>0</v>
      </c>
      <c r="AD247" s="71">
        <f t="shared" si="2931"/>
        <v>0</v>
      </c>
      <c r="AE247" s="71">
        <f t="shared" si="2932"/>
        <v>0</v>
      </c>
      <c r="AF247" s="71">
        <f t="shared" si="2933"/>
        <v>0</v>
      </c>
      <c r="AG247" s="71">
        <f t="shared" si="2934"/>
        <v>0</v>
      </c>
      <c r="AH247" s="71">
        <f t="shared" si="2935"/>
        <v>0</v>
      </c>
      <c r="AI247" s="71">
        <f t="shared" si="2936"/>
        <v>0</v>
      </c>
      <c r="AJ247" s="71">
        <f t="shared" si="2937"/>
        <v>0</v>
      </c>
      <c r="AK247" s="71">
        <f t="shared" si="2938"/>
        <v>0</v>
      </c>
      <c r="AL247" s="71">
        <f t="shared" si="2939"/>
        <v>0</v>
      </c>
      <c r="AM247" s="71">
        <f t="shared" si="2940"/>
        <v>0</v>
      </c>
      <c r="AN247" s="71">
        <f t="shared" si="2941"/>
        <v>0</v>
      </c>
      <c r="AO247" s="71">
        <f t="shared" si="2942"/>
        <v>0</v>
      </c>
      <c r="AP247" s="71">
        <f t="shared" si="2943"/>
        <v>0</v>
      </c>
      <c r="AQ247" s="71">
        <f t="shared" si="2944"/>
        <v>0</v>
      </c>
      <c r="AR247" s="71">
        <f t="shared" si="2945"/>
        <v>0</v>
      </c>
      <c r="AS247" s="71">
        <f t="shared" si="2946"/>
        <v>0</v>
      </c>
      <c r="AT247" s="71">
        <f t="shared" si="2947"/>
        <v>0</v>
      </c>
      <c r="AU247" s="71">
        <f t="shared" si="2948"/>
        <v>0</v>
      </c>
      <c r="AV247" s="71">
        <f t="shared" si="2949"/>
        <v>0</v>
      </c>
      <c r="AW247" s="71">
        <f t="shared" si="2950"/>
        <v>0</v>
      </c>
      <c r="AX247" s="71">
        <f t="shared" si="2951"/>
        <v>0</v>
      </c>
      <c r="AY247" s="71">
        <f t="shared" si="2952"/>
        <v>0</v>
      </c>
      <c r="AZ247" s="72">
        <f t="shared" si="2953"/>
        <v>0</v>
      </c>
      <c r="BA247" s="70">
        <f t="shared" si="2238"/>
        <v>0</v>
      </c>
      <c r="BB247" s="69">
        <f t="shared" ca="1" si="2239"/>
        <v>0</v>
      </c>
      <c r="BC247" s="70">
        <f t="shared" si="2954"/>
        <v>0</v>
      </c>
      <c r="BD247" s="71">
        <f t="shared" si="2955"/>
        <v>0</v>
      </c>
      <c r="BE247" s="71">
        <f t="shared" si="2956"/>
        <v>0</v>
      </c>
      <c r="BF247" s="71">
        <f t="shared" si="2957"/>
        <v>0</v>
      </c>
      <c r="BG247" s="71">
        <f t="shared" si="2958"/>
        <v>0</v>
      </c>
      <c r="BH247" s="71">
        <f t="shared" si="2959"/>
        <v>0</v>
      </c>
      <c r="BI247" s="71">
        <f t="shared" si="2960"/>
        <v>0</v>
      </c>
      <c r="BJ247" s="71">
        <f t="shared" si="2961"/>
        <v>0</v>
      </c>
      <c r="BK247" s="71">
        <f t="shared" si="2962"/>
        <v>0</v>
      </c>
      <c r="BL247" s="71">
        <f t="shared" si="2963"/>
        <v>0</v>
      </c>
      <c r="BM247" s="71">
        <f t="shared" si="2964"/>
        <v>0</v>
      </c>
      <c r="BN247" s="71">
        <f t="shared" si="2965"/>
        <v>0</v>
      </c>
      <c r="BO247" s="71">
        <f t="shared" si="2966"/>
        <v>0</v>
      </c>
      <c r="BP247" s="71">
        <f t="shared" si="2967"/>
        <v>0</v>
      </c>
      <c r="BQ247" s="71">
        <f t="shared" si="2968"/>
        <v>0</v>
      </c>
      <c r="BR247" s="71">
        <f t="shared" si="2969"/>
        <v>0</v>
      </c>
      <c r="BS247" s="71">
        <f t="shared" si="2970"/>
        <v>0</v>
      </c>
      <c r="BT247" s="71">
        <f t="shared" si="2971"/>
        <v>0</v>
      </c>
      <c r="BU247" s="71">
        <f t="shared" si="2972"/>
        <v>0</v>
      </c>
      <c r="BV247" s="71">
        <f t="shared" si="2973"/>
        <v>0</v>
      </c>
      <c r="BW247" s="71">
        <f t="shared" si="2974"/>
        <v>0</v>
      </c>
      <c r="BX247" s="71">
        <f t="shared" si="2975"/>
        <v>0</v>
      </c>
      <c r="BY247" s="71">
        <f t="shared" si="2976"/>
        <v>0</v>
      </c>
      <c r="BZ247" s="71">
        <f t="shared" si="2977"/>
        <v>0</v>
      </c>
      <c r="CA247" s="71">
        <f t="shared" si="2978"/>
        <v>0</v>
      </c>
      <c r="CB247" s="71">
        <f t="shared" si="2979"/>
        <v>0</v>
      </c>
      <c r="CC247" s="71">
        <f t="shared" si="2980"/>
        <v>0</v>
      </c>
      <c r="CD247" s="71">
        <f t="shared" si="2981"/>
        <v>0</v>
      </c>
      <c r="CE247" s="71">
        <f t="shared" si="2982"/>
        <v>0</v>
      </c>
      <c r="CF247" s="71">
        <f t="shared" si="2983"/>
        <v>0</v>
      </c>
      <c r="CG247" s="71">
        <f t="shared" si="2984"/>
        <v>0</v>
      </c>
      <c r="CH247" s="70">
        <f t="shared" si="2241"/>
        <v>0</v>
      </c>
      <c r="CI247" s="69">
        <f t="shared" ca="1" si="2242"/>
        <v>0</v>
      </c>
      <c r="GM247" s="2" t="s">
        <v>16</v>
      </c>
      <c r="GN247" s="98" t="str">
        <f t="shared" si="2236"/>
        <v>KSR01-FMCG-SPO-00</v>
      </c>
      <c r="GO247" s="4">
        <v>0</v>
      </c>
      <c r="GP247" s="3">
        <v>0</v>
      </c>
      <c r="GQ247" s="3">
        <v>0</v>
      </c>
      <c r="GR247" s="3">
        <v>0</v>
      </c>
      <c r="GS247" s="3">
        <v>0</v>
      </c>
      <c r="GT247" s="3">
        <v>0</v>
      </c>
      <c r="GU247" s="3">
        <v>0</v>
      </c>
      <c r="GV247" s="3">
        <v>0</v>
      </c>
      <c r="GW247" s="3">
        <v>0</v>
      </c>
      <c r="GX247" s="3">
        <v>0</v>
      </c>
      <c r="GY247" s="3">
        <v>0</v>
      </c>
      <c r="GZ247" s="3">
        <v>0</v>
      </c>
      <c r="HA247" s="3">
        <v>0</v>
      </c>
      <c r="HB247" s="3">
        <v>0</v>
      </c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6"/>
      <c r="HT247" s="4">
        <v>0</v>
      </c>
      <c r="HU247" s="3">
        <v>0</v>
      </c>
      <c r="HV247" s="3">
        <v>0</v>
      </c>
      <c r="HW247" s="3">
        <v>0</v>
      </c>
      <c r="HX247" s="3">
        <v>0</v>
      </c>
      <c r="HY247" s="3">
        <v>0</v>
      </c>
      <c r="HZ247" s="3">
        <v>0</v>
      </c>
      <c r="IA247" s="3">
        <v>0</v>
      </c>
      <c r="IB247" s="3">
        <v>0</v>
      </c>
      <c r="IC247" s="3">
        <v>0</v>
      </c>
      <c r="ID247" s="3">
        <v>0</v>
      </c>
      <c r="IE247" s="3">
        <v>0</v>
      </c>
      <c r="IF247" s="3">
        <v>0</v>
      </c>
      <c r="IG247" s="3">
        <v>0</v>
      </c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6"/>
    </row>
    <row r="248" spans="1:258" hidden="1">
      <c r="A248" s="97" t="s">
        <v>1380</v>
      </c>
      <c r="B248" s="98" t="s">
        <v>20</v>
      </c>
      <c r="C248" s="98" t="s">
        <v>589</v>
      </c>
      <c r="D248" s="99" t="s">
        <v>1227</v>
      </c>
      <c r="E248" s="98" t="s">
        <v>604</v>
      </c>
      <c r="F248" s="98" t="s">
        <v>605</v>
      </c>
      <c r="G248" s="98" t="s">
        <v>606</v>
      </c>
      <c r="H248" s="98" t="s">
        <v>1228</v>
      </c>
      <c r="I248" s="98" t="s">
        <v>1228</v>
      </c>
      <c r="J248" s="98" t="s">
        <v>876</v>
      </c>
      <c r="K248" s="98" t="s">
        <v>1127</v>
      </c>
      <c r="L248" s="98" t="s">
        <v>607</v>
      </c>
      <c r="M248" s="98" t="s">
        <v>52</v>
      </c>
      <c r="N248" s="108">
        <v>45678</v>
      </c>
      <c r="O248" s="100">
        <v>0</v>
      </c>
      <c r="P248" s="69">
        <v>0</v>
      </c>
      <c r="Q248" s="69">
        <f t="shared" si="2918"/>
        <v>0</v>
      </c>
      <c r="R248" s="69">
        <f t="shared" si="2919"/>
        <v>0</v>
      </c>
      <c r="S248" s="69">
        <f t="shared" si="2920"/>
        <v>0</v>
      </c>
      <c r="T248" s="69">
        <f t="shared" si="2921"/>
        <v>0</v>
      </c>
      <c r="U248" s="69">
        <f t="shared" si="2922"/>
        <v>0</v>
      </c>
      <c r="V248" s="70">
        <f t="shared" si="2923"/>
        <v>0</v>
      </c>
      <c r="W248" s="71">
        <f t="shared" si="2924"/>
        <v>0</v>
      </c>
      <c r="X248" s="71">
        <f t="shared" si="2925"/>
        <v>0</v>
      </c>
      <c r="Y248" s="71">
        <f t="shared" si="2926"/>
        <v>0</v>
      </c>
      <c r="Z248" s="71">
        <f t="shared" si="2927"/>
        <v>0</v>
      </c>
      <c r="AA248" s="71">
        <f t="shared" si="2928"/>
        <v>0</v>
      </c>
      <c r="AB248" s="71">
        <f t="shared" si="2929"/>
        <v>0</v>
      </c>
      <c r="AC248" s="71">
        <f t="shared" si="2930"/>
        <v>0</v>
      </c>
      <c r="AD248" s="71">
        <f t="shared" si="2931"/>
        <v>0</v>
      </c>
      <c r="AE248" s="71">
        <f t="shared" si="2932"/>
        <v>0</v>
      </c>
      <c r="AF248" s="71">
        <f t="shared" si="2933"/>
        <v>0</v>
      </c>
      <c r="AG248" s="71">
        <f t="shared" si="2934"/>
        <v>0</v>
      </c>
      <c r="AH248" s="71">
        <f t="shared" si="2935"/>
        <v>0</v>
      </c>
      <c r="AI248" s="71">
        <f t="shared" si="2936"/>
        <v>0</v>
      </c>
      <c r="AJ248" s="71">
        <f t="shared" si="2937"/>
        <v>0</v>
      </c>
      <c r="AK248" s="71">
        <f t="shared" si="2938"/>
        <v>0</v>
      </c>
      <c r="AL248" s="71">
        <f t="shared" si="2939"/>
        <v>0</v>
      </c>
      <c r="AM248" s="71">
        <f t="shared" si="2940"/>
        <v>0</v>
      </c>
      <c r="AN248" s="71">
        <f t="shared" si="2941"/>
        <v>0</v>
      </c>
      <c r="AO248" s="71">
        <f t="shared" si="2942"/>
        <v>0</v>
      </c>
      <c r="AP248" s="71">
        <f t="shared" si="2943"/>
        <v>0</v>
      </c>
      <c r="AQ248" s="71">
        <f t="shared" si="2944"/>
        <v>0</v>
      </c>
      <c r="AR248" s="71">
        <f t="shared" si="2945"/>
        <v>0</v>
      </c>
      <c r="AS248" s="71">
        <f t="shared" si="2946"/>
        <v>0</v>
      </c>
      <c r="AT248" s="71">
        <f t="shared" si="2947"/>
        <v>0</v>
      </c>
      <c r="AU248" s="71">
        <f t="shared" si="2948"/>
        <v>0</v>
      </c>
      <c r="AV248" s="71">
        <f t="shared" si="2949"/>
        <v>0</v>
      </c>
      <c r="AW248" s="71">
        <f t="shared" si="2950"/>
        <v>0</v>
      </c>
      <c r="AX248" s="71">
        <f t="shared" si="2951"/>
        <v>0</v>
      </c>
      <c r="AY248" s="71">
        <f t="shared" si="2952"/>
        <v>0</v>
      </c>
      <c r="AZ248" s="72">
        <f t="shared" si="2953"/>
        <v>0</v>
      </c>
      <c r="BA248" s="70">
        <f t="shared" si="2238"/>
        <v>0</v>
      </c>
      <c r="BB248" s="69">
        <f t="shared" ca="1" si="2239"/>
        <v>0</v>
      </c>
      <c r="BC248" s="70">
        <f t="shared" si="2954"/>
        <v>0</v>
      </c>
      <c r="BD248" s="71">
        <f t="shared" si="2955"/>
        <v>0</v>
      </c>
      <c r="BE248" s="71">
        <f t="shared" si="2956"/>
        <v>0</v>
      </c>
      <c r="BF248" s="71">
        <f t="shared" si="2957"/>
        <v>0</v>
      </c>
      <c r="BG248" s="71">
        <f t="shared" si="2958"/>
        <v>0</v>
      </c>
      <c r="BH248" s="71">
        <f t="shared" si="2959"/>
        <v>0</v>
      </c>
      <c r="BI248" s="71">
        <f t="shared" si="2960"/>
        <v>0</v>
      </c>
      <c r="BJ248" s="71">
        <f t="shared" si="2961"/>
        <v>0</v>
      </c>
      <c r="BK248" s="71">
        <f t="shared" si="2962"/>
        <v>0</v>
      </c>
      <c r="BL248" s="71">
        <f t="shared" si="2963"/>
        <v>0</v>
      </c>
      <c r="BM248" s="71">
        <f t="shared" si="2964"/>
        <v>0</v>
      </c>
      <c r="BN248" s="71">
        <f t="shared" si="2965"/>
        <v>0</v>
      </c>
      <c r="BO248" s="71">
        <f t="shared" si="2966"/>
        <v>0</v>
      </c>
      <c r="BP248" s="71">
        <f t="shared" si="2967"/>
        <v>0</v>
      </c>
      <c r="BQ248" s="71">
        <f t="shared" si="2968"/>
        <v>0</v>
      </c>
      <c r="BR248" s="71">
        <f t="shared" si="2969"/>
        <v>0</v>
      </c>
      <c r="BS248" s="71">
        <f t="shared" si="2970"/>
        <v>0</v>
      </c>
      <c r="BT248" s="71">
        <f t="shared" si="2971"/>
        <v>0</v>
      </c>
      <c r="BU248" s="71">
        <f t="shared" si="2972"/>
        <v>0</v>
      </c>
      <c r="BV248" s="71">
        <f t="shared" si="2973"/>
        <v>0</v>
      </c>
      <c r="BW248" s="71">
        <f t="shared" si="2974"/>
        <v>0</v>
      </c>
      <c r="BX248" s="71">
        <f t="shared" si="2975"/>
        <v>0</v>
      </c>
      <c r="BY248" s="71">
        <f t="shared" si="2976"/>
        <v>0</v>
      </c>
      <c r="BZ248" s="71">
        <f t="shared" si="2977"/>
        <v>0</v>
      </c>
      <c r="CA248" s="71">
        <f t="shared" si="2978"/>
        <v>0</v>
      </c>
      <c r="CB248" s="71">
        <f t="shared" si="2979"/>
        <v>0</v>
      </c>
      <c r="CC248" s="71">
        <f t="shared" si="2980"/>
        <v>0</v>
      </c>
      <c r="CD248" s="71">
        <f t="shared" si="2981"/>
        <v>0</v>
      </c>
      <c r="CE248" s="71">
        <f t="shared" si="2982"/>
        <v>0</v>
      </c>
      <c r="CF248" s="71">
        <f t="shared" si="2983"/>
        <v>0</v>
      </c>
      <c r="CG248" s="71">
        <f t="shared" si="2984"/>
        <v>0</v>
      </c>
      <c r="CH248" s="70">
        <f t="shared" si="2241"/>
        <v>0</v>
      </c>
      <c r="CI248" s="69">
        <f t="shared" ca="1" si="2242"/>
        <v>0</v>
      </c>
      <c r="GM248" s="2" t="s">
        <v>16</v>
      </c>
      <c r="GN248" s="98" t="str">
        <f t="shared" si="2236"/>
        <v>KSR01-FMCG-ASM-01</v>
      </c>
      <c r="GO248" s="4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6"/>
      <c r="HT248" s="4">
        <v>0</v>
      </c>
      <c r="HU248" s="3">
        <v>0</v>
      </c>
      <c r="HV248" s="3">
        <v>0</v>
      </c>
      <c r="HW248" s="3">
        <v>0</v>
      </c>
      <c r="HX248" s="3">
        <v>0</v>
      </c>
      <c r="HY248" s="3">
        <v>0</v>
      </c>
      <c r="HZ248" s="3">
        <v>0</v>
      </c>
      <c r="IA248" s="3">
        <v>0</v>
      </c>
      <c r="IB248" s="3">
        <v>0</v>
      </c>
      <c r="IC248" s="3">
        <v>0</v>
      </c>
      <c r="ID248" s="3">
        <v>0</v>
      </c>
      <c r="IE248" s="3">
        <v>0</v>
      </c>
      <c r="IF248" s="3">
        <v>0</v>
      </c>
      <c r="IG248" s="3">
        <v>0</v>
      </c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6"/>
    </row>
    <row r="249" spans="1:258" hidden="1">
      <c r="A249" s="102" t="s">
        <v>53</v>
      </c>
      <c r="B249" s="103" t="s">
        <v>20</v>
      </c>
      <c r="C249" s="103" t="s">
        <v>589</v>
      </c>
      <c r="D249" s="104" t="s">
        <v>1227</v>
      </c>
      <c r="E249" s="103" t="s">
        <v>604</v>
      </c>
      <c r="F249" s="103" t="s">
        <v>605</v>
      </c>
      <c r="G249" s="103" t="s">
        <v>606</v>
      </c>
      <c r="H249" s="103" t="s">
        <v>1228</v>
      </c>
      <c r="I249" s="103" t="s">
        <v>1228</v>
      </c>
      <c r="J249" s="103" t="s">
        <v>876</v>
      </c>
      <c r="K249" s="103" t="s">
        <v>1127</v>
      </c>
      <c r="L249" s="103" t="s">
        <v>607</v>
      </c>
      <c r="M249" s="103" t="s">
        <v>52</v>
      </c>
      <c r="N249" s="119">
        <v>45678</v>
      </c>
      <c r="O249" s="105">
        <f>O247+O246+O245+O244+O243</f>
        <v>4</v>
      </c>
      <c r="P249" s="73">
        <f>P247+P246+P245+P244+P243</f>
        <v>0</v>
      </c>
      <c r="Q249" s="73">
        <f t="shared" si="2918"/>
        <v>1</v>
      </c>
      <c r="R249" s="73">
        <f t="shared" ref="R249:AZ249" si="2985">R247+R246+R245+R244+R243</f>
        <v>4</v>
      </c>
      <c r="S249" s="73">
        <f t="shared" si="2985"/>
        <v>3</v>
      </c>
      <c r="T249" s="73">
        <f t="shared" si="2985"/>
        <v>4</v>
      </c>
      <c r="U249" s="73">
        <f t="shared" si="2985"/>
        <v>4</v>
      </c>
      <c r="V249" s="74">
        <f t="shared" si="2985"/>
        <v>4</v>
      </c>
      <c r="W249" s="75">
        <f t="shared" si="2985"/>
        <v>2</v>
      </c>
      <c r="X249" s="75">
        <f t="shared" si="2985"/>
        <v>4</v>
      </c>
      <c r="Y249" s="75">
        <f t="shared" si="2985"/>
        <v>2</v>
      </c>
      <c r="Z249" s="75">
        <f t="shared" si="2985"/>
        <v>4</v>
      </c>
      <c r="AA249" s="75">
        <f t="shared" si="2985"/>
        <v>4</v>
      </c>
      <c r="AB249" s="75">
        <f t="shared" si="2985"/>
        <v>4</v>
      </c>
      <c r="AC249" s="75">
        <f t="shared" si="2985"/>
        <v>4</v>
      </c>
      <c r="AD249" s="75">
        <f t="shared" si="2985"/>
        <v>2</v>
      </c>
      <c r="AE249" s="75">
        <f t="shared" si="2985"/>
        <v>4</v>
      </c>
      <c r="AF249" s="75">
        <f t="shared" si="2985"/>
        <v>2</v>
      </c>
      <c r="AG249" s="75">
        <f t="shared" si="2985"/>
        <v>4</v>
      </c>
      <c r="AH249" s="75">
        <f t="shared" si="2985"/>
        <v>4</v>
      </c>
      <c r="AI249" s="75">
        <f t="shared" si="2985"/>
        <v>4</v>
      </c>
      <c r="AJ249" s="75">
        <f t="shared" si="2985"/>
        <v>0</v>
      </c>
      <c r="AK249" s="75">
        <f t="shared" si="2985"/>
        <v>0</v>
      </c>
      <c r="AL249" s="75">
        <f t="shared" si="2985"/>
        <v>0</v>
      </c>
      <c r="AM249" s="75">
        <f t="shared" si="2985"/>
        <v>0</v>
      </c>
      <c r="AN249" s="75">
        <f t="shared" si="2985"/>
        <v>0</v>
      </c>
      <c r="AO249" s="75">
        <f t="shared" si="2985"/>
        <v>0</v>
      </c>
      <c r="AP249" s="75">
        <f t="shared" si="2985"/>
        <v>0</v>
      </c>
      <c r="AQ249" s="75">
        <f t="shared" si="2985"/>
        <v>0</v>
      </c>
      <c r="AR249" s="75">
        <f t="shared" si="2985"/>
        <v>0</v>
      </c>
      <c r="AS249" s="75">
        <f t="shared" si="2985"/>
        <v>0</v>
      </c>
      <c r="AT249" s="75">
        <f t="shared" si="2985"/>
        <v>0</v>
      </c>
      <c r="AU249" s="75">
        <f t="shared" si="2985"/>
        <v>0</v>
      </c>
      <c r="AV249" s="75">
        <f t="shared" si="2985"/>
        <v>0</v>
      </c>
      <c r="AW249" s="75">
        <f t="shared" si="2985"/>
        <v>0</v>
      </c>
      <c r="AX249" s="75">
        <f t="shared" si="2985"/>
        <v>0</v>
      </c>
      <c r="AY249" s="75">
        <f t="shared" si="2985"/>
        <v>0</v>
      </c>
      <c r="AZ249" s="76">
        <f t="shared" si="2985"/>
        <v>0</v>
      </c>
      <c r="BA249" s="74">
        <f t="shared" si="2238"/>
        <v>48</v>
      </c>
      <c r="BB249" s="73">
        <f t="shared" ca="1" si="2239"/>
        <v>0.92307692307692313</v>
      </c>
      <c r="BC249" s="74">
        <f>BC247+BC246+BC245+BC244+BC243</f>
        <v>151</v>
      </c>
      <c r="BD249" s="75">
        <f>BD247+BD246+BD245+BD244+BD243</f>
        <v>86</v>
      </c>
      <c r="BE249" s="75">
        <f t="shared" ref="BE249:CG249" si="2986">BE247+BE246+BE245+BE244+BE243</f>
        <v>139</v>
      </c>
      <c r="BF249" s="75">
        <f t="shared" si="2986"/>
        <v>49</v>
      </c>
      <c r="BG249" s="75">
        <f t="shared" si="2986"/>
        <v>161</v>
      </c>
      <c r="BH249" s="75">
        <f t="shared" si="2986"/>
        <v>158</v>
      </c>
      <c r="BI249" s="75">
        <f t="shared" si="2986"/>
        <v>2</v>
      </c>
      <c r="BJ249" s="75">
        <f t="shared" si="2986"/>
        <v>162</v>
      </c>
      <c r="BK249" s="75">
        <f t="shared" si="2986"/>
        <v>62</v>
      </c>
      <c r="BL249" s="75">
        <f t="shared" si="2986"/>
        <v>148</v>
      </c>
      <c r="BM249" s="75">
        <f t="shared" si="2986"/>
        <v>76</v>
      </c>
      <c r="BN249" s="75">
        <f t="shared" si="2986"/>
        <v>82</v>
      </c>
      <c r="BO249" s="75">
        <f t="shared" si="2986"/>
        <v>136</v>
      </c>
      <c r="BP249" s="75">
        <f t="shared" si="2986"/>
        <v>31</v>
      </c>
      <c r="BQ249" s="75">
        <f t="shared" si="2986"/>
        <v>0</v>
      </c>
      <c r="BR249" s="75">
        <f t="shared" si="2986"/>
        <v>0</v>
      </c>
      <c r="BS249" s="75">
        <f t="shared" si="2986"/>
        <v>0</v>
      </c>
      <c r="BT249" s="75">
        <f t="shared" si="2986"/>
        <v>0</v>
      </c>
      <c r="BU249" s="75">
        <f t="shared" si="2986"/>
        <v>0</v>
      </c>
      <c r="BV249" s="75">
        <f t="shared" si="2986"/>
        <v>0</v>
      </c>
      <c r="BW249" s="75">
        <f t="shared" si="2986"/>
        <v>0</v>
      </c>
      <c r="BX249" s="75">
        <f t="shared" si="2986"/>
        <v>0</v>
      </c>
      <c r="BY249" s="75">
        <f t="shared" si="2986"/>
        <v>0</v>
      </c>
      <c r="BZ249" s="75">
        <f t="shared" si="2986"/>
        <v>0</v>
      </c>
      <c r="CA249" s="75">
        <f t="shared" si="2986"/>
        <v>0</v>
      </c>
      <c r="CB249" s="75">
        <f t="shared" si="2986"/>
        <v>0</v>
      </c>
      <c r="CC249" s="75">
        <f t="shared" si="2986"/>
        <v>0</v>
      </c>
      <c r="CD249" s="75">
        <f t="shared" si="2986"/>
        <v>0</v>
      </c>
      <c r="CE249" s="75">
        <f t="shared" si="2986"/>
        <v>0</v>
      </c>
      <c r="CF249" s="75">
        <f t="shared" si="2986"/>
        <v>0</v>
      </c>
      <c r="CG249" s="75">
        <f t="shared" si="2986"/>
        <v>0</v>
      </c>
      <c r="CH249" s="74">
        <f t="shared" si="2241"/>
        <v>1443</v>
      </c>
      <c r="CI249" s="73">
        <f t="shared" ca="1" si="2242"/>
        <v>27.75</v>
      </c>
      <c r="GM249" s="2" t="s">
        <v>17</v>
      </c>
      <c r="GN249" s="103" t="str">
        <f t="shared" si="2236"/>
        <v>KSR01-FMCG-ASM-01</v>
      </c>
      <c r="GO249" s="4">
        <v>0</v>
      </c>
      <c r="GP249" s="3">
        <v>0</v>
      </c>
      <c r="GQ249" s="3">
        <v>0</v>
      </c>
      <c r="GR249" s="3">
        <v>0</v>
      </c>
      <c r="GS249" s="3">
        <v>0</v>
      </c>
      <c r="GT249" s="3">
        <v>0</v>
      </c>
      <c r="GU249" s="3">
        <v>0</v>
      </c>
      <c r="GV249" s="3">
        <v>0</v>
      </c>
      <c r="GW249" s="3">
        <v>0</v>
      </c>
      <c r="GX249" s="3">
        <v>0</v>
      </c>
      <c r="GY249" s="3">
        <v>0</v>
      </c>
      <c r="GZ249" s="3">
        <v>0</v>
      </c>
      <c r="HA249" s="3">
        <v>0</v>
      </c>
      <c r="HB249" s="3">
        <v>0</v>
      </c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6"/>
      <c r="HT249" s="4">
        <v>0</v>
      </c>
      <c r="HU249" s="3">
        <v>0</v>
      </c>
      <c r="HV249" s="3">
        <v>0</v>
      </c>
      <c r="HW249" s="3">
        <v>0</v>
      </c>
      <c r="HX249" s="3">
        <v>0</v>
      </c>
      <c r="HY249" s="3">
        <v>0</v>
      </c>
      <c r="HZ249" s="3">
        <v>0</v>
      </c>
      <c r="IA249" s="3">
        <v>0</v>
      </c>
      <c r="IB249" s="3">
        <v>0</v>
      </c>
      <c r="IC249" s="3">
        <v>0</v>
      </c>
      <c r="ID249" s="3">
        <v>0</v>
      </c>
      <c r="IE249" s="3">
        <v>0</v>
      </c>
      <c r="IF249" s="3">
        <v>0</v>
      </c>
      <c r="IG249" s="3">
        <v>0</v>
      </c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6"/>
    </row>
    <row r="250" spans="1:258" hidden="1">
      <c r="A250" s="97" t="s">
        <v>25</v>
      </c>
      <c r="B250" s="98" t="s">
        <v>26</v>
      </c>
      <c r="C250" s="98" t="s">
        <v>589</v>
      </c>
      <c r="D250" s="99" t="s">
        <v>1229</v>
      </c>
      <c r="E250" s="98" t="s">
        <v>608</v>
      </c>
      <c r="F250" s="98" t="s">
        <v>609</v>
      </c>
      <c r="G250" s="98" t="s">
        <v>610</v>
      </c>
      <c r="H250" s="98" t="s">
        <v>1572</v>
      </c>
      <c r="I250" s="98" t="s">
        <v>1572</v>
      </c>
      <c r="J250" s="98" t="s">
        <v>872</v>
      </c>
      <c r="K250" s="98" t="s">
        <v>1127</v>
      </c>
      <c r="L250" s="98">
        <v>43293</v>
      </c>
      <c r="M250" s="101" t="s">
        <v>1093</v>
      </c>
      <c r="N250" s="139">
        <v>43293</v>
      </c>
      <c r="O250" s="100">
        <v>1</v>
      </c>
      <c r="P250" s="69">
        <v>0</v>
      </c>
      <c r="Q250" s="69">
        <f t="shared" si="2918"/>
        <v>1</v>
      </c>
      <c r="R250" s="69">
        <f t="shared" ref="R250:R255" si="2987">IFERROR(IF(OR(BA250&gt;0),1,0),0)</f>
        <v>1</v>
      </c>
      <c r="S250" s="69">
        <f t="shared" ref="S250:S255" si="2988">IFERROR(IF(OR(BP250&gt;0),1,0),0)</f>
        <v>0</v>
      </c>
      <c r="T250" s="69">
        <f t="shared" ref="T250:T255" si="2989">IFERROR(IF(OR(CH250&gt;0),1,0),0)</f>
        <v>1</v>
      </c>
      <c r="U250" s="69">
        <f t="shared" ref="U250:U255" si="2990">IFERROR(IF(OR(BA250&gt;0,CH250&gt;0),1,0),0)</f>
        <v>1</v>
      </c>
      <c r="V250" s="70">
        <f t="shared" ref="V250:V255" si="2991">GO250</f>
        <v>1</v>
      </c>
      <c r="W250" s="71">
        <f t="shared" ref="W250:W255" si="2992">GP250</f>
        <v>0</v>
      </c>
      <c r="X250" s="71">
        <f t="shared" ref="X250:X255" si="2993">GQ250</f>
        <v>1</v>
      </c>
      <c r="Y250" s="71">
        <f t="shared" ref="Y250:Y255" si="2994">GR250</f>
        <v>1</v>
      </c>
      <c r="Z250" s="71">
        <f t="shared" ref="Z250:Z255" si="2995">GS250</f>
        <v>1</v>
      </c>
      <c r="AA250" s="71">
        <f t="shared" ref="AA250:AA255" si="2996">GT250</f>
        <v>1</v>
      </c>
      <c r="AB250" s="71">
        <f t="shared" ref="AB250:AB255" si="2997">GU250</f>
        <v>1</v>
      </c>
      <c r="AC250" s="71">
        <f t="shared" ref="AC250:AC255" si="2998">GV250</f>
        <v>1</v>
      </c>
      <c r="AD250" s="71">
        <f t="shared" ref="AD250:AD255" si="2999">GW250</f>
        <v>0</v>
      </c>
      <c r="AE250" s="71">
        <f t="shared" ref="AE250:AE255" si="3000">GX250</f>
        <v>1</v>
      </c>
      <c r="AF250" s="71">
        <f t="shared" ref="AF250:AF255" si="3001">GY250</f>
        <v>1</v>
      </c>
      <c r="AG250" s="71">
        <f t="shared" ref="AG250:AG255" si="3002">GZ250</f>
        <v>1</v>
      </c>
      <c r="AH250" s="71">
        <f t="shared" ref="AH250:AH255" si="3003">HA250</f>
        <v>1</v>
      </c>
      <c r="AI250" s="71">
        <f t="shared" ref="AI250:AI255" si="3004">HB250</f>
        <v>1</v>
      </c>
      <c r="AJ250" s="71">
        <f t="shared" ref="AJ250:AJ255" si="3005">HC250</f>
        <v>0</v>
      </c>
      <c r="AK250" s="71">
        <f t="shared" ref="AK250:AK255" si="3006">HD250</f>
        <v>0</v>
      </c>
      <c r="AL250" s="71">
        <f t="shared" ref="AL250:AL255" si="3007">HE250</f>
        <v>0</v>
      </c>
      <c r="AM250" s="71">
        <f t="shared" ref="AM250:AM255" si="3008">HF250</f>
        <v>0</v>
      </c>
      <c r="AN250" s="71">
        <f t="shared" ref="AN250:AN255" si="3009">HG250</f>
        <v>0</v>
      </c>
      <c r="AO250" s="71">
        <f t="shared" ref="AO250:AO255" si="3010">HH250</f>
        <v>0</v>
      </c>
      <c r="AP250" s="71">
        <f t="shared" ref="AP250:AP255" si="3011">HI250</f>
        <v>0</v>
      </c>
      <c r="AQ250" s="71">
        <f t="shared" ref="AQ250:AQ255" si="3012">HJ250</f>
        <v>0</v>
      </c>
      <c r="AR250" s="71">
        <f t="shared" ref="AR250:AR255" si="3013">HK250</f>
        <v>0</v>
      </c>
      <c r="AS250" s="71">
        <f t="shared" ref="AS250:AS255" si="3014">HL250</f>
        <v>0</v>
      </c>
      <c r="AT250" s="71">
        <f t="shared" ref="AT250:AT255" si="3015">HM250</f>
        <v>0</v>
      </c>
      <c r="AU250" s="71">
        <f t="shared" ref="AU250:AU255" si="3016">HN250</f>
        <v>0</v>
      </c>
      <c r="AV250" s="71">
        <f t="shared" ref="AV250:AV255" si="3017">HO250</f>
        <v>0</v>
      </c>
      <c r="AW250" s="71">
        <f t="shared" ref="AW250:AW255" si="3018">HP250</f>
        <v>0</v>
      </c>
      <c r="AX250" s="71">
        <f t="shared" ref="AX250:AX255" si="3019">HQ250</f>
        <v>0</v>
      </c>
      <c r="AY250" s="71">
        <f t="shared" ref="AY250:AY255" si="3020">HR250</f>
        <v>0</v>
      </c>
      <c r="AZ250" s="72">
        <f t="shared" ref="AZ250:AZ255" si="3021">HS250</f>
        <v>0</v>
      </c>
      <c r="BA250" s="70">
        <f t="shared" si="2238"/>
        <v>12</v>
      </c>
      <c r="BB250" s="69">
        <f t="shared" ca="1" si="2239"/>
        <v>0.92307692307692313</v>
      </c>
      <c r="BC250" s="70">
        <f t="shared" ref="BC250:BC255" si="3022">HT250</f>
        <v>40</v>
      </c>
      <c r="BD250" s="71">
        <f t="shared" ref="BD250:BD255" si="3023">HU250</f>
        <v>0</v>
      </c>
      <c r="BE250" s="71">
        <f t="shared" ref="BE250:BE255" si="3024">HV250</f>
        <v>10</v>
      </c>
      <c r="BF250" s="71">
        <f t="shared" ref="BF250:BF255" si="3025">HW250</f>
        <v>0</v>
      </c>
      <c r="BG250" s="71">
        <f t="shared" ref="BG250:BG255" si="3026">HX250</f>
        <v>32</v>
      </c>
      <c r="BH250" s="71">
        <f t="shared" ref="BH250:BH255" si="3027">HY250</f>
        <v>1</v>
      </c>
      <c r="BI250" s="71">
        <f t="shared" ref="BI250:BI255" si="3028">HZ250</f>
        <v>0</v>
      </c>
      <c r="BJ250" s="71">
        <f t="shared" ref="BJ250:BJ255" si="3029">IA250</f>
        <v>37</v>
      </c>
      <c r="BK250" s="71">
        <f t="shared" ref="BK250:BK255" si="3030">IB250</f>
        <v>0</v>
      </c>
      <c r="BL250" s="71">
        <f t="shared" ref="BL250:BL255" si="3031">IC250</f>
        <v>21</v>
      </c>
      <c r="BM250" s="71">
        <f t="shared" ref="BM250:BM255" si="3032">ID250</f>
        <v>13</v>
      </c>
      <c r="BN250" s="71">
        <f t="shared" ref="BN250:BN255" si="3033">IE250</f>
        <v>29</v>
      </c>
      <c r="BO250" s="71">
        <f t="shared" ref="BO250:BO255" si="3034">IF250</f>
        <v>8</v>
      </c>
      <c r="BP250" s="71">
        <f t="shared" ref="BP250:BP255" si="3035">IG250</f>
        <v>0</v>
      </c>
      <c r="BQ250" s="71">
        <f t="shared" ref="BQ250:BQ255" si="3036">IH250</f>
        <v>0</v>
      </c>
      <c r="BR250" s="71">
        <f t="shared" ref="BR250:BR255" si="3037">II250</f>
        <v>0</v>
      </c>
      <c r="BS250" s="71">
        <f t="shared" ref="BS250:BS255" si="3038">IJ250</f>
        <v>0</v>
      </c>
      <c r="BT250" s="71">
        <f t="shared" ref="BT250:BT255" si="3039">IK250</f>
        <v>0</v>
      </c>
      <c r="BU250" s="71">
        <f t="shared" ref="BU250:BU255" si="3040">IL250</f>
        <v>0</v>
      </c>
      <c r="BV250" s="71">
        <f t="shared" ref="BV250:BV255" si="3041">IM250</f>
        <v>0</v>
      </c>
      <c r="BW250" s="71">
        <f t="shared" ref="BW250:BW255" si="3042">IN250</f>
        <v>0</v>
      </c>
      <c r="BX250" s="71">
        <f t="shared" ref="BX250:BX255" si="3043">IO250</f>
        <v>0</v>
      </c>
      <c r="BY250" s="71">
        <f t="shared" ref="BY250:BY255" si="3044">IP250</f>
        <v>0</v>
      </c>
      <c r="BZ250" s="71">
        <f t="shared" ref="BZ250:BZ255" si="3045">IQ250</f>
        <v>0</v>
      </c>
      <c r="CA250" s="71">
        <f t="shared" ref="CA250:CA255" si="3046">IR250</f>
        <v>0</v>
      </c>
      <c r="CB250" s="71">
        <f t="shared" ref="CB250:CB255" si="3047">IS250</f>
        <v>0</v>
      </c>
      <c r="CC250" s="71">
        <f t="shared" ref="CC250:CC255" si="3048">IT250</f>
        <v>0</v>
      </c>
      <c r="CD250" s="71">
        <f t="shared" ref="CD250:CD255" si="3049">IU250</f>
        <v>0</v>
      </c>
      <c r="CE250" s="71">
        <f t="shared" ref="CE250:CE255" si="3050">IV250</f>
        <v>0</v>
      </c>
      <c r="CF250" s="71">
        <f t="shared" ref="CF250:CF255" si="3051">IW250</f>
        <v>0</v>
      </c>
      <c r="CG250" s="71">
        <f t="shared" ref="CG250:CG255" si="3052">IX250</f>
        <v>0</v>
      </c>
      <c r="CH250" s="70">
        <f t="shared" si="2241"/>
        <v>191</v>
      </c>
      <c r="CI250" s="69">
        <f t="shared" ca="1" si="2242"/>
        <v>14.692307692307692</v>
      </c>
      <c r="GM250" s="2" t="s">
        <v>16</v>
      </c>
      <c r="GN250" s="98" t="str">
        <f t="shared" si="2236"/>
        <v>OKR01-FMCG01-SPO-01</v>
      </c>
      <c r="GO250" s="4">
        <v>1</v>
      </c>
      <c r="GP250" s="3">
        <v>0</v>
      </c>
      <c r="GQ250" s="3">
        <v>1</v>
      </c>
      <c r="GR250" s="3">
        <v>1</v>
      </c>
      <c r="GS250" s="3">
        <v>1</v>
      </c>
      <c r="GT250" s="3">
        <v>1</v>
      </c>
      <c r="GU250" s="3">
        <v>1</v>
      </c>
      <c r="GV250" s="3">
        <v>1</v>
      </c>
      <c r="GW250" s="3">
        <v>0</v>
      </c>
      <c r="GX250" s="3">
        <v>1</v>
      </c>
      <c r="GY250" s="3">
        <v>1</v>
      </c>
      <c r="GZ250" s="3">
        <v>1</v>
      </c>
      <c r="HA250" s="3">
        <v>1</v>
      </c>
      <c r="HB250" s="3">
        <v>1</v>
      </c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6"/>
      <c r="HT250" s="4">
        <v>40</v>
      </c>
      <c r="HU250" s="3">
        <v>0</v>
      </c>
      <c r="HV250" s="3">
        <v>10</v>
      </c>
      <c r="HW250" s="3">
        <v>0</v>
      </c>
      <c r="HX250" s="3">
        <v>32</v>
      </c>
      <c r="HY250" s="3">
        <v>1</v>
      </c>
      <c r="HZ250" s="3">
        <v>0</v>
      </c>
      <c r="IA250" s="3">
        <v>37</v>
      </c>
      <c r="IB250" s="3">
        <v>0</v>
      </c>
      <c r="IC250" s="3">
        <v>21</v>
      </c>
      <c r="ID250" s="3">
        <v>13</v>
      </c>
      <c r="IE250" s="3">
        <v>29</v>
      </c>
      <c r="IF250" s="3">
        <v>8</v>
      </c>
      <c r="IG250" s="3">
        <v>0</v>
      </c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6"/>
    </row>
    <row r="251" spans="1:258" hidden="1">
      <c r="A251" s="106" t="s">
        <v>25</v>
      </c>
      <c r="B251" s="101" t="s">
        <v>26</v>
      </c>
      <c r="C251" s="98" t="s">
        <v>589</v>
      </c>
      <c r="D251" s="107" t="s">
        <v>1229</v>
      </c>
      <c r="E251" s="101" t="s">
        <v>612</v>
      </c>
      <c r="F251" s="101" t="s">
        <v>613</v>
      </c>
      <c r="G251" s="98" t="s">
        <v>616</v>
      </c>
      <c r="H251" s="101" t="s">
        <v>1573</v>
      </c>
      <c r="I251" s="101" t="s">
        <v>1573</v>
      </c>
      <c r="J251" s="101" t="s">
        <v>872</v>
      </c>
      <c r="K251" s="98" t="s">
        <v>1127</v>
      </c>
      <c r="L251" s="101">
        <v>45474</v>
      </c>
      <c r="M251" s="101" t="s">
        <v>1093</v>
      </c>
      <c r="N251" s="139">
        <v>45474</v>
      </c>
      <c r="O251" s="100">
        <v>1</v>
      </c>
      <c r="P251" s="69">
        <v>0</v>
      </c>
      <c r="Q251" s="69">
        <f t="shared" si="2918"/>
        <v>1</v>
      </c>
      <c r="R251" s="69">
        <f t="shared" si="2987"/>
        <v>1</v>
      </c>
      <c r="S251" s="69">
        <f t="shared" si="2988"/>
        <v>0</v>
      </c>
      <c r="T251" s="69">
        <f t="shared" si="2989"/>
        <v>1</v>
      </c>
      <c r="U251" s="69">
        <f t="shared" si="2990"/>
        <v>1</v>
      </c>
      <c r="V251" s="70">
        <f t="shared" si="2991"/>
        <v>1</v>
      </c>
      <c r="W251" s="71">
        <f t="shared" si="2992"/>
        <v>0</v>
      </c>
      <c r="X251" s="71">
        <f t="shared" si="2993"/>
        <v>1</v>
      </c>
      <c r="Y251" s="71">
        <f t="shared" si="2994"/>
        <v>1</v>
      </c>
      <c r="Z251" s="71">
        <f t="shared" si="2995"/>
        <v>1</v>
      </c>
      <c r="AA251" s="71">
        <f t="shared" si="2996"/>
        <v>1</v>
      </c>
      <c r="AB251" s="71">
        <f t="shared" si="2997"/>
        <v>1</v>
      </c>
      <c r="AC251" s="71">
        <f t="shared" si="2998"/>
        <v>1</v>
      </c>
      <c r="AD251" s="71">
        <f t="shared" si="2999"/>
        <v>0</v>
      </c>
      <c r="AE251" s="71">
        <f t="shared" si="3000"/>
        <v>1</v>
      </c>
      <c r="AF251" s="71">
        <f t="shared" si="3001"/>
        <v>1</v>
      </c>
      <c r="AG251" s="71">
        <f t="shared" si="3002"/>
        <v>1</v>
      </c>
      <c r="AH251" s="71">
        <f t="shared" si="3003"/>
        <v>1</v>
      </c>
      <c r="AI251" s="71">
        <f t="shared" si="3004"/>
        <v>1</v>
      </c>
      <c r="AJ251" s="71">
        <f t="shared" si="3005"/>
        <v>0</v>
      </c>
      <c r="AK251" s="71">
        <f t="shared" si="3006"/>
        <v>0</v>
      </c>
      <c r="AL251" s="71">
        <f t="shared" si="3007"/>
        <v>0</v>
      </c>
      <c r="AM251" s="71">
        <f t="shared" si="3008"/>
        <v>0</v>
      </c>
      <c r="AN251" s="71">
        <f t="shared" si="3009"/>
        <v>0</v>
      </c>
      <c r="AO251" s="71">
        <f t="shared" si="3010"/>
        <v>0</v>
      </c>
      <c r="AP251" s="71">
        <f t="shared" si="3011"/>
        <v>0</v>
      </c>
      <c r="AQ251" s="71">
        <f t="shared" si="3012"/>
        <v>0</v>
      </c>
      <c r="AR251" s="71">
        <f t="shared" si="3013"/>
        <v>0</v>
      </c>
      <c r="AS251" s="71">
        <f t="shared" si="3014"/>
        <v>0</v>
      </c>
      <c r="AT251" s="71">
        <f t="shared" si="3015"/>
        <v>0</v>
      </c>
      <c r="AU251" s="71">
        <f t="shared" si="3016"/>
        <v>0</v>
      </c>
      <c r="AV251" s="71">
        <f t="shared" si="3017"/>
        <v>0</v>
      </c>
      <c r="AW251" s="71">
        <f t="shared" si="3018"/>
        <v>0</v>
      </c>
      <c r="AX251" s="71">
        <f t="shared" si="3019"/>
        <v>0</v>
      </c>
      <c r="AY251" s="71">
        <f t="shared" si="3020"/>
        <v>0</v>
      </c>
      <c r="AZ251" s="72">
        <f t="shared" si="3021"/>
        <v>0</v>
      </c>
      <c r="BA251" s="70">
        <f t="shared" si="2238"/>
        <v>12</v>
      </c>
      <c r="BB251" s="69">
        <f t="shared" ca="1" si="2239"/>
        <v>0.92307692307692313</v>
      </c>
      <c r="BC251" s="70">
        <f t="shared" si="3022"/>
        <v>46</v>
      </c>
      <c r="BD251" s="71">
        <f t="shared" si="3023"/>
        <v>0</v>
      </c>
      <c r="BE251" s="71">
        <f t="shared" si="3024"/>
        <v>0</v>
      </c>
      <c r="BF251" s="71">
        <f t="shared" si="3025"/>
        <v>35</v>
      </c>
      <c r="BG251" s="71">
        <f t="shared" si="3026"/>
        <v>42</v>
      </c>
      <c r="BH251" s="71">
        <f t="shared" si="3027"/>
        <v>1</v>
      </c>
      <c r="BI251" s="71">
        <f t="shared" si="3028"/>
        <v>41</v>
      </c>
      <c r="BJ251" s="71">
        <f t="shared" si="3029"/>
        <v>54</v>
      </c>
      <c r="BK251" s="71">
        <f t="shared" si="3030"/>
        <v>0</v>
      </c>
      <c r="BL251" s="71">
        <f t="shared" si="3031"/>
        <v>29</v>
      </c>
      <c r="BM251" s="71">
        <f t="shared" si="3032"/>
        <v>19</v>
      </c>
      <c r="BN251" s="71">
        <f t="shared" si="3033"/>
        <v>4</v>
      </c>
      <c r="BO251" s="71">
        <f t="shared" si="3034"/>
        <v>48</v>
      </c>
      <c r="BP251" s="71">
        <f t="shared" si="3035"/>
        <v>0</v>
      </c>
      <c r="BQ251" s="71">
        <f t="shared" si="3036"/>
        <v>0</v>
      </c>
      <c r="BR251" s="71">
        <f t="shared" si="3037"/>
        <v>0</v>
      </c>
      <c r="BS251" s="71">
        <f t="shared" si="3038"/>
        <v>0</v>
      </c>
      <c r="BT251" s="71">
        <f t="shared" si="3039"/>
        <v>0</v>
      </c>
      <c r="BU251" s="71">
        <f t="shared" si="3040"/>
        <v>0</v>
      </c>
      <c r="BV251" s="71">
        <f t="shared" si="3041"/>
        <v>0</v>
      </c>
      <c r="BW251" s="71">
        <f t="shared" si="3042"/>
        <v>0</v>
      </c>
      <c r="BX251" s="71">
        <f t="shared" si="3043"/>
        <v>0</v>
      </c>
      <c r="BY251" s="71">
        <f t="shared" si="3044"/>
        <v>0</v>
      </c>
      <c r="BZ251" s="71">
        <f t="shared" si="3045"/>
        <v>0</v>
      </c>
      <c r="CA251" s="71">
        <f t="shared" si="3046"/>
        <v>0</v>
      </c>
      <c r="CB251" s="71">
        <f t="shared" si="3047"/>
        <v>0</v>
      </c>
      <c r="CC251" s="71">
        <f t="shared" si="3048"/>
        <v>0</v>
      </c>
      <c r="CD251" s="71">
        <f t="shared" si="3049"/>
        <v>0</v>
      </c>
      <c r="CE251" s="71">
        <f t="shared" si="3050"/>
        <v>0</v>
      </c>
      <c r="CF251" s="71">
        <f t="shared" si="3051"/>
        <v>0</v>
      </c>
      <c r="CG251" s="71">
        <f t="shared" si="3052"/>
        <v>0</v>
      </c>
      <c r="CH251" s="70">
        <f t="shared" si="2241"/>
        <v>319</v>
      </c>
      <c r="CI251" s="69">
        <f t="shared" ca="1" si="2242"/>
        <v>24.53846153846154</v>
      </c>
      <c r="GM251" s="2" t="s">
        <v>16</v>
      </c>
      <c r="GN251" s="101" t="str">
        <f t="shared" si="2236"/>
        <v>OKR01-FMCG02-SPO-01</v>
      </c>
      <c r="GO251" s="4">
        <v>1</v>
      </c>
      <c r="GP251" s="3">
        <v>0</v>
      </c>
      <c r="GQ251" s="3">
        <v>1</v>
      </c>
      <c r="GR251" s="3">
        <v>1</v>
      </c>
      <c r="GS251" s="3">
        <v>1</v>
      </c>
      <c r="GT251" s="3">
        <v>1</v>
      </c>
      <c r="GU251" s="3">
        <v>1</v>
      </c>
      <c r="GV251" s="3">
        <v>1</v>
      </c>
      <c r="GW251" s="3">
        <v>0</v>
      </c>
      <c r="GX251" s="3">
        <v>1</v>
      </c>
      <c r="GY251" s="3">
        <v>1</v>
      </c>
      <c r="GZ251" s="3">
        <v>1</v>
      </c>
      <c r="HA251" s="3">
        <v>1</v>
      </c>
      <c r="HB251" s="3">
        <v>1</v>
      </c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6"/>
      <c r="HT251" s="4">
        <v>46</v>
      </c>
      <c r="HU251" s="3">
        <v>0</v>
      </c>
      <c r="HV251" s="3">
        <v>0</v>
      </c>
      <c r="HW251" s="3">
        <v>35</v>
      </c>
      <c r="HX251" s="3">
        <v>42</v>
      </c>
      <c r="HY251" s="3">
        <v>1</v>
      </c>
      <c r="HZ251" s="3">
        <v>41</v>
      </c>
      <c r="IA251" s="3">
        <v>54</v>
      </c>
      <c r="IB251" s="3">
        <v>0</v>
      </c>
      <c r="IC251" s="3">
        <v>29</v>
      </c>
      <c r="ID251" s="3">
        <v>19</v>
      </c>
      <c r="IE251" s="3">
        <v>4</v>
      </c>
      <c r="IF251" s="3">
        <v>48</v>
      </c>
      <c r="IG251" s="3">
        <v>0</v>
      </c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6"/>
    </row>
    <row r="252" spans="1:258" hidden="1">
      <c r="A252" s="97" t="s">
        <v>25</v>
      </c>
      <c r="B252" s="98" t="s">
        <v>90</v>
      </c>
      <c r="C252" s="98" t="s">
        <v>589</v>
      </c>
      <c r="D252" s="99" t="s">
        <v>1229</v>
      </c>
      <c r="E252" s="98" t="s">
        <v>1013</v>
      </c>
      <c r="F252" s="98" t="s">
        <v>1070</v>
      </c>
      <c r="G252" s="98" t="s">
        <v>611</v>
      </c>
      <c r="H252" s="98" t="s">
        <v>1574</v>
      </c>
      <c r="I252" s="98" t="s">
        <v>1574</v>
      </c>
      <c r="J252" s="98" t="s">
        <v>873</v>
      </c>
      <c r="K252" s="98" t="s">
        <v>179</v>
      </c>
      <c r="L252" s="98">
        <v>46232</v>
      </c>
      <c r="M252" s="101" t="s">
        <v>1093</v>
      </c>
      <c r="N252" s="139">
        <v>46232</v>
      </c>
      <c r="O252" s="100">
        <v>1</v>
      </c>
      <c r="P252" s="69">
        <v>0</v>
      </c>
      <c r="Q252" s="69">
        <f t="shared" si="2918"/>
        <v>1</v>
      </c>
      <c r="R252" s="69">
        <f t="shared" si="2987"/>
        <v>1</v>
      </c>
      <c r="S252" s="69">
        <f t="shared" si="2988"/>
        <v>0</v>
      </c>
      <c r="T252" s="69">
        <f t="shared" si="2989"/>
        <v>1</v>
      </c>
      <c r="U252" s="69">
        <f t="shared" si="2990"/>
        <v>1</v>
      </c>
      <c r="V252" s="70">
        <f t="shared" si="2991"/>
        <v>1</v>
      </c>
      <c r="W252" s="71">
        <f t="shared" si="2992"/>
        <v>0</v>
      </c>
      <c r="X252" s="71">
        <f t="shared" si="2993"/>
        <v>1</v>
      </c>
      <c r="Y252" s="71">
        <f t="shared" si="2994"/>
        <v>1</v>
      </c>
      <c r="Z252" s="71">
        <f t="shared" si="2995"/>
        <v>1</v>
      </c>
      <c r="AA252" s="71">
        <f t="shared" si="2996"/>
        <v>1</v>
      </c>
      <c r="AB252" s="71">
        <f t="shared" si="2997"/>
        <v>1</v>
      </c>
      <c r="AC252" s="71">
        <f t="shared" si="2998"/>
        <v>1</v>
      </c>
      <c r="AD252" s="71">
        <f t="shared" si="2999"/>
        <v>0</v>
      </c>
      <c r="AE252" s="71">
        <f t="shared" si="3000"/>
        <v>1</v>
      </c>
      <c r="AF252" s="71">
        <f t="shared" si="3001"/>
        <v>1</v>
      </c>
      <c r="AG252" s="71">
        <f t="shared" si="3002"/>
        <v>1</v>
      </c>
      <c r="AH252" s="71">
        <f t="shared" si="3003"/>
        <v>1</v>
      </c>
      <c r="AI252" s="71">
        <f t="shared" si="3004"/>
        <v>1</v>
      </c>
      <c r="AJ252" s="71">
        <f t="shared" si="3005"/>
        <v>0</v>
      </c>
      <c r="AK252" s="71">
        <f t="shared" si="3006"/>
        <v>0</v>
      </c>
      <c r="AL252" s="71">
        <f t="shared" si="3007"/>
        <v>0</v>
      </c>
      <c r="AM252" s="71">
        <f t="shared" si="3008"/>
        <v>0</v>
      </c>
      <c r="AN252" s="71">
        <f t="shared" si="3009"/>
        <v>0</v>
      </c>
      <c r="AO252" s="71">
        <f t="shared" si="3010"/>
        <v>0</v>
      </c>
      <c r="AP252" s="71">
        <f t="shared" si="3011"/>
        <v>0</v>
      </c>
      <c r="AQ252" s="71">
        <f t="shared" si="3012"/>
        <v>0</v>
      </c>
      <c r="AR252" s="71">
        <f t="shared" si="3013"/>
        <v>0</v>
      </c>
      <c r="AS252" s="71">
        <f t="shared" si="3014"/>
        <v>0</v>
      </c>
      <c r="AT252" s="71">
        <f t="shared" si="3015"/>
        <v>0</v>
      </c>
      <c r="AU252" s="71">
        <f t="shared" si="3016"/>
        <v>0</v>
      </c>
      <c r="AV252" s="71">
        <f t="shared" si="3017"/>
        <v>0</v>
      </c>
      <c r="AW252" s="71">
        <f t="shared" si="3018"/>
        <v>0</v>
      </c>
      <c r="AX252" s="71">
        <f t="shared" si="3019"/>
        <v>0</v>
      </c>
      <c r="AY252" s="71">
        <f t="shared" si="3020"/>
        <v>0</v>
      </c>
      <c r="AZ252" s="72">
        <f t="shared" si="3021"/>
        <v>0</v>
      </c>
      <c r="BA252" s="70">
        <f t="shared" si="2238"/>
        <v>12</v>
      </c>
      <c r="BB252" s="69">
        <f t="shared" ca="1" si="2239"/>
        <v>0.92307692307692313</v>
      </c>
      <c r="BC252" s="70">
        <f t="shared" si="3022"/>
        <v>41</v>
      </c>
      <c r="BD252" s="71">
        <f t="shared" si="3023"/>
        <v>0</v>
      </c>
      <c r="BE252" s="71">
        <f t="shared" si="3024"/>
        <v>40</v>
      </c>
      <c r="BF252" s="71">
        <f t="shared" si="3025"/>
        <v>42</v>
      </c>
      <c r="BG252" s="71">
        <f t="shared" si="3026"/>
        <v>45</v>
      </c>
      <c r="BH252" s="71">
        <f t="shared" si="3027"/>
        <v>1</v>
      </c>
      <c r="BI252" s="71">
        <f t="shared" si="3028"/>
        <v>44</v>
      </c>
      <c r="BJ252" s="71">
        <f t="shared" si="3029"/>
        <v>40</v>
      </c>
      <c r="BK252" s="71">
        <f t="shared" si="3030"/>
        <v>0</v>
      </c>
      <c r="BL252" s="71">
        <f t="shared" si="3031"/>
        <v>43</v>
      </c>
      <c r="BM252" s="71">
        <f t="shared" si="3032"/>
        <v>44</v>
      </c>
      <c r="BN252" s="71">
        <f t="shared" si="3033"/>
        <v>45</v>
      </c>
      <c r="BO252" s="71">
        <f t="shared" si="3034"/>
        <v>45</v>
      </c>
      <c r="BP252" s="71">
        <f t="shared" si="3035"/>
        <v>0</v>
      </c>
      <c r="BQ252" s="71">
        <f t="shared" si="3036"/>
        <v>0</v>
      </c>
      <c r="BR252" s="71">
        <f t="shared" si="3037"/>
        <v>0</v>
      </c>
      <c r="BS252" s="71">
        <f t="shared" si="3038"/>
        <v>0</v>
      </c>
      <c r="BT252" s="71">
        <f t="shared" si="3039"/>
        <v>0</v>
      </c>
      <c r="BU252" s="71">
        <f t="shared" si="3040"/>
        <v>0</v>
      </c>
      <c r="BV252" s="71">
        <f t="shared" si="3041"/>
        <v>0</v>
      </c>
      <c r="BW252" s="71">
        <f t="shared" si="3042"/>
        <v>0</v>
      </c>
      <c r="BX252" s="71">
        <f t="shared" si="3043"/>
        <v>0</v>
      </c>
      <c r="BY252" s="71">
        <f t="shared" si="3044"/>
        <v>0</v>
      </c>
      <c r="BZ252" s="71">
        <f t="shared" si="3045"/>
        <v>0</v>
      </c>
      <c r="CA252" s="71">
        <f t="shared" si="3046"/>
        <v>0</v>
      </c>
      <c r="CB252" s="71">
        <f t="shared" si="3047"/>
        <v>0</v>
      </c>
      <c r="CC252" s="71">
        <f t="shared" si="3048"/>
        <v>0</v>
      </c>
      <c r="CD252" s="71">
        <f t="shared" si="3049"/>
        <v>0</v>
      </c>
      <c r="CE252" s="71">
        <f t="shared" si="3050"/>
        <v>0</v>
      </c>
      <c r="CF252" s="71">
        <f t="shared" si="3051"/>
        <v>0</v>
      </c>
      <c r="CG252" s="71">
        <f t="shared" si="3052"/>
        <v>0</v>
      </c>
      <c r="CH252" s="70">
        <f t="shared" si="2241"/>
        <v>430</v>
      </c>
      <c r="CI252" s="69">
        <f t="shared" ca="1" si="2242"/>
        <v>33.07692307692308</v>
      </c>
      <c r="GM252" s="2" t="s">
        <v>16</v>
      </c>
      <c r="GN252" s="98" t="str">
        <f t="shared" si="2236"/>
        <v>OKR01-FMCG-SPO-01</v>
      </c>
      <c r="GO252" s="4">
        <v>1</v>
      </c>
      <c r="GP252" s="3">
        <v>0</v>
      </c>
      <c r="GQ252" s="3">
        <v>1</v>
      </c>
      <c r="GR252" s="3">
        <v>1</v>
      </c>
      <c r="GS252" s="3">
        <v>1</v>
      </c>
      <c r="GT252" s="3">
        <v>1</v>
      </c>
      <c r="GU252" s="3">
        <v>1</v>
      </c>
      <c r="GV252" s="3">
        <v>1</v>
      </c>
      <c r="GW252" s="3">
        <v>0</v>
      </c>
      <c r="GX252" s="3">
        <v>1</v>
      </c>
      <c r="GY252" s="3">
        <v>1</v>
      </c>
      <c r="GZ252" s="3">
        <v>1</v>
      </c>
      <c r="HA252" s="3">
        <v>1</v>
      </c>
      <c r="HB252" s="3">
        <v>1</v>
      </c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6"/>
      <c r="HT252" s="4">
        <v>41</v>
      </c>
      <c r="HU252" s="3">
        <v>0</v>
      </c>
      <c r="HV252" s="3">
        <v>40</v>
      </c>
      <c r="HW252" s="3">
        <v>42</v>
      </c>
      <c r="HX252" s="3">
        <v>45</v>
      </c>
      <c r="HY252" s="3">
        <v>1</v>
      </c>
      <c r="HZ252" s="3">
        <v>44</v>
      </c>
      <c r="IA252" s="3">
        <v>40</v>
      </c>
      <c r="IB252" s="3">
        <v>0</v>
      </c>
      <c r="IC252" s="3">
        <v>43</v>
      </c>
      <c r="ID252" s="3">
        <v>44</v>
      </c>
      <c r="IE252" s="3">
        <v>45</v>
      </c>
      <c r="IF252" s="3">
        <v>45</v>
      </c>
      <c r="IG252" s="3">
        <v>0</v>
      </c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6"/>
    </row>
    <row r="253" spans="1:258" hidden="1">
      <c r="A253" s="97" t="s">
        <v>25</v>
      </c>
      <c r="B253" s="98" t="s">
        <v>90</v>
      </c>
      <c r="C253" s="98" t="s">
        <v>589</v>
      </c>
      <c r="D253" s="99" t="s">
        <v>1229</v>
      </c>
      <c r="E253" s="98" t="s">
        <v>1014</v>
      </c>
      <c r="F253" s="98" t="s">
        <v>935</v>
      </c>
      <c r="G253" s="98" t="s">
        <v>934</v>
      </c>
      <c r="H253" s="98" t="s">
        <v>1575</v>
      </c>
      <c r="I253" s="98" t="s">
        <v>1575</v>
      </c>
      <c r="J253" s="98" t="s">
        <v>872</v>
      </c>
      <c r="K253" s="98" t="s">
        <v>1127</v>
      </c>
      <c r="L253" s="98">
        <v>45185</v>
      </c>
      <c r="M253" s="101" t="s">
        <v>1093</v>
      </c>
      <c r="N253" s="139">
        <v>45185</v>
      </c>
      <c r="O253" s="100">
        <v>1</v>
      </c>
      <c r="P253" s="69">
        <v>0</v>
      </c>
      <c r="Q253" s="69">
        <f t="shared" si="2918"/>
        <v>1</v>
      </c>
      <c r="R253" s="69">
        <f t="shared" si="2987"/>
        <v>1</v>
      </c>
      <c r="S253" s="69">
        <f t="shared" si="2988"/>
        <v>0</v>
      </c>
      <c r="T253" s="69">
        <f t="shared" si="2989"/>
        <v>1</v>
      </c>
      <c r="U253" s="69">
        <f t="shared" si="2990"/>
        <v>1</v>
      </c>
      <c r="V253" s="70">
        <f t="shared" si="2991"/>
        <v>1</v>
      </c>
      <c r="W253" s="71">
        <f t="shared" si="2992"/>
        <v>0</v>
      </c>
      <c r="X253" s="71">
        <f t="shared" si="2993"/>
        <v>1</v>
      </c>
      <c r="Y253" s="71">
        <f t="shared" si="2994"/>
        <v>1</v>
      </c>
      <c r="Z253" s="71">
        <f t="shared" si="2995"/>
        <v>1</v>
      </c>
      <c r="AA253" s="71">
        <f t="shared" si="2996"/>
        <v>1</v>
      </c>
      <c r="AB253" s="71">
        <f t="shared" si="2997"/>
        <v>1</v>
      </c>
      <c r="AC253" s="71">
        <f t="shared" si="2998"/>
        <v>1</v>
      </c>
      <c r="AD253" s="71">
        <f t="shared" si="2999"/>
        <v>0</v>
      </c>
      <c r="AE253" s="71">
        <f t="shared" si="3000"/>
        <v>1</v>
      </c>
      <c r="AF253" s="71">
        <f t="shared" si="3001"/>
        <v>1</v>
      </c>
      <c r="AG253" s="71">
        <f t="shared" si="3002"/>
        <v>1</v>
      </c>
      <c r="AH253" s="71">
        <f t="shared" si="3003"/>
        <v>1</v>
      </c>
      <c r="AI253" s="71">
        <f t="shared" si="3004"/>
        <v>1</v>
      </c>
      <c r="AJ253" s="71">
        <f t="shared" si="3005"/>
        <v>0</v>
      </c>
      <c r="AK253" s="71">
        <f t="shared" si="3006"/>
        <v>0</v>
      </c>
      <c r="AL253" s="71">
        <f t="shared" si="3007"/>
        <v>0</v>
      </c>
      <c r="AM253" s="71">
        <f t="shared" si="3008"/>
        <v>0</v>
      </c>
      <c r="AN253" s="71">
        <f t="shared" si="3009"/>
        <v>0</v>
      </c>
      <c r="AO253" s="71">
        <f t="shared" si="3010"/>
        <v>0</v>
      </c>
      <c r="AP253" s="71">
        <f t="shared" si="3011"/>
        <v>0</v>
      </c>
      <c r="AQ253" s="71">
        <f t="shared" si="3012"/>
        <v>0</v>
      </c>
      <c r="AR253" s="71">
        <f t="shared" si="3013"/>
        <v>0</v>
      </c>
      <c r="AS253" s="71">
        <f t="shared" si="3014"/>
        <v>0</v>
      </c>
      <c r="AT253" s="71">
        <f t="shared" si="3015"/>
        <v>0</v>
      </c>
      <c r="AU253" s="71">
        <f t="shared" si="3016"/>
        <v>0</v>
      </c>
      <c r="AV253" s="71">
        <f t="shared" si="3017"/>
        <v>0</v>
      </c>
      <c r="AW253" s="71">
        <f t="shared" si="3018"/>
        <v>0</v>
      </c>
      <c r="AX253" s="71">
        <f t="shared" si="3019"/>
        <v>0</v>
      </c>
      <c r="AY253" s="71">
        <f t="shared" si="3020"/>
        <v>0</v>
      </c>
      <c r="AZ253" s="72">
        <f t="shared" si="3021"/>
        <v>0</v>
      </c>
      <c r="BA253" s="70">
        <f t="shared" si="2238"/>
        <v>12</v>
      </c>
      <c r="BB253" s="69">
        <f t="shared" ca="1" si="2239"/>
        <v>0.92307692307692313</v>
      </c>
      <c r="BC253" s="70">
        <f t="shared" si="3022"/>
        <v>43</v>
      </c>
      <c r="BD253" s="71">
        <f t="shared" si="3023"/>
        <v>0</v>
      </c>
      <c r="BE253" s="71">
        <f t="shared" si="3024"/>
        <v>39</v>
      </c>
      <c r="BF253" s="71">
        <f t="shared" si="3025"/>
        <v>41</v>
      </c>
      <c r="BG253" s="71">
        <f t="shared" si="3026"/>
        <v>36</v>
      </c>
      <c r="BH253" s="71">
        <f t="shared" si="3027"/>
        <v>0</v>
      </c>
      <c r="BI253" s="71">
        <f t="shared" si="3028"/>
        <v>51</v>
      </c>
      <c r="BJ253" s="71">
        <f t="shared" si="3029"/>
        <v>43</v>
      </c>
      <c r="BK253" s="71">
        <f t="shared" si="3030"/>
        <v>0</v>
      </c>
      <c r="BL253" s="71">
        <f t="shared" si="3031"/>
        <v>40</v>
      </c>
      <c r="BM253" s="71">
        <f t="shared" si="3032"/>
        <v>40</v>
      </c>
      <c r="BN253" s="71">
        <f t="shared" si="3033"/>
        <v>44</v>
      </c>
      <c r="BO253" s="71">
        <f t="shared" si="3034"/>
        <v>51</v>
      </c>
      <c r="BP253" s="71">
        <f t="shared" si="3035"/>
        <v>0</v>
      </c>
      <c r="BQ253" s="71">
        <f t="shared" si="3036"/>
        <v>0</v>
      </c>
      <c r="BR253" s="71">
        <f t="shared" si="3037"/>
        <v>0</v>
      </c>
      <c r="BS253" s="71">
        <f t="shared" si="3038"/>
        <v>0</v>
      </c>
      <c r="BT253" s="71">
        <f t="shared" si="3039"/>
        <v>0</v>
      </c>
      <c r="BU253" s="71">
        <f t="shared" si="3040"/>
        <v>0</v>
      </c>
      <c r="BV253" s="71">
        <f t="shared" si="3041"/>
        <v>0</v>
      </c>
      <c r="BW253" s="71">
        <f t="shared" si="3042"/>
        <v>0</v>
      </c>
      <c r="BX253" s="71">
        <f t="shared" si="3043"/>
        <v>0</v>
      </c>
      <c r="BY253" s="71">
        <f t="shared" si="3044"/>
        <v>0</v>
      </c>
      <c r="BZ253" s="71">
        <f t="shared" si="3045"/>
        <v>0</v>
      </c>
      <c r="CA253" s="71">
        <f t="shared" si="3046"/>
        <v>0</v>
      </c>
      <c r="CB253" s="71">
        <f t="shared" si="3047"/>
        <v>0</v>
      </c>
      <c r="CC253" s="71">
        <f t="shared" si="3048"/>
        <v>0</v>
      </c>
      <c r="CD253" s="71">
        <f t="shared" si="3049"/>
        <v>0</v>
      </c>
      <c r="CE253" s="71">
        <f t="shared" si="3050"/>
        <v>0</v>
      </c>
      <c r="CF253" s="71">
        <f t="shared" si="3051"/>
        <v>0</v>
      </c>
      <c r="CG253" s="71">
        <f t="shared" si="3052"/>
        <v>0</v>
      </c>
      <c r="CH253" s="70">
        <f t="shared" si="2241"/>
        <v>428</v>
      </c>
      <c r="CI253" s="69">
        <f t="shared" ca="1" si="2242"/>
        <v>32.92307692307692</v>
      </c>
      <c r="GM253" s="2" t="s">
        <v>16</v>
      </c>
      <c r="GN253" s="98" t="str">
        <f t="shared" si="2236"/>
        <v>OKR01-FMCG03-SPO-01</v>
      </c>
      <c r="GO253" s="4">
        <v>1</v>
      </c>
      <c r="GP253" s="3">
        <v>0</v>
      </c>
      <c r="GQ253" s="3">
        <v>1</v>
      </c>
      <c r="GR253" s="3">
        <v>1</v>
      </c>
      <c r="GS253" s="3">
        <v>1</v>
      </c>
      <c r="GT253" s="3">
        <v>1</v>
      </c>
      <c r="GU253" s="3">
        <v>1</v>
      </c>
      <c r="GV253" s="3">
        <v>1</v>
      </c>
      <c r="GW253" s="3">
        <v>0</v>
      </c>
      <c r="GX253" s="3">
        <v>1</v>
      </c>
      <c r="GY253" s="3">
        <v>1</v>
      </c>
      <c r="GZ253" s="3">
        <v>1</v>
      </c>
      <c r="HA253" s="3">
        <v>1</v>
      </c>
      <c r="HB253" s="3">
        <v>1</v>
      </c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6"/>
      <c r="HT253" s="4">
        <v>43</v>
      </c>
      <c r="HU253" s="3">
        <v>0</v>
      </c>
      <c r="HV253" s="3">
        <v>39</v>
      </c>
      <c r="HW253" s="3">
        <v>41</v>
      </c>
      <c r="HX253" s="3">
        <v>36</v>
      </c>
      <c r="HY253" s="3">
        <v>0</v>
      </c>
      <c r="HZ253" s="3">
        <v>51</v>
      </c>
      <c r="IA253" s="3">
        <v>43</v>
      </c>
      <c r="IB253" s="3">
        <v>0</v>
      </c>
      <c r="IC253" s="3">
        <v>40</v>
      </c>
      <c r="ID253" s="3">
        <v>40</v>
      </c>
      <c r="IE253" s="3">
        <v>44</v>
      </c>
      <c r="IF253" s="3">
        <v>51</v>
      </c>
      <c r="IG253" s="3">
        <v>0</v>
      </c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6"/>
    </row>
    <row r="254" spans="1:258" hidden="1">
      <c r="A254" s="97" t="s">
        <v>1287</v>
      </c>
      <c r="B254" s="98" t="s">
        <v>90</v>
      </c>
      <c r="C254" s="98" t="s">
        <v>589</v>
      </c>
      <c r="D254" s="99" t="s">
        <v>1229</v>
      </c>
      <c r="E254" s="98" t="s">
        <v>1098</v>
      </c>
      <c r="F254" s="98" t="s">
        <v>875</v>
      </c>
      <c r="G254" s="98" t="s">
        <v>617</v>
      </c>
      <c r="H254" s="98" t="s">
        <v>1576</v>
      </c>
      <c r="I254" s="98" t="s">
        <v>1576</v>
      </c>
      <c r="J254" s="98" t="s">
        <v>874</v>
      </c>
      <c r="K254" s="98" t="s">
        <v>1099</v>
      </c>
      <c r="L254" s="98" t="s">
        <v>1099</v>
      </c>
      <c r="M254" s="101" t="s">
        <v>1099</v>
      </c>
      <c r="N254" s="139">
        <v>45474</v>
      </c>
      <c r="O254" s="100">
        <v>0</v>
      </c>
      <c r="P254" s="69">
        <v>0</v>
      </c>
      <c r="Q254" s="69">
        <f t="shared" si="2918"/>
        <v>0</v>
      </c>
      <c r="R254" s="69">
        <f t="shared" si="2987"/>
        <v>0</v>
      </c>
      <c r="S254" s="69">
        <f t="shared" si="2988"/>
        <v>0</v>
      </c>
      <c r="T254" s="69">
        <f t="shared" si="2989"/>
        <v>0</v>
      </c>
      <c r="U254" s="69">
        <f t="shared" si="2990"/>
        <v>0</v>
      </c>
      <c r="V254" s="70">
        <f t="shared" si="2991"/>
        <v>0</v>
      </c>
      <c r="W254" s="71">
        <f t="shared" si="2992"/>
        <v>0</v>
      </c>
      <c r="X254" s="71">
        <f t="shared" si="2993"/>
        <v>0</v>
      </c>
      <c r="Y254" s="71">
        <f t="shared" si="2994"/>
        <v>0</v>
      </c>
      <c r="Z254" s="71">
        <f t="shared" si="2995"/>
        <v>0</v>
      </c>
      <c r="AA254" s="71">
        <f t="shared" si="2996"/>
        <v>0</v>
      </c>
      <c r="AB254" s="71">
        <f t="shared" si="2997"/>
        <v>0</v>
      </c>
      <c r="AC254" s="71">
        <f t="shared" si="2998"/>
        <v>0</v>
      </c>
      <c r="AD254" s="71">
        <f t="shared" si="2999"/>
        <v>0</v>
      </c>
      <c r="AE254" s="71">
        <f t="shared" si="3000"/>
        <v>0</v>
      </c>
      <c r="AF254" s="71">
        <f t="shared" si="3001"/>
        <v>0</v>
      </c>
      <c r="AG254" s="71">
        <f t="shared" si="3002"/>
        <v>0</v>
      </c>
      <c r="AH254" s="71">
        <f t="shared" si="3003"/>
        <v>0</v>
      </c>
      <c r="AI254" s="71">
        <f t="shared" si="3004"/>
        <v>0</v>
      </c>
      <c r="AJ254" s="71">
        <f t="shared" si="3005"/>
        <v>0</v>
      </c>
      <c r="AK254" s="71">
        <f t="shared" si="3006"/>
        <v>0</v>
      </c>
      <c r="AL254" s="71">
        <f t="shared" si="3007"/>
        <v>0</v>
      </c>
      <c r="AM254" s="71">
        <f t="shared" si="3008"/>
        <v>0</v>
      </c>
      <c r="AN254" s="71">
        <f t="shared" si="3009"/>
        <v>0</v>
      </c>
      <c r="AO254" s="71">
        <f t="shared" si="3010"/>
        <v>0</v>
      </c>
      <c r="AP254" s="71">
        <f t="shared" si="3011"/>
        <v>0</v>
      </c>
      <c r="AQ254" s="71">
        <f t="shared" si="3012"/>
        <v>0</v>
      </c>
      <c r="AR254" s="71">
        <f t="shared" si="3013"/>
        <v>0</v>
      </c>
      <c r="AS254" s="71">
        <f t="shared" si="3014"/>
        <v>0</v>
      </c>
      <c r="AT254" s="71">
        <f t="shared" si="3015"/>
        <v>0</v>
      </c>
      <c r="AU254" s="71">
        <f t="shared" si="3016"/>
        <v>0</v>
      </c>
      <c r="AV254" s="71">
        <f t="shared" si="3017"/>
        <v>0</v>
      </c>
      <c r="AW254" s="71">
        <f t="shared" si="3018"/>
        <v>0</v>
      </c>
      <c r="AX254" s="71">
        <f t="shared" si="3019"/>
        <v>0</v>
      </c>
      <c r="AY254" s="71">
        <f t="shared" si="3020"/>
        <v>0</v>
      </c>
      <c r="AZ254" s="72">
        <f t="shared" si="3021"/>
        <v>0</v>
      </c>
      <c r="BA254" s="70">
        <f t="shared" si="2238"/>
        <v>0</v>
      </c>
      <c r="BB254" s="69">
        <f t="shared" ca="1" si="2239"/>
        <v>0</v>
      </c>
      <c r="BC254" s="70">
        <f t="shared" si="3022"/>
        <v>0</v>
      </c>
      <c r="BD254" s="71">
        <f t="shared" si="3023"/>
        <v>0</v>
      </c>
      <c r="BE254" s="71">
        <f t="shared" si="3024"/>
        <v>0</v>
      </c>
      <c r="BF254" s="71">
        <f t="shared" si="3025"/>
        <v>0</v>
      </c>
      <c r="BG254" s="71">
        <f t="shared" si="3026"/>
        <v>0</v>
      </c>
      <c r="BH254" s="71">
        <f t="shared" si="3027"/>
        <v>0</v>
      </c>
      <c r="BI254" s="71">
        <f t="shared" si="3028"/>
        <v>0</v>
      </c>
      <c r="BJ254" s="71">
        <f t="shared" si="3029"/>
        <v>0</v>
      </c>
      <c r="BK254" s="71">
        <f t="shared" si="3030"/>
        <v>0</v>
      </c>
      <c r="BL254" s="71">
        <f t="shared" si="3031"/>
        <v>0</v>
      </c>
      <c r="BM254" s="71">
        <f t="shared" si="3032"/>
        <v>0</v>
      </c>
      <c r="BN254" s="71">
        <f t="shared" si="3033"/>
        <v>0</v>
      </c>
      <c r="BO254" s="71">
        <f t="shared" si="3034"/>
        <v>0</v>
      </c>
      <c r="BP254" s="71">
        <f t="shared" si="3035"/>
        <v>0</v>
      </c>
      <c r="BQ254" s="71">
        <f t="shared" si="3036"/>
        <v>0</v>
      </c>
      <c r="BR254" s="71">
        <f t="shared" si="3037"/>
        <v>0</v>
      </c>
      <c r="BS254" s="71">
        <f t="shared" si="3038"/>
        <v>0</v>
      </c>
      <c r="BT254" s="71">
        <f t="shared" si="3039"/>
        <v>0</v>
      </c>
      <c r="BU254" s="71">
        <f t="shared" si="3040"/>
        <v>0</v>
      </c>
      <c r="BV254" s="71">
        <f t="shared" si="3041"/>
        <v>0</v>
      </c>
      <c r="BW254" s="71">
        <f t="shared" si="3042"/>
        <v>0</v>
      </c>
      <c r="BX254" s="71">
        <f t="shared" si="3043"/>
        <v>0</v>
      </c>
      <c r="BY254" s="71">
        <f t="shared" si="3044"/>
        <v>0</v>
      </c>
      <c r="BZ254" s="71">
        <f t="shared" si="3045"/>
        <v>0</v>
      </c>
      <c r="CA254" s="71">
        <f t="shared" si="3046"/>
        <v>0</v>
      </c>
      <c r="CB254" s="71">
        <f t="shared" si="3047"/>
        <v>0</v>
      </c>
      <c r="CC254" s="71">
        <f t="shared" si="3048"/>
        <v>0</v>
      </c>
      <c r="CD254" s="71">
        <f t="shared" si="3049"/>
        <v>0</v>
      </c>
      <c r="CE254" s="71">
        <f t="shared" si="3050"/>
        <v>0</v>
      </c>
      <c r="CF254" s="71">
        <f t="shared" si="3051"/>
        <v>0</v>
      </c>
      <c r="CG254" s="71">
        <f t="shared" si="3052"/>
        <v>0</v>
      </c>
      <c r="CH254" s="70">
        <f t="shared" si="2241"/>
        <v>0</v>
      </c>
      <c r="CI254" s="69">
        <f t="shared" ca="1" si="2242"/>
        <v>0</v>
      </c>
      <c r="GM254" s="2" t="s">
        <v>16</v>
      </c>
      <c r="GN254" s="98" t="str">
        <f t="shared" ref="GN254:GN323" si="3053">F254</f>
        <v>OKR01-FMCG-SPO-00</v>
      </c>
      <c r="GO254" s="4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6"/>
      <c r="HT254" s="4">
        <v>0</v>
      </c>
      <c r="HU254" s="3">
        <v>0</v>
      </c>
      <c r="HV254" s="3">
        <v>0</v>
      </c>
      <c r="HW254" s="3">
        <v>0</v>
      </c>
      <c r="HX254" s="3">
        <v>0</v>
      </c>
      <c r="HY254" s="3">
        <v>0</v>
      </c>
      <c r="HZ254" s="3">
        <v>0</v>
      </c>
      <c r="IA254" s="3">
        <v>0</v>
      </c>
      <c r="IB254" s="3">
        <v>0</v>
      </c>
      <c r="IC254" s="3">
        <v>0</v>
      </c>
      <c r="ID254" s="3">
        <v>0</v>
      </c>
      <c r="IE254" s="3">
        <v>0</v>
      </c>
      <c r="IF254" s="3">
        <v>0</v>
      </c>
      <c r="IG254" s="3">
        <v>0</v>
      </c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6"/>
    </row>
    <row r="255" spans="1:258" hidden="1">
      <c r="A255" s="97" t="s">
        <v>1380</v>
      </c>
      <c r="B255" s="98" t="s">
        <v>20</v>
      </c>
      <c r="C255" s="98" t="s">
        <v>589</v>
      </c>
      <c r="D255" s="99" t="s">
        <v>1229</v>
      </c>
      <c r="E255" s="98" t="s">
        <v>1230</v>
      </c>
      <c r="F255" s="98" t="s">
        <v>1391</v>
      </c>
      <c r="G255" s="98" t="s">
        <v>621</v>
      </c>
      <c r="H255" s="98" t="s">
        <v>1233</v>
      </c>
      <c r="I255" s="98" t="s">
        <v>1233</v>
      </c>
      <c r="J255" s="98" t="s">
        <v>874</v>
      </c>
      <c r="K255" s="98" t="s">
        <v>1127</v>
      </c>
      <c r="L255" s="98">
        <v>46204</v>
      </c>
      <c r="M255" s="101" t="s">
        <v>950</v>
      </c>
      <c r="N255" s="108">
        <v>46204</v>
      </c>
      <c r="O255" s="100">
        <v>0</v>
      </c>
      <c r="P255" s="69">
        <v>0</v>
      </c>
      <c r="Q255" s="69">
        <f t="shared" si="2918"/>
        <v>0</v>
      </c>
      <c r="R255" s="69">
        <f t="shared" si="2987"/>
        <v>0</v>
      </c>
      <c r="S255" s="69">
        <f t="shared" si="2988"/>
        <v>0</v>
      </c>
      <c r="T255" s="69">
        <f t="shared" si="2989"/>
        <v>0</v>
      </c>
      <c r="U255" s="69">
        <f t="shared" si="2990"/>
        <v>0</v>
      </c>
      <c r="V255" s="70">
        <f t="shared" si="2991"/>
        <v>0</v>
      </c>
      <c r="W255" s="71">
        <f t="shared" si="2992"/>
        <v>0</v>
      </c>
      <c r="X255" s="71">
        <f t="shared" si="2993"/>
        <v>0</v>
      </c>
      <c r="Y255" s="71">
        <f t="shared" si="2994"/>
        <v>0</v>
      </c>
      <c r="Z255" s="71">
        <f t="shared" si="2995"/>
        <v>0</v>
      </c>
      <c r="AA255" s="71">
        <f t="shared" si="2996"/>
        <v>0</v>
      </c>
      <c r="AB255" s="71">
        <f t="shared" si="2997"/>
        <v>0</v>
      </c>
      <c r="AC255" s="71">
        <f t="shared" si="2998"/>
        <v>0</v>
      </c>
      <c r="AD255" s="71">
        <f t="shared" si="2999"/>
        <v>0</v>
      </c>
      <c r="AE255" s="71">
        <f t="shared" si="3000"/>
        <v>0</v>
      </c>
      <c r="AF255" s="71">
        <f t="shared" si="3001"/>
        <v>0</v>
      </c>
      <c r="AG255" s="71">
        <f t="shared" si="3002"/>
        <v>0</v>
      </c>
      <c r="AH255" s="71">
        <f t="shared" si="3003"/>
        <v>0</v>
      </c>
      <c r="AI255" s="71">
        <f t="shared" si="3004"/>
        <v>0</v>
      </c>
      <c r="AJ255" s="71">
        <f t="shared" si="3005"/>
        <v>0</v>
      </c>
      <c r="AK255" s="71">
        <f t="shared" si="3006"/>
        <v>0</v>
      </c>
      <c r="AL255" s="71">
        <f t="shared" si="3007"/>
        <v>0</v>
      </c>
      <c r="AM255" s="71">
        <f t="shared" si="3008"/>
        <v>0</v>
      </c>
      <c r="AN255" s="71">
        <f t="shared" si="3009"/>
        <v>0</v>
      </c>
      <c r="AO255" s="71">
        <f t="shared" si="3010"/>
        <v>0</v>
      </c>
      <c r="AP255" s="71">
        <f t="shared" si="3011"/>
        <v>0</v>
      </c>
      <c r="AQ255" s="71">
        <f t="shared" si="3012"/>
        <v>0</v>
      </c>
      <c r="AR255" s="71">
        <f t="shared" si="3013"/>
        <v>0</v>
      </c>
      <c r="AS255" s="71">
        <f t="shared" si="3014"/>
        <v>0</v>
      </c>
      <c r="AT255" s="71">
        <f t="shared" si="3015"/>
        <v>0</v>
      </c>
      <c r="AU255" s="71">
        <f t="shared" si="3016"/>
        <v>0</v>
      </c>
      <c r="AV255" s="71">
        <f t="shared" si="3017"/>
        <v>0</v>
      </c>
      <c r="AW255" s="71">
        <f t="shared" si="3018"/>
        <v>0</v>
      </c>
      <c r="AX255" s="71">
        <f t="shared" si="3019"/>
        <v>0</v>
      </c>
      <c r="AY255" s="71">
        <f t="shared" si="3020"/>
        <v>0</v>
      </c>
      <c r="AZ255" s="72">
        <f t="shared" si="3021"/>
        <v>0</v>
      </c>
      <c r="BA255" s="70">
        <f t="shared" si="2238"/>
        <v>0</v>
      </c>
      <c r="BB255" s="69">
        <f t="shared" ca="1" si="2239"/>
        <v>0</v>
      </c>
      <c r="BC255" s="70">
        <f t="shared" si="3022"/>
        <v>0</v>
      </c>
      <c r="BD255" s="71">
        <f t="shared" si="3023"/>
        <v>0</v>
      </c>
      <c r="BE255" s="71">
        <f t="shared" si="3024"/>
        <v>0</v>
      </c>
      <c r="BF255" s="71">
        <f t="shared" si="3025"/>
        <v>0</v>
      </c>
      <c r="BG255" s="71">
        <f t="shared" si="3026"/>
        <v>0</v>
      </c>
      <c r="BH255" s="71">
        <f t="shared" si="3027"/>
        <v>0</v>
      </c>
      <c r="BI255" s="71">
        <f t="shared" si="3028"/>
        <v>0</v>
      </c>
      <c r="BJ255" s="71">
        <f t="shared" si="3029"/>
        <v>0</v>
      </c>
      <c r="BK255" s="71">
        <f t="shared" si="3030"/>
        <v>0</v>
      </c>
      <c r="BL255" s="71">
        <f t="shared" si="3031"/>
        <v>0</v>
      </c>
      <c r="BM255" s="71">
        <f t="shared" si="3032"/>
        <v>0</v>
      </c>
      <c r="BN255" s="71">
        <f t="shared" si="3033"/>
        <v>0</v>
      </c>
      <c r="BO255" s="71">
        <f t="shared" si="3034"/>
        <v>0</v>
      </c>
      <c r="BP255" s="71">
        <f t="shared" si="3035"/>
        <v>0</v>
      </c>
      <c r="BQ255" s="71">
        <f t="shared" si="3036"/>
        <v>0</v>
      </c>
      <c r="BR255" s="71">
        <f t="shared" si="3037"/>
        <v>0</v>
      </c>
      <c r="BS255" s="71">
        <f t="shared" si="3038"/>
        <v>0</v>
      </c>
      <c r="BT255" s="71">
        <f t="shared" si="3039"/>
        <v>0</v>
      </c>
      <c r="BU255" s="71">
        <f t="shared" si="3040"/>
        <v>0</v>
      </c>
      <c r="BV255" s="71">
        <f t="shared" si="3041"/>
        <v>0</v>
      </c>
      <c r="BW255" s="71">
        <f t="shared" si="3042"/>
        <v>0</v>
      </c>
      <c r="BX255" s="71">
        <f t="shared" si="3043"/>
        <v>0</v>
      </c>
      <c r="BY255" s="71">
        <f t="shared" si="3044"/>
        <v>0</v>
      </c>
      <c r="BZ255" s="71">
        <f t="shared" si="3045"/>
        <v>0</v>
      </c>
      <c r="CA255" s="71">
        <f t="shared" si="3046"/>
        <v>0</v>
      </c>
      <c r="CB255" s="71">
        <f t="shared" si="3047"/>
        <v>0</v>
      </c>
      <c r="CC255" s="71">
        <f t="shared" si="3048"/>
        <v>0</v>
      </c>
      <c r="CD255" s="71">
        <f t="shared" si="3049"/>
        <v>0</v>
      </c>
      <c r="CE255" s="71">
        <f t="shared" si="3050"/>
        <v>0</v>
      </c>
      <c r="CF255" s="71">
        <f t="shared" si="3051"/>
        <v>0</v>
      </c>
      <c r="CG255" s="71">
        <f t="shared" si="3052"/>
        <v>0</v>
      </c>
      <c r="CH255" s="70">
        <f t="shared" si="2241"/>
        <v>0</v>
      </c>
      <c r="CI255" s="69">
        <f t="shared" ca="1" si="2242"/>
        <v>0</v>
      </c>
      <c r="GM255" s="2" t="s">
        <v>16</v>
      </c>
      <c r="GN255" s="98" t="str">
        <f t="shared" si="3053"/>
        <v>OKR01-FMCG01-ASM-01</v>
      </c>
      <c r="GO255" s="4">
        <v>0</v>
      </c>
      <c r="GP255" s="3">
        <v>0</v>
      </c>
      <c r="GQ255" s="3">
        <v>0</v>
      </c>
      <c r="GR255" s="3">
        <v>0</v>
      </c>
      <c r="GS255" s="3">
        <v>0</v>
      </c>
      <c r="GT255" s="3">
        <v>0</v>
      </c>
      <c r="GU255" s="3">
        <v>0</v>
      </c>
      <c r="GV255" s="3">
        <v>0</v>
      </c>
      <c r="GW255" s="3">
        <v>0</v>
      </c>
      <c r="GX255" s="3">
        <v>0</v>
      </c>
      <c r="GY255" s="3">
        <v>0</v>
      </c>
      <c r="GZ255" s="3">
        <v>0</v>
      </c>
      <c r="HA255" s="3">
        <v>0</v>
      </c>
      <c r="HB255" s="3">
        <v>0</v>
      </c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6"/>
      <c r="HT255" s="4">
        <v>0</v>
      </c>
      <c r="HU255" s="3">
        <v>0</v>
      </c>
      <c r="HV255" s="3">
        <v>0</v>
      </c>
      <c r="HW255" s="3">
        <v>0</v>
      </c>
      <c r="HX255" s="3">
        <v>0</v>
      </c>
      <c r="HY255" s="3">
        <v>0</v>
      </c>
      <c r="HZ255" s="3">
        <v>0</v>
      </c>
      <c r="IA255" s="3">
        <v>0</v>
      </c>
      <c r="IB255" s="3">
        <v>0</v>
      </c>
      <c r="IC255" s="3">
        <v>0</v>
      </c>
      <c r="ID255" s="3">
        <v>0</v>
      </c>
      <c r="IE255" s="3">
        <v>0</v>
      </c>
      <c r="IF255" s="3">
        <v>0</v>
      </c>
      <c r="IG255" s="3">
        <v>0</v>
      </c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6"/>
    </row>
    <row r="256" spans="1:258" hidden="1">
      <c r="A256" s="102" t="s">
        <v>53</v>
      </c>
      <c r="B256" s="103" t="s">
        <v>20</v>
      </c>
      <c r="C256" s="103" t="s">
        <v>589</v>
      </c>
      <c r="D256" s="104" t="s">
        <v>1229</v>
      </c>
      <c r="E256" s="103" t="s">
        <v>619</v>
      </c>
      <c r="F256" s="103" t="s">
        <v>620</v>
      </c>
      <c r="G256" s="103" t="s">
        <v>621</v>
      </c>
      <c r="H256" s="103" t="s">
        <v>1233</v>
      </c>
      <c r="I256" s="103" t="s">
        <v>1233</v>
      </c>
      <c r="J256" s="103" t="s">
        <v>874</v>
      </c>
      <c r="K256" s="103" t="s">
        <v>1127</v>
      </c>
      <c r="L256" s="103">
        <v>46204</v>
      </c>
      <c r="M256" s="103" t="s">
        <v>950</v>
      </c>
      <c r="N256" s="119">
        <v>46204</v>
      </c>
      <c r="O256" s="105">
        <f>O253+O252+O251+O250+O254</f>
        <v>4</v>
      </c>
      <c r="P256" s="73">
        <f t="shared" ref="P256:CA256" si="3054">P253+P252+P251+P250+P254</f>
        <v>0</v>
      </c>
      <c r="Q256" s="73">
        <f t="shared" si="3054"/>
        <v>4</v>
      </c>
      <c r="R256" s="73">
        <f t="shared" si="3054"/>
        <v>4</v>
      </c>
      <c r="S256" s="73">
        <f t="shared" si="3054"/>
        <v>0</v>
      </c>
      <c r="T256" s="73">
        <f t="shared" si="3054"/>
        <v>4</v>
      </c>
      <c r="U256" s="73">
        <f t="shared" si="3054"/>
        <v>4</v>
      </c>
      <c r="V256" s="74">
        <f t="shared" si="3054"/>
        <v>4</v>
      </c>
      <c r="W256" s="75">
        <f t="shared" si="3054"/>
        <v>0</v>
      </c>
      <c r="X256" s="75">
        <f t="shared" si="3054"/>
        <v>4</v>
      </c>
      <c r="Y256" s="75">
        <f t="shared" si="3054"/>
        <v>4</v>
      </c>
      <c r="Z256" s="75">
        <f t="shared" si="3054"/>
        <v>4</v>
      </c>
      <c r="AA256" s="75">
        <f t="shared" si="3054"/>
        <v>4</v>
      </c>
      <c r="AB256" s="75">
        <f t="shared" si="3054"/>
        <v>4</v>
      </c>
      <c r="AC256" s="75">
        <f t="shared" si="3054"/>
        <v>4</v>
      </c>
      <c r="AD256" s="75">
        <f t="shared" si="3054"/>
        <v>0</v>
      </c>
      <c r="AE256" s="75">
        <f t="shared" si="3054"/>
        <v>4</v>
      </c>
      <c r="AF256" s="75">
        <f t="shared" si="3054"/>
        <v>4</v>
      </c>
      <c r="AG256" s="75">
        <f t="shared" si="3054"/>
        <v>4</v>
      </c>
      <c r="AH256" s="75">
        <f t="shared" si="3054"/>
        <v>4</v>
      </c>
      <c r="AI256" s="75">
        <f t="shared" si="3054"/>
        <v>4</v>
      </c>
      <c r="AJ256" s="75">
        <f t="shared" si="3054"/>
        <v>0</v>
      </c>
      <c r="AK256" s="75">
        <f t="shared" si="3054"/>
        <v>0</v>
      </c>
      <c r="AL256" s="75">
        <f t="shared" si="3054"/>
        <v>0</v>
      </c>
      <c r="AM256" s="75">
        <f t="shared" si="3054"/>
        <v>0</v>
      </c>
      <c r="AN256" s="75">
        <f t="shared" si="3054"/>
        <v>0</v>
      </c>
      <c r="AO256" s="75">
        <f t="shared" si="3054"/>
        <v>0</v>
      </c>
      <c r="AP256" s="75">
        <f t="shared" si="3054"/>
        <v>0</v>
      </c>
      <c r="AQ256" s="75">
        <f t="shared" si="3054"/>
        <v>0</v>
      </c>
      <c r="AR256" s="75">
        <f t="shared" si="3054"/>
        <v>0</v>
      </c>
      <c r="AS256" s="75">
        <f t="shared" si="3054"/>
        <v>0</v>
      </c>
      <c r="AT256" s="75">
        <f t="shared" si="3054"/>
        <v>0</v>
      </c>
      <c r="AU256" s="75">
        <f t="shared" si="3054"/>
        <v>0</v>
      </c>
      <c r="AV256" s="75">
        <f t="shared" si="3054"/>
        <v>0</v>
      </c>
      <c r="AW256" s="75">
        <f t="shared" si="3054"/>
        <v>0</v>
      </c>
      <c r="AX256" s="75">
        <f t="shared" si="3054"/>
        <v>0</v>
      </c>
      <c r="AY256" s="75">
        <f t="shared" si="3054"/>
        <v>0</v>
      </c>
      <c r="AZ256" s="76">
        <f t="shared" si="3054"/>
        <v>0</v>
      </c>
      <c r="BA256" s="74">
        <f t="shared" si="2238"/>
        <v>48</v>
      </c>
      <c r="BB256" s="73">
        <f t="shared" ca="1" si="2239"/>
        <v>0.92307692307692313</v>
      </c>
      <c r="BC256" s="74">
        <f t="shared" si="3054"/>
        <v>170</v>
      </c>
      <c r="BD256" s="75">
        <f t="shared" si="3054"/>
        <v>0</v>
      </c>
      <c r="BE256" s="75">
        <f t="shared" si="3054"/>
        <v>89</v>
      </c>
      <c r="BF256" s="75">
        <f t="shared" si="3054"/>
        <v>118</v>
      </c>
      <c r="BG256" s="75">
        <f t="shared" si="3054"/>
        <v>155</v>
      </c>
      <c r="BH256" s="75">
        <f t="shared" si="3054"/>
        <v>3</v>
      </c>
      <c r="BI256" s="75">
        <f t="shared" si="3054"/>
        <v>136</v>
      </c>
      <c r="BJ256" s="75">
        <f t="shared" si="3054"/>
        <v>174</v>
      </c>
      <c r="BK256" s="75">
        <f t="shared" si="3054"/>
        <v>0</v>
      </c>
      <c r="BL256" s="75">
        <f t="shared" si="3054"/>
        <v>133</v>
      </c>
      <c r="BM256" s="75">
        <f t="shared" si="3054"/>
        <v>116</v>
      </c>
      <c r="BN256" s="75">
        <f t="shared" si="3054"/>
        <v>122</v>
      </c>
      <c r="BO256" s="75">
        <f t="shared" si="3054"/>
        <v>152</v>
      </c>
      <c r="BP256" s="75">
        <f t="shared" si="3054"/>
        <v>0</v>
      </c>
      <c r="BQ256" s="75">
        <f t="shared" si="3054"/>
        <v>0</v>
      </c>
      <c r="BR256" s="75">
        <f t="shared" si="3054"/>
        <v>0</v>
      </c>
      <c r="BS256" s="75">
        <f t="shared" si="3054"/>
        <v>0</v>
      </c>
      <c r="BT256" s="75">
        <f t="shared" si="3054"/>
        <v>0</v>
      </c>
      <c r="BU256" s="75">
        <f t="shared" si="3054"/>
        <v>0</v>
      </c>
      <c r="BV256" s="75">
        <f t="shared" si="3054"/>
        <v>0</v>
      </c>
      <c r="BW256" s="75">
        <f t="shared" si="3054"/>
        <v>0</v>
      </c>
      <c r="BX256" s="75">
        <f t="shared" si="3054"/>
        <v>0</v>
      </c>
      <c r="BY256" s="75">
        <f t="shared" si="3054"/>
        <v>0</v>
      </c>
      <c r="BZ256" s="75">
        <f t="shared" si="3054"/>
        <v>0</v>
      </c>
      <c r="CA256" s="75">
        <f t="shared" si="3054"/>
        <v>0</v>
      </c>
      <c r="CB256" s="75">
        <f t="shared" ref="CB256:CG256" si="3055">CB253+CB252+CB251+CB250+CB254</f>
        <v>0</v>
      </c>
      <c r="CC256" s="75">
        <f t="shared" si="3055"/>
        <v>0</v>
      </c>
      <c r="CD256" s="75">
        <f t="shared" si="3055"/>
        <v>0</v>
      </c>
      <c r="CE256" s="75">
        <f t="shared" si="3055"/>
        <v>0</v>
      </c>
      <c r="CF256" s="75">
        <f t="shared" si="3055"/>
        <v>0</v>
      </c>
      <c r="CG256" s="75">
        <f t="shared" si="3055"/>
        <v>0</v>
      </c>
      <c r="CH256" s="74">
        <f t="shared" si="2241"/>
        <v>1368</v>
      </c>
      <c r="CI256" s="73">
        <f t="shared" ca="1" si="2242"/>
        <v>26.307692307692307</v>
      </c>
      <c r="GM256" s="2" t="s">
        <v>17</v>
      </c>
      <c r="GN256" s="103" t="str">
        <f t="shared" si="3053"/>
        <v>OKR01-FMCG-ASM-01</v>
      </c>
      <c r="GO256" s="4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6"/>
      <c r="HT256" s="4">
        <v>0</v>
      </c>
      <c r="HU256" s="3">
        <v>0</v>
      </c>
      <c r="HV256" s="3">
        <v>0</v>
      </c>
      <c r="HW256" s="3">
        <v>0</v>
      </c>
      <c r="HX256" s="3">
        <v>0</v>
      </c>
      <c r="HY256" s="3">
        <v>0</v>
      </c>
      <c r="HZ256" s="3">
        <v>0</v>
      </c>
      <c r="IA256" s="3">
        <v>0</v>
      </c>
      <c r="IB256" s="3">
        <v>0</v>
      </c>
      <c r="IC256" s="3">
        <v>0</v>
      </c>
      <c r="ID256" s="3">
        <v>0</v>
      </c>
      <c r="IE256" s="3">
        <v>0</v>
      </c>
      <c r="IF256" s="3">
        <v>0</v>
      </c>
      <c r="IG256" s="3">
        <v>0</v>
      </c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6"/>
    </row>
    <row r="257" spans="1:258" hidden="1">
      <c r="A257" s="97" t="s">
        <v>25</v>
      </c>
      <c r="B257" s="98" t="s">
        <v>26</v>
      </c>
      <c r="C257" s="98" t="s">
        <v>589</v>
      </c>
      <c r="D257" s="99" t="s">
        <v>1234</v>
      </c>
      <c r="E257" s="98" t="s">
        <v>623</v>
      </c>
      <c r="F257" s="98" t="s">
        <v>624</v>
      </c>
      <c r="G257" s="98" t="s">
        <v>625</v>
      </c>
      <c r="H257" s="98" t="s">
        <v>1577</v>
      </c>
      <c r="I257" s="98" t="s">
        <v>1577</v>
      </c>
      <c r="J257" s="98" t="s">
        <v>872</v>
      </c>
      <c r="K257" s="98" t="s">
        <v>1127</v>
      </c>
      <c r="L257" s="98">
        <v>45884</v>
      </c>
      <c r="M257" s="101" t="s">
        <v>1093</v>
      </c>
      <c r="N257" s="139">
        <v>45884</v>
      </c>
      <c r="O257" s="100">
        <v>1</v>
      </c>
      <c r="P257" s="69">
        <v>0</v>
      </c>
      <c r="Q257" s="69">
        <f t="shared" ref="Q257:Q272" si="3056">IFERROR(IF(OR(AI257&gt;0),1,0),0)</f>
        <v>1</v>
      </c>
      <c r="R257" s="69">
        <f t="shared" ref="R257:R262" si="3057">IFERROR(IF(OR(BA257&gt;0),1,0),0)</f>
        <v>1</v>
      </c>
      <c r="S257" s="69">
        <f t="shared" ref="S257:S262" si="3058">IFERROR(IF(OR(BP257&gt;0),1,0),0)</f>
        <v>0</v>
      </c>
      <c r="T257" s="69">
        <f t="shared" ref="T257:T262" si="3059">IFERROR(IF(OR(CH257&gt;0),1,0),0)</f>
        <v>1</v>
      </c>
      <c r="U257" s="69">
        <f t="shared" ref="U257:U262" si="3060">IFERROR(IF(OR(BA257&gt;0,CH257&gt;0),1,0),0)</f>
        <v>1</v>
      </c>
      <c r="V257" s="70">
        <f t="shared" ref="V257:V262" si="3061">GO257</f>
        <v>1</v>
      </c>
      <c r="W257" s="71">
        <f t="shared" ref="W257:W262" si="3062">GP257</f>
        <v>0</v>
      </c>
      <c r="X257" s="71">
        <f t="shared" ref="X257:X262" si="3063">GQ257</f>
        <v>1</v>
      </c>
      <c r="Y257" s="71">
        <f t="shared" ref="Y257:Y262" si="3064">GR257</f>
        <v>1</v>
      </c>
      <c r="Z257" s="71">
        <f t="shared" ref="Z257:Z262" si="3065">GS257</f>
        <v>1</v>
      </c>
      <c r="AA257" s="71">
        <f t="shared" ref="AA257:AA262" si="3066">GT257</f>
        <v>1</v>
      </c>
      <c r="AB257" s="71">
        <f t="shared" ref="AB257:AB262" si="3067">GU257</f>
        <v>1</v>
      </c>
      <c r="AC257" s="71">
        <f t="shared" ref="AC257:AC262" si="3068">GV257</f>
        <v>1</v>
      </c>
      <c r="AD257" s="71">
        <f t="shared" ref="AD257:AD262" si="3069">GW257</f>
        <v>0</v>
      </c>
      <c r="AE257" s="71">
        <f t="shared" ref="AE257:AE262" si="3070">GX257</f>
        <v>1</v>
      </c>
      <c r="AF257" s="71">
        <f t="shared" ref="AF257:AF262" si="3071">GY257</f>
        <v>1</v>
      </c>
      <c r="AG257" s="71">
        <f t="shared" ref="AG257:AG262" si="3072">GZ257</f>
        <v>1</v>
      </c>
      <c r="AH257" s="71">
        <f t="shared" ref="AH257:AH262" si="3073">HA257</f>
        <v>1</v>
      </c>
      <c r="AI257" s="71">
        <f t="shared" ref="AI257:AI262" si="3074">HB257</f>
        <v>1</v>
      </c>
      <c r="AJ257" s="71">
        <f t="shared" ref="AJ257:AJ262" si="3075">HC257</f>
        <v>0</v>
      </c>
      <c r="AK257" s="71">
        <f t="shared" ref="AK257:AK262" si="3076">HD257</f>
        <v>0</v>
      </c>
      <c r="AL257" s="71">
        <f t="shared" ref="AL257:AL262" si="3077">HE257</f>
        <v>0</v>
      </c>
      <c r="AM257" s="71">
        <f t="shared" ref="AM257:AM262" si="3078">HF257</f>
        <v>0</v>
      </c>
      <c r="AN257" s="71">
        <f t="shared" ref="AN257:AN262" si="3079">HG257</f>
        <v>0</v>
      </c>
      <c r="AO257" s="71">
        <f t="shared" ref="AO257:AO262" si="3080">HH257</f>
        <v>0</v>
      </c>
      <c r="AP257" s="71">
        <f t="shared" ref="AP257:AP262" si="3081">HI257</f>
        <v>0</v>
      </c>
      <c r="AQ257" s="71">
        <f t="shared" ref="AQ257:AQ262" si="3082">HJ257</f>
        <v>0</v>
      </c>
      <c r="AR257" s="71">
        <f t="shared" ref="AR257:AR262" si="3083">HK257</f>
        <v>0</v>
      </c>
      <c r="AS257" s="71">
        <f t="shared" ref="AS257:AS262" si="3084">HL257</f>
        <v>0</v>
      </c>
      <c r="AT257" s="71">
        <f t="shared" ref="AT257:AT262" si="3085">HM257</f>
        <v>0</v>
      </c>
      <c r="AU257" s="71">
        <f t="shared" ref="AU257:AU262" si="3086">HN257</f>
        <v>0</v>
      </c>
      <c r="AV257" s="71">
        <f t="shared" ref="AV257:AV262" si="3087">HO257</f>
        <v>0</v>
      </c>
      <c r="AW257" s="71">
        <f t="shared" ref="AW257:AW262" si="3088">HP257</f>
        <v>0</v>
      </c>
      <c r="AX257" s="71">
        <f t="shared" ref="AX257:AX262" si="3089">HQ257</f>
        <v>0</v>
      </c>
      <c r="AY257" s="71">
        <f t="shared" ref="AY257:AY262" si="3090">HR257</f>
        <v>0</v>
      </c>
      <c r="AZ257" s="72">
        <f t="shared" ref="AZ257:AZ262" si="3091">HS257</f>
        <v>0</v>
      </c>
      <c r="BA257" s="70">
        <f t="shared" si="2238"/>
        <v>12</v>
      </c>
      <c r="BB257" s="69">
        <f t="shared" ca="1" si="2239"/>
        <v>0.92307692307692313</v>
      </c>
      <c r="BC257" s="70">
        <f t="shared" ref="BC257:BC262" si="3092">HT257</f>
        <v>42</v>
      </c>
      <c r="BD257" s="71">
        <f t="shared" ref="BD257:BD262" si="3093">HU257</f>
        <v>0</v>
      </c>
      <c r="BE257" s="71">
        <f t="shared" ref="BE257:BE262" si="3094">HV257</f>
        <v>41</v>
      </c>
      <c r="BF257" s="71">
        <f t="shared" ref="BF257:BF262" si="3095">HW257</f>
        <v>45</v>
      </c>
      <c r="BG257" s="71">
        <f t="shared" ref="BG257:BG262" si="3096">HX257</f>
        <v>42</v>
      </c>
      <c r="BH257" s="71">
        <f t="shared" ref="BH257:BH262" si="3097">HY257</f>
        <v>0</v>
      </c>
      <c r="BI257" s="71">
        <f t="shared" ref="BI257:BI262" si="3098">HZ257</f>
        <v>44</v>
      </c>
      <c r="BJ257" s="71">
        <f t="shared" ref="BJ257:BJ262" si="3099">IA257</f>
        <v>41</v>
      </c>
      <c r="BK257" s="71">
        <f t="shared" ref="BK257:BK262" si="3100">IB257</f>
        <v>0</v>
      </c>
      <c r="BL257" s="71">
        <f t="shared" ref="BL257:BL262" si="3101">IC257</f>
        <v>44</v>
      </c>
      <c r="BM257" s="71">
        <f t="shared" ref="BM257:BM262" si="3102">ID257</f>
        <v>44</v>
      </c>
      <c r="BN257" s="71">
        <f t="shared" ref="BN257:BN262" si="3103">IE257</f>
        <v>0</v>
      </c>
      <c r="BO257" s="71">
        <f t="shared" ref="BO257:BO262" si="3104">IF257</f>
        <v>49</v>
      </c>
      <c r="BP257" s="71">
        <f t="shared" ref="BP257:BP262" si="3105">IG257</f>
        <v>0</v>
      </c>
      <c r="BQ257" s="71">
        <f t="shared" ref="BQ257:BQ262" si="3106">IH257</f>
        <v>0</v>
      </c>
      <c r="BR257" s="71">
        <f t="shared" ref="BR257:BR262" si="3107">II257</f>
        <v>0</v>
      </c>
      <c r="BS257" s="71">
        <f t="shared" ref="BS257:BS262" si="3108">IJ257</f>
        <v>0</v>
      </c>
      <c r="BT257" s="71">
        <f t="shared" ref="BT257:BT262" si="3109">IK257</f>
        <v>0</v>
      </c>
      <c r="BU257" s="71">
        <f t="shared" ref="BU257:BU262" si="3110">IL257</f>
        <v>0</v>
      </c>
      <c r="BV257" s="71">
        <f t="shared" ref="BV257:BV262" si="3111">IM257</f>
        <v>0</v>
      </c>
      <c r="BW257" s="71">
        <f t="shared" ref="BW257:BW262" si="3112">IN257</f>
        <v>0</v>
      </c>
      <c r="BX257" s="71">
        <f t="shared" ref="BX257:BX262" si="3113">IO257</f>
        <v>0</v>
      </c>
      <c r="BY257" s="71">
        <f t="shared" ref="BY257:BY262" si="3114">IP257</f>
        <v>0</v>
      </c>
      <c r="BZ257" s="71">
        <f t="shared" ref="BZ257:BZ262" si="3115">IQ257</f>
        <v>0</v>
      </c>
      <c r="CA257" s="71">
        <f t="shared" ref="CA257:CA262" si="3116">IR257</f>
        <v>0</v>
      </c>
      <c r="CB257" s="71">
        <f t="shared" ref="CB257:CB262" si="3117">IS257</f>
        <v>0</v>
      </c>
      <c r="CC257" s="71">
        <f t="shared" ref="CC257:CC262" si="3118">IT257</f>
        <v>0</v>
      </c>
      <c r="CD257" s="71">
        <f t="shared" ref="CD257:CD262" si="3119">IU257</f>
        <v>0</v>
      </c>
      <c r="CE257" s="71">
        <f t="shared" ref="CE257:CE262" si="3120">IV257</f>
        <v>0</v>
      </c>
      <c r="CF257" s="71">
        <f t="shared" ref="CF257:CF262" si="3121">IW257</f>
        <v>0</v>
      </c>
      <c r="CG257" s="71">
        <f t="shared" ref="CG257:CG262" si="3122">IX257</f>
        <v>0</v>
      </c>
      <c r="CH257" s="70">
        <f t="shared" si="2241"/>
        <v>392</v>
      </c>
      <c r="CI257" s="69">
        <f t="shared" ca="1" si="2242"/>
        <v>30.153846153846153</v>
      </c>
      <c r="GM257" s="2" t="s">
        <v>16</v>
      </c>
      <c r="GN257" s="98" t="str">
        <f t="shared" si="3053"/>
        <v>SWL01-FMCG01-SPO-01</v>
      </c>
      <c r="GO257" s="4">
        <v>1</v>
      </c>
      <c r="GP257" s="3">
        <v>0</v>
      </c>
      <c r="GQ257" s="3">
        <v>1</v>
      </c>
      <c r="GR257" s="3">
        <v>1</v>
      </c>
      <c r="GS257" s="3">
        <v>1</v>
      </c>
      <c r="GT257" s="3">
        <v>1</v>
      </c>
      <c r="GU257" s="3">
        <v>1</v>
      </c>
      <c r="GV257" s="3">
        <v>1</v>
      </c>
      <c r="GW257" s="3">
        <v>0</v>
      </c>
      <c r="GX257" s="3">
        <v>1</v>
      </c>
      <c r="GY257" s="3">
        <v>1</v>
      </c>
      <c r="GZ257" s="3">
        <v>1</v>
      </c>
      <c r="HA257" s="3">
        <v>1</v>
      </c>
      <c r="HB257" s="3">
        <v>1</v>
      </c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6"/>
      <c r="HT257" s="4">
        <v>42</v>
      </c>
      <c r="HU257" s="3">
        <v>0</v>
      </c>
      <c r="HV257" s="3">
        <v>41</v>
      </c>
      <c r="HW257" s="3">
        <v>45</v>
      </c>
      <c r="HX257" s="3">
        <v>42</v>
      </c>
      <c r="HY257" s="3">
        <v>0</v>
      </c>
      <c r="HZ257" s="3">
        <v>44</v>
      </c>
      <c r="IA257" s="3">
        <v>41</v>
      </c>
      <c r="IB257" s="3">
        <v>0</v>
      </c>
      <c r="IC257" s="3">
        <v>44</v>
      </c>
      <c r="ID257" s="3">
        <v>44</v>
      </c>
      <c r="IE257" s="3">
        <v>0</v>
      </c>
      <c r="IF257" s="3">
        <v>49</v>
      </c>
      <c r="IG257" s="3">
        <v>0</v>
      </c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6"/>
    </row>
    <row r="258" spans="1:258" hidden="1">
      <c r="A258" s="106" t="s">
        <v>25</v>
      </c>
      <c r="B258" s="101" t="s">
        <v>26</v>
      </c>
      <c r="C258" s="98" t="s">
        <v>589</v>
      </c>
      <c r="D258" s="107" t="s">
        <v>1234</v>
      </c>
      <c r="E258" s="101" t="s">
        <v>629</v>
      </c>
      <c r="F258" s="101" t="s">
        <v>630</v>
      </c>
      <c r="G258" s="98" t="s">
        <v>631</v>
      </c>
      <c r="H258" s="101" t="s">
        <v>1578</v>
      </c>
      <c r="I258" s="101" t="s">
        <v>1578</v>
      </c>
      <c r="J258" s="101" t="s">
        <v>872</v>
      </c>
      <c r="K258" s="101" t="s">
        <v>1127</v>
      </c>
      <c r="L258" s="101">
        <v>45904</v>
      </c>
      <c r="M258" s="101" t="s">
        <v>1093</v>
      </c>
      <c r="N258" s="139">
        <v>45904</v>
      </c>
      <c r="O258" s="100">
        <v>1</v>
      </c>
      <c r="P258" s="69">
        <v>0</v>
      </c>
      <c r="Q258" s="69">
        <f t="shared" si="3056"/>
        <v>1</v>
      </c>
      <c r="R258" s="69">
        <f t="shared" si="3057"/>
        <v>1</v>
      </c>
      <c r="S258" s="69">
        <f t="shared" si="3058"/>
        <v>0</v>
      </c>
      <c r="T258" s="69">
        <f t="shared" si="3059"/>
        <v>1</v>
      </c>
      <c r="U258" s="69">
        <f t="shared" si="3060"/>
        <v>1</v>
      </c>
      <c r="V258" s="70">
        <f t="shared" si="3061"/>
        <v>1</v>
      </c>
      <c r="W258" s="71">
        <f t="shared" si="3062"/>
        <v>0</v>
      </c>
      <c r="X258" s="71">
        <f t="shared" si="3063"/>
        <v>1</v>
      </c>
      <c r="Y258" s="71">
        <f t="shared" si="3064"/>
        <v>1</v>
      </c>
      <c r="Z258" s="71">
        <f t="shared" si="3065"/>
        <v>1</v>
      </c>
      <c r="AA258" s="71">
        <f t="shared" si="3066"/>
        <v>1</v>
      </c>
      <c r="AB258" s="71">
        <f t="shared" si="3067"/>
        <v>1</v>
      </c>
      <c r="AC258" s="71">
        <f t="shared" si="3068"/>
        <v>1</v>
      </c>
      <c r="AD258" s="71">
        <f t="shared" si="3069"/>
        <v>0</v>
      </c>
      <c r="AE258" s="71">
        <f t="shared" si="3070"/>
        <v>1</v>
      </c>
      <c r="AF258" s="71">
        <f t="shared" si="3071"/>
        <v>1</v>
      </c>
      <c r="AG258" s="71">
        <f t="shared" si="3072"/>
        <v>1</v>
      </c>
      <c r="AH258" s="71">
        <f t="shared" si="3073"/>
        <v>1</v>
      </c>
      <c r="AI258" s="71">
        <f t="shared" si="3074"/>
        <v>1</v>
      </c>
      <c r="AJ258" s="71">
        <f t="shared" si="3075"/>
        <v>0</v>
      </c>
      <c r="AK258" s="71">
        <f t="shared" si="3076"/>
        <v>0</v>
      </c>
      <c r="AL258" s="71">
        <f t="shared" si="3077"/>
        <v>0</v>
      </c>
      <c r="AM258" s="71">
        <f t="shared" si="3078"/>
        <v>0</v>
      </c>
      <c r="AN258" s="71">
        <f t="shared" si="3079"/>
        <v>0</v>
      </c>
      <c r="AO258" s="71">
        <f t="shared" si="3080"/>
        <v>0</v>
      </c>
      <c r="AP258" s="71">
        <f t="shared" si="3081"/>
        <v>0</v>
      </c>
      <c r="AQ258" s="71">
        <f t="shared" si="3082"/>
        <v>0</v>
      </c>
      <c r="AR258" s="71">
        <f t="shared" si="3083"/>
        <v>0</v>
      </c>
      <c r="AS258" s="71">
        <f t="shared" si="3084"/>
        <v>0</v>
      </c>
      <c r="AT258" s="71">
        <f t="shared" si="3085"/>
        <v>0</v>
      </c>
      <c r="AU258" s="71">
        <f t="shared" si="3086"/>
        <v>0</v>
      </c>
      <c r="AV258" s="71">
        <f t="shared" si="3087"/>
        <v>0</v>
      </c>
      <c r="AW258" s="71">
        <f t="shared" si="3088"/>
        <v>0</v>
      </c>
      <c r="AX258" s="71">
        <f t="shared" si="3089"/>
        <v>0</v>
      </c>
      <c r="AY258" s="71">
        <f t="shared" si="3090"/>
        <v>0</v>
      </c>
      <c r="AZ258" s="72">
        <f t="shared" si="3091"/>
        <v>0</v>
      </c>
      <c r="BA258" s="70">
        <f t="shared" si="2238"/>
        <v>12</v>
      </c>
      <c r="BB258" s="69">
        <f t="shared" ca="1" si="2239"/>
        <v>0.92307692307692313</v>
      </c>
      <c r="BC258" s="70">
        <f t="shared" si="3092"/>
        <v>44</v>
      </c>
      <c r="BD258" s="71">
        <f t="shared" si="3093"/>
        <v>0</v>
      </c>
      <c r="BE258" s="71">
        <f t="shared" si="3094"/>
        <v>39</v>
      </c>
      <c r="BF258" s="71">
        <f t="shared" si="3095"/>
        <v>38</v>
      </c>
      <c r="BG258" s="71">
        <f t="shared" si="3096"/>
        <v>40</v>
      </c>
      <c r="BH258" s="71">
        <f t="shared" si="3097"/>
        <v>38</v>
      </c>
      <c r="BI258" s="71">
        <f t="shared" si="3098"/>
        <v>39</v>
      </c>
      <c r="BJ258" s="71">
        <f t="shared" si="3099"/>
        <v>41</v>
      </c>
      <c r="BK258" s="71">
        <f t="shared" si="3100"/>
        <v>0</v>
      </c>
      <c r="BL258" s="71">
        <f t="shared" si="3101"/>
        <v>40</v>
      </c>
      <c r="BM258" s="71">
        <f t="shared" si="3102"/>
        <v>39</v>
      </c>
      <c r="BN258" s="71">
        <f t="shared" si="3103"/>
        <v>42</v>
      </c>
      <c r="BO258" s="71">
        <f t="shared" si="3104"/>
        <v>38</v>
      </c>
      <c r="BP258" s="71">
        <f t="shared" si="3105"/>
        <v>0</v>
      </c>
      <c r="BQ258" s="71">
        <f t="shared" si="3106"/>
        <v>0</v>
      </c>
      <c r="BR258" s="71">
        <f t="shared" si="3107"/>
        <v>0</v>
      </c>
      <c r="BS258" s="71">
        <f t="shared" si="3108"/>
        <v>0</v>
      </c>
      <c r="BT258" s="71">
        <f t="shared" si="3109"/>
        <v>0</v>
      </c>
      <c r="BU258" s="71">
        <f t="shared" si="3110"/>
        <v>0</v>
      </c>
      <c r="BV258" s="71">
        <f t="shared" si="3111"/>
        <v>0</v>
      </c>
      <c r="BW258" s="71">
        <f t="shared" si="3112"/>
        <v>0</v>
      </c>
      <c r="BX258" s="71">
        <f t="shared" si="3113"/>
        <v>0</v>
      </c>
      <c r="BY258" s="71">
        <f t="shared" si="3114"/>
        <v>0</v>
      </c>
      <c r="BZ258" s="71">
        <f t="shared" si="3115"/>
        <v>0</v>
      </c>
      <c r="CA258" s="71">
        <f t="shared" si="3116"/>
        <v>0</v>
      </c>
      <c r="CB258" s="71">
        <f t="shared" si="3117"/>
        <v>0</v>
      </c>
      <c r="CC258" s="71">
        <f t="shared" si="3118"/>
        <v>0</v>
      </c>
      <c r="CD258" s="71">
        <f t="shared" si="3119"/>
        <v>0</v>
      </c>
      <c r="CE258" s="71">
        <f t="shared" si="3120"/>
        <v>0</v>
      </c>
      <c r="CF258" s="71">
        <f t="shared" si="3121"/>
        <v>0</v>
      </c>
      <c r="CG258" s="71">
        <f t="shared" si="3122"/>
        <v>0</v>
      </c>
      <c r="CH258" s="70">
        <f t="shared" si="2241"/>
        <v>438</v>
      </c>
      <c r="CI258" s="69">
        <f t="shared" ca="1" si="2242"/>
        <v>33.692307692307693</v>
      </c>
      <c r="GM258" s="2" t="s">
        <v>16</v>
      </c>
      <c r="GN258" s="101" t="str">
        <f t="shared" si="3053"/>
        <v>SWL01-FMCG02-SPO-01</v>
      </c>
      <c r="GO258" s="4">
        <v>1</v>
      </c>
      <c r="GP258" s="3">
        <v>0</v>
      </c>
      <c r="GQ258" s="3">
        <v>1</v>
      </c>
      <c r="GR258" s="3">
        <v>1</v>
      </c>
      <c r="GS258" s="3">
        <v>1</v>
      </c>
      <c r="GT258" s="3">
        <v>1</v>
      </c>
      <c r="GU258" s="3">
        <v>1</v>
      </c>
      <c r="GV258" s="3">
        <v>1</v>
      </c>
      <c r="GW258" s="3">
        <v>0</v>
      </c>
      <c r="GX258" s="3">
        <v>1</v>
      </c>
      <c r="GY258" s="3">
        <v>1</v>
      </c>
      <c r="GZ258" s="3">
        <v>1</v>
      </c>
      <c r="HA258" s="3">
        <v>1</v>
      </c>
      <c r="HB258" s="3">
        <v>1</v>
      </c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6"/>
      <c r="HT258" s="4">
        <v>44</v>
      </c>
      <c r="HU258" s="3">
        <v>0</v>
      </c>
      <c r="HV258" s="3">
        <v>39</v>
      </c>
      <c r="HW258" s="3">
        <v>38</v>
      </c>
      <c r="HX258" s="3">
        <v>40</v>
      </c>
      <c r="HY258" s="3">
        <v>38</v>
      </c>
      <c r="HZ258" s="3">
        <v>39</v>
      </c>
      <c r="IA258" s="3">
        <v>41</v>
      </c>
      <c r="IB258" s="3">
        <v>0</v>
      </c>
      <c r="IC258" s="3">
        <v>40</v>
      </c>
      <c r="ID258" s="3">
        <v>39</v>
      </c>
      <c r="IE258" s="3">
        <v>42</v>
      </c>
      <c r="IF258" s="3">
        <v>38</v>
      </c>
      <c r="IG258" s="3">
        <v>0</v>
      </c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6"/>
    </row>
    <row r="259" spans="1:258" hidden="1">
      <c r="A259" s="97" t="s">
        <v>25</v>
      </c>
      <c r="B259" s="98" t="s">
        <v>26</v>
      </c>
      <c r="C259" s="98" t="s">
        <v>589</v>
      </c>
      <c r="D259" s="99" t="s">
        <v>1234</v>
      </c>
      <c r="E259" s="98" t="s">
        <v>1023</v>
      </c>
      <c r="F259" s="98" t="s">
        <v>1071</v>
      </c>
      <c r="G259" s="98" t="s">
        <v>627</v>
      </c>
      <c r="H259" s="98" t="s">
        <v>1579</v>
      </c>
      <c r="I259" s="98" t="s">
        <v>1579</v>
      </c>
      <c r="J259" s="98" t="s">
        <v>873</v>
      </c>
      <c r="K259" s="98" t="s">
        <v>179</v>
      </c>
      <c r="L259" s="98" t="s">
        <v>628</v>
      </c>
      <c r="M259" s="101" t="s">
        <v>1093</v>
      </c>
      <c r="N259" s="139">
        <v>45656</v>
      </c>
      <c r="O259" s="100">
        <v>1</v>
      </c>
      <c r="P259" s="69">
        <v>0</v>
      </c>
      <c r="Q259" s="69">
        <f t="shared" si="3056"/>
        <v>1</v>
      </c>
      <c r="R259" s="69">
        <f t="shared" si="3057"/>
        <v>1</v>
      </c>
      <c r="S259" s="69">
        <f t="shared" si="3058"/>
        <v>0</v>
      </c>
      <c r="T259" s="69">
        <f t="shared" si="3059"/>
        <v>1</v>
      </c>
      <c r="U259" s="69">
        <f t="shared" si="3060"/>
        <v>1</v>
      </c>
      <c r="V259" s="70">
        <f t="shared" si="3061"/>
        <v>1</v>
      </c>
      <c r="W259" s="71">
        <f t="shared" si="3062"/>
        <v>0</v>
      </c>
      <c r="X259" s="71">
        <f t="shared" si="3063"/>
        <v>1</v>
      </c>
      <c r="Y259" s="71">
        <f t="shared" si="3064"/>
        <v>1</v>
      </c>
      <c r="Z259" s="71">
        <f t="shared" si="3065"/>
        <v>1</v>
      </c>
      <c r="AA259" s="71">
        <f t="shared" si="3066"/>
        <v>1</v>
      </c>
      <c r="AB259" s="71">
        <f t="shared" si="3067"/>
        <v>1</v>
      </c>
      <c r="AC259" s="71">
        <f t="shared" si="3068"/>
        <v>1</v>
      </c>
      <c r="AD259" s="71">
        <f t="shared" si="3069"/>
        <v>0</v>
      </c>
      <c r="AE259" s="71">
        <f t="shared" si="3070"/>
        <v>0</v>
      </c>
      <c r="AF259" s="71">
        <f t="shared" si="3071"/>
        <v>1</v>
      </c>
      <c r="AG259" s="71">
        <f t="shared" si="3072"/>
        <v>1</v>
      </c>
      <c r="AH259" s="71">
        <f t="shared" si="3073"/>
        <v>1</v>
      </c>
      <c r="AI259" s="71">
        <f t="shared" si="3074"/>
        <v>1</v>
      </c>
      <c r="AJ259" s="71">
        <f t="shared" si="3075"/>
        <v>0</v>
      </c>
      <c r="AK259" s="71">
        <f t="shared" si="3076"/>
        <v>0</v>
      </c>
      <c r="AL259" s="71">
        <f t="shared" si="3077"/>
        <v>0</v>
      </c>
      <c r="AM259" s="71">
        <f t="shared" si="3078"/>
        <v>0</v>
      </c>
      <c r="AN259" s="71">
        <f t="shared" si="3079"/>
        <v>0</v>
      </c>
      <c r="AO259" s="71">
        <f t="shared" si="3080"/>
        <v>0</v>
      </c>
      <c r="AP259" s="71">
        <f t="shared" si="3081"/>
        <v>0</v>
      </c>
      <c r="AQ259" s="71">
        <f t="shared" si="3082"/>
        <v>0</v>
      </c>
      <c r="AR259" s="71">
        <f t="shared" si="3083"/>
        <v>0</v>
      </c>
      <c r="AS259" s="71">
        <f t="shared" si="3084"/>
        <v>0</v>
      </c>
      <c r="AT259" s="71">
        <f t="shared" si="3085"/>
        <v>0</v>
      </c>
      <c r="AU259" s="71">
        <f t="shared" si="3086"/>
        <v>0</v>
      </c>
      <c r="AV259" s="71">
        <f t="shared" si="3087"/>
        <v>0</v>
      </c>
      <c r="AW259" s="71">
        <f t="shared" si="3088"/>
        <v>0</v>
      </c>
      <c r="AX259" s="71">
        <f t="shared" si="3089"/>
        <v>0</v>
      </c>
      <c r="AY259" s="71">
        <f t="shared" si="3090"/>
        <v>0</v>
      </c>
      <c r="AZ259" s="72">
        <f t="shared" si="3091"/>
        <v>0</v>
      </c>
      <c r="BA259" s="70">
        <f t="shared" si="2238"/>
        <v>11</v>
      </c>
      <c r="BB259" s="69">
        <f t="shared" ca="1" si="2239"/>
        <v>0.84615384615384615</v>
      </c>
      <c r="BC259" s="70">
        <f t="shared" si="3092"/>
        <v>0</v>
      </c>
      <c r="BD259" s="71">
        <f t="shared" si="3093"/>
        <v>0</v>
      </c>
      <c r="BE259" s="71">
        <f t="shared" si="3094"/>
        <v>0</v>
      </c>
      <c r="BF259" s="71">
        <f t="shared" si="3095"/>
        <v>41</v>
      </c>
      <c r="BG259" s="71">
        <f t="shared" si="3096"/>
        <v>0</v>
      </c>
      <c r="BH259" s="71">
        <f t="shared" si="3097"/>
        <v>44</v>
      </c>
      <c r="BI259" s="71">
        <f t="shared" si="3098"/>
        <v>14</v>
      </c>
      <c r="BJ259" s="71">
        <f t="shared" si="3099"/>
        <v>0</v>
      </c>
      <c r="BK259" s="71">
        <f t="shared" si="3100"/>
        <v>0</v>
      </c>
      <c r="BL259" s="71">
        <f t="shared" si="3101"/>
        <v>0</v>
      </c>
      <c r="BM259" s="71">
        <f t="shared" si="3102"/>
        <v>0</v>
      </c>
      <c r="BN259" s="71">
        <f t="shared" si="3103"/>
        <v>19</v>
      </c>
      <c r="BO259" s="71">
        <f t="shared" si="3104"/>
        <v>31</v>
      </c>
      <c r="BP259" s="71">
        <f t="shared" si="3105"/>
        <v>0</v>
      </c>
      <c r="BQ259" s="71">
        <f t="shared" si="3106"/>
        <v>0</v>
      </c>
      <c r="BR259" s="71">
        <f t="shared" si="3107"/>
        <v>0</v>
      </c>
      <c r="BS259" s="71">
        <f t="shared" si="3108"/>
        <v>0</v>
      </c>
      <c r="BT259" s="71">
        <f t="shared" si="3109"/>
        <v>0</v>
      </c>
      <c r="BU259" s="71">
        <f t="shared" si="3110"/>
        <v>0</v>
      </c>
      <c r="BV259" s="71">
        <f t="shared" si="3111"/>
        <v>0</v>
      </c>
      <c r="BW259" s="71">
        <f t="shared" si="3112"/>
        <v>0</v>
      </c>
      <c r="BX259" s="71">
        <f t="shared" si="3113"/>
        <v>0</v>
      </c>
      <c r="BY259" s="71">
        <f t="shared" si="3114"/>
        <v>0</v>
      </c>
      <c r="BZ259" s="71">
        <f t="shared" si="3115"/>
        <v>0</v>
      </c>
      <c r="CA259" s="71">
        <f t="shared" si="3116"/>
        <v>0</v>
      </c>
      <c r="CB259" s="71">
        <f t="shared" si="3117"/>
        <v>0</v>
      </c>
      <c r="CC259" s="71">
        <f t="shared" si="3118"/>
        <v>0</v>
      </c>
      <c r="CD259" s="71">
        <f t="shared" si="3119"/>
        <v>0</v>
      </c>
      <c r="CE259" s="71">
        <f t="shared" si="3120"/>
        <v>0</v>
      </c>
      <c r="CF259" s="71">
        <f t="shared" si="3121"/>
        <v>0</v>
      </c>
      <c r="CG259" s="71">
        <f t="shared" si="3122"/>
        <v>0</v>
      </c>
      <c r="CH259" s="70">
        <f t="shared" si="2241"/>
        <v>149</v>
      </c>
      <c r="CI259" s="69">
        <f t="shared" ca="1" si="2242"/>
        <v>11.461538461538462</v>
      </c>
      <c r="GM259" s="2" t="s">
        <v>16</v>
      </c>
      <c r="GN259" s="98" t="str">
        <f t="shared" si="3053"/>
        <v>SWL01-FMCG-SPO-01</v>
      </c>
      <c r="GO259" s="4">
        <v>1</v>
      </c>
      <c r="GP259" s="3">
        <v>0</v>
      </c>
      <c r="GQ259" s="3">
        <v>1</v>
      </c>
      <c r="GR259" s="3">
        <v>1</v>
      </c>
      <c r="GS259" s="3">
        <v>1</v>
      </c>
      <c r="GT259" s="3">
        <v>1</v>
      </c>
      <c r="GU259" s="3">
        <v>1</v>
      </c>
      <c r="GV259" s="3">
        <v>1</v>
      </c>
      <c r="GW259" s="3">
        <v>0</v>
      </c>
      <c r="GX259" s="3">
        <v>0</v>
      </c>
      <c r="GY259" s="3">
        <v>1</v>
      </c>
      <c r="GZ259" s="3">
        <v>1</v>
      </c>
      <c r="HA259" s="3">
        <v>1</v>
      </c>
      <c r="HB259" s="3">
        <v>1</v>
      </c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6"/>
      <c r="HT259" s="4">
        <v>0</v>
      </c>
      <c r="HU259" s="3">
        <v>0</v>
      </c>
      <c r="HV259" s="3">
        <v>0</v>
      </c>
      <c r="HW259" s="3">
        <v>41</v>
      </c>
      <c r="HX259" s="3">
        <v>0</v>
      </c>
      <c r="HY259" s="3">
        <v>44</v>
      </c>
      <c r="HZ259" s="3">
        <v>14</v>
      </c>
      <c r="IA259" s="3">
        <v>0</v>
      </c>
      <c r="IB259" s="3">
        <v>0</v>
      </c>
      <c r="IC259" s="3">
        <v>0</v>
      </c>
      <c r="ID259" s="3">
        <v>0</v>
      </c>
      <c r="IE259" s="3">
        <v>19</v>
      </c>
      <c r="IF259" s="3">
        <v>31</v>
      </c>
      <c r="IG259" s="3">
        <v>0</v>
      </c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6"/>
    </row>
    <row r="260" spans="1:258" hidden="1">
      <c r="A260" s="97" t="s">
        <v>25</v>
      </c>
      <c r="B260" s="98" t="s">
        <v>90</v>
      </c>
      <c r="C260" s="98" t="s">
        <v>589</v>
      </c>
      <c r="D260" s="99" t="s">
        <v>1234</v>
      </c>
      <c r="E260" s="98" t="s">
        <v>1024</v>
      </c>
      <c r="F260" s="98" t="s">
        <v>1072</v>
      </c>
      <c r="G260" s="98" t="s">
        <v>626</v>
      </c>
      <c r="H260" s="98" t="s">
        <v>1580</v>
      </c>
      <c r="I260" s="98" t="s">
        <v>1580</v>
      </c>
      <c r="J260" s="98" t="s">
        <v>872</v>
      </c>
      <c r="K260" s="98" t="s">
        <v>1127</v>
      </c>
      <c r="L260" s="98">
        <v>45715</v>
      </c>
      <c r="M260" s="101" t="s">
        <v>1093</v>
      </c>
      <c r="N260" s="139">
        <v>45715</v>
      </c>
      <c r="O260" s="100">
        <v>1</v>
      </c>
      <c r="P260" s="69">
        <v>0</v>
      </c>
      <c r="Q260" s="69">
        <f t="shared" si="3056"/>
        <v>1</v>
      </c>
      <c r="R260" s="69">
        <f t="shared" si="3057"/>
        <v>1</v>
      </c>
      <c r="S260" s="69">
        <f t="shared" si="3058"/>
        <v>0</v>
      </c>
      <c r="T260" s="69">
        <f t="shared" si="3059"/>
        <v>1</v>
      </c>
      <c r="U260" s="69">
        <f t="shared" si="3060"/>
        <v>1</v>
      </c>
      <c r="V260" s="70">
        <f t="shared" si="3061"/>
        <v>1</v>
      </c>
      <c r="W260" s="71">
        <f t="shared" si="3062"/>
        <v>0</v>
      </c>
      <c r="X260" s="71">
        <f t="shared" si="3063"/>
        <v>1</v>
      </c>
      <c r="Y260" s="71">
        <f t="shared" si="3064"/>
        <v>1</v>
      </c>
      <c r="Z260" s="71">
        <f t="shared" si="3065"/>
        <v>1</v>
      </c>
      <c r="AA260" s="71">
        <f t="shared" si="3066"/>
        <v>1</v>
      </c>
      <c r="AB260" s="71">
        <f t="shared" si="3067"/>
        <v>1</v>
      </c>
      <c r="AC260" s="71">
        <f t="shared" si="3068"/>
        <v>1</v>
      </c>
      <c r="AD260" s="71">
        <f t="shared" si="3069"/>
        <v>0</v>
      </c>
      <c r="AE260" s="71">
        <f t="shared" si="3070"/>
        <v>1</v>
      </c>
      <c r="AF260" s="71">
        <f t="shared" si="3071"/>
        <v>1</v>
      </c>
      <c r="AG260" s="71">
        <f t="shared" si="3072"/>
        <v>1</v>
      </c>
      <c r="AH260" s="71">
        <f t="shared" si="3073"/>
        <v>1</v>
      </c>
      <c r="AI260" s="71">
        <f t="shared" si="3074"/>
        <v>1</v>
      </c>
      <c r="AJ260" s="71">
        <f t="shared" si="3075"/>
        <v>0</v>
      </c>
      <c r="AK260" s="71">
        <f t="shared" si="3076"/>
        <v>0</v>
      </c>
      <c r="AL260" s="71">
        <f t="shared" si="3077"/>
        <v>0</v>
      </c>
      <c r="AM260" s="71">
        <f t="shared" si="3078"/>
        <v>0</v>
      </c>
      <c r="AN260" s="71">
        <f t="shared" si="3079"/>
        <v>0</v>
      </c>
      <c r="AO260" s="71">
        <f t="shared" si="3080"/>
        <v>0</v>
      </c>
      <c r="AP260" s="71">
        <f t="shared" si="3081"/>
        <v>0</v>
      </c>
      <c r="AQ260" s="71">
        <f t="shared" si="3082"/>
        <v>0</v>
      </c>
      <c r="AR260" s="71">
        <f t="shared" si="3083"/>
        <v>0</v>
      </c>
      <c r="AS260" s="71">
        <f t="shared" si="3084"/>
        <v>0</v>
      </c>
      <c r="AT260" s="71">
        <f t="shared" si="3085"/>
        <v>0</v>
      </c>
      <c r="AU260" s="71">
        <f t="shared" si="3086"/>
        <v>0</v>
      </c>
      <c r="AV260" s="71">
        <f t="shared" si="3087"/>
        <v>0</v>
      </c>
      <c r="AW260" s="71">
        <f t="shared" si="3088"/>
        <v>0</v>
      </c>
      <c r="AX260" s="71">
        <f t="shared" si="3089"/>
        <v>0</v>
      </c>
      <c r="AY260" s="71">
        <f t="shared" si="3090"/>
        <v>0</v>
      </c>
      <c r="AZ260" s="72">
        <f t="shared" si="3091"/>
        <v>0</v>
      </c>
      <c r="BA260" s="70">
        <f t="shared" si="2238"/>
        <v>12</v>
      </c>
      <c r="BB260" s="69">
        <f t="shared" ca="1" si="2239"/>
        <v>0.92307692307692313</v>
      </c>
      <c r="BC260" s="70">
        <f t="shared" si="3092"/>
        <v>0</v>
      </c>
      <c r="BD260" s="71">
        <f t="shared" si="3093"/>
        <v>0</v>
      </c>
      <c r="BE260" s="71">
        <f t="shared" si="3094"/>
        <v>0</v>
      </c>
      <c r="BF260" s="71">
        <f t="shared" si="3095"/>
        <v>41</v>
      </c>
      <c r="BG260" s="71">
        <f t="shared" si="3096"/>
        <v>22</v>
      </c>
      <c r="BH260" s="71">
        <f t="shared" si="3097"/>
        <v>14</v>
      </c>
      <c r="BI260" s="71">
        <f t="shared" si="3098"/>
        <v>45</v>
      </c>
      <c r="BJ260" s="71">
        <f t="shared" si="3099"/>
        <v>40</v>
      </c>
      <c r="BK260" s="71">
        <f t="shared" si="3100"/>
        <v>0</v>
      </c>
      <c r="BL260" s="71">
        <f t="shared" si="3101"/>
        <v>0</v>
      </c>
      <c r="BM260" s="71">
        <f t="shared" si="3102"/>
        <v>0</v>
      </c>
      <c r="BN260" s="71">
        <f t="shared" si="3103"/>
        <v>42</v>
      </c>
      <c r="BO260" s="71">
        <f t="shared" si="3104"/>
        <v>36</v>
      </c>
      <c r="BP260" s="71">
        <f t="shared" si="3105"/>
        <v>0</v>
      </c>
      <c r="BQ260" s="71">
        <f t="shared" si="3106"/>
        <v>0</v>
      </c>
      <c r="BR260" s="71">
        <f t="shared" si="3107"/>
        <v>0</v>
      </c>
      <c r="BS260" s="71">
        <f t="shared" si="3108"/>
        <v>0</v>
      </c>
      <c r="BT260" s="71">
        <f t="shared" si="3109"/>
        <v>0</v>
      </c>
      <c r="BU260" s="71">
        <f t="shared" si="3110"/>
        <v>0</v>
      </c>
      <c r="BV260" s="71">
        <f t="shared" si="3111"/>
        <v>0</v>
      </c>
      <c r="BW260" s="71">
        <f t="shared" si="3112"/>
        <v>0</v>
      </c>
      <c r="BX260" s="71">
        <f t="shared" si="3113"/>
        <v>0</v>
      </c>
      <c r="BY260" s="71">
        <f t="shared" si="3114"/>
        <v>0</v>
      </c>
      <c r="BZ260" s="71">
        <f t="shared" si="3115"/>
        <v>0</v>
      </c>
      <c r="CA260" s="71">
        <f t="shared" si="3116"/>
        <v>0</v>
      </c>
      <c r="CB260" s="71">
        <f t="shared" si="3117"/>
        <v>0</v>
      </c>
      <c r="CC260" s="71">
        <f t="shared" si="3118"/>
        <v>0</v>
      </c>
      <c r="CD260" s="71">
        <f t="shared" si="3119"/>
        <v>0</v>
      </c>
      <c r="CE260" s="71">
        <f t="shared" si="3120"/>
        <v>0</v>
      </c>
      <c r="CF260" s="71">
        <f t="shared" si="3121"/>
        <v>0</v>
      </c>
      <c r="CG260" s="71">
        <f t="shared" si="3122"/>
        <v>0</v>
      </c>
      <c r="CH260" s="70">
        <f t="shared" si="2241"/>
        <v>240</v>
      </c>
      <c r="CI260" s="69">
        <f t="shared" ca="1" si="2242"/>
        <v>18.46153846153846</v>
      </c>
      <c r="GM260" s="2" t="s">
        <v>16</v>
      </c>
      <c r="GN260" s="98" t="str">
        <f t="shared" si="3053"/>
        <v>SWL01-FMCG03-SPO-01</v>
      </c>
      <c r="GO260" s="4">
        <v>1</v>
      </c>
      <c r="GP260" s="3">
        <v>0</v>
      </c>
      <c r="GQ260" s="3">
        <v>1</v>
      </c>
      <c r="GR260" s="3">
        <v>1</v>
      </c>
      <c r="GS260" s="3">
        <v>1</v>
      </c>
      <c r="GT260" s="3">
        <v>1</v>
      </c>
      <c r="GU260" s="3">
        <v>1</v>
      </c>
      <c r="GV260" s="3">
        <v>1</v>
      </c>
      <c r="GW260" s="3">
        <v>0</v>
      </c>
      <c r="GX260" s="3">
        <v>1</v>
      </c>
      <c r="GY260" s="3">
        <v>1</v>
      </c>
      <c r="GZ260" s="3">
        <v>1</v>
      </c>
      <c r="HA260" s="3">
        <v>1</v>
      </c>
      <c r="HB260" s="3">
        <v>1</v>
      </c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6"/>
      <c r="HT260" s="4">
        <v>0</v>
      </c>
      <c r="HU260" s="3">
        <v>0</v>
      </c>
      <c r="HV260" s="3">
        <v>0</v>
      </c>
      <c r="HW260" s="3">
        <v>41</v>
      </c>
      <c r="HX260" s="3">
        <v>22</v>
      </c>
      <c r="HY260" s="3">
        <v>14</v>
      </c>
      <c r="HZ260" s="3">
        <v>45</v>
      </c>
      <c r="IA260" s="3">
        <v>40</v>
      </c>
      <c r="IB260" s="3">
        <v>0</v>
      </c>
      <c r="IC260" s="3">
        <v>0</v>
      </c>
      <c r="ID260" s="3">
        <v>0</v>
      </c>
      <c r="IE260" s="3">
        <v>42</v>
      </c>
      <c r="IF260" s="3">
        <v>36</v>
      </c>
      <c r="IG260" s="3">
        <v>0</v>
      </c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6"/>
    </row>
    <row r="261" spans="1:258" hidden="1">
      <c r="A261" s="97" t="s">
        <v>1287</v>
      </c>
      <c r="B261" s="98" t="s">
        <v>20</v>
      </c>
      <c r="C261" s="98" t="s">
        <v>589</v>
      </c>
      <c r="D261" s="99" t="s">
        <v>1234</v>
      </c>
      <c r="E261" s="98" t="s">
        <v>1098</v>
      </c>
      <c r="F261" s="98" t="s">
        <v>632</v>
      </c>
      <c r="G261" s="98" t="s">
        <v>633</v>
      </c>
      <c r="H261" s="98" t="s">
        <v>1581</v>
      </c>
      <c r="I261" s="98" t="s">
        <v>1581</v>
      </c>
      <c r="J261" s="98" t="s">
        <v>872</v>
      </c>
      <c r="K261" s="98" t="s">
        <v>1099</v>
      </c>
      <c r="L261" s="98" t="s">
        <v>1099</v>
      </c>
      <c r="M261" s="98" t="s">
        <v>1099</v>
      </c>
      <c r="N261" s="108">
        <v>45474</v>
      </c>
      <c r="O261" s="100">
        <v>0</v>
      </c>
      <c r="P261" s="69">
        <v>0</v>
      </c>
      <c r="Q261" s="69">
        <f t="shared" si="3056"/>
        <v>0</v>
      </c>
      <c r="R261" s="69">
        <f t="shared" si="3057"/>
        <v>0</v>
      </c>
      <c r="S261" s="69">
        <f t="shared" si="3058"/>
        <v>0</v>
      </c>
      <c r="T261" s="69">
        <f t="shared" si="3059"/>
        <v>0</v>
      </c>
      <c r="U261" s="69">
        <f t="shared" si="3060"/>
        <v>0</v>
      </c>
      <c r="V261" s="70">
        <f t="shared" si="3061"/>
        <v>0</v>
      </c>
      <c r="W261" s="71">
        <f t="shared" si="3062"/>
        <v>0</v>
      </c>
      <c r="X261" s="71">
        <f t="shared" si="3063"/>
        <v>0</v>
      </c>
      <c r="Y261" s="71">
        <f t="shared" si="3064"/>
        <v>0</v>
      </c>
      <c r="Z261" s="71">
        <f t="shared" si="3065"/>
        <v>0</v>
      </c>
      <c r="AA261" s="71">
        <f t="shared" si="3066"/>
        <v>0</v>
      </c>
      <c r="AB261" s="71">
        <f t="shared" si="3067"/>
        <v>0</v>
      </c>
      <c r="AC261" s="71">
        <f t="shared" si="3068"/>
        <v>0</v>
      </c>
      <c r="AD261" s="71">
        <f t="shared" si="3069"/>
        <v>0</v>
      </c>
      <c r="AE261" s="71">
        <f t="shared" si="3070"/>
        <v>0</v>
      </c>
      <c r="AF261" s="71">
        <f t="shared" si="3071"/>
        <v>0</v>
      </c>
      <c r="AG261" s="71">
        <f t="shared" si="3072"/>
        <v>0</v>
      </c>
      <c r="AH261" s="71">
        <f t="shared" si="3073"/>
        <v>0</v>
      </c>
      <c r="AI261" s="71">
        <f t="shared" si="3074"/>
        <v>0</v>
      </c>
      <c r="AJ261" s="71">
        <f t="shared" si="3075"/>
        <v>0</v>
      </c>
      <c r="AK261" s="71">
        <f t="shared" si="3076"/>
        <v>0</v>
      </c>
      <c r="AL261" s="71">
        <f t="shared" si="3077"/>
        <v>0</v>
      </c>
      <c r="AM261" s="71">
        <f t="shared" si="3078"/>
        <v>0</v>
      </c>
      <c r="AN261" s="71">
        <f t="shared" si="3079"/>
        <v>0</v>
      </c>
      <c r="AO261" s="71">
        <f t="shared" si="3080"/>
        <v>0</v>
      </c>
      <c r="AP261" s="71">
        <f t="shared" si="3081"/>
        <v>0</v>
      </c>
      <c r="AQ261" s="71">
        <f t="shared" si="3082"/>
        <v>0</v>
      </c>
      <c r="AR261" s="71">
        <f t="shared" si="3083"/>
        <v>0</v>
      </c>
      <c r="AS261" s="71">
        <f t="shared" si="3084"/>
        <v>0</v>
      </c>
      <c r="AT261" s="71">
        <f t="shared" si="3085"/>
        <v>0</v>
      </c>
      <c r="AU261" s="71">
        <f t="shared" si="3086"/>
        <v>0</v>
      </c>
      <c r="AV261" s="71">
        <f t="shared" si="3087"/>
        <v>0</v>
      </c>
      <c r="AW261" s="71">
        <f t="shared" si="3088"/>
        <v>0</v>
      </c>
      <c r="AX261" s="71">
        <f t="shared" si="3089"/>
        <v>0</v>
      </c>
      <c r="AY261" s="71">
        <f t="shared" si="3090"/>
        <v>0</v>
      </c>
      <c r="AZ261" s="72">
        <f t="shared" si="3091"/>
        <v>0</v>
      </c>
      <c r="BA261" s="70">
        <f t="shared" ref="BA261:BA324" si="3123">SUM(V261:AZ261)</f>
        <v>0</v>
      </c>
      <c r="BB261" s="69">
        <f t="shared" ref="BB261:BB324" ca="1" si="3124">IFERROR(BA261/$CK$3/(O261-P261),0)</f>
        <v>0</v>
      </c>
      <c r="BC261" s="70">
        <f t="shared" si="3092"/>
        <v>0</v>
      </c>
      <c r="BD261" s="71">
        <f t="shared" si="3093"/>
        <v>0</v>
      </c>
      <c r="BE261" s="71">
        <f t="shared" si="3094"/>
        <v>0</v>
      </c>
      <c r="BF261" s="71">
        <f t="shared" si="3095"/>
        <v>0</v>
      </c>
      <c r="BG261" s="71">
        <f t="shared" si="3096"/>
        <v>0</v>
      </c>
      <c r="BH261" s="71">
        <f t="shared" si="3097"/>
        <v>0</v>
      </c>
      <c r="BI261" s="71">
        <f t="shared" si="3098"/>
        <v>0</v>
      </c>
      <c r="BJ261" s="71">
        <f t="shared" si="3099"/>
        <v>0</v>
      </c>
      <c r="BK261" s="71">
        <f t="shared" si="3100"/>
        <v>0</v>
      </c>
      <c r="BL261" s="71">
        <f t="shared" si="3101"/>
        <v>0</v>
      </c>
      <c r="BM261" s="71">
        <f t="shared" si="3102"/>
        <v>0</v>
      </c>
      <c r="BN261" s="71">
        <f t="shared" si="3103"/>
        <v>0</v>
      </c>
      <c r="BO261" s="71">
        <f t="shared" si="3104"/>
        <v>0</v>
      </c>
      <c r="BP261" s="71">
        <f t="shared" si="3105"/>
        <v>0</v>
      </c>
      <c r="BQ261" s="71">
        <f t="shared" si="3106"/>
        <v>0</v>
      </c>
      <c r="BR261" s="71">
        <f t="shared" si="3107"/>
        <v>0</v>
      </c>
      <c r="BS261" s="71">
        <f t="shared" si="3108"/>
        <v>0</v>
      </c>
      <c r="BT261" s="71">
        <f t="shared" si="3109"/>
        <v>0</v>
      </c>
      <c r="BU261" s="71">
        <f t="shared" si="3110"/>
        <v>0</v>
      </c>
      <c r="BV261" s="71">
        <f t="shared" si="3111"/>
        <v>0</v>
      </c>
      <c r="BW261" s="71">
        <f t="shared" si="3112"/>
        <v>0</v>
      </c>
      <c r="BX261" s="71">
        <f t="shared" si="3113"/>
        <v>0</v>
      </c>
      <c r="BY261" s="71">
        <f t="shared" si="3114"/>
        <v>0</v>
      </c>
      <c r="BZ261" s="71">
        <f t="shared" si="3115"/>
        <v>0</v>
      </c>
      <c r="CA261" s="71">
        <f t="shared" si="3116"/>
        <v>0</v>
      </c>
      <c r="CB261" s="71">
        <f t="shared" si="3117"/>
        <v>0</v>
      </c>
      <c r="CC261" s="71">
        <f t="shared" si="3118"/>
        <v>0</v>
      </c>
      <c r="CD261" s="71">
        <f t="shared" si="3119"/>
        <v>0</v>
      </c>
      <c r="CE261" s="71">
        <f t="shared" si="3120"/>
        <v>0</v>
      </c>
      <c r="CF261" s="71">
        <f t="shared" si="3121"/>
        <v>0</v>
      </c>
      <c r="CG261" s="71">
        <f t="shared" si="3122"/>
        <v>0</v>
      </c>
      <c r="CH261" s="70">
        <f t="shared" ref="CH261:CH324" si="3125">SUM(BC261:CG261)</f>
        <v>0</v>
      </c>
      <c r="CI261" s="69">
        <f t="shared" ref="CI261:CI324" ca="1" si="3126">IFERROR(CH261/$CK$3/(O261-P261),0)</f>
        <v>0</v>
      </c>
      <c r="GM261" s="2" t="s">
        <v>16</v>
      </c>
      <c r="GN261" s="98" t="str">
        <f t="shared" si="3053"/>
        <v>SWL01-FMCG-SPO-00</v>
      </c>
      <c r="GO261" s="4">
        <v>0</v>
      </c>
      <c r="GP261" s="3">
        <v>0</v>
      </c>
      <c r="GQ261" s="3">
        <v>0</v>
      </c>
      <c r="GR261" s="3">
        <v>0</v>
      </c>
      <c r="GS261" s="3">
        <v>0</v>
      </c>
      <c r="GT261" s="3">
        <v>0</v>
      </c>
      <c r="GU261" s="3">
        <v>0</v>
      </c>
      <c r="GV261" s="3">
        <v>0</v>
      </c>
      <c r="GW261" s="3">
        <v>0</v>
      </c>
      <c r="GX261" s="3">
        <v>0</v>
      </c>
      <c r="GY261" s="3">
        <v>0</v>
      </c>
      <c r="GZ261" s="3">
        <v>0</v>
      </c>
      <c r="HA261" s="3">
        <v>0</v>
      </c>
      <c r="HB261" s="3">
        <v>0</v>
      </c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6"/>
      <c r="HT261" s="4">
        <v>0</v>
      </c>
      <c r="HU261" s="3">
        <v>0</v>
      </c>
      <c r="HV261" s="3">
        <v>0</v>
      </c>
      <c r="HW261" s="3">
        <v>0</v>
      </c>
      <c r="HX261" s="3">
        <v>0</v>
      </c>
      <c r="HY261" s="3">
        <v>0</v>
      </c>
      <c r="HZ261" s="3">
        <v>0</v>
      </c>
      <c r="IA261" s="3">
        <v>0</v>
      </c>
      <c r="IB261" s="3">
        <v>0</v>
      </c>
      <c r="IC261" s="3">
        <v>0</v>
      </c>
      <c r="ID261" s="3">
        <v>0</v>
      </c>
      <c r="IE261" s="3">
        <v>0</v>
      </c>
      <c r="IF261" s="3">
        <v>0</v>
      </c>
      <c r="IG261" s="3">
        <v>0</v>
      </c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6"/>
    </row>
    <row r="262" spans="1:258" hidden="1">
      <c r="A262" s="97" t="s">
        <v>1380</v>
      </c>
      <c r="B262" s="98" t="s">
        <v>20</v>
      </c>
      <c r="C262" s="98" t="s">
        <v>589</v>
      </c>
      <c r="D262" s="99" t="s">
        <v>1234</v>
      </c>
      <c r="E262" s="98" t="s">
        <v>634</v>
      </c>
      <c r="F262" s="98" t="s">
        <v>635</v>
      </c>
      <c r="G262" s="98" t="s">
        <v>636</v>
      </c>
      <c r="H262" s="98" t="s">
        <v>1235</v>
      </c>
      <c r="I262" s="98" t="s">
        <v>1235</v>
      </c>
      <c r="J262" s="98" t="s">
        <v>872</v>
      </c>
      <c r="K262" s="98" t="s">
        <v>1127</v>
      </c>
      <c r="L262" s="98" t="s">
        <v>637</v>
      </c>
      <c r="M262" s="98" t="s">
        <v>52</v>
      </c>
      <c r="N262" s="108">
        <v>46074</v>
      </c>
      <c r="O262" s="100">
        <v>0</v>
      </c>
      <c r="P262" s="69">
        <v>0</v>
      </c>
      <c r="Q262" s="69">
        <f t="shared" si="3056"/>
        <v>0</v>
      </c>
      <c r="R262" s="69">
        <f t="shared" si="3057"/>
        <v>0</v>
      </c>
      <c r="S262" s="69">
        <f t="shared" si="3058"/>
        <v>0</v>
      </c>
      <c r="T262" s="69">
        <f t="shared" si="3059"/>
        <v>0</v>
      </c>
      <c r="U262" s="69">
        <f t="shared" si="3060"/>
        <v>0</v>
      </c>
      <c r="V262" s="70">
        <f t="shared" si="3061"/>
        <v>0</v>
      </c>
      <c r="W262" s="71">
        <f t="shared" si="3062"/>
        <v>0</v>
      </c>
      <c r="X262" s="71">
        <f t="shared" si="3063"/>
        <v>0</v>
      </c>
      <c r="Y262" s="71">
        <f t="shared" si="3064"/>
        <v>0</v>
      </c>
      <c r="Z262" s="71">
        <f t="shared" si="3065"/>
        <v>0</v>
      </c>
      <c r="AA262" s="71">
        <f t="shared" si="3066"/>
        <v>0</v>
      </c>
      <c r="AB262" s="71">
        <f t="shared" si="3067"/>
        <v>0</v>
      </c>
      <c r="AC262" s="71">
        <f t="shared" si="3068"/>
        <v>0</v>
      </c>
      <c r="AD262" s="71">
        <f t="shared" si="3069"/>
        <v>0</v>
      </c>
      <c r="AE262" s="71">
        <f t="shared" si="3070"/>
        <v>0</v>
      </c>
      <c r="AF262" s="71">
        <f t="shared" si="3071"/>
        <v>0</v>
      </c>
      <c r="AG262" s="71">
        <f t="shared" si="3072"/>
        <v>0</v>
      </c>
      <c r="AH262" s="71">
        <f t="shared" si="3073"/>
        <v>0</v>
      </c>
      <c r="AI262" s="71">
        <f t="shared" si="3074"/>
        <v>0</v>
      </c>
      <c r="AJ262" s="71">
        <f t="shared" si="3075"/>
        <v>0</v>
      </c>
      <c r="AK262" s="71">
        <f t="shared" si="3076"/>
        <v>0</v>
      </c>
      <c r="AL262" s="71">
        <f t="shared" si="3077"/>
        <v>0</v>
      </c>
      <c r="AM262" s="71">
        <f t="shared" si="3078"/>
        <v>0</v>
      </c>
      <c r="AN262" s="71">
        <f t="shared" si="3079"/>
        <v>0</v>
      </c>
      <c r="AO262" s="71">
        <f t="shared" si="3080"/>
        <v>0</v>
      </c>
      <c r="AP262" s="71">
        <f t="shared" si="3081"/>
        <v>0</v>
      </c>
      <c r="AQ262" s="71">
        <f t="shared" si="3082"/>
        <v>0</v>
      </c>
      <c r="AR262" s="71">
        <f t="shared" si="3083"/>
        <v>0</v>
      </c>
      <c r="AS262" s="71">
        <f t="shared" si="3084"/>
        <v>0</v>
      </c>
      <c r="AT262" s="71">
        <f t="shared" si="3085"/>
        <v>0</v>
      </c>
      <c r="AU262" s="71">
        <f t="shared" si="3086"/>
        <v>0</v>
      </c>
      <c r="AV262" s="71">
        <f t="shared" si="3087"/>
        <v>0</v>
      </c>
      <c r="AW262" s="71">
        <f t="shared" si="3088"/>
        <v>0</v>
      </c>
      <c r="AX262" s="71">
        <f t="shared" si="3089"/>
        <v>0</v>
      </c>
      <c r="AY262" s="71">
        <f t="shared" si="3090"/>
        <v>0</v>
      </c>
      <c r="AZ262" s="72">
        <f t="shared" si="3091"/>
        <v>0</v>
      </c>
      <c r="BA262" s="70">
        <f t="shared" si="3123"/>
        <v>0</v>
      </c>
      <c r="BB262" s="69">
        <f t="shared" ca="1" si="3124"/>
        <v>0</v>
      </c>
      <c r="BC262" s="70">
        <f t="shared" si="3092"/>
        <v>0</v>
      </c>
      <c r="BD262" s="71">
        <f t="shared" si="3093"/>
        <v>0</v>
      </c>
      <c r="BE262" s="71">
        <f t="shared" si="3094"/>
        <v>0</v>
      </c>
      <c r="BF262" s="71">
        <f t="shared" si="3095"/>
        <v>0</v>
      </c>
      <c r="BG262" s="71">
        <f t="shared" si="3096"/>
        <v>0</v>
      </c>
      <c r="BH262" s="71">
        <f t="shared" si="3097"/>
        <v>0</v>
      </c>
      <c r="BI262" s="71">
        <f t="shared" si="3098"/>
        <v>0</v>
      </c>
      <c r="BJ262" s="71">
        <f t="shared" si="3099"/>
        <v>0</v>
      </c>
      <c r="BK262" s="71">
        <f t="shared" si="3100"/>
        <v>0</v>
      </c>
      <c r="BL262" s="71">
        <f t="shared" si="3101"/>
        <v>0</v>
      </c>
      <c r="BM262" s="71">
        <f t="shared" si="3102"/>
        <v>0</v>
      </c>
      <c r="BN262" s="71">
        <f t="shared" si="3103"/>
        <v>0</v>
      </c>
      <c r="BO262" s="71">
        <f t="shared" si="3104"/>
        <v>0</v>
      </c>
      <c r="BP262" s="71">
        <f t="shared" si="3105"/>
        <v>0</v>
      </c>
      <c r="BQ262" s="71">
        <f t="shared" si="3106"/>
        <v>0</v>
      </c>
      <c r="BR262" s="71">
        <f t="shared" si="3107"/>
        <v>0</v>
      </c>
      <c r="BS262" s="71">
        <f t="shared" si="3108"/>
        <v>0</v>
      </c>
      <c r="BT262" s="71">
        <f t="shared" si="3109"/>
        <v>0</v>
      </c>
      <c r="BU262" s="71">
        <f t="shared" si="3110"/>
        <v>0</v>
      </c>
      <c r="BV262" s="71">
        <f t="shared" si="3111"/>
        <v>0</v>
      </c>
      <c r="BW262" s="71">
        <f t="shared" si="3112"/>
        <v>0</v>
      </c>
      <c r="BX262" s="71">
        <f t="shared" si="3113"/>
        <v>0</v>
      </c>
      <c r="BY262" s="71">
        <f t="shared" si="3114"/>
        <v>0</v>
      </c>
      <c r="BZ262" s="71">
        <f t="shared" si="3115"/>
        <v>0</v>
      </c>
      <c r="CA262" s="71">
        <f t="shared" si="3116"/>
        <v>0</v>
      </c>
      <c r="CB262" s="71">
        <f t="shared" si="3117"/>
        <v>0</v>
      </c>
      <c r="CC262" s="71">
        <f t="shared" si="3118"/>
        <v>0</v>
      </c>
      <c r="CD262" s="71">
        <f t="shared" si="3119"/>
        <v>0</v>
      </c>
      <c r="CE262" s="71">
        <f t="shared" si="3120"/>
        <v>0</v>
      </c>
      <c r="CF262" s="71">
        <f t="shared" si="3121"/>
        <v>0</v>
      </c>
      <c r="CG262" s="71">
        <f t="shared" si="3122"/>
        <v>0</v>
      </c>
      <c r="CH262" s="70">
        <f t="shared" si="3125"/>
        <v>0</v>
      </c>
      <c r="CI262" s="69">
        <f t="shared" ca="1" si="3126"/>
        <v>0</v>
      </c>
      <c r="GM262" s="2" t="s">
        <v>16</v>
      </c>
      <c r="GN262" s="98" t="str">
        <f t="shared" si="3053"/>
        <v>SWL01-FMCG-ASM-01</v>
      </c>
      <c r="GO262" s="4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6"/>
      <c r="HT262" s="4">
        <v>0</v>
      </c>
      <c r="HU262" s="3">
        <v>0</v>
      </c>
      <c r="HV262" s="3">
        <v>0</v>
      </c>
      <c r="HW262" s="3">
        <v>0</v>
      </c>
      <c r="HX262" s="3">
        <v>0</v>
      </c>
      <c r="HY262" s="3">
        <v>0</v>
      </c>
      <c r="HZ262" s="3">
        <v>0</v>
      </c>
      <c r="IA262" s="3">
        <v>0</v>
      </c>
      <c r="IB262" s="3">
        <v>0</v>
      </c>
      <c r="IC262" s="3">
        <v>0</v>
      </c>
      <c r="ID262" s="3">
        <v>0</v>
      </c>
      <c r="IE262" s="3">
        <v>0</v>
      </c>
      <c r="IF262" s="3">
        <v>0</v>
      </c>
      <c r="IG262" s="3">
        <v>0</v>
      </c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6"/>
    </row>
    <row r="263" spans="1:258" hidden="1">
      <c r="A263" s="102" t="s">
        <v>53</v>
      </c>
      <c r="B263" s="103" t="s">
        <v>20</v>
      </c>
      <c r="C263" s="103" t="s">
        <v>589</v>
      </c>
      <c r="D263" s="104" t="s">
        <v>1234</v>
      </c>
      <c r="E263" s="103" t="s">
        <v>634</v>
      </c>
      <c r="F263" s="103" t="s">
        <v>635</v>
      </c>
      <c r="G263" s="103" t="s">
        <v>636</v>
      </c>
      <c r="H263" s="103" t="s">
        <v>1235</v>
      </c>
      <c r="I263" s="103" t="s">
        <v>1235</v>
      </c>
      <c r="J263" s="103" t="s">
        <v>872</v>
      </c>
      <c r="K263" s="103" t="s">
        <v>1127</v>
      </c>
      <c r="L263" s="103" t="s">
        <v>637</v>
      </c>
      <c r="M263" s="103" t="s">
        <v>52</v>
      </c>
      <c r="N263" s="119">
        <v>46074</v>
      </c>
      <c r="O263" s="105">
        <f>O261+O260+O259+O258+O257</f>
        <v>4</v>
      </c>
      <c r="P263" s="73">
        <f>P261+P260+P259+P258+P257</f>
        <v>0</v>
      </c>
      <c r="Q263" s="73">
        <f t="shared" si="3056"/>
        <v>1</v>
      </c>
      <c r="R263" s="73">
        <f t="shared" ref="R263:AZ263" si="3127">R261+R260+R259+R258+R257</f>
        <v>4</v>
      </c>
      <c r="S263" s="73">
        <f t="shared" si="3127"/>
        <v>0</v>
      </c>
      <c r="T263" s="73">
        <f t="shared" si="3127"/>
        <v>4</v>
      </c>
      <c r="U263" s="73">
        <f t="shared" si="3127"/>
        <v>4</v>
      </c>
      <c r="V263" s="74">
        <f t="shared" si="3127"/>
        <v>4</v>
      </c>
      <c r="W263" s="75">
        <f t="shared" si="3127"/>
        <v>0</v>
      </c>
      <c r="X263" s="75">
        <f t="shared" si="3127"/>
        <v>4</v>
      </c>
      <c r="Y263" s="75">
        <f t="shared" si="3127"/>
        <v>4</v>
      </c>
      <c r="Z263" s="75">
        <f t="shared" si="3127"/>
        <v>4</v>
      </c>
      <c r="AA263" s="75">
        <f t="shared" si="3127"/>
        <v>4</v>
      </c>
      <c r="AB263" s="75">
        <f t="shared" si="3127"/>
        <v>4</v>
      </c>
      <c r="AC263" s="75">
        <f t="shared" si="3127"/>
        <v>4</v>
      </c>
      <c r="AD263" s="75">
        <f t="shared" si="3127"/>
        <v>0</v>
      </c>
      <c r="AE263" s="75">
        <f t="shared" si="3127"/>
        <v>3</v>
      </c>
      <c r="AF263" s="75">
        <f t="shared" si="3127"/>
        <v>4</v>
      </c>
      <c r="AG263" s="75">
        <f t="shared" si="3127"/>
        <v>4</v>
      </c>
      <c r="AH263" s="75">
        <f t="shared" si="3127"/>
        <v>4</v>
      </c>
      <c r="AI263" s="75">
        <f t="shared" si="3127"/>
        <v>4</v>
      </c>
      <c r="AJ263" s="75">
        <f t="shared" si="3127"/>
        <v>0</v>
      </c>
      <c r="AK263" s="75">
        <f t="shared" si="3127"/>
        <v>0</v>
      </c>
      <c r="AL263" s="75">
        <f t="shared" si="3127"/>
        <v>0</v>
      </c>
      <c r="AM263" s="75">
        <f t="shared" si="3127"/>
        <v>0</v>
      </c>
      <c r="AN263" s="75">
        <f t="shared" si="3127"/>
        <v>0</v>
      </c>
      <c r="AO263" s="75">
        <f t="shared" si="3127"/>
        <v>0</v>
      </c>
      <c r="AP263" s="75">
        <f t="shared" si="3127"/>
        <v>0</v>
      </c>
      <c r="AQ263" s="75">
        <f t="shared" si="3127"/>
        <v>0</v>
      </c>
      <c r="AR263" s="75">
        <f t="shared" si="3127"/>
        <v>0</v>
      </c>
      <c r="AS263" s="75">
        <f t="shared" si="3127"/>
        <v>0</v>
      </c>
      <c r="AT263" s="75">
        <f t="shared" si="3127"/>
        <v>0</v>
      </c>
      <c r="AU263" s="75">
        <f t="shared" si="3127"/>
        <v>0</v>
      </c>
      <c r="AV263" s="75">
        <f t="shared" si="3127"/>
        <v>0</v>
      </c>
      <c r="AW263" s="75">
        <f t="shared" si="3127"/>
        <v>0</v>
      </c>
      <c r="AX263" s="75">
        <f t="shared" si="3127"/>
        <v>0</v>
      </c>
      <c r="AY263" s="75">
        <f t="shared" si="3127"/>
        <v>0</v>
      </c>
      <c r="AZ263" s="76">
        <f t="shared" si="3127"/>
        <v>0</v>
      </c>
      <c r="BA263" s="74">
        <f t="shared" si="3123"/>
        <v>47</v>
      </c>
      <c r="BB263" s="73">
        <f t="shared" ca="1" si="3124"/>
        <v>0.90384615384615385</v>
      </c>
      <c r="BC263" s="74">
        <f>BC261+BC260+BC259+BC258+BC257</f>
        <v>86</v>
      </c>
      <c r="BD263" s="75">
        <f>BD261+BD260+BD259+BD258+BD257</f>
        <v>0</v>
      </c>
      <c r="BE263" s="75">
        <f t="shared" ref="BE263:CG263" si="3128">BE261+BE260+BE259+BE258+BE257</f>
        <v>80</v>
      </c>
      <c r="BF263" s="75">
        <f t="shared" si="3128"/>
        <v>165</v>
      </c>
      <c r="BG263" s="75">
        <f t="shared" si="3128"/>
        <v>104</v>
      </c>
      <c r="BH263" s="75">
        <f t="shared" si="3128"/>
        <v>96</v>
      </c>
      <c r="BI263" s="75">
        <f t="shared" si="3128"/>
        <v>142</v>
      </c>
      <c r="BJ263" s="75">
        <f t="shared" si="3128"/>
        <v>122</v>
      </c>
      <c r="BK263" s="75">
        <f t="shared" si="3128"/>
        <v>0</v>
      </c>
      <c r="BL263" s="75">
        <f t="shared" si="3128"/>
        <v>84</v>
      </c>
      <c r="BM263" s="75">
        <f t="shared" si="3128"/>
        <v>83</v>
      </c>
      <c r="BN263" s="75">
        <f t="shared" si="3128"/>
        <v>103</v>
      </c>
      <c r="BO263" s="75">
        <f t="shared" si="3128"/>
        <v>154</v>
      </c>
      <c r="BP263" s="75">
        <f t="shared" si="3128"/>
        <v>0</v>
      </c>
      <c r="BQ263" s="75">
        <f t="shared" si="3128"/>
        <v>0</v>
      </c>
      <c r="BR263" s="75">
        <f t="shared" si="3128"/>
        <v>0</v>
      </c>
      <c r="BS263" s="75">
        <f t="shared" si="3128"/>
        <v>0</v>
      </c>
      <c r="BT263" s="75">
        <f t="shared" si="3128"/>
        <v>0</v>
      </c>
      <c r="BU263" s="75">
        <f t="shared" si="3128"/>
        <v>0</v>
      </c>
      <c r="BV263" s="75">
        <f t="shared" si="3128"/>
        <v>0</v>
      </c>
      <c r="BW263" s="75">
        <f t="shared" si="3128"/>
        <v>0</v>
      </c>
      <c r="BX263" s="75">
        <f t="shared" si="3128"/>
        <v>0</v>
      </c>
      <c r="BY263" s="75">
        <f t="shared" si="3128"/>
        <v>0</v>
      </c>
      <c r="BZ263" s="75">
        <f t="shared" si="3128"/>
        <v>0</v>
      </c>
      <c r="CA263" s="75">
        <f t="shared" si="3128"/>
        <v>0</v>
      </c>
      <c r="CB263" s="75">
        <f t="shared" si="3128"/>
        <v>0</v>
      </c>
      <c r="CC263" s="75">
        <f t="shared" si="3128"/>
        <v>0</v>
      </c>
      <c r="CD263" s="75">
        <f t="shared" si="3128"/>
        <v>0</v>
      </c>
      <c r="CE263" s="75">
        <f t="shared" si="3128"/>
        <v>0</v>
      </c>
      <c r="CF263" s="75">
        <f t="shared" si="3128"/>
        <v>0</v>
      </c>
      <c r="CG263" s="75">
        <f t="shared" si="3128"/>
        <v>0</v>
      </c>
      <c r="CH263" s="74">
        <f t="shared" si="3125"/>
        <v>1219</v>
      </c>
      <c r="CI263" s="73">
        <f t="shared" ca="1" si="3126"/>
        <v>23.442307692307693</v>
      </c>
      <c r="GM263" s="2" t="s">
        <v>17</v>
      </c>
      <c r="GN263" s="103" t="str">
        <f t="shared" si="3053"/>
        <v>SWL01-FMCG-ASM-01</v>
      </c>
      <c r="GO263" s="4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0</v>
      </c>
      <c r="GU263" s="3">
        <v>0</v>
      </c>
      <c r="GV263" s="3">
        <v>0</v>
      </c>
      <c r="GW263" s="3">
        <v>0</v>
      </c>
      <c r="GX263" s="3">
        <v>0</v>
      </c>
      <c r="GY263" s="3">
        <v>0</v>
      </c>
      <c r="GZ263" s="3">
        <v>0</v>
      </c>
      <c r="HA263" s="3">
        <v>0</v>
      </c>
      <c r="HB263" s="3">
        <v>0</v>
      </c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6"/>
      <c r="HT263" s="4">
        <v>0</v>
      </c>
      <c r="HU263" s="3">
        <v>0</v>
      </c>
      <c r="HV263" s="3">
        <v>0</v>
      </c>
      <c r="HW263" s="3">
        <v>0</v>
      </c>
      <c r="HX263" s="3">
        <v>0</v>
      </c>
      <c r="HY263" s="3">
        <v>0</v>
      </c>
      <c r="HZ263" s="3">
        <v>0</v>
      </c>
      <c r="IA263" s="3">
        <v>0</v>
      </c>
      <c r="IB263" s="3">
        <v>0</v>
      </c>
      <c r="IC263" s="3">
        <v>0</v>
      </c>
      <c r="ID263" s="3">
        <v>0</v>
      </c>
      <c r="IE263" s="3">
        <v>0</v>
      </c>
      <c r="IF263" s="3">
        <v>0</v>
      </c>
      <c r="IG263" s="3">
        <v>0</v>
      </c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6"/>
    </row>
    <row r="264" spans="1:258" hidden="1">
      <c r="A264" s="97" t="s">
        <v>25</v>
      </c>
      <c r="B264" s="98" t="s">
        <v>26</v>
      </c>
      <c r="C264" s="98" t="s">
        <v>589</v>
      </c>
      <c r="D264" s="99" t="s">
        <v>1236</v>
      </c>
      <c r="E264" s="98" t="s">
        <v>638</v>
      </c>
      <c r="F264" s="98" t="s">
        <v>639</v>
      </c>
      <c r="G264" s="98" t="s">
        <v>640</v>
      </c>
      <c r="H264" s="98" t="s">
        <v>1582</v>
      </c>
      <c r="I264" s="98" t="s">
        <v>1582</v>
      </c>
      <c r="J264" s="98" t="s">
        <v>1237</v>
      </c>
      <c r="K264" s="98" t="s">
        <v>1127</v>
      </c>
      <c r="L264" s="98" t="s">
        <v>641</v>
      </c>
      <c r="M264" s="101" t="s">
        <v>1093</v>
      </c>
      <c r="N264" s="139">
        <v>46035</v>
      </c>
      <c r="O264" s="100">
        <v>1</v>
      </c>
      <c r="P264" s="69">
        <v>0</v>
      </c>
      <c r="Q264" s="69">
        <f t="shared" si="3056"/>
        <v>1</v>
      </c>
      <c r="R264" s="69">
        <f t="shared" ref="R264:R269" si="3129">IFERROR(IF(OR(BA264&gt;0),1,0),0)</f>
        <v>1</v>
      </c>
      <c r="S264" s="69">
        <f t="shared" ref="S264:S269" si="3130">IFERROR(IF(OR(BP264&gt;0),1,0),0)</f>
        <v>0</v>
      </c>
      <c r="T264" s="69">
        <f t="shared" ref="T264:T269" si="3131">IFERROR(IF(OR(CH264&gt;0),1,0),0)</f>
        <v>1</v>
      </c>
      <c r="U264" s="69">
        <f t="shared" ref="U264:U269" si="3132">IFERROR(IF(OR(BA264&gt;0,CH264&gt;0),1,0),0)</f>
        <v>1</v>
      </c>
      <c r="V264" s="70">
        <f t="shared" ref="V264:V269" si="3133">GO264</f>
        <v>1</v>
      </c>
      <c r="W264" s="71">
        <f t="shared" ref="W264:W269" si="3134">GP264</f>
        <v>0</v>
      </c>
      <c r="X264" s="71">
        <f t="shared" ref="X264:X269" si="3135">GQ264</f>
        <v>1</v>
      </c>
      <c r="Y264" s="71">
        <f t="shared" ref="Y264:Y269" si="3136">GR264</f>
        <v>1</v>
      </c>
      <c r="Z264" s="71">
        <f t="shared" ref="Z264:Z269" si="3137">GS264</f>
        <v>1</v>
      </c>
      <c r="AA264" s="71">
        <f t="shared" ref="AA264:AA269" si="3138">GT264</f>
        <v>1</v>
      </c>
      <c r="AB264" s="71">
        <f t="shared" ref="AB264:AB269" si="3139">GU264</f>
        <v>1</v>
      </c>
      <c r="AC264" s="71">
        <f t="shared" ref="AC264:AC269" si="3140">GV264</f>
        <v>1</v>
      </c>
      <c r="AD264" s="71">
        <f t="shared" ref="AD264:AD269" si="3141">GW264</f>
        <v>0</v>
      </c>
      <c r="AE264" s="71">
        <f t="shared" ref="AE264:AE269" si="3142">GX264</f>
        <v>1</v>
      </c>
      <c r="AF264" s="71">
        <f t="shared" ref="AF264:AF269" si="3143">GY264</f>
        <v>1</v>
      </c>
      <c r="AG264" s="71">
        <f t="shared" ref="AG264:AG269" si="3144">GZ264</f>
        <v>1</v>
      </c>
      <c r="AH264" s="71">
        <f t="shared" ref="AH264:AH269" si="3145">HA264</f>
        <v>1</v>
      </c>
      <c r="AI264" s="71">
        <f t="shared" ref="AI264:AI269" si="3146">HB264</f>
        <v>1</v>
      </c>
      <c r="AJ264" s="71">
        <f t="shared" ref="AJ264:AJ269" si="3147">HC264</f>
        <v>0</v>
      </c>
      <c r="AK264" s="71">
        <f t="shared" ref="AK264:AK269" si="3148">HD264</f>
        <v>0</v>
      </c>
      <c r="AL264" s="71">
        <f t="shared" ref="AL264:AL269" si="3149">HE264</f>
        <v>0</v>
      </c>
      <c r="AM264" s="71">
        <f t="shared" ref="AM264:AM269" si="3150">HF264</f>
        <v>0</v>
      </c>
      <c r="AN264" s="71">
        <f t="shared" ref="AN264:AN269" si="3151">HG264</f>
        <v>0</v>
      </c>
      <c r="AO264" s="71">
        <f t="shared" ref="AO264:AO269" si="3152">HH264</f>
        <v>0</v>
      </c>
      <c r="AP264" s="71">
        <f t="shared" ref="AP264:AP269" si="3153">HI264</f>
        <v>0</v>
      </c>
      <c r="AQ264" s="71">
        <f t="shared" ref="AQ264:AQ269" si="3154">HJ264</f>
        <v>0</v>
      </c>
      <c r="AR264" s="71">
        <f t="shared" ref="AR264:AR269" si="3155">HK264</f>
        <v>0</v>
      </c>
      <c r="AS264" s="71">
        <f t="shared" ref="AS264:AS269" si="3156">HL264</f>
        <v>0</v>
      </c>
      <c r="AT264" s="71">
        <f t="shared" ref="AT264:AT269" si="3157">HM264</f>
        <v>0</v>
      </c>
      <c r="AU264" s="71">
        <f t="shared" ref="AU264:AU269" si="3158">HN264</f>
        <v>0</v>
      </c>
      <c r="AV264" s="71">
        <f t="shared" ref="AV264:AV269" si="3159">HO264</f>
        <v>0</v>
      </c>
      <c r="AW264" s="71">
        <f t="shared" ref="AW264:AW269" si="3160">HP264</f>
        <v>0</v>
      </c>
      <c r="AX264" s="71">
        <f t="shared" ref="AX264:AX269" si="3161">HQ264</f>
        <v>0</v>
      </c>
      <c r="AY264" s="71">
        <f t="shared" ref="AY264:AY269" si="3162">HR264</f>
        <v>0</v>
      </c>
      <c r="AZ264" s="72">
        <f t="shared" ref="AZ264:AZ269" si="3163">HS264</f>
        <v>0</v>
      </c>
      <c r="BA264" s="70">
        <f t="shared" si="3123"/>
        <v>12</v>
      </c>
      <c r="BB264" s="69">
        <f t="shared" ca="1" si="3124"/>
        <v>0.92307692307692313</v>
      </c>
      <c r="BC264" s="70">
        <f t="shared" ref="BC264:BC269" si="3164">HT264</f>
        <v>1</v>
      </c>
      <c r="BD264" s="71">
        <f t="shared" ref="BD264:BD269" si="3165">HU264</f>
        <v>0</v>
      </c>
      <c r="BE264" s="71">
        <f t="shared" ref="BE264:BE269" si="3166">HV264</f>
        <v>0</v>
      </c>
      <c r="BF264" s="71">
        <f t="shared" ref="BF264:BF269" si="3167">HW264</f>
        <v>0</v>
      </c>
      <c r="BG264" s="71">
        <f t="shared" ref="BG264:BG269" si="3168">HX264</f>
        <v>0</v>
      </c>
      <c r="BH264" s="71">
        <f t="shared" ref="BH264:BH269" si="3169">HY264</f>
        <v>0</v>
      </c>
      <c r="BI264" s="71">
        <f t="shared" ref="BI264:BI269" si="3170">HZ264</f>
        <v>0</v>
      </c>
      <c r="BJ264" s="71">
        <f t="shared" ref="BJ264:BJ269" si="3171">IA264</f>
        <v>0</v>
      </c>
      <c r="BK264" s="71">
        <f t="shared" ref="BK264:BK269" si="3172">IB264</f>
        <v>0</v>
      </c>
      <c r="BL264" s="71">
        <f t="shared" ref="BL264:BL269" si="3173">IC264</f>
        <v>0</v>
      </c>
      <c r="BM264" s="71">
        <f t="shared" ref="BM264:BM269" si="3174">ID264</f>
        <v>18</v>
      </c>
      <c r="BN264" s="71">
        <f t="shared" ref="BN264:BN269" si="3175">IE264</f>
        <v>0</v>
      </c>
      <c r="BO264" s="71">
        <f t="shared" ref="BO264:BO269" si="3176">IF264</f>
        <v>9</v>
      </c>
      <c r="BP264" s="71">
        <f t="shared" ref="BP264:BP269" si="3177">IG264</f>
        <v>0</v>
      </c>
      <c r="BQ264" s="71">
        <f t="shared" ref="BQ264:BQ269" si="3178">IH264</f>
        <v>0</v>
      </c>
      <c r="BR264" s="71">
        <f t="shared" ref="BR264:BR269" si="3179">II264</f>
        <v>0</v>
      </c>
      <c r="BS264" s="71">
        <f t="shared" ref="BS264:BS269" si="3180">IJ264</f>
        <v>0</v>
      </c>
      <c r="BT264" s="71">
        <f t="shared" ref="BT264:BT269" si="3181">IK264</f>
        <v>0</v>
      </c>
      <c r="BU264" s="71">
        <f t="shared" ref="BU264:BU269" si="3182">IL264</f>
        <v>0</v>
      </c>
      <c r="BV264" s="71">
        <f t="shared" ref="BV264:BV269" si="3183">IM264</f>
        <v>0</v>
      </c>
      <c r="BW264" s="71">
        <f t="shared" ref="BW264:BW269" si="3184">IN264</f>
        <v>0</v>
      </c>
      <c r="BX264" s="71">
        <f t="shared" ref="BX264:BX269" si="3185">IO264</f>
        <v>0</v>
      </c>
      <c r="BY264" s="71">
        <f t="shared" ref="BY264:BY269" si="3186">IP264</f>
        <v>0</v>
      </c>
      <c r="BZ264" s="71">
        <f t="shared" ref="BZ264:BZ269" si="3187">IQ264</f>
        <v>0</v>
      </c>
      <c r="CA264" s="71">
        <f t="shared" ref="CA264:CA269" si="3188">IR264</f>
        <v>0</v>
      </c>
      <c r="CB264" s="71">
        <f t="shared" ref="CB264:CB269" si="3189">IS264</f>
        <v>0</v>
      </c>
      <c r="CC264" s="71">
        <f t="shared" ref="CC264:CC269" si="3190">IT264</f>
        <v>0</v>
      </c>
      <c r="CD264" s="71">
        <f t="shared" ref="CD264:CD269" si="3191">IU264</f>
        <v>0</v>
      </c>
      <c r="CE264" s="71">
        <f t="shared" ref="CE264:CE269" si="3192">IV264</f>
        <v>0</v>
      </c>
      <c r="CF264" s="71">
        <f t="shared" ref="CF264:CF269" si="3193">IW264</f>
        <v>0</v>
      </c>
      <c r="CG264" s="71">
        <f t="shared" ref="CG264:CG269" si="3194">IX264</f>
        <v>0</v>
      </c>
      <c r="CH264" s="70">
        <f t="shared" si="3125"/>
        <v>28</v>
      </c>
      <c r="CI264" s="69">
        <f t="shared" ca="1" si="3126"/>
        <v>2.1538461538461537</v>
      </c>
      <c r="GM264" s="2" t="s">
        <v>16</v>
      </c>
      <c r="GN264" s="98" t="str">
        <f t="shared" si="3053"/>
        <v>BWN01-FMCG01-SPO-01</v>
      </c>
      <c r="GO264" s="4">
        <v>1</v>
      </c>
      <c r="GP264" s="3">
        <v>0</v>
      </c>
      <c r="GQ264" s="3">
        <v>1</v>
      </c>
      <c r="GR264" s="3">
        <v>1</v>
      </c>
      <c r="GS264" s="3">
        <v>1</v>
      </c>
      <c r="GT264" s="3">
        <v>1</v>
      </c>
      <c r="GU264" s="3">
        <v>1</v>
      </c>
      <c r="GV264" s="3">
        <v>1</v>
      </c>
      <c r="GW264" s="3">
        <v>0</v>
      </c>
      <c r="GX264" s="3">
        <v>1</v>
      </c>
      <c r="GY264" s="3">
        <v>1</v>
      </c>
      <c r="GZ264" s="3">
        <v>1</v>
      </c>
      <c r="HA264" s="3">
        <v>1</v>
      </c>
      <c r="HB264" s="3">
        <v>1</v>
      </c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6"/>
      <c r="HT264" s="4">
        <v>1</v>
      </c>
      <c r="HU264" s="3">
        <v>0</v>
      </c>
      <c r="HV264" s="3">
        <v>0</v>
      </c>
      <c r="HW264" s="3">
        <v>0</v>
      </c>
      <c r="HX264" s="3">
        <v>0</v>
      </c>
      <c r="HY264" s="3">
        <v>0</v>
      </c>
      <c r="HZ264" s="3">
        <v>0</v>
      </c>
      <c r="IA264" s="3">
        <v>0</v>
      </c>
      <c r="IB264" s="3">
        <v>0</v>
      </c>
      <c r="IC264" s="3">
        <v>0</v>
      </c>
      <c r="ID264" s="3">
        <v>18</v>
      </c>
      <c r="IE264" s="3">
        <v>0</v>
      </c>
      <c r="IF264" s="3">
        <v>9</v>
      </c>
      <c r="IG264" s="3">
        <v>0</v>
      </c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6"/>
    </row>
    <row r="265" spans="1:258" hidden="1">
      <c r="A265" s="106" t="s">
        <v>25</v>
      </c>
      <c r="B265" s="101" t="s">
        <v>26</v>
      </c>
      <c r="C265" s="98" t="s">
        <v>589</v>
      </c>
      <c r="D265" s="107" t="s">
        <v>1236</v>
      </c>
      <c r="E265" s="101" t="s">
        <v>642</v>
      </c>
      <c r="F265" s="101" t="s">
        <v>643</v>
      </c>
      <c r="G265" s="98" t="s">
        <v>644</v>
      </c>
      <c r="H265" s="101" t="s">
        <v>1583</v>
      </c>
      <c r="I265" s="101" t="s">
        <v>1583</v>
      </c>
      <c r="J265" s="101" t="s">
        <v>936</v>
      </c>
      <c r="K265" s="101" t="s">
        <v>179</v>
      </c>
      <c r="L265" s="101" t="s">
        <v>645</v>
      </c>
      <c r="M265" s="101" t="s">
        <v>1093</v>
      </c>
      <c r="N265" s="139">
        <v>45494</v>
      </c>
      <c r="O265" s="100">
        <v>1</v>
      </c>
      <c r="P265" s="69">
        <v>0</v>
      </c>
      <c r="Q265" s="69">
        <f t="shared" si="3056"/>
        <v>1</v>
      </c>
      <c r="R265" s="69">
        <f t="shared" si="3129"/>
        <v>1</v>
      </c>
      <c r="S265" s="69">
        <f t="shared" si="3130"/>
        <v>0</v>
      </c>
      <c r="T265" s="69">
        <f t="shared" si="3131"/>
        <v>1</v>
      </c>
      <c r="U265" s="69">
        <f t="shared" si="3132"/>
        <v>1</v>
      </c>
      <c r="V265" s="70">
        <f t="shared" si="3133"/>
        <v>1</v>
      </c>
      <c r="W265" s="71">
        <f t="shared" si="3134"/>
        <v>0</v>
      </c>
      <c r="X265" s="71">
        <f t="shared" si="3135"/>
        <v>1</v>
      </c>
      <c r="Y265" s="71">
        <f t="shared" si="3136"/>
        <v>1</v>
      </c>
      <c r="Z265" s="71">
        <f t="shared" si="3137"/>
        <v>1</v>
      </c>
      <c r="AA265" s="71">
        <f t="shared" si="3138"/>
        <v>1</v>
      </c>
      <c r="AB265" s="71">
        <f t="shared" si="3139"/>
        <v>1</v>
      </c>
      <c r="AC265" s="71">
        <f t="shared" si="3140"/>
        <v>1</v>
      </c>
      <c r="AD265" s="71">
        <f t="shared" si="3141"/>
        <v>0</v>
      </c>
      <c r="AE265" s="71">
        <f t="shared" si="3142"/>
        <v>1</v>
      </c>
      <c r="AF265" s="71">
        <f t="shared" si="3143"/>
        <v>1</v>
      </c>
      <c r="AG265" s="71">
        <f t="shared" si="3144"/>
        <v>1</v>
      </c>
      <c r="AH265" s="71">
        <f t="shared" si="3145"/>
        <v>1</v>
      </c>
      <c r="AI265" s="71">
        <f t="shared" si="3146"/>
        <v>1</v>
      </c>
      <c r="AJ265" s="71">
        <f t="shared" si="3147"/>
        <v>0</v>
      </c>
      <c r="AK265" s="71">
        <f t="shared" si="3148"/>
        <v>0</v>
      </c>
      <c r="AL265" s="71">
        <f t="shared" si="3149"/>
        <v>0</v>
      </c>
      <c r="AM265" s="71">
        <f t="shared" si="3150"/>
        <v>0</v>
      </c>
      <c r="AN265" s="71">
        <f t="shared" si="3151"/>
        <v>0</v>
      </c>
      <c r="AO265" s="71">
        <f t="shared" si="3152"/>
        <v>0</v>
      </c>
      <c r="AP265" s="71">
        <f t="shared" si="3153"/>
        <v>0</v>
      </c>
      <c r="AQ265" s="71">
        <f t="shared" si="3154"/>
        <v>0</v>
      </c>
      <c r="AR265" s="71">
        <f t="shared" si="3155"/>
        <v>0</v>
      </c>
      <c r="AS265" s="71">
        <f t="shared" si="3156"/>
        <v>0</v>
      </c>
      <c r="AT265" s="71">
        <f t="shared" si="3157"/>
        <v>0</v>
      </c>
      <c r="AU265" s="71">
        <f t="shared" si="3158"/>
        <v>0</v>
      </c>
      <c r="AV265" s="71">
        <f t="shared" si="3159"/>
        <v>0</v>
      </c>
      <c r="AW265" s="71">
        <f t="shared" si="3160"/>
        <v>0</v>
      </c>
      <c r="AX265" s="71">
        <f t="shared" si="3161"/>
        <v>0</v>
      </c>
      <c r="AY265" s="71">
        <f t="shared" si="3162"/>
        <v>0</v>
      </c>
      <c r="AZ265" s="72">
        <f t="shared" si="3163"/>
        <v>0</v>
      </c>
      <c r="BA265" s="70">
        <f t="shared" si="3123"/>
        <v>12</v>
      </c>
      <c r="BB265" s="69">
        <f t="shared" ca="1" si="3124"/>
        <v>0.92307692307692313</v>
      </c>
      <c r="BC265" s="70">
        <f t="shared" si="3164"/>
        <v>19</v>
      </c>
      <c r="BD265" s="71">
        <f t="shared" si="3165"/>
        <v>0</v>
      </c>
      <c r="BE265" s="71">
        <f t="shared" si="3166"/>
        <v>10</v>
      </c>
      <c r="BF265" s="71">
        <f t="shared" si="3167"/>
        <v>0</v>
      </c>
      <c r="BG265" s="71">
        <f t="shared" si="3168"/>
        <v>12</v>
      </c>
      <c r="BH265" s="71">
        <f t="shared" si="3169"/>
        <v>41</v>
      </c>
      <c r="BI265" s="71">
        <f t="shared" si="3170"/>
        <v>42</v>
      </c>
      <c r="BJ265" s="71">
        <f t="shared" si="3171"/>
        <v>43</v>
      </c>
      <c r="BK265" s="71">
        <f t="shared" si="3172"/>
        <v>0</v>
      </c>
      <c r="BL265" s="71">
        <f t="shared" si="3173"/>
        <v>0</v>
      </c>
      <c r="BM265" s="71">
        <f t="shared" si="3174"/>
        <v>38</v>
      </c>
      <c r="BN265" s="71">
        <f t="shared" si="3175"/>
        <v>6</v>
      </c>
      <c r="BO265" s="71">
        <f t="shared" si="3176"/>
        <v>0</v>
      </c>
      <c r="BP265" s="71">
        <f t="shared" si="3177"/>
        <v>0</v>
      </c>
      <c r="BQ265" s="71">
        <f t="shared" si="3178"/>
        <v>0</v>
      </c>
      <c r="BR265" s="71">
        <f t="shared" si="3179"/>
        <v>0</v>
      </c>
      <c r="BS265" s="71">
        <f t="shared" si="3180"/>
        <v>0</v>
      </c>
      <c r="BT265" s="71">
        <f t="shared" si="3181"/>
        <v>0</v>
      </c>
      <c r="BU265" s="71">
        <f t="shared" si="3182"/>
        <v>0</v>
      </c>
      <c r="BV265" s="71">
        <f t="shared" si="3183"/>
        <v>0</v>
      </c>
      <c r="BW265" s="71">
        <f t="shared" si="3184"/>
        <v>0</v>
      </c>
      <c r="BX265" s="71">
        <f t="shared" si="3185"/>
        <v>0</v>
      </c>
      <c r="BY265" s="71">
        <f t="shared" si="3186"/>
        <v>0</v>
      </c>
      <c r="BZ265" s="71">
        <f t="shared" si="3187"/>
        <v>0</v>
      </c>
      <c r="CA265" s="71">
        <f t="shared" si="3188"/>
        <v>0</v>
      </c>
      <c r="CB265" s="71">
        <f t="shared" si="3189"/>
        <v>0</v>
      </c>
      <c r="CC265" s="71">
        <f t="shared" si="3190"/>
        <v>0</v>
      </c>
      <c r="CD265" s="71">
        <f t="shared" si="3191"/>
        <v>0</v>
      </c>
      <c r="CE265" s="71">
        <f t="shared" si="3192"/>
        <v>0</v>
      </c>
      <c r="CF265" s="71">
        <f t="shared" si="3193"/>
        <v>0</v>
      </c>
      <c r="CG265" s="71">
        <f t="shared" si="3194"/>
        <v>0</v>
      </c>
      <c r="CH265" s="70">
        <f t="shared" si="3125"/>
        <v>211</v>
      </c>
      <c r="CI265" s="69">
        <f t="shared" ca="1" si="3126"/>
        <v>16.23076923076923</v>
      </c>
      <c r="GM265" s="2" t="s">
        <v>16</v>
      </c>
      <c r="GN265" s="101" t="str">
        <f t="shared" si="3053"/>
        <v>BWN01-FMCG01-SPO-02</v>
      </c>
      <c r="GO265" s="4">
        <v>1</v>
      </c>
      <c r="GP265" s="3">
        <v>0</v>
      </c>
      <c r="GQ265" s="3">
        <v>1</v>
      </c>
      <c r="GR265" s="3">
        <v>1</v>
      </c>
      <c r="GS265" s="3">
        <v>1</v>
      </c>
      <c r="GT265" s="3">
        <v>1</v>
      </c>
      <c r="GU265" s="3">
        <v>1</v>
      </c>
      <c r="GV265" s="3">
        <v>1</v>
      </c>
      <c r="GW265" s="3">
        <v>0</v>
      </c>
      <c r="GX265" s="3">
        <v>1</v>
      </c>
      <c r="GY265" s="3">
        <v>1</v>
      </c>
      <c r="GZ265" s="3">
        <v>1</v>
      </c>
      <c r="HA265" s="3">
        <v>1</v>
      </c>
      <c r="HB265" s="3">
        <v>1</v>
      </c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6"/>
      <c r="HT265" s="4">
        <v>19</v>
      </c>
      <c r="HU265" s="3">
        <v>0</v>
      </c>
      <c r="HV265" s="3">
        <v>10</v>
      </c>
      <c r="HW265" s="3">
        <v>0</v>
      </c>
      <c r="HX265" s="3">
        <v>12</v>
      </c>
      <c r="HY265" s="3">
        <v>41</v>
      </c>
      <c r="HZ265" s="3">
        <v>42</v>
      </c>
      <c r="IA265" s="3">
        <v>43</v>
      </c>
      <c r="IB265" s="3">
        <v>0</v>
      </c>
      <c r="IC265" s="3">
        <v>0</v>
      </c>
      <c r="ID265" s="3">
        <v>38</v>
      </c>
      <c r="IE265" s="3">
        <v>6</v>
      </c>
      <c r="IF265" s="3">
        <v>0</v>
      </c>
      <c r="IG265" s="3">
        <v>0</v>
      </c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6"/>
    </row>
    <row r="266" spans="1:258" hidden="1">
      <c r="A266" s="97" t="s">
        <v>25</v>
      </c>
      <c r="B266" s="98" t="s">
        <v>90</v>
      </c>
      <c r="C266" s="98" t="s">
        <v>589</v>
      </c>
      <c r="D266" s="99" t="s">
        <v>1236</v>
      </c>
      <c r="E266" s="98" t="s">
        <v>646</v>
      </c>
      <c r="F266" s="98" t="s">
        <v>647</v>
      </c>
      <c r="G266" s="98" t="s">
        <v>648</v>
      </c>
      <c r="H266" s="98" t="s">
        <v>1584</v>
      </c>
      <c r="I266" s="98" t="s">
        <v>1584</v>
      </c>
      <c r="J266" s="98" t="s">
        <v>1237</v>
      </c>
      <c r="K266" s="98" t="s">
        <v>1127</v>
      </c>
      <c r="L266" s="98" t="s">
        <v>649</v>
      </c>
      <c r="M266" s="101" t="s">
        <v>1093</v>
      </c>
      <c r="N266" s="139">
        <v>45897</v>
      </c>
      <c r="O266" s="100">
        <v>1</v>
      </c>
      <c r="P266" s="69">
        <v>0</v>
      </c>
      <c r="Q266" s="69">
        <f t="shared" si="3056"/>
        <v>1</v>
      </c>
      <c r="R266" s="69">
        <f t="shared" si="3129"/>
        <v>1</v>
      </c>
      <c r="S266" s="69">
        <f t="shared" si="3130"/>
        <v>0</v>
      </c>
      <c r="T266" s="69">
        <f t="shared" si="3131"/>
        <v>0</v>
      </c>
      <c r="U266" s="69">
        <f t="shared" si="3132"/>
        <v>1</v>
      </c>
      <c r="V266" s="70">
        <f t="shared" si="3133"/>
        <v>1</v>
      </c>
      <c r="W266" s="71">
        <f t="shared" si="3134"/>
        <v>0</v>
      </c>
      <c r="X266" s="71">
        <f t="shared" si="3135"/>
        <v>1</v>
      </c>
      <c r="Y266" s="71">
        <f t="shared" si="3136"/>
        <v>1</v>
      </c>
      <c r="Z266" s="71">
        <f t="shared" si="3137"/>
        <v>1</v>
      </c>
      <c r="AA266" s="71">
        <f t="shared" si="3138"/>
        <v>1</v>
      </c>
      <c r="AB266" s="71">
        <f t="shared" si="3139"/>
        <v>0</v>
      </c>
      <c r="AC266" s="71">
        <f t="shared" si="3140"/>
        <v>0</v>
      </c>
      <c r="AD266" s="71">
        <f t="shared" si="3141"/>
        <v>0</v>
      </c>
      <c r="AE266" s="71">
        <f t="shared" si="3142"/>
        <v>1</v>
      </c>
      <c r="AF266" s="71">
        <f t="shared" si="3143"/>
        <v>1</v>
      </c>
      <c r="AG266" s="71">
        <f t="shared" si="3144"/>
        <v>1</v>
      </c>
      <c r="AH266" s="71">
        <f t="shared" si="3145"/>
        <v>1</v>
      </c>
      <c r="AI266" s="71">
        <f t="shared" si="3146"/>
        <v>1</v>
      </c>
      <c r="AJ266" s="71">
        <f t="shared" si="3147"/>
        <v>0</v>
      </c>
      <c r="AK266" s="71">
        <f t="shared" si="3148"/>
        <v>0</v>
      </c>
      <c r="AL266" s="71">
        <f t="shared" si="3149"/>
        <v>0</v>
      </c>
      <c r="AM266" s="71">
        <f t="shared" si="3150"/>
        <v>0</v>
      </c>
      <c r="AN266" s="71">
        <f t="shared" si="3151"/>
        <v>0</v>
      </c>
      <c r="AO266" s="71">
        <f t="shared" si="3152"/>
        <v>0</v>
      </c>
      <c r="AP266" s="71">
        <f t="shared" si="3153"/>
        <v>0</v>
      </c>
      <c r="AQ266" s="71">
        <f t="shared" si="3154"/>
        <v>0</v>
      </c>
      <c r="AR266" s="71">
        <f t="shared" si="3155"/>
        <v>0</v>
      </c>
      <c r="AS266" s="71">
        <f t="shared" si="3156"/>
        <v>0</v>
      </c>
      <c r="AT266" s="71">
        <f t="shared" si="3157"/>
        <v>0</v>
      </c>
      <c r="AU266" s="71">
        <f t="shared" si="3158"/>
        <v>0</v>
      </c>
      <c r="AV266" s="71">
        <f t="shared" si="3159"/>
        <v>0</v>
      </c>
      <c r="AW266" s="71">
        <f t="shared" si="3160"/>
        <v>0</v>
      </c>
      <c r="AX266" s="71">
        <f t="shared" si="3161"/>
        <v>0</v>
      </c>
      <c r="AY266" s="71">
        <f t="shared" si="3162"/>
        <v>0</v>
      </c>
      <c r="AZ266" s="72">
        <f t="shared" si="3163"/>
        <v>0</v>
      </c>
      <c r="BA266" s="70">
        <f t="shared" si="3123"/>
        <v>10</v>
      </c>
      <c r="BB266" s="69">
        <f t="shared" ca="1" si="3124"/>
        <v>0.76923076923076927</v>
      </c>
      <c r="BC266" s="70">
        <f t="shared" si="3164"/>
        <v>0</v>
      </c>
      <c r="BD266" s="71">
        <f t="shared" si="3165"/>
        <v>0</v>
      </c>
      <c r="BE266" s="71">
        <f t="shared" si="3166"/>
        <v>0</v>
      </c>
      <c r="BF266" s="71">
        <f t="shared" si="3167"/>
        <v>0</v>
      </c>
      <c r="BG266" s="71">
        <f t="shared" si="3168"/>
        <v>0</v>
      </c>
      <c r="BH266" s="71">
        <f t="shared" si="3169"/>
        <v>0</v>
      </c>
      <c r="BI266" s="71">
        <f t="shared" si="3170"/>
        <v>0</v>
      </c>
      <c r="BJ266" s="71">
        <f t="shared" si="3171"/>
        <v>0</v>
      </c>
      <c r="BK266" s="71">
        <f t="shared" si="3172"/>
        <v>0</v>
      </c>
      <c r="BL266" s="71">
        <f t="shared" si="3173"/>
        <v>0</v>
      </c>
      <c r="BM266" s="71">
        <f t="shared" si="3174"/>
        <v>0</v>
      </c>
      <c r="BN266" s="71">
        <f t="shared" si="3175"/>
        <v>0</v>
      </c>
      <c r="BO266" s="71">
        <f t="shared" si="3176"/>
        <v>0</v>
      </c>
      <c r="BP266" s="71">
        <f t="shared" si="3177"/>
        <v>0</v>
      </c>
      <c r="BQ266" s="71">
        <f t="shared" si="3178"/>
        <v>0</v>
      </c>
      <c r="BR266" s="71">
        <f t="shared" si="3179"/>
        <v>0</v>
      </c>
      <c r="BS266" s="71">
        <f t="shared" si="3180"/>
        <v>0</v>
      </c>
      <c r="BT266" s="71">
        <f t="shared" si="3181"/>
        <v>0</v>
      </c>
      <c r="BU266" s="71">
        <f t="shared" si="3182"/>
        <v>0</v>
      </c>
      <c r="BV266" s="71">
        <f t="shared" si="3183"/>
        <v>0</v>
      </c>
      <c r="BW266" s="71">
        <f t="shared" si="3184"/>
        <v>0</v>
      </c>
      <c r="BX266" s="71">
        <f t="shared" si="3185"/>
        <v>0</v>
      </c>
      <c r="BY266" s="71">
        <f t="shared" si="3186"/>
        <v>0</v>
      </c>
      <c r="BZ266" s="71">
        <f t="shared" si="3187"/>
        <v>0</v>
      </c>
      <c r="CA266" s="71">
        <f t="shared" si="3188"/>
        <v>0</v>
      </c>
      <c r="CB266" s="71">
        <f t="shared" si="3189"/>
        <v>0</v>
      </c>
      <c r="CC266" s="71">
        <f t="shared" si="3190"/>
        <v>0</v>
      </c>
      <c r="CD266" s="71">
        <f t="shared" si="3191"/>
        <v>0</v>
      </c>
      <c r="CE266" s="71">
        <f t="shared" si="3192"/>
        <v>0</v>
      </c>
      <c r="CF266" s="71">
        <f t="shared" si="3193"/>
        <v>0</v>
      </c>
      <c r="CG266" s="71">
        <f t="shared" si="3194"/>
        <v>0</v>
      </c>
      <c r="CH266" s="70">
        <f t="shared" si="3125"/>
        <v>0</v>
      </c>
      <c r="CI266" s="69">
        <f t="shared" ca="1" si="3126"/>
        <v>0</v>
      </c>
      <c r="GM266" s="2" t="s">
        <v>16</v>
      </c>
      <c r="GN266" s="98" t="str">
        <f t="shared" si="3053"/>
        <v>BWN01-FMCG02-SPO-01</v>
      </c>
      <c r="GO266" s="4">
        <v>1</v>
      </c>
      <c r="GP266" s="3">
        <v>0</v>
      </c>
      <c r="GQ266" s="3">
        <v>1</v>
      </c>
      <c r="GR266" s="3">
        <v>1</v>
      </c>
      <c r="GS266" s="3">
        <v>1</v>
      </c>
      <c r="GT266" s="3">
        <v>1</v>
      </c>
      <c r="GU266" s="3">
        <v>0</v>
      </c>
      <c r="GV266" s="3">
        <v>0</v>
      </c>
      <c r="GW266" s="3">
        <v>0</v>
      </c>
      <c r="GX266" s="3">
        <v>1</v>
      </c>
      <c r="GY266" s="3">
        <v>1</v>
      </c>
      <c r="GZ266" s="3">
        <v>1</v>
      </c>
      <c r="HA266" s="3">
        <v>1</v>
      </c>
      <c r="HB266" s="3">
        <v>1</v>
      </c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6"/>
      <c r="HT266" s="4">
        <v>0</v>
      </c>
      <c r="HU266" s="3">
        <v>0</v>
      </c>
      <c r="HV266" s="3">
        <v>0</v>
      </c>
      <c r="HW266" s="3">
        <v>0</v>
      </c>
      <c r="HX266" s="3">
        <v>0</v>
      </c>
      <c r="HY266" s="3">
        <v>0</v>
      </c>
      <c r="HZ266" s="3">
        <v>0</v>
      </c>
      <c r="IA266" s="3">
        <v>0</v>
      </c>
      <c r="IB266" s="3">
        <v>0</v>
      </c>
      <c r="IC266" s="3">
        <v>0</v>
      </c>
      <c r="ID266" s="3">
        <v>0</v>
      </c>
      <c r="IE266" s="3">
        <v>0</v>
      </c>
      <c r="IF266" s="3">
        <v>0</v>
      </c>
      <c r="IG266" s="3">
        <v>0</v>
      </c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6"/>
    </row>
    <row r="267" spans="1:258" hidden="1">
      <c r="A267" s="97" t="s">
        <v>25</v>
      </c>
      <c r="B267" s="98" t="s">
        <v>20</v>
      </c>
      <c r="C267" s="98" t="s">
        <v>589</v>
      </c>
      <c r="D267" s="99" t="s">
        <v>1236</v>
      </c>
      <c r="E267" s="98" t="s">
        <v>975</v>
      </c>
      <c r="F267" s="98" t="s">
        <v>1073</v>
      </c>
      <c r="G267" s="98" t="s">
        <v>614</v>
      </c>
      <c r="H267" s="98" t="s">
        <v>1585</v>
      </c>
      <c r="I267" s="98" t="s">
        <v>1585</v>
      </c>
      <c r="J267" s="98" t="s">
        <v>936</v>
      </c>
      <c r="K267" s="98" t="s">
        <v>1127</v>
      </c>
      <c r="L267" s="98" t="s">
        <v>615</v>
      </c>
      <c r="M267" s="98" t="s">
        <v>1093</v>
      </c>
      <c r="N267" s="108">
        <v>44228</v>
      </c>
      <c r="O267" s="100">
        <v>1</v>
      </c>
      <c r="P267" s="69">
        <v>0</v>
      </c>
      <c r="Q267" s="69">
        <f t="shared" si="3056"/>
        <v>1</v>
      </c>
      <c r="R267" s="69">
        <f t="shared" si="3129"/>
        <v>1</v>
      </c>
      <c r="S267" s="69">
        <f t="shared" si="3130"/>
        <v>0</v>
      </c>
      <c r="T267" s="69">
        <f t="shared" si="3131"/>
        <v>1</v>
      </c>
      <c r="U267" s="69">
        <f t="shared" si="3132"/>
        <v>1</v>
      </c>
      <c r="V267" s="70">
        <f t="shared" si="3133"/>
        <v>1</v>
      </c>
      <c r="W267" s="71">
        <f t="shared" si="3134"/>
        <v>0</v>
      </c>
      <c r="X267" s="71">
        <f t="shared" si="3135"/>
        <v>1</v>
      </c>
      <c r="Y267" s="71">
        <f t="shared" si="3136"/>
        <v>1</v>
      </c>
      <c r="Z267" s="71">
        <f t="shared" si="3137"/>
        <v>1</v>
      </c>
      <c r="AA267" s="71">
        <f t="shared" si="3138"/>
        <v>1</v>
      </c>
      <c r="AB267" s="71">
        <f t="shared" si="3139"/>
        <v>1</v>
      </c>
      <c r="AC267" s="71">
        <f t="shared" si="3140"/>
        <v>1</v>
      </c>
      <c r="AD267" s="71">
        <f t="shared" si="3141"/>
        <v>0</v>
      </c>
      <c r="AE267" s="71">
        <f t="shared" si="3142"/>
        <v>1</v>
      </c>
      <c r="AF267" s="71">
        <f t="shared" si="3143"/>
        <v>1</v>
      </c>
      <c r="AG267" s="71">
        <f t="shared" si="3144"/>
        <v>1</v>
      </c>
      <c r="AH267" s="71">
        <f t="shared" si="3145"/>
        <v>1</v>
      </c>
      <c r="AI267" s="71">
        <f t="shared" si="3146"/>
        <v>1</v>
      </c>
      <c r="AJ267" s="71">
        <f t="shared" si="3147"/>
        <v>0</v>
      </c>
      <c r="AK267" s="71">
        <f t="shared" si="3148"/>
        <v>0</v>
      </c>
      <c r="AL267" s="71">
        <f t="shared" si="3149"/>
        <v>0</v>
      </c>
      <c r="AM267" s="71">
        <f t="shared" si="3150"/>
        <v>0</v>
      </c>
      <c r="AN267" s="71">
        <f t="shared" si="3151"/>
        <v>0</v>
      </c>
      <c r="AO267" s="71">
        <f t="shared" si="3152"/>
        <v>0</v>
      </c>
      <c r="AP267" s="71">
        <f t="shared" si="3153"/>
        <v>0</v>
      </c>
      <c r="AQ267" s="71">
        <f t="shared" si="3154"/>
        <v>0</v>
      </c>
      <c r="AR267" s="71">
        <f t="shared" si="3155"/>
        <v>0</v>
      </c>
      <c r="AS267" s="71">
        <f t="shared" si="3156"/>
        <v>0</v>
      </c>
      <c r="AT267" s="71">
        <f t="shared" si="3157"/>
        <v>0</v>
      </c>
      <c r="AU267" s="71">
        <f t="shared" si="3158"/>
        <v>0</v>
      </c>
      <c r="AV267" s="71">
        <f t="shared" si="3159"/>
        <v>0</v>
      </c>
      <c r="AW267" s="71">
        <f t="shared" si="3160"/>
        <v>0</v>
      </c>
      <c r="AX267" s="71">
        <f t="shared" si="3161"/>
        <v>0</v>
      </c>
      <c r="AY267" s="71">
        <f t="shared" si="3162"/>
        <v>0</v>
      </c>
      <c r="AZ267" s="72">
        <f t="shared" si="3163"/>
        <v>0</v>
      </c>
      <c r="BA267" s="70">
        <f t="shared" si="3123"/>
        <v>12</v>
      </c>
      <c r="BB267" s="69">
        <f t="shared" ca="1" si="3124"/>
        <v>0.92307692307692313</v>
      </c>
      <c r="BC267" s="70">
        <f t="shared" si="3164"/>
        <v>38</v>
      </c>
      <c r="BD267" s="71">
        <f t="shared" si="3165"/>
        <v>0</v>
      </c>
      <c r="BE267" s="71">
        <f t="shared" si="3166"/>
        <v>20</v>
      </c>
      <c r="BF267" s="71">
        <f t="shared" si="3167"/>
        <v>0</v>
      </c>
      <c r="BG267" s="71">
        <f t="shared" si="3168"/>
        <v>11</v>
      </c>
      <c r="BH267" s="71">
        <f t="shared" si="3169"/>
        <v>40</v>
      </c>
      <c r="BI267" s="71">
        <f t="shared" si="3170"/>
        <v>42</v>
      </c>
      <c r="BJ267" s="71">
        <f t="shared" si="3171"/>
        <v>35</v>
      </c>
      <c r="BK267" s="71">
        <f t="shared" si="3172"/>
        <v>0</v>
      </c>
      <c r="BL267" s="71">
        <f t="shared" si="3173"/>
        <v>0</v>
      </c>
      <c r="BM267" s="71">
        <f t="shared" si="3174"/>
        <v>10</v>
      </c>
      <c r="BN267" s="71">
        <f t="shared" si="3175"/>
        <v>6</v>
      </c>
      <c r="BO267" s="71">
        <f t="shared" si="3176"/>
        <v>0</v>
      </c>
      <c r="BP267" s="71">
        <f t="shared" si="3177"/>
        <v>0</v>
      </c>
      <c r="BQ267" s="71">
        <f t="shared" si="3178"/>
        <v>0</v>
      </c>
      <c r="BR267" s="71">
        <f t="shared" si="3179"/>
        <v>0</v>
      </c>
      <c r="BS267" s="71">
        <f t="shared" si="3180"/>
        <v>0</v>
      </c>
      <c r="BT267" s="71">
        <f t="shared" si="3181"/>
        <v>0</v>
      </c>
      <c r="BU267" s="71">
        <f t="shared" si="3182"/>
        <v>0</v>
      </c>
      <c r="BV267" s="71">
        <f t="shared" si="3183"/>
        <v>0</v>
      </c>
      <c r="BW267" s="71">
        <f t="shared" si="3184"/>
        <v>0</v>
      </c>
      <c r="BX267" s="71">
        <f t="shared" si="3185"/>
        <v>0</v>
      </c>
      <c r="BY267" s="71">
        <f t="shared" si="3186"/>
        <v>0</v>
      </c>
      <c r="BZ267" s="71">
        <f t="shared" si="3187"/>
        <v>0</v>
      </c>
      <c r="CA267" s="71">
        <f t="shared" si="3188"/>
        <v>0</v>
      </c>
      <c r="CB267" s="71">
        <f t="shared" si="3189"/>
        <v>0</v>
      </c>
      <c r="CC267" s="71">
        <f t="shared" si="3190"/>
        <v>0</v>
      </c>
      <c r="CD267" s="71">
        <f t="shared" si="3191"/>
        <v>0</v>
      </c>
      <c r="CE267" s="71">
        <f t="shared" si="3192"/>
        <v>0</v>
      </c>
      <c r="CF267" s="71">
        <f t="shared" si="3193"/>
        <v>0</v>
      </c>
      <c r="CG267" s="71">
        <f t="shared" si="3194"/>
        <v>0</v>
      </c>
      <c r="CH267" s="70">
        <f t="shared" si="3125"/>
        <v>202</v>
      </c>
      <c r="CI267" s="69">
        <f t="shared" ca="1" si="3126"/>
        <v>15.538461538461538</v>
      </c>
      <c r="GM267" s="2" t="s">
        <v>16</v>
      </c>
      <c r="GN267" s="98" t="str">
        <f t="shared" si="3053"/>
        <v>BWN01-FMCG03-SPO-01</v>
      </c>
      <c r="GO267" s="4">
        <v>1</v>
      </c>
      <c r="GP267" s="3">
        <v>0</v>
      </c>
      <c r="GQ267" s="3">
        <v>1</v>
      </c>
      <c r="GR267" s="3">
        <v>1</v>
      </c>
      <c r="GS267" s="3">
        <v>1</v>
      </c>
      <c r="GT267" s="3">
        <v>1</v>
      </c>
      <c r="GU267" s="3">
        <v>1</v>
      </c>
      <c r="GV267" s="3">
        <v>1</v>
      </c>
      <c r="GW267" s="3">
        <v>0</v>
      </c>
      <c r="GX267" s="3">
        <v>1</v>
      </c>
      <c r="GY267" s="3">
        <v>1</v>
      </c>
      <c r="GZ267" s="3">
        <v>1</v>
      </c>
      <c r="HA267" s="3">
        <v>1</v>
      </c>
      <c r="HB267" s="3">
        <v>1</v>
      </c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6"/>
      <c r="HT267" s="4">
        <v>38</v>
      </c>
      <c r="HU267" s="3">
        <v>0</v>
      </c>
      <c r="HV267" s="3">
        <v>20</v>
      </c>
      <c r="HW267" s="3">
        <v>0</v>
      </c>
      <c r="HX267" s="3">
        <v>11</v>
      </c>
      <c r="HY267" s="3">
        <v>40</v>
      </c>
      <c r="HZ267" s="3">
        <v>42</v>
      </c>
      <c r="IA267" s="3">
        <v>35</v>
      </c>
      <c r="IB267" s="3">
        <v>0</v>
      </c>
      <c r="IC267" s="3">
        <v>0</v>
      </c>
      <c r="ID267" s="3">
        <v>10</v>
      </c>
      <c r="IE267" s="3">
        <v>6</v>
      </c>
      <c r="IF267" s="3">
        <v>0</v>
      </c>
      <c r="IG267" s="3">
        <v>0</v>
      </c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6"/>
    </row>
    <row r="268" spans="1:258" hidden="1">
      <c r="A268" s="97" t="s">
        <v>1287</v>
      </c>
      <c r="B268" s="98" t="s">
        <v>20</v>
      </c>
      <c r="C268" s="98" t="s">
        <v>589</v>
      </c>
      <c r="D268" s="99" t="s">
        <v>1236</v>
      </c>
      <c r="E268" s="98" t="s">
        <v>1098</v>
      </c>
      <c r="F268" s="98" t="s">
        <v>650</v>
      </c>
      <c r="G268" s="98" t="s">
        <v>651</v>
      </c>
      <c r="H268" s="98" t="s">
        <v>1586</v>
      </c>
      <c r="I268" s="98" t="s">
        <v>1586</v>
      </c>
      <c r="J268" s="98" t="s">
        <v>1237</v>
      </c>
      <c r="K268" s="98" t="s">
        <v>1099</v>
      </c>
      <c r="L268" s="98" t="s">
        <v>1099</v>
      </c>
      <c r="M268" s="101" t="s">
        <v>1099</v>
      </c>
      <c r="N268" s="108">
        <v>45474</v>
      </c>
      <c r="O268" s="100">
        <v>0</v>
      </c>
      <c r="P268" s="69">
        <v>0</v>
      </c>
      <c r="Q268" s="69">
        <f t="shared" si="3056"/>
        <v>0</v>
      </c>
      <c r="R268" s="69">
        <f t="shared" si="3129"/>
        <v>0</v>
      </c>
      <c r="S268" s="69">
        <f t="shared" si="3130"/>
        <v>0</v>
      </c>
      <c r="T268" s="69">
        <f t="shared" si="3131"/>
        <v>0</v>
      </c>
      <c r="U268" s="69">
        <f t="shared" si="3132"/>
        <v>0</v>
      </c>
      <c r="V268" s="70">
        <f t="shared" si="3133"/>
        <v>0</v>
      </c>
      <c r="W268" s="71">
        <f t="shared" si="3134"/>
        <v>0</v>
      </c>
      <c r="X268" s="71">
        <f t="shared" si="3135"/>
        <v>0</v>
      </c>
      <c r="Y268" s="71">
        <f t="shared" si="3136"/>
        <v>0</v>
      </c>
      <c r="Z268" s="71">
        <f t="shared" si="3137"/>
        <v>0</v>
      </c>
      <c r="AA268" s="71">
        <f t="shared" si="3138"/>
        <v>0</v>
      </c>
      <c r="AB268" s="71">
        <f t="shared" si="3139"/>
        <v>0</v>
      </c>
      <c r="AC268" s="71">
        <f t="shared" si="3140"/>
        <v>0</v>
      </c>
      <c r="AD268" s="71">
        <f t="shared" si="3141"/>
        <v>0</v>
      </c>
      <c r="AE268" s="71">
        <f t="shared" si="3142"/>
        <v>0</v>
      </c>
      <c r="AF268" s="71">
        <f t="shared" si="3143"/>
        <v>0</v>
      </c>
      <c r="AG268" s="71">
        <f t="shared" si="3144"/>
        <v>0</v>
      </c>
      <c r="AH268" s="71">
        <f t="shared" si="3145"/>
        <v>0</v>
      </c>
      <c r="AI268" s="71">
        <f t="shared" si="3146"/>
        <v>0</v>
      </c>
      <c r="AJ268" s="71">
        <f t="shared" si="3147"/>
        <v>0</v>
      </c>
      <c r="AK268" s="71">
        <f t="shared" si="3148"/>
        <v>0</v>
      </c>
      <c r="AL268" s="71">
        <f t="shared" si="3149"/>
        <v>0</v>
      </c>
      <c r="AM268" s="71">
        <f t="shared" si="3150"/>
        <v>0</v>
      </c>
      <c r="AN268" s="71">
        <f t="shared" si="3151"/>
        <v>0</v>
      </c>
      <c r="AO268" s="71">
        <f t="shared" si="3152"/>
        <v>0</v>
      </c>
      <c r="AP268" s="71">
        <f t="shared" si="3153"/>
        <v>0</v>
      </c>
      <c r="AQ268" s="71">
        <f t="shared" si="3154"/>
        <v>0</v>
      </c>
      <c r="AR268" s="71">
        <f t="shared" si="3155"/>
        <v>0</v>
      </c>
      <c r="AS268" s="71">
        <f t="shared" si="3156"/>
        <v>0</v>
      </c>
      <c r="AT268" s="71">
        <f t="shared" si="3157"/>
        <v>0</v>
      </c>
      <c r="AU268" s="71">
        <f t="shared" si="3158"/>
        <v>0</v>
      </c>
      <c r="AV268" s="71">
        <f t="shared" si="3159"/>
        <v>0</v>
      </c>
      <c r="AW268" s="71">
        <f t="shared" si="3160"/>
        <v>0</v>
      </c>
      <c r="AX268" s="71">
        <f t="shared" si="3161"/>
        <v>0</v>
      </c>
      <c r="AY268" s="71">
        <f t="shared" si="3162"/>
        <v>0</v>
      </c>
      <c r="AZ268" s="72">
        <f t="shared" si="3163"/>
        <v>0</v>
      </c>
      <c r="BA268" s="70">
        <f t="shared" si="3123"/>
        <v>0</v>
      </c>
      <c r="BB268" s="69">
        <f t="shared" ca="1" si="3124"/>
        <v>0</v>
      </c>
      <c r="BC268" s="70">
        <f t="shared" si="3164"/>
        <v>0</v>
      </c>
      <c r="BD268" s="71">
        <f t="shared" si="3165"/>
        <v>0</v>
      </c>
      <c r="BE268" s="71">
        <f t="shared" si="3166"/>
        <v>0</v>
      </c>
      <c r="BF268" s="71">
        <f t="shared" si="3167"/>
        <v>0</v>
      </c>
      <c r="BG268" s="71">
        <f t="shared" si="3168"/>
        <v>0</v>
      </c>
      <c r="BH268" s="71">
        <f t="shared" si="3169"/>
        <v>0</v>
      </c>
      <c r="BI268" s="71">
        <f t="shared" si="3170"/>
        <v>0</v>
      </c>
      <c r="BJ268" s="71">
        <f t="shared" si="3171"/>
        <v>0</v>
      </c>
      <c r="BK268" s="71">
        <f t="shared" si="3172"/>
        <v>0</v>
      </c>
      <c r="BL268" s="71">
        <f t="shared" si="3173"/>
        <v>0</v>
      </c>
      <c r="BM268" s="71">
        <f t="shared" si="3174"/>
        <v>0</v>
      </c>
      <c r="BN268" s="71">
        <f t="shared" si="3175"/>
        <v>0</v>
      </c>
      <c r="BO268" s="71">
        <f t="shared" si="3176"/>
        <v>0</v>
      </c>
      <c r="BP268" s="71">
        <f t="shared" si="3177"/>
        <v>0</v>
      </c>
      <c r="BQ268" s="71">
        <f t="shared" si="3178"/>
        <v>0</v>
      </c>
      <c r="BR268" s="71">
        <f t="shared" si="3179"/>
        <v>0</v>
      </c>
      <c r="BS268" s="71">
        <f t="shared" si="3180"/>
        <v>0</v>
      </c>
      <c r="BT268" s="71">
        <f t="shared" si="3181"/>
        <v>0</v>
      </c>
      <c r="BU268" s="71">
        <f t="shared" si="3182"/>
        <v>0</v>
      </c>
      <c r="BV268" s="71">
        <f t="shared" si="3183"/>
        <v>0</v>
      </c>
      <c r="BW268" s="71">
        <f t="shared" si="3184"/>
        <v>0</v>
      </c>
      <c r="BX268" s="71">
        <f t="shared" si="3185"/>
        <v>0</v>
      </c>
      <c r="BY268" s="71">
        <f t="shared" si="3186"/>
        <v>0</v>
      </c>
      <c r="BZ268" s="71">
        <f t="shared" si="3187"/>
        <v>0</v>
      </c>
      <c r="CA268" s="71">
        <f t="shared" si="3188"/>
        <v>0</v>
      </c>
      <c r="CB268" s="71">
        <f t="shared" si="3189"/>
        <v>0</v>
      </c>
      <c r="CC268" s="71">
        <f t="shared" si="3190"/>
        <v>0</v>
      </c>
      <c r="CD268" s="71">
        <f t="shared" si="3191"/>
        <v>0</v>
      </c>
      <c r="CE268" s="71">
        <f t="shared" si="3192"/>
        <v>0</v>
      </c>
      <c r="CF268" s="71">
        <f t="shared" si="3193"/>
        <v>0</v>
      </c>
      <c r="CG268" s="71">
        <f t="shared" si="3194"/>
        <v>0</v>
      </c>
      <c r="CH268" s="70">
        <f t="shared" si="3125"/>
        <v>0</v>
      </c>
      <c r="CI268" s="69">
        <f t="shared" ca="1" si="3126"/>
        <v>0</v>
      </c>
      <c r="GM268" s="2" t="s">
        <v>16</v>
      </c>
      <c r="GN268" s="98" t="str">
        <f t="shared" si="3053"/>
        <v>BWN01-FMCG-SPO-00</v>
      </c>
      <c r="GO268" s="4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6"/>
      <c r="HT268" s="4">
        <v>0</v>
      </c>
      <c r="HU268" s="3">
        <v>0</v>
      </c>
      <c r="HV268" s="3">
        <v>0</v>
      </c>
      <c r="HW268" s="3">
        <v>0</v>
      </c>
      <c r="HX268" s="3">
        <v>0</v>
      </c>
      <c r="HY268" s="3">
        <v>0</v>
      </c>
      <c r="HZ268" s="3">
        <v>0</v>
      </c>
      <c r="IA268" s="3">
        <v>0</v>
      </c>
      <c r="IB268" s="3">
        <v>0</v>
      </c>
      <c r="IC268" s="3">
        <v>0</v>
      </c>
      <c r="ID268" s="3">
        <v>0</v>
      </c>
      <c r="IE268" s="3">
        <v>0</v>
      </c>
      <c r="IF268" s="3">
        <v>0</v>
      </c>
      <c r="IG268" s="3">
        <v>0</v>
      </c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6"/>
    </row>
    <row r="269" spans="1:258" hidden="1">
      <c r="A269" s="97" t="s">
        <v>1380</v>
      </c>
      <c r="B269" s="98" t="s">
        <v>20</v>
      </c>
      <c r="C269" s="98" t="s">
        <v>589</v>
      </c>
      <c r="D269" s="99" t="s">
        <v>1236</v>
      </c>
      <c r="E269" s="98" t="s">
        <v>652</v>
      </c>
      <c r="F269" s="98" t="s">
        <v>653</v>
      </c>
      <c r="G269" s="98" t="s">
        <v>654</v>
      </c>
      <c r="H269" s="98" t="s">
        <v>1238</v>
      </c>
      <c r="I269" s="98" t="s">
        <v>1238</v>
      </c>
      <c r="J269" s="98" t="s">
        <v>1237</v>
      </c>
      <c r="K269" s="98" t="s">
        <v>1127</v>
      </c>
      <c r="L269" s="98">
        <v>5216</v>
      </c>
      <c r="M269" s="101" t="s">
        <v>1162</v>
      </c>
      <c r="N269" s="108">
        <v>42863</v>
      </c>
      <c r="O269" s="100">
        <v>0</v>
      </c>
      <c r="P269" s="69">
        <v>0</v>
      </c>
      <c r="Q269" s="69">
        <f t="shared" si="3056"/>
        <v>0</v>
      </c>
      <c r="R269" s="69">
        <f t="shared" si="3129"/>
        <v>0</v>
      </c>
      <c r="S269" s="69">
        <f t="shared" si="3130"/>
        <v>0</v>
      </c>
      <c r="T269" s="69">
        <f t="shared" si="3131"/>
        <v>0</v>
      </c>
      <c r="U269" s="69">
        <f t="shared" si="3132"/>
        <v>0</v>
      </c>
      <c r="V269" s="70">
        <f t="shared" si="3133"/>
        <v>0</v>
      </c>
      <c r="W269" s="71">
        <f t="shared" si="3134"/>
        <v>0</v>
      </c>
      <c r="X269" s="71">
        <f t="shared" si="3135"/>
        <v>0</v>
      </c>
      <c r="Y269" s="71">
        <f t="shared" si="3136"/>
        <v>0</v>
      </c>
      <c r="Z269" s="71">
        <f t="shared" si="3137"/>
        <v>0</v>
      </c>
      <c r="AA269" s="71">
        <f t="shared" si="3138"/>
        <v>0</v>
      </c>
      <c r="AB269" s="71">
        <f t="shared" si="3139"/>
        <v>0</v>
      </c>
      <c r="AC269" s="71">
        <f t="shared" si="3140"/>
        <v>0</v>
      </c>
      <c r="AD269" s="71">
        <f t="shared" si="3141"/>
        <v>0</v>
      </c>
      <c r="AE269" s="71">
        <f t="shared" si="3142"/>
        <v>0</v>
      </c>
      <c r="AF269" s="71">
        <f t="shared" si="3143"/>
        <v>0</v>
      </c>
      <c r="AG269" s="71">
        <f t="shared" si="3144"/>
        <v>0</v>
      </c>
      <c r="AH269" s="71">
        <f t="shared" si="3145"/>
        <v>0</v>
      </c>
      <c r="AI269" s="71">
        <f t="shared" si="3146"/>
        <v>0</v>
      </c>
      <c r="AJ269" s="71">
        <f t="shared" si="3147"/>
        <v>0</v>
      </c>
      <c r="AK269" s="71">
        <f t="shared" si="3148"/>
        <v>0</v>
      </c>
      <c r="AL269" s="71">
        <f t="shared" si="3149"/>
        <v>0</v>
      </c>
      <c r="AM269" s="71">
        <f t="shared" si="3150"/>
        <v>0</v>
      </c>
      <c r="AN269" s="71">
        <f t="shared" si="3151"/>
        <v>0</v>
      </c>
      <c r="AO269" s="71">
        <f t="shared" si="3152"/>
        <v>0</v>
      </c>
      <c r="AP269" s="71">
        <f t="shared" si="3153"/>
        <v>0</v>
      </c>
      <c r="AQ269" s="71">
        <f t="shared" si="3154"/>
        <v>0</v>
      </c>
      <c r="AR269" s="71">
        <f t="shared" si="3155"/>
        <v>0</v>
      </c>
      <c r="AS269" s="71">
        <f t="shared" si="3156"/>
        <v>0</v>
      </c>
      <c r="AT269" s="71">
        <f t="shared" si="3157"/>
        <v>0</v>
      </c>
      <c r="AU269" s="71">
        <f t="shared" si="3158"/>
        <v>0</v>
      </c>
      <c r="AV269" s="71">
        <f t="shared" si="3159"/>
        <v>0</v>
      </c>
      <c r="AW269" s="71">
        <f t="shared" si="3160"/>
        <v>0</v>
      </c>
      <c r="AX269" s="71">
        <f t="shared" si="3161"/>
        <v>0</v>
      </c>
      <c r="AY269" s="71">
        <f t="shared" si="3162"/>
        <v>0</v>
      </c>
      <c r="AZ269" s="72">
        <f t="shared" si="3163"/>
        <v>0</v>
      </c>
      <c r="BA269" s="70">
        <f t="shared" si="3123"/>
        <v>0</v>
      </c>
      <c r="BB269" s="69">
        <f t="shared" ca="1" si="3124"/>
        <v>0</v>
      </c>
      <c r="BC269" s="70">
        <f t="shared" si="3164"/>
        <v>0</v>
      </c>
      <c r="BD269" s="71">
        <f t="shared" si="3165"/>
        <v>0</v>
      </c>
      <c r="BE269" s="71">
        <f t="shared" si="3166"/>
        <v>0</v>
      </c>
      <c r="BF269" s="71">
        <f t="shared" si="3167"/>
        <v>0</v>
      </c>
      <c r="BG269" s="71">
        <f t="shared" si="3168"/>
        <v>0</v>
      </c>
      <c r="BH269" s="71">
        <f t="shared" si="3169"/>
        <v>0</v>
      </c>
      <c r="BI269" s="71">
        <f t="shared" si="3170"/>
        <v>0</v>
      </c>
      <c r="BJ269" s="71">
        <f t="shared" si="3171"/>
        <v>0</v>
      </c>
      <c r="BK269" s="71">
        <f t="shared" si="3172"/>
        <v>0</v>
      </c>
      <c r="BL269" s="71">
        <f t="shared" si="3173"/>
        <v>0</v>
      </c>
      <c r="BM269" s="71">
        <f t="shared" si="3174"/>
        <v>0</v>
      </c>
      <c r="BN269" s="71">
        <f t="shared" si="3175"/>
        <v>0</v>
      </c>
      <c r="BO269" s="71">
        <f t="shared" si="3176"/>
        <v>0</v>
      </c>
      <c r="BP269" s="71">
        <f t="shared" si="3177"/>
        <v>0</v>
      </c>
      <c r="BQ269" s="71">
        <f t="shared" si="3178"/>
        <v>0</v>
      </c>
      <c r="BR269" s="71">
        <f t="shared" si="3179"/>
        <v>0</v>
      </c>
      <c r="BS269" s="71">
        <f t="shared" si="3180"/>
        <v>0</v>
      </c>
      <c r="BT269" s="71">
        <f t="shared" si="3181"/>
        <v>0</v>
      </c>
      <c r="BU269" s="71">
        <f t="shared" si="3182"/>
        <v>0</v>
      </c>
      <c r="BV269" s="71">
        <f t="shared" si="3183"/>
        <v>0</v>
      </c>
      <c r="BW269" s="71">
        <f t="shared" si="3184"/>
        <v>0</v>
      </c>
      <c r="BX269" s="71">
        <f t="shared" si="3185"/>
        <v>0</v>
      </c>
      <c r="BY269" s="71">
        <f t="shared" si="3186"/>
        <v>0</v>
      </c>
      <c r="BZ269" s="71">
        <f t="shared" si="3187"/>
        <v>0</v>
      </c>
      <c r="CA269" s="71">
        <f t="shared" si="3188"/>
        <v>0</v>
      </c>
      <c r="CB269" s="71">
        <f t="shared" si="3189"/>
        <v>0</v>
      </c>
      <c r="CC269" s="71">
        <f t="shared" si="3190"/>
        <v>0</v>
      </c>
      <c r="CD269" s="71">
        <f t="shared" si="3191"/>
        <v>0</v>
      </c>
      <c r="CE269" s="71">
        <f t="shared" si="3192"/>
        <v>0</v>
      </c>
      <c r="CF269" s="71">
        <f t="shared" si="3193"/>
        <v>0</v>
      </c>
      <c r="CG269" s="71">
        <f t="shared" si="3194"/>
        <v>0</v>
      </c>
      <c r="CH269" s="70">
        <f t="shared" si="3125"/>
        <v>0</v>
      </c>
      <c r="CI269" s="69">
        <f t="shared" ca="1" si="3126"/>
        <v>0</v>
      </c>
      <c r="GM269" s="2" t="s">
        <v>16</v>
      </c>
      <c r="GN269" s="98" t="str">
        <f t="shared" si="3053"/>
        <v>BWN01-FMCG-ASM-01</v>
      </c>
      <c r="GO269" s="4">
        <v>0</v>
      </c>
      <c r="GP269" s="3">
        <v>0</v>
      </c>
      <c r="GQ269" s="3">
        <v>0</v>
      </c>
      <c r="GR269" s="3">
        <v>0</v>
      </c>
      <c r="GS269" s="3">
        <v>0</v>
      </c>
      <c r="GT269" s="3">
        <v>0</v>
      </c>
      <c r="GU269" s="3">
        <v>0</v>
      </c>
      <c r="GV269" s="3">
        <v>0</v>
      </c>
      <c r="GW269" s="3">
        <v>0</v>
      </c>
      <c r="GX269" s="3">
        <v>0</v>
      </c>
      <c r="GY269" s="3">
        <v>0</v>
      </c>
      <c r="GZ269" s="3">
        <v>0</v>
      </c>
      <c r="HA269" s="3">
        <v>0</v>
      </c>
      <c r="HB269" s="3">
        <v>0</v>
      </c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6"/>
      <c r="HT269" s="4">
        <v>0</v>
      </c>
      <c r="HU269" s="3">
        <v>0</v>
      </c>
      <c r="HV269" s="3">
        <v>0</v>
      </c>
      <c r="HW269" s="3">
        <v>0</v>
      </c>
      <c r="HX269" s="3">
        <v>0</v>
      </c>
      <c r="HY269" s="3">
        <v>0</v>
      </c>
      <c r="HZ269" s="3">
        <v>0</v>
      </c>
      <c r="IA269" s="3">
        <v>0</v>
      </c>
      <c r="IB269" s="3">
        <v>0</v>
      </c>
      <c r="IC269" s="3">
        <v>0</v>
      </c>
      <c r="ID269" s="3">
        <v>0</v>
      </c>
      <c r="IE269" s="3">
        <v>0</v>
      </c>
      <c r="IF269" s="3">
        <v>0</v>
      </c>
      <c r="IG269" s="3">
        <v>0</v>
      </c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6"/>
    </row>
    <row r="270" spans="1:258" hidden="1">
      <c r="A270" s="102" t="s">
        <v>53</v>
      </c>
      <c r="B270" s="103" t="s">
        <v>20</v>
      </c>
      <c r="C270" s="103" t="s">
        <v>589</v>
      </c>
      <c r="D270" s="104" t="s">
        <v>1236</v>
      </c>
      <c r="E270" s="103" t="s">
        <v>652</v>
      </c>
      <c r="F270" s="103" t="s">
        <v>653</v>
      </c>
      <c r="G270" s="103" t="s">
        <v>654</v>
      </c>
      <c r="H270" s="103" t="s">
        <v>1238</v>
      </c>
      <c r="I270" s="103" t="s">
        <v>1238</v>
      </c>
      <c r="J270" s="103" t="s">
        <v>1237</v>
      </c>
      <c r="K270" s="103" t="s">
        <v>1127</v>
      </c>
      <c r="L270" s="103">
        <v>5216</v>
      </c>
      <c r="M270" s="103" t="s">
        <v>1162</v>
      </c>
      <c r="N270" s="119">
        <v>42863</v>
      </c>
      <c r="O270" s="105">
        <f t="shared" ref="O270" si="3195">O268+O264+O267+O266+O265</f>
        <v>4</v>
      </c>
      <c r="P270" s="73">
        <f>P268+P264+P267+P266+P265</f>
        <v>0</v>
      </c>
      <c r="Q270" s="73">
        <f t="shared" si="3056"/>
        <v>1</v>
      </c>
      <c r="R270" s="73">
        <f t="shared" ref="R270:AZ270" si="3196">R268+R264+R267+R266+R265</f>
        <v>4</v>
      </c>
      <c r="S270" s="73">
        <f t="shared" si="3196"/>
        <v>0</v>
      </c>
      <c r="T270" s="73">
        <f t="shared" si="3196"/>
        <v>3</v>
      </c>
      <c r="U270" s="73">
        <f t="shared" si="3196"/>
        <v>4</v>
      </c>
      <c r="V270" s="74">
        <f t="shared" si="3196"/>
        <v>4</v>
      </c>
      <c r="W270" s="75">
        <f t="shared" si="3196"/>
        <v>0</v>
      </c>
      <c r="X270" s="75">
        <f t="shared" si="3196"/>
        <v>4</v>
      </c>
      <c r="Y270" s="75">
        <f t="shared" si="3196"/>
        <v>4</v>
      </c>
      <c r="Z270" s="75">
        <f t="shared" si="3196"/>
        <v>4</v>
      </c>
      <c r="AA270" s="75">
        <f t="shared" si="3196"/>
        <v>4</v>
      </c>
      <c r="AB270" s="75">
        <f t="shared" si="3196"/>
        <v>3</v>
      </c>
      <c r="AC270" s="75">
        <f t="shared" si="3196"/>
        <v>3</v>
      </c>
      <c r="AD270" s="75">
        <f t="shared" si="3196"/>
        <v>0</v>
      </c>
      <c r="AE270" s="75">
        <f t="shared" si="3196"/>
        <v>4</v>
      </c>
      <c r="AF270" s="75">
        <f t="shared" si="3196"/>
        <v>4</v>
      </c>
      <c r="AG270" s="75">
        <f t="shared" si="3196"/>
        <v>4</v>
      </c>
      <c r="AH270" s="75">
        <f t="shared" si="3196"/>
        <v>4</v>
      </c>
      <c r="AI270" s="75">
        <f t="shared" si="3196"/>
        <v>4</v>
      </c>
      <c r="AJ270" s="75">
        <f t="shared" si="3196"/>
        <v>0</v>
      </c>
      <c r="AK270" s="75">
        <f t="shared" si="3196"/>
        <v>0</v>
      </c>
      <c r="AL270" s="75">
        <f t="shared" si="3196"/>
        <v>0</v>
      </c>
      <c r="AM270" s="75">
        <f t="shared" si="3196"/>
        <v>0</v>
      </c>
      <c r="AN270" s="75">
        <f t="shared" si="3196"/>
        <v>0</v>
      </c>
      <c r="AO270" s="75">
        <f t="shared" si="3196"/>
        <v>0</v>
      </c>
      <c r="AP270" s="75">
        <f t="shared" si="3196"/>
        <v>0</v>
      </c>
      <c r="AQ270" s="75">
        <f t="shared" si="3196"/>
        <v>0</v>
      </c>
      <c r="AR270" s="75">
        <f t="shared" si="3196"/>
        <v>0</v>
      </c>
      <c r="AS270" s="75">
        <f t="shared" si="3196"/>
        <v>0</v>
      </c>
      <c r="AT270" s="75">
        <f t="shared" si="3196"/>
        <v>0</v>
      </c>
      <c r="AU270" s="75">
        <f t="shared" si="3196"/>
        <v>0</v>
      </c>
      <c r="AV270" s="75">
        <f t="shared" si="3196"/>
        <v>0</v>
      </c>
      <c r="AW270" s="75">
        <f t="shared" si="3196"/>
        <v>0</v>
      </c>
      <c r="AX270" s="75">
        <f t="shared" si="3196"/>
        <v>0</v>
      </c>
      <c r="AY270" s="75">
        <f t="shared" si="3196"/>
        <v>0</v>
      </c>
      <c r="AZ270" s="76">
        <f t="shared" si="3196"/>
        <v>0</v>
      </c>
      <c r="BA270" s="74">
        <f t="shared" si="3123"/>
        <v>46</v>
      </c>
      <c r="BB270" s="73">
        <f t="shared" ca="1" si="3124"/>
        <v>0.88461538461538458</v>
      </c>
      <c r="BC270" s="74">
        <f t="shared" ref="BC270" si="3197">BC268+BC264+BC267+BC266+BC265</f>
        <v>58</v>
      </c>
      <c r="BD270" s="75">
        <f t="shared" ref="BD270" si="3198">BD268+BD264+BD267+BD266+BD265</f>
        <v>0</v>
      </c>
      <c r="BE270" s="75">
        <f t="shared" ref="BE270" si="3199">BE268+BE264+BE267+BE266+BE265</f>
        <v>30</v>
      </c>
      <c r="BF270" s="75">
        <f t="shared" ref="BF270" si="3200">BF268+BF264+BF267+BF266+BF265</f>
        <v>0</v>
      </c>
      <c r="BG270" s="75">
        <f t="shared" ref="BG270" si="3201">BG268+BG264+BG267+BG266+BG265</f>
        <v>23</v>
      </c>
      <c r="BH270" s="75">
        <f t="shared" ref="BH270" si="3202">BH268+BH264+BH267+BH266+BH265</f>
        <v>81</v>
      </c>
      <c r="BI270" s="75">
        <f t="shared" ref="BI270" si="3203">BI268+BI264+BI267+BI266+BI265</f>
        <v>84</v>
      </c>
      <c r="BJ270" s="75">
        <f t="shared" ref="BJ270" si="3204">BJ268+BJ264+BJ267+BJ266+BJ265</f>
        <v>78</v>
      </c>
      <c r="BK270" s="75">
        <f t="shared" ref="BK270" si="3205">BK268+BK264+BK267+BK266+BK265</f>
        <v>0</v>
      </c>
      <c r="BL270" s="75">
        <f t="shared" ref="BL270" si="3206">BL268+BL264+BL267+BL266+BL265</f>
        <v>0</v>
      </c>
      <c r="BM270" s="75">
        <f t="shared" ref="BM270" si="3207">BM268+BM264+BM267+BM266+BM265</f>
        <v>66</v>
      </c>
      <c r="BN270" s="75">
        <f t="shared" ref="BN270" si="3208">BN268+BN264+BN267+BN266+BN265</f>
        <v>12</v>
      </c>
      <c r="BO270" s="75">
        <f t="shared" ref="BO270" si="3209">BO268+BO264+BO267+BO266+BO265</f>
        <v>9</v>
      </c>
      <c r="BP270" s="75">
        <f t="shared" ref="BP270" si="3210">BP268+BP264+BP267+BP266+BP265</f>
        <v>0</v>
      </c>
      <c r="BQ270" s="75">
        <f t="shared" ref="BQ270" si="3211">BQ268+BQ264+BQ267+BQ266+BQ265</f>
        <v>0</v>
      </c>
      <c r="BR270" s="75">
        <f t="shared" ref="BR270" si="3212">BR268+BR264+BR267+BR266+BR265</f>
        <v>0</v>
      </c>
      <c r="BS270" s="75">
        <f t="shared" ref="BS270" si="3213">BS268+BS264+BS267+BS266+BS265</f>
        <v>0</v>
      </c>
      <c r="BT270" s="75">
        <f t="shared" ref="BT270" si="3214">BT268+BT264+BT267+BT266+BT265</f>
        <v>0</v>
      </c>
      <c r="BU270" s="75">
        <f t="shared" ref="BU270" si="3215">BU268+BU264+BU267+BU266+BU265</f>
        <v>0</v>
      </c>
      <c r="BV270" s="75">
        <f t="shared" ref="BV270" si="3216">BV268+BV264+BV267+BV266+BV265</f>
        <v>0</v>
      </c>
      <c r="BW270" s="75">
        <f t="shared" ref="BW270" si="3217">BW268+BW264+BW267+BW266+BW265</f>
        <v>0</v>
      </c>
      <c r="BX270" s="75">
        <f t="shared" ref="BX270" si="3218">BX268+BX264+BX267+BX266+BX265</f>
        <v>0</v>
      </c>
      <c r="BY270" s="75">
        <f t="shared" ref="BY270" si="3219">BY268+BY264+BY267+BY266+BY265</f>
        <v>0</v>
      </c>
      <c r="BZ270" s="75">
        <f t="shared" ref="BZ270" si="3220">BZ268+BZ264+BZ267+BZ266+BZ265</f>
        <v>0</v>
      </c>
      <c r="CA270" s="75">
        <f t="shared" ref="CA270" si="3221">CA268+CA264+CA267+CA266+CA265</f>
        <v>0</v>
      </c>
      <c r="CB270" s="75">
        <f t="shared" ref="CB270" si="3222">CB268+CB264+CB267+CB266+CB265</f>
        <v>0</v>
      </c>
      <c r="CC270" s="75">
        <f t="shared" ref="CC270" si="3223">CC268+CC264+CC267+CC266+CC265</f>
        <v>0</v>
      </c>
      <c r="CD270" s="75">
        <f t="shared" ref="CD270" si="3224">CD268+CD264+CD267+CD266+CD265</f>
        <v>0</v>
      </c>
      <c r="CE270" s="75">
        <f t="shared" ref="CE270" si="3225">CE268+CE264+CE267+CE266+CE265</f>
        <v>0</v>
      </c>
      <c r="CF270" s="75">
        <f t="shared" ref="CF270" si="3226">CF268+CF264+CF267+CF266+CF265</f>
        <v>0</v>
      </c>
      <c r="CG270" s="75">
        <f t="shared" ref="CG270" si="3227">CG268+CG264+CG267+CG266+CG265</f>
        <v>0</v>
      </c>
      <c r="CH270" s="74">
        <f t="shared" si="3125"/>
        <v>441</v>
      </c>
      <c r="CI270" s="73">
        <f t="shared" ca="1" si="3126"/>
        <v>8.4807692307692299</v>
      </c>
      <c r="GM270" s="2" t="s">
        <v>17</v>
      </c>
      <c r="GN270" s="103" t="str">
        <f t="shared" si="3053"/>
        <v>BWN01-FMCG-ASM-01</v>
      </c>
      <c r="GO270" s="4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6"/>
      <c r="HT270" s="4">
        <v>0</v>
      </c>
      <c r="HU270" s="3">
        <v>0</v>
      </c>
      <c r="HV270" s="3">
        <v>0</v>
      </c>
      <c r="HW270" s="3">
        <v>0</v>
      </c>
      <c r="HX270" s="3">
        <v>0</v>
      </c>
      <c r="HY270" s="3">
        <v>0</v>
      </c>
      <c r="HZ270" s="3">
        <v>0</v>
      </c>
      <c r="IA270" s="3">
        <v>0</v>
      </c>
      <c r="IB270" s="3">
        <v>0</v>
      </c>
      <c r="IC270" s="3">
        <v>0</v>
      </c>
      <c r="ID270" s="3">
        <v>0</v>
      </c>
      <c r="IE270" s="3">
        <v>0</v>
      </c>
      <c r="IF270" s="3">
        <v>0</v>
      </c>
      <c r="IG270" s="3">
        <v>0</v>
      </c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6"/>
    </row>
    <row r="271" spans="1:258" hidden="1">
      <c r="A271" s="97" t="s">
        <v>1381</v>
      </c>
      <c r="B271" s="98" t="s">
        <v>20</v>
      </c>
      <c r="C271" s="98" t="s">
        <v>589</v>
      </c>
      <c r="D271" s="99" t="s">
        <v>1229</v>
      </c>
      <c r="E271" s="98" t="s">
        <v>1230</v>
      </c>
      <c r="F271" s="98" t="s">
        <v>1231</v>
      </c>
      <c r="G271" s="98" t="s">
        <v>1389</v>
      </c>
      <c r="H271" s="98" t="s">
        <v>1390</v>
      </c>
      <c r="I271" s="98" t="s">
        <v>1390</v>
      </c>
      <c r="J271" s="98" t="s">
        <v>1232</v>
      </c>
      <c r="K271" s="98" t="s">
        <v>1127</v>
      </c>
      <c r="L271" s="98">
        <v>46204</v>
      </c>
      <c r="M271" s="101" t="s">
        <v>950</v>
      </c>
      <c r="N271" s="108">
        <v>46204</v>
      </c>
      <c r="O271" s="100">
        <v>0</v>
      </c>
      <c r="P271" s="69">
        <v>0</v>
      </c>
      <c r="Q271" s="69">
        <f t="shared" si="3056"/>
        <v>0</v>
      </c>
      <c r="R271" s="69">
        <f t="shared" ref="R271" si="3228">IFERROR(IF(OR(BA271&gt;0),1,0),0)</f>
        <v>0</v>
      </c>
      <c r="S271" s="69">
        <f>IFERROR(IF(OR(BP271&gt;0),1,0),0)</f>
        <v>0</v>
      </c>
      <c r="T271" s="69">
        <f t="shared" ref="T271" si="3229">IFERROR(IF(OR(CH271&gt;0),1,0),0)</f>
        <v>0</v>
      </c>
      <c r="U271" s="69">
        <f t="shared" ref="U271" si="3230">IFERROR(IF(OR(BA271&gt;0,CH271&gt;0),1,0),0)</f>
        <v>0</v>
      </c>
      <c r="V271" s="70">
        <f t="shared" ref="V271" si="3231">GO271</f>
        <v>0</v>
      </c>
      <c r="W271" s="71">
        <f t="shared" ref="W271" si="3232">GP271</f>
        <v>0</v>
      </c>
      <c r="X271" s="71">
        <f t="shared" ref="X271" si="3233">GQ271</f>
        <v>0</v>
      </c>
      <c r="Y271" s="71">
        <f t="shared" ref="Y271" si="3234">GR271</f>
        <v>0</v>
      </c>
      <c r="Z271" s="71">
        <f t="shared" ref="Z271" si="3235">GS271</f>
        <v>0</v>
      </c>
      <c r="AA271" s="71">
        <f t="shared" ref="AA271" si="3236">GT271</f>
        <v>0</v>
      </c>
      <c r="AB271" s="71">
        <f t="shared" ref="AB271" si="3237">GU271</f>
        <v>0</v>
      </c>
      <c r="AC271" s="71">
        <f t="shared" ref="AC271" si="3238">GV271</f>
        <v>0</v>
      </c>
      <c r="AD271" s="71">
        <f t="shared" ref="AD271" si="3239">GW271</f>
        <v>0</v>
      </c>
      <c r="AE271" s="71">
        <f t="shared" ref="AE271" si="3240">GX271</f>
        <v>0</v>
      </c>
      <c r="AF271" s="71">
        <f t="shared" ref="AF271" si="3241">GY271</f>
        <v>0</v>
      </c>
      <c r="AG271" s="71">
        <f t="shared" ref="AG271" si="3242">GZ271</f>
        <v>0</v>
      </c>
      <c r="AH271" s="71">
        <f t="shared" ref="AH271" si="3243">HA271</f>
        <v>0</v>
      </c>
      <c r="AI271" s="71">
        <f t="shared" ref="AI271" si="3244">HB271</f>
        <v>0</v>
      </c>
      <c r="AJ271" s="71">
        <f t="shared" ref="AJ271" si="3245">HC271</f>
        <v>0</v>
      </c>
      <c r="AK271" s="71">
        <f t="shared" ref="AK271" si="3246">HD271</f>
        <v>0</v>
      </c>
      <c r="AL271" s="71">
        <f t="shared" ref="AL271" si="3247">HE271</f>
        <v>0</v>
      </c>
      <c r="AM271" s="71">
        <f t="shared" ref="AM271" si="3248">HF271</f>
        <v>0</v>
      </c>
      <c r="AN271" s="71">
        <f t="shared" ref="AN271" si="3249">HG271</f>
        <v>0</v>
      </c>
      <c r="AO271" s="71">
        <f t="shared" ref="AO271" si="3250">HH271</f>
        <v>0</v>
      </c>
      <c r="AP271" s="71">
        <f t="shared" ref="AP271" si="3251">HI271</f>
        <v>0</v>
      </c>
      <c r="AQ271" s="71">
        <f t="shared" ref="AQ271" si="3252">HJ271</f>
        <v>0</v>
      </c>
      <c r="AR271" s="71">
        <f t="shared" ref="AR271" si="3253">HK271</f>
        <v>0</v>
      </c>
      <c r="AS271" s="71">
        <f t="shared" ref="AS271" si="3254">HL271</f>
        <v>0</v>
      </c>
      <c r="AT271" s="71">
        <f t="shared" ref="AT271" si="3255">HM271</f>
        <v>0</v>
      </c>
      <c r="AU271" s="71">
        <f t="shared" ref="AU271" si="3256">HN271</f>
        <v>0</v>
      </c>
      <c r="AV271" s="71">
        <f t="shared" ref="AV271" si="3257">HO271</f>
        <v>0</v>
      </c>
      <c r="AW271" s="71">
        <f t="shared" ref="AW271" si="3258">HP271</f>
        <v>0</v>
      </c>
      <c r="AX271" s="71">
        <f t="shared" ref="AX271" si="3259">HQ271</f>
        <v>0</v>
      </c>
      <c r="AY271" s="71">
        <f t="shared" ref="AY271" si="3260">HR271</f>
        <v>0</v>
      </c>
      <c r="AZ271" s="72">
        <f t="shared" ref="AZ271" si="3261">HS271</f>
        <v>0</v>
      </c>
      <c r="BA271" s="70">
        <f t="shared" si="3123"/>
        <v>0</v>
      </c>
      <c r="BB271" s="69">
        <f t="shared" ca="1" si="3124"/>
        <v>0</v>
      </c>
      <c r="BC271" s="70">
        <f t="shared" ref="BC271" si="3262">HT271</f>
        <v>0</v>
      </c>
      <c r="BD271" s="71">
        <f t="shared" ref="BD271" si="3263">HU271</f>
        <v>0</v>
      </c>
      <c r="BE271" s="71">
        <f t="shared" ref="BE271" si="3264">HV271</f>
        <v>0</v>
      </c>
      <c r="BF271" s="71">
        <f t="shared" ref="BF271" si="3265">HW271</f>
        <v>0</v>
      </c>
      <c r="BG271" s="71">
        <f t="shared" ref="BG271" si="3266">HX271</f>
        <v>0</v>
      </c>
      <c r="BH271" s="71">
        <f t="shared" ref="BH271" si="3267">HY271</f>
        <v>0</v>
      </c>
      <c r="BI271" s="71">
        <f t="shared" ref="BI271" si="3268">HZ271</f>
        <v>0</v>
      </c>
      <c r="BJ271" s="71">
        <f t="shared" ref="BJ271" si="3269">IA271</f>
        <v>0</v>
      </c>
      <c r="BK271" s="71">
        <f t="shared" ref="BK271" si="3270">IB271</f>
        <v>0</v>
      </c>
      <c r="BL271" s="71">
        <f t="shared" ref="BL271" si="3271">IC271</f>
        <v>0</v>
      </c>
      <c r="BM271" s="71">
        <f t="shared" ref="BM271" si="3272">ID271</f>
        <v>0</v>
      </c>
      <c r="BN271" s="71">
        <f t="shared" ref="BN271" si="3273">IE271</f>
        <v>0</v>
      </c>
      <c r="BO271" s="71">
        <f t="shared" ref="BO271" si="3274">IF271</f>
        <v>0</v>
      </c>
      <c r="BP271" s="71">
        <f t="shared" ref="BP271" si="3275">IG271</f>
        <v>0</v>
      </c>
      <c r="BQ271" s="71">
        <f t="shared" ref="BQ271" si="3276">IH271</f>
        <v>0</v>
      </c>
      <c r="BR271" s="71">
        <f t="shared" ref="BR271" si="3277">II271</f>
        <v>0</v>
      </c>
      <c r="BS271" s="71">
        <f t="shared" ref="BS271" si="3278">IJ271</f>
        <v>0</v>
      </c>
      <c r="BT271" s="71">
        <f t="shared" ref="BT271" si="3279">IK271</f>
        <v>0</v>
      </c>
      <c r="BU271" s="71">
        <f t="shared" ref="BU271" si="3280">IL271</f>
        <v>0</v>
      </c>
      <c r="BV271" s="71">
        <f t="shared" ref="BV271" si="3281">IM271</f>
        <v>0</v>
      </c>
      <c r="BW271" s="71">
        <f t="shared" ref="BW271" si="3282">IN271</f>
        <v>0</v>
      </c>
      <c r="BX271" s="71">
        <f t="shared" ref="BX271" si="3283">IO271</f>
        <v>0</v>
      </c>
      <c r="BY271" s="71">
        <f t="shared" ref="BY271" si="3284">IP271</f>
        <v>0</v>
      </c>
      <c r="BZ271" s="71">
        <f t="shared" ref="BZ271" si="3285">IQ271</f>
        <v>0</v>
      </c>
      <c r="CA271" s="71">
        <f t="shared" ref="CA271" si="3286">IR271</f>
        <v>0</v>
      </c>
      <c r="CB271" s="71">
        <f t="shared" ref="CB271" si="3287">IS271</f>
        <v>0</v>
      </c>
      <c r="CC271" s="71">
        <f t="shared" ref="CC271" si="3288">IT271</f>
        <v>0</v>
      </c>
      <c r="CD271" s="71">
        <f t="shared" ref="CD271" si="3289">IU271</f>
        <v>0</v>
      </c>
      <c r="CE271" s="71">
        <f t="shared" ref="CE271" si="3290">IV271</f>
        <v>0</v>
      </c>
      <c r="CF271" s="71">
        <f t="shared" ref="CF271" si="3291">IW271</f>
        <v>0</v>
      </c>
      <c r="CG271" s="71">
        <f t="shared" ref="CG271" si="3292">IX271</f>
        <v>0</v>
      </c>
      <c r="CH271" s="70">
        <f t="shared" si="3125"/>
        <v>0</v>
      </c>
      <c r="CI271" s="69">
        <f t="shared" ca="1" si="3126"/>
        <v>0</v>
      </c>
      <c r="GM271" s="2" t="s">
        <v>16</v>
      </c>
      <c r="GN271" s="98" t="str">
        <f>F271</f>
        <v>OKR01-FMCG01-ASMTE-01</v>
      </c>
      <c r="GO271" s="4">
        <v>0</v>
      </c>
      <c r="GP271" s="3">
        <v>0</v>
      </c>
      <c r="GQ271" s="3">
        <v>0</v>
      </c>
      <c r="GR271" s="3">
        <v>0</v>
      </c>
      <c r="GS271" s="3">
        <v>0</v>
      </c>
      <c r="GT271" s="3">
        <v>0</v>
      </c>
      <c r="GU271" s="3">
        <v>0</v>
      </c>
      <c r="GV271" s="3">
        <v>0</v>
      </c>
      <c r="GW271" s="3">
        <v>0</v>
      </c>
      <c r="GX271" s="3">
        <v>0</v>
      </c>
      <c r="GY271" s="3">
        <v>0</v>
      </c>
      <c r="GZ271" s="3">
        <v>0</v>
      </c>
      <c r="HA271" s="3">
        <v>0</v>
      </c>
      <c r="HB271" s="3">
        <v>0</v>
      </c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6"/>
      <c r="HT271" s="4">
        <v>0</v>
      </c>
      <c r="HU271" s="3">
        <v>0</v>
      </c>
      <c r="HV271" s="3">
        <v>0</v>
      </c>
      <c r="HW271" s="3">
        <v>0</v>
      </c>
      <c r="HX271" s="3">
        <v>0</v>
      </c>
      <c r="HY271" s="3">
        <v>0</v>
      </c>
      <c r="HZ271" s="3">
        <v>0</v>
      </c>
      <c r="IA271" s="3">
        <v>0</v>
      </c>
      <c r="IB271" s="3">
        <v>0</v>
      </c>
      <c r="IC271" s="3">
        <v>0</v>
      </c>
      <c r="ID271" s="3">
        <v>0</v>
      </c>
      <c r="IE271" s="3">
        <v>0</v>
      </c>
      <c r="IF271" s="3">
        <v>0</v>
      </c>
      <c r="IG271" s="3">
        <v>0</v>
      </c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6"/>
    </row>
    <row r="272" spans="1:258" hidden="1">
      <c r="A272" s="97" t="s">
        <v>1397</v>
      </c>
      <c r="B272" s="98" t="s">
        <v>20</v>
      </c>
      <c r="C272" s="98" t="s">
        <v>589</v>
      </c>
      <c r="D272" s="99" t="s">
        <v>655</v>
      </c>
      <c r="E272" s="98" t="s">
        <v>656</v>
      </c>
      <c r="F272" s="98" t="s">
        <v>657</v>
      </c>
      <c r="G272" s="98" t="s">
        <v>658</v>
      </c>
      <c r="H272" s="98" t="s">
        <v>659</v>
      </c>
      <c r="I272" s="98" t="s">
        <v>659</v>
      </c>
      <c r="J272" s="98" t="s">
        <v>622</v>
      </c>
      <c r="K272" s="98" t="s">
        <v>31</v>
      </c>
      <c r="L272" s="98" t="s">
        <v>660</v>
      </c>
      <c r="M272" s="98" t="s">
        <v>52</v>
      </c>
      <c r="N272" s="108">
        <v>45139</v>
      </c>
      <c r="O272" s="100">
        <v>0</v>
      </c>
      <c r="P272" s="69">
        <v>0</v>
      </c>
      <c r="Q272" s="69">
        <f t="shared" si="3056"/>
        <v>0</v>
      </c>
      <c r="R272" s="69">
        <f>IFERROR(IF(OR(BA272&gt;0),1,0),0)</f>
        <v>0</v>
      </c>
      <c r="S272" s="69">
        <f>IFERROR(IF(OR(BP272&gt;0),1,0),0)</f>
        <v>0</v>
      </c>
      <c r="T272" s="69">
        <f>IFERROR(IF(OR(CH272&gt;0),1,0),0)</f>
        <v>0</v>
      </c>
      <c r="U272" s="69">
        <f>IFERROR(IF(OR(BA272&gt;0,CH272&gt;0),1,0),0)</f>
        <v>0</v>
      </c>
      <c r="V272" s="70">
        <f t="shared" ref="V272" si="3293">GO272</f>
        <v>0</v>
      </c>
      <c r="W272" s="71">
        <f t="shared" ref="W272" si="3294">GP272</f>
        <v>0</v>
      </c>
      <c r="X272" s="71">
        <f t="shared" ref="X272" si="3295">GQ272</f>
        <v>0</v>
      </c>
      <c r="Y272" s="71">
        <f t="shared" ref="Y272" si="3296">GR272</f>
        <v>0</v>
      </c>
      <c r="Z272" s="71">
        <f t="shared" ref="Z272" si="3297">GS272</f>
        <v>0</v>
      </c>
      <c r="AA272" s="71">
        <f t="shared" ref="AA272" si="3298">GT272</f>
        <v>0</v>
      </c>
      <c r="AB272" s="71">
        <f t="shared" ref="AB272" si="3299">GU272</f>
        <v>0</v>
      </c>
      <c r="AC272" s="71">
        <f t="shared" ref="AC272" si="3300">GV272</f>
        <v>0</v>
      </c>
      <c r="AD272" s="71">
        <f t="shared" ref="AD272" si="3301">GW272</f>
        <v>0</v>
      </c>
      <c r="AE272" s="71">
        <f t="shared" ref="AE272" si="3302">GX272</f>
        <v>0</v>
      </c>
      <c r="AF272" s="71">
        <f t="shared" ref="AF272" si="3303">GY272</f>
        <v>0</v>
      </c>
      <c r="AG272" s="71">
        <f t="shared" ref="AG272" si="3304">GZ272</f>
        <v>0</v>
      </c>
      <c r="AH272" s="71">
        <f t="shared" ref="AH272" si="3305">HA272</f>
        <v>0</v>
      </c>
      <c r="AI272" s="71">
        <f t="shared" ref="AI272" si="3306">HB272</f>
        <v>0</v>
      </c>
      <c r="AJ272" s="71">
        <f t="shared" ref="AJ272" si="3307">HC272</f>
        <v>0</v>
      </c>
      <c r="AK272" s="71">
        <f t="shared" ref="AK272" si="3308">HD272</f>
        <v>0</v>
      </c>
      <c r="AL272" s="71">
        <f t="shared" ref="AL272" si="3309">HE272</f>
        <v>0</v>
      </c>
      <c r="AM272" s="71">
        <f t="shared" ref="AM272" si="3310">HF272</f>
        <v>0</v>
      </c>
      <c r="AN272" s="71">
        <f t="shared" ref="AN272" si="3311">HG272</f>
        <v>0</v>
      </c>
      <c r="AO272" s="71">
        <f t="shared" ref="AO272" si="3312">HH272</f>
        <v>0</v>
      </c>
      <c r="AP272" s="71">
        <f t="shared" ref="AP272" si="3313">HI272</f>
        <v>0</v>
      </c>
      <c r="AQ272" s="71">
        <f t="shared" ref="AQ272" si="3314">HJ272</f>
        <v>0</v>
      </c>
      <c r="AR272" s="71">
        <f t="shared" ref="AR272" si="3315">HK272</f>
        <v>0</v>
      </c>
      <c r="AS272" s="71">
        <f t="shared" ref="AS272" si="3316">HL272</f>
        <v>0</v>
      </c>
      <c r="AT272" s="71">
        <f t="shared" ref="AT272" si="3317">HM272</f>
        <v>0</v>
      </c>
      <c r="AU272" s="71">
        <f t="shared" ref="AU272" si="3318">HN272</f>
        <v>0</v>
      </c>
      <c r="AV272" s="71">
        <f t="shared" ref="AV272" si="3319">HO272</f>
        <v>0</v>
      </c>
      <c r="AW272" s="71">
        <f t="shared" ref="AW272" si="3320">HP272</f>
        <v>0</v>
      </c>
      <c r="AX272" s="71">
        <f t="shared" ref="AX272" si="3321">HQ272</f>
        <v>0</v>
      </c>
      <c r="AY272" s="71">
        <f t="shared" ref="AY272" si="3322">HR272</f>
        <v>0</v>
      </c>
      <c r="AZ272" s="72">
        <f t="shared" ref="AZ272" si="3323">HS272</f>
        <v>0</v>
      </c>
      <c r="BA272" s="70">
        <f t="shared" si="3123"/>
        <v>0</v>
      </c>
      <c r="BB272" s="69">
        <f t="shared" ca="1" si="3124"/>
        <v>0</v>
      </c>
      <c r="BC272" s="70">
        <f t="shared" ref="BC272" si="3324">HT272</f>
        <v>0</v>
      </c>
      <c r="BD272" s="71">
        <f t="shared" ref="BD272" si="3325">HU272</f>
        <v>0</v>
      </c>
      <c r="BE272" s="71">
        <f t="shared" ref="BE272" si="3326">HV272</f>
        <v>0</v>
      </c>
      <c r="BF272" s="71">
        <f t="shared" ref="BF272" si="3327">HW272</f>
        <v>0</v>
      </c>
      <c r="BG272" s="71">
        <f t="shared" ref="BG272" si="3328">HX272</f>
        <v>0</v>
      </c>
      <c r="BH272" s="71">
        <f t="shared" ref="BH272" si="3329">HY272</f>
        <v>0</v>
      </c>
      <c r="BI272" s="71">
        <f t="shared" ref="BI272" si="3330">HZ272</f>
        <v>0</v>
      </c>
      <c r="BJ272" s="71">
        <f t="shared" ref="BJ272" si="3331">IA272</f>
        <v>0</v>
      </c>
      <c r="BK272" s="71">
        <f t="shared" ref="BK272" si="3332">IB272</f>
        <v>0</v>
      </c>
      <c r="BL272" s="71">
        <f t="shared" ref="BL272" si="3333">IC272</f>
        <v>0</v>
      </c>
      <c r="BM272" s="71">
        <f t="shared" ref="BM272" si="3334">ID272</f>
        <v>0</v>
      </c>
      <c r="BN272" s="71">
        <f t="shared" ref="BN272" si="3335">IE272</f>
        <v>0</v>
      </c>
      <c r="BO272" s="71">
        <f t="shared" ref="BO272" si="3336">IF272</f>
        <v>0</v>
      </c>
      <c r="BP272" s="71">
        <f t="shared" ref="BP272" si="3337">IG272</f>
        <v>0</v>
      </c>
      <c r="BQ272" s="71">
        <f t="shared" ref="BQ272" si="3338">IH272</f>
        <v>0</v>
      </c>
      <c r="BR272" s="71">
        <f t="shared" ref="BR272" si="3339">II272</f>
        <v>0</v>
      </c>
      <c r="BS272" s="71">
        <f t="shared" ref="BS272" si="3340">IJ272</f>
        <v>0</v>
      </c>
      <c r="BT272" s="71">
        <f t="shared" ref="BT272" si="3341">IK272</f>
        <v>0</v>
      </c>
      <c r="BU272" s="71">
        <f t="shared" ref="BU272" si="3342">IL272</f>
        <v>0</v>
      </c>
      <c r="BV272" s="71">
        <f t="shared" ref="BV272" si="3343">IM272</f>
        <v>0</v>
      </c>
      <c r="BW272" s="71">
        <f t="shared" ref="BW272" si="3344">IN272</f>
        <v>0</v>
      </c>
      <c r="BX272" s="71">
        <f t="shared" ref="BX272" si="3345">IO272</f>
        <v>0</v>
      </c>
      <c r="BY272" s="71">
        <f t="shared" ref="BY272" si="3346">IP272</f>
        <v>0</v>
      </c>
      <c r="BZ272" s="71">
        <f t="shared" ref="BZ272" si="3347">IQ272</f>
        <v>0</v>
      </c>
      <c r="CA272" s="71">
        <f t="shared" ref="CA272" si="3348">IR272</f>
        <v>0</v>
      </c>
      <c r="CB272" s="71">
        <f t="shared" ref="CB272" si="3349">IS272</f>
        <v>0</v>
      </c>
      <c r="CC272" s="71">
        <f t="shared" ref="CC272" si="3350">IT272</f>
        <v>0</v>
      </c>
      <c r="CD272" s="71">
        <f t="shared" ref="CD272" si="3351">IU272</f>
        <v>0</v>
      </c>
      <c r="CE272" s="71">
        <f t="shared" ref="CE272" si="3352">IV272</f>
        <v>0</v>
      </c>
      <c r="CF272" s="71">
        <f t="shared" ref="CF272" si="3353">IW272</f>
        <v>0</v>
      </c>
      <c r="CG272" s="71">
        <f t="shared" ref="CG272" si="3354">IX272</f>
        <v>0</v>
      </c>
      <c r="CH272" s="70">
        <f t="shared" si="3125"/>
        <v>0</v>
      </c>
      <c r="CI272" s="69">
        <f t="shared" ca="1" si="3126"/>
        <v>0</v>
      </c>
      <c r="GM272" s="2" t="s">
        <v>16</v>
      </c>
      <c r="GN272" s="98" t="str">
        <f t="shared" si="3053"/>
        <v>NTH-C-FMCG-RSM-01</v>
      </c>
      <c r="GO272" s="4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6"/>
      <c r="HT272" s="4">
        <v>0</v>
      </c>
      <c r="HU272" s="3">
        <v>0</v>
      </c>
      <c r="HV272" s="3">
        <v>0</v>
      </c>
      <c r="HW272" s="3">
        <v>0</v>
      </c>
      <c r="HX272" s="3">
        <v>0</v>
      </c>
      <c r="HY272" s="3">
        <v>0</v>
      </c>
      <c r="HZ272" s="3">
        <v>0</v>
      </c>
      <c r="IA272" s="3">
        <v>0</v>
      </c>
      <c r="IB272" s="3">
        <v>0</v>
      </c>
      <c r="IC272" s="3">
        <v>0</v>
      </c>
      <c r="ID272" s="3">
        <v>0</v>
      </c>
      <c r="IE272" s="3">
        <v>0</v>
      </c>
      <c r="IF272" s="3">
        <v>0</v>
      </c>
      <c r="IG272" s="3">
        <v>0</v>
      </c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6"/>
    </row>
    <row r="273" spans="1:258" hidden="1">
      <c r="A273" s="109" t="s">
        <v>158</v>
      </c>
      <c r="B273" s="110" t="s">
        <v>20</v>
      </c>
      <c r="C273" s="110" t="s">
        <v>589</v>
      </c>
      <c r="D273" s="111" t="s">
        <v>655</v>
      </c>
      <c r="E273" s="110" t="s">
        <v>656</v>
      </c>
      <c r="F273" s="110" t="s">
        <v>657</v>
      </c>
      <c r="G273" s="110" t="s">
        <v>658</v>
      </c>
      <c r="H273" s="110" t="s">
        <v>659</v>
      </c>
      <c r="I273" s="110" t="s">
        <v>659</v>
      </c>
      <c r="J273" s="110" t="s">
        <v>622</v>
      </c>
      <c r="K273" s="110" t="s">
        <v>31</v>
      </c>
      <c r="L273" s="110" t="s">
        <v>660</v>
      </c>
      <c r="M273" s="110" t="s">
        <v>52</v>
      </c>
      <c r="N273" s="140">
        <v>45139</v>
      </c>
      <c r="O273" s="112">
        <f>O272+O270+O263+O256+O249+O271</f>
        <v>16</v>
      </c>
      <c r="P273" s="77">
        <f t="shared" ref="P273:CA273" si="3355">P272+P270+P263+P256+P249+P271</f>
        <v>0</v>
      </c>
      <c r="Q273" s="77">
        <f t="shared" si="3355"/>
        <v>7</v>
      </c>
      <c r="R273" s="77">
        <f t="shared" si="3355"/>
        <v>16</v>
      </c>
      <c r="S273" s="77">
        <f t="shared" si="3355"/>
        <v>3</v>
      </c>
      <c r="T273" s="77">
        <f t="shared" si="3355"/>
        <v>15</v>
      </c>
      <c r="U273" s="77">
        <f t="shared" si="3355"/>
        <v>16</v>
      </c>
      <c r="V273" s="78">
        <f t="shared" si="3355"/>
        <v>16</v>
      </c>
      <c r="W273" s="79">
        <f t="shared" si="3355"/>
        <v>2</v>
      </c>
      <c r="X273" s="79">
        <f t="shared" si="3355"/>
        <v>16</v>
      </c>
      <c r="Y273" s="79">
        <f t="shared" si="3355"/>
        <v>14</v>
      </c>
      <c r="Z273" s="79">
        <f t="shared" si="3355"/>
        <v>16</v>
      </c>
      <c r="AA273" s="79">
        <f t="shared" si="3355"/>
        <v>16</v>
      </c>
      <c r="AB273" s="79">
        <f t="shared" si="3355"/>
        <v>15</v>
      </c>
      <c r="AC273" s="79">
        <f t="shared" si="3355"/>
        <v>15</v>
      </c>
      <c r="AD273" s="79">
        <f t="shared" si="3355"/>
        <v>2</v>
      </c>
      <c r="AE273" s="79">
        <f t="shared" si="3355"/>
        <v>15</v>
      </c>
      <c r="AF273" s="79">
        <f t="shared" si="3355"/>
        <v>14</v>
      </c>
      <c r="AG273" s="79">
        <f t="shared" si="3355"/>
        <v>16</v>
      </c>
      <c r="AH273" s="79">
        <f t="shared" si="3355"/>
        <v>16</v>
      </c>
      <c r="AI273" s="79">
        <f t="shared" si="3355"/>
        <v>16</v>
      </c>
      <c r="AJ273" s="79">
        <f t="shared" si="3355"/>
        <v>0</v>
      </c>
      <c r="AK273" s="79">
        <f t="shared" si="3355"/>
        <v>0</v>
      </c>
      <c r="AL273" s="79">
        <f t="shared" si="3355"/>
        <v>0</v>
      </c>
      <c r="AM273" s="79">
        <f t="shared" si="3355"/>
        <v>0</v>
      </c>
      <c r="AN273" s="79">
        <f t="shared" si="3355"/>
        <v>0</v>
      </c>
      <c r="AO273" s="79">
        <f t="shared" si="3355"/>
        <v>0</v>
      </c>
      <c r="AP273" s="79">
        <f t="shared" si="3355"/>
        <v>0</v>
      </c>
      <c r="AQ273" s="79">
        <f t="shared" si="3355"/>
        <v>0</v>
      </c>
      <c r="AR273" s="79">
        <f t="shared" si="3355"/>
        <v>0</v>
      </c>
      <c r="AS273" s="79">
        <f t="shared" si="3355"/>
        <v>0</v>
      </c>
      <c r="AT273" s="79">
        <f t="shared" si="3355"/>
        <v>0</v>
      </c>
      <c r="AU273" s="79">
        <f t="shared" si="3355"/>
        <v>0</v>
      </c>
      <c r="AV273" s="79">
        <f t="shared" si="3355"/>
        <v>0</v>
      </c>
      <c r="AW273" s="79">
        <f t="shared" si="3355"/>
        <v>0</v>
      </c>
      <c r="AX273" s="79">
        <f t="shared" si="3355"/>
        <v>0</v>
      </c>
      <c r="AY273" s="79">
        <f t="shared" si="3355"/>
        <v>0</v>
      </c>
      <c r="AZ273" s="80">
        <f t="shared" si="3355"/>
        <v>0</v>
      </c>
      <c r="BA273" s="78">
        <f t="shared" si="3123"/>
        <v>189</v>
      </c>
      <c r="BB273" s="77">
        <f t="shared" ca="1" si="3124"/>
        <v>0.90865384615384615</v>
      </c>
      <c r="BC273" s="78">
        <f t="shared" si="3355"/>
        <v>465</v>
      </c>
      <c r="BD273" s="79">
        <f t="shared" si="3355"/>
        <v>86</v>
      </c>
      <c r="BE273" s="79">
        <f t="shared" si="3355"/>
        <v>338</v>
      </c>
      <c r="BF273" s="79">
        <f t="shared" si="3355"/>
        <v>332</v>
      </c>
      <c r="BG273" s="79">
        <f t="shared" si="3355"/>
        <v>443</v>
      </c>
      <c r="BH273" s="79">
        <f t="shared" si="3355"/>
        <v>338</v>
      </c>
      <c r="BI273" s="79">
        <f t="shared" si="3355"/>
        <v>364</v>
      </c>
      <c r="BJ273" s="79">
        <f t="shared" si="3355"/>
        <v>536</v>
      </c>
      <c r="BK273" s="79">
        <f t="shared" si="3355"/>
        <v>62</v>
      </c>
      <c r="BL273" s="79">
        <f t="shared" si="3355"/>
        <v>365</v>
      </c>
      <c r="BM273" s="79">
        <f t="shared" si="3355"/>
        <v>341</v>
      </c>
      <c r="BN273" s="79">
        <f t="shared" si="3355"/>
        <v>319</v>
      </c>
      <c r="BO273" s="79">
        <f t="shared" si="3355"/>
        <v>451</v>
      </c>
      <c r="BP273" s="79">
        <f t="shared" si="3355"/>
        <v>31</v>
      </c>
      <c r="BQ273" s="79">
        <f t="shared" si="3355"/>
        <v>0</v>
      </c>
      <c r="BR273" s="79">
        <f t="shared" si="3355"/>
        <v>0</v>
      </c>
      <c r="BS273" s="79">
        <f t="shared" si="3355"/>
        <v>0</v>
      </c>
      <c r="BT273" s="79">
        <f t="shared" si="3355"/>
        <v>0</v>
      </c>
      <c r="BU273" s="79">
        <f t="shared" si="3355"/>
        <v>0</v>
      </c>
      <c r="BV273" s="79">
        <f t="shared" si="3355"/>
        <v>0</v>
      </c>
      <c r="BW273" s="79">
        <f t="shared" si="3355"/>
        <v>0</v>
      </c>
      <c r="BX273" s="79">
        <f t="shared" si="3355"/>
        <v>0</v>
      </c>
      <c r="BY273" s="79">
        <f t="shared" si="3355"/>
        <v>0</v>
      </c>
      <c r="BZ273" s="79">
        <f t="shared" si="3355"/>
        <v>0</v>
      </c>
      <c r="CA273" s="79">
        <f t="shared" si="3355"/>
        <v>0</v>
      </c>
      <c r="CB273" s="79">
        <f t="shared" ref="CB273:CG273" si="3356">CB272+CB270+CB263+CB256+CB249+CB271</f>
        <v>0</v>
      </c>
      <c r="CC273" s="79">
        <f t="shared" si="3356"/>
        <v>0</v>
      </c>
      <c r="CD273" s="79">
        <f t="shared" si="3356"/>
        <v>0</v>
      </c>
      <c r="CE273" s="79">
        <f t="shared" si="3356"/>
        <v>0</v>
      </c>
      <c r="CF273" s="79">
        <f t="shared" si="3356"/>
        <v>0</v>
      </c>
      <c r="CG273" s="79">
        <f t="shared" si="3356"/>
        <v>0</v>
      </c>
      <c r="CH273" s="78">
        <f t="shared" si="3125"/>
        <v>4471</v>
      </c>
      <c r="CI273" s="77">
        <f t="shared" ca="1" si="3126"/>
        <v>21.495192307692307</v>
      </c>
      <c r="GM273" s="2" t="s">
        <v>17</v>
      </c>
      <c r="GN273" s="110" t="str">
        <f t="shared" si="3053"/>
        <v>NTH-C-FMCG-RSM-01</v>
      </c>
      <c r="GO273" s="4">
        <v>0</v>
      </c>
      <c r="GP273" s="3">
        <v>0</v>
      </c>
      <c r="GQ273" s="3">
        <v>0</v>
      </c>
      <c r="GR273" s="3">
        <v>0</v>
      </c>
      <c r="GS273" s="3">
        <v>0</v>
      </c>
      <c r="GT273" s="3">
        <v>0</v>
      </c>
      <c r="GU273" s="3">
        <v>0</v>
      </c>
      <c r="GV273" s="3">
        <v>0</v>
      </c>
      <c r="GW273" s="3">
        <v>0</v>
      </c>
      <c r="GX273" s="3">
        <v>0</v>
      </c>
      <c r="GY273" s="3">
        <v>0</v>
      </c>
      <c r="GZ273" s="3">
        <v>0</v>
      </c>
      <c r="HA273" s="3">
        <v>0</v>
      </c>
      <c r="HB273" s="3">
        <v>0</v>
      </c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6"/>
      <c r="HT273" s="4">
        <v>0</v>
      </c>
      <c r="HU273" s="3">
        <v>0</v>
      </c>
      <c r="HV273" s="3">
        <v>0</v>
      </c>
      <c r="HW273" s="3">
        <v>0</v>
      </c>
      <c r="HX273" s="3">
        <v>0</v>
      </c>
      <c r="HY273" s="3">
        <v>0</v>
      </c>
      <c r="HZ273" s="3">
        <v>0</v>
      </c>
      <c r="IA273" s="3">
        <v>0</v>
      </c>
      <c r="IB273" s="3">
        <v>0</v>
      </c>
      <c r="IC273" s="3">
        <v>0</v>
      </c>
      <c r="ID273" s="3">
        <v>0</v>
      </c>
      <c r="IE273" s="3">
        <v>0</v>
      </c>
      <c r="IF273" s="3">
        <v>0</v>
      </c>
      <c r="IG273" s="3">
        <v>0</v>
      </c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6"/>
    </row>
    <row r="274" spans="1:258" hidden="1">
      <c r="A274" s="106" t="s">
        <v>25</v>
      </c>
      <c r="B274" s="101" t="s">
        <v>26</v>
      </c>
      <c r="C274" s="98" t="s">
        <v>511</v>
      </c>
      <c r="D274" s="107" t="s">
        <v>1214</v>
      </c>
      <c r="E274" s="101" t="s">
        <v>993</v>
      </c>
      <c r="F274" s="101" t="s">
        <v>1061</v>
      </c>
      <c r="G274" s="98" t="s">
        <v>529</v>
      </c>
      <c r="H274" s="101" t="s">
        <v>1547</v>
      </c>
      <c r="I274" s="101" t="s">
        <v>1547</v>
      </c>
      <c r="J274" s="101" t="s">
        <v>1215</v>
      </c>
      <c r="K274" s="98" t="s">
        <v>1127</v>
      </c>
      <c r="L274" s="101" t="s">
        <v>530</v>
      </c>
      <c r="M274" s="101" t="s">
        <v>1093</v>
      </c>
      <c r="N274" s="139">
        <v>46066</v>
      </c>
      <c r="O274" s="100">
        <v>1</v>
      </c>
      <c r="P274" s="69">
        <v>0</v>
      </c>
      <c r="Q274" s="69">
        <f t="shared" ref="Q274:Q287" si="3357">IFERROR(IF(OR(AI274&gt;0),1,0),0)</f>
        <v>1</v>
      </c>
      <c r="R274" s="69">
        <f t="shared" ref="R274:R279" si="3358">IFERROR(IF(OR(BA274&gt;0),1,0),0)</f>
        <v>1</v>
      </c>
      <c r="S274" s="69">
        <f t="shared" ref="S274:S279" si="3359">IFERROR(IF(OR(BP274&gt;0),1,0),0)</f>
        <v>1</v>
      </c>
      <c r="T274" s="69">
        <f t="shared" ref="T274:T279" si="3360">IFERROR(IF(OR(CH274&gt;0),1,0),0)</f>
        <v>1</v>
      </c>
      <c r="U274" s="69">
        <f t="shared" ref="U274:U279" si="3361">IFERROR(IF(OR(BA274&gt;0,CH274&gt;0),1,0),0)</f>
        <v>1</v>
      </c>
      <c r="V274" s="70">
        <f t="shared" ref="V274:V279" si="3362">GO274</f>
        <v>1</v>
      </c>
      <c r="W274" s="71">
        <f t="shared" ref="W274:W279" si="3363">GP274</f>
        <v>1</v>
      </c>
      <c r="X274" s="71">
        <f t="shared" ref="X274:X279" si="3364">GQ274</f>
        <v>1</v>
      </c>
      <c r="Y274" s="71">
        <f t="shared" ref="Y274:Y279" si="3365">GR274</f>
        <v>0</v>
      </c>
      <c r="Z274" s="71">
        <f t="shared" ref="Z274:Z279" si="3366">GS274</f>
        <v>1</v>
      </c>
      <c r="AA274" s="71">
        <f t="shared" ref="AA274:AA279" si="3367">GT274</f>
        <v>1</v>
      </c>
      <c r="AB274" s="71">
        <f t="shared" ref="AB274:AB279" si="3368">GU274</f>
        <v>1</v>
      </c>
      <c r="AC274" s="71">
        <f t="shared" ref="AC274:AC279" si="3369">GV274</f>
        <v>1</v>
      </c>
      <c r="AD274" s="71">
        <f t="shared" ref="AD274:AD279" si="3370">GW274</f>
        <v>1</v>
      </c>
      <c r="AE274" s="71">
        <f t="shared" ref="AE274:AE279" si="3371">GX274</f>
        <v>1</v>
      </c>
      <c r="AF274" s="71">
        <f t="shared" ref="AF274:AF279" si="3372">GY274</f>
        <v>0</v>
      </c>
      <c r="AG274" s="71">
        <f t="shared" ref="AG274:AG279" si="3373">GZ274</f>
        <v>1</v>
      </c>
      <c r="AH274" s="71">
        <f t="shared" ref="AH274:AH279" si="3374">HA274</f>
        <v>0</v>
      </c>
      <c r="AI274" s="71">
        <f t="shared" ref="AI274:AI279" si="3375">HB274</f>
        <v>1</v>
      </c>
      <c r="AJ274" s="71">
        <f t="shared" ref="AJ274:AJ279" si="3376">HC274</f>
        <v>0</v>
      </c>
      <c r="AK274" s="71">
        <f t="shared" ref="AK274:AK279" si="3377">HD274</f>
        <v>0</v>
      </c>
      <c r="AL274" s="71">
        <f t="shared" ref="AL274:AL279" si="3378">HE274</f>
        <v>0</v>
      </c>
      <c r="AM274" s="71">
        <f t="shared" ref="AM274:AM279" si="3379">HF274</f>
        <v>0</v>
      </c>
      <c r="AN274" s="71">
        <f t="shared" ref="AN274:AN279" si="3380">HG274</f>
        <v>0</v>
      </c>
      <c r="AO274" s="71">
        <f t="shared" ref="AO274:AO279" si="3381">HH274</f>
        <v>0</v>
      </c>
      <c r="AP274" s="71">
        <f t="shared" ref="AP274:AP279" si="3382">HI274</f>
        <v>0</v>
      </c>
      <c r="AQ274" s="71">
        <f t="shared" ref="AQ274:AQ279" si="3383">HJ274</f>
        <v>0</v>
      </c>
      <c r="AR274" s="71">
        <f t="shared" ref="AR274:AR279" si="3384">HK274</f>
        <v>0</v>
      </c>
      <c r="AS274" s="71">
        <f t="shared" ref="AS274:AS279" si="3385">HL274</f>
        <v>0</v>
      </c>
      <c r="AT274" s="71">
        <f t="shared" ref="AT274:AT279" si="3386">HM274</f>
        <v>0</v>
      </c>
      <c r="AU274" s="71">
        <f t="shared" ref="AU274:AU279" si="3387">HN274</f>
        <v>0</v>
      </c>
      <c r="AV274" s="71">
        <f t="shared" ref="AV274:AV279" si="3388">HO274</f>
        <v>0</v>
      </c>
      <c r="AW274" s="71">
        <f t="shared" ref="AW274:AW279" si="3389">HP274</f>
        <v>0</v>
      </c>
      <c r="AX274" s="71">
        <f t="shared" ref="AX274:AX279" si="3390">HQ274</f>
        <v>0</v>
      </c>
      <c r="AY274" s="71">
        <f t="shared" ref="AY274:AY279" si="3391">HR274</f>
        <v>0</v>
      </c>
      <c r="AZ274" s="72">
        <f t="shared" ref="AZ274:AZ279" si="3392">HS274</f>
        <v>0</v>
      </c>
      <c r="BA274" s="70">
        <f t="shared" si="3123"/>
        <v>11</v>
      </c>
      <c r="BB274" s="69">
        <f t="shared" ca="1" si="3124"/>
        <v>0.84615384615384615</v>
      </c>
      <c r="BC274" s="70">
        <f t="shared" ref="BC274:BC279" si="3393">HT274</f>
        <v>42</v>
      </c>
      <c r="BD274" s="71">
        <f t="shared" ref="BD274:BD279" si="3394">HU274</f>
        <v>40</v>
      </c>
      <c r="BE274" s="71">
        <f t="shared" ref="BE274:BE279" si="3395">HV274</f>
        <v>43</v>
      </c>
      <c r="BF274" s="71">
        <f t="shared" ref="BF274:BF279" si="3396">HW274</f>
        <v>0</v>
      </c>
      <c r="BG274" s="71">
        <f t="shared" ref="BG274:BG279" si="3397">HX274</f>
        <v>45</v>
      </c>
      <c r="BH274" s="71">
        <f t="shared" ref="BH274:BH279" si="3398">HY274</f>
        <v>0</v>
      </c>
      <c r="BI274" s="71">
        <f t="shared" ref="BI274:BI279" si="3399">HZ274</f>
        <v>42</v>
      </c>
      <c r="BJ274" s="71">
        <f t="shared" ref="BJ274:BJ279" si="3400">IA274</f>
        <v>44</v>
      </c>
      <c r="BK274" s="71">
        <f t="shared" ref="BK274:BK279" si="3401">IB274</f>
        <v>41</v>
      </c>
      <c r="BL274" s="71">
        <f t="shared" ref="BL274:BL279" si="3402">IC274</f>
        <v>42</v>
      </c>
      <c r="BM274" s="71">
        <f t="shared" ref="BM274:BM279" si="3403">ID274</f>
        <v>0</v>
      </c>
      <c r="BN274" s="71">
        <f t="shared" ref="BN274:BN279" si="3404">IE274</f>
        <v>41</v>
      </c>
      <c r="BO274" s="71">
        <f t="shared" ref="BO274:BO279" si="3405">IF274</f>
        <v>0</v>
      </c>
      <c r="BP274" s="71">
        <f t="shared" ref="BP274:BP279" si="3406">IG274</f>
        <v>1</v>
      </c>
      <c r="BQ274" s="71">
        <f t="shared" ref="BQ274:BQ279" si="3407">IH274</f>
        <v>0</v>
      </c>
      <c r="BR274" s="71">
        <f t="shared" ref="BR274:BR279" si="3408">II274</f>
        <v>0</v>
      </c>
      <c r="BS274" s="71">
        <f t="shared" ref="BS274:BS279" si="3409">IJ274</f>
        <v>0</v>
      </c>
      <c r="BT274" s="71">
        <f t="shared" ref="BT274:BT279" si="3410">IK274</f>
        <v>0</v>
      </c>
      <c r="BU274" s="71">
        <f t="shared" ref="BU274:BU279" si="3411">IL274</f>
        <v>0</v>
      </c>
      <c r="BV274" s="71">
        <f t="shared" ref="BV274:BV279" si="3412">IM274</f>
        <v>0</v>
      </c>
      <c r="BW274" s="71">
        <f t="shared" ref="BW274:BW279" si="3413">IN274</f>
        <v>0</v>
      </c>
      <c r="BX274" s="71">
        <f t="shared" ref="BX274:BX279" si="3414">IO274</f>
        <v>0</v>
      </c>
      <c r="BY274" s="71">
        <f t="shared" ref="BY274:BY279" si="3415">IP274</f>
        <v>0</v>
      </c>
      <c r="BZ274" s="71">
        <f t="shared" ref="BZ274:BZ279" si="3416">IQ274</f>
        <v>0</v>
      </c>
      <c r="CA274" s="71">
        <f t="shared" ref="CA274:CA279" si="3417">IR274</f>
        <v>0</v>
      </c>
      <c r="CB274" s="71">
        <f t="shared" ref="CB274:CB279" si="3418">IS274</f>
        <v>0</v>
      </c>
      <c r="CC274" s="71">
        <f t="shared" ref="CC274:CC279" si="3419">IT274</f>
        <v>0</v>
      </c>
      <c r="CD274" s="71">
        <f t="shared" ref="CD274:CD279" si="3420">IU274</f>
        <v>0</v>
      </c>
      <c r="CE274" s="71">
        <f t="shared" ref="CE274:CE279" si="3421">IV274</f>
        <v>0</v>
      </c>
      <c r="CF274" s="71">
        <f t="shared" ref="CF274:CF279" si="3422">IW274</f>
        <v>0</v>
      </c>
      <c r="CG274" s="71">
        <f t="shared" ref="CG274:CG279" si="3423">IX274</f>
        <v>0</v>
      </c>
      <c r="CH274" s="70">
        <f t="shared" si="3125"/>
        <v>381</v>
      </c>
      <c r="CI274" s="69">
        <f t="shared" ca="1" si="3126"/>
        <v>29.307692307692307</v>
      </c>
      <c r="GM274" s="2" t="s">
        <v>16</v>
      </c>
      <c r="GN274" s="101" t="str">
        <f t="shared" ref="GN274:GN280" si="3424">F274</f>
        <v>JLM01-FMCG-SPO-01</v>
      </c>
      <c r="GO274" s="4">
        <v>1</v>
      </c>
      <c r="GP274" s="3">
        <v>1</v>
      </c>
      <c r="GQ274" s="3">
        <v>1</v>
      </c>
      <c r="GR274" s="3">
        <v>0</v>
      </c>
      <c r="GS274" s="3">
        <v>1</v>
      </c>
      <c r="GT274" s="3">
        <v>1</v>
      </c>
      <c r="GU274" s="3">
        <v>1</v>
      </c>
      <c r="GV274" s="3">
        <v>1</v>
      </c>
      <c r="GW274" s="3">
        <v>1</v>
      </c>
      <c r="GX274" s="3">
        <v>1</v>
      </c>
      <c r="GY274" s="3">
        <v>0</v>
      </c>
      <c r="GZ274" s="3">
        <v>1</v>
      </c>
      <c r="HA274" s="3">
        <v>0</v>
      </c>
      <c r="HB274" s="3">
        <v>1</v>
      </c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6"/>
      <c r="HT274" s="4">
        <v>42</v>
      </c>
      <c r="HU274" s="3">
        <v>40</v>
      </c>
      <c r="HV274" s="3">
        <v>43</v>
      </c>
      <c r="HW274" s="3">
        <v>0</v>
      </c>
      <c r="HX274" s="3">
        <v>45</v>
      </c>
      <c r="HY274" s="3">
        <v>0</v>
      </c>
      <c r="HZ274" s="3">
        <v>42</v>
      </c>
      <c r="IA274" s="3">
        <v>44</v>
      </c>
      <c r="IB274" s="3">
        <v>41</v>
      </c>
      <c r="IC274" s="3">
        <v>42</v>
      </c>
      <c r="ID274" s="3">
        <v>0</v>
      </c>
      <c r="IE274" s="3">
        <v>41</v>
      </c>
      <c r="IF274" s="3">
        <v>0</v>
      </c>
      <c r="IG274" s="3">
        <v>1</v>
      </c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6"/>
    </row>
    <row r="275" spans="1:258" hidden="1">
      <c r="A275" s="97" t="s">
        <v>25</v>
      </c>
      <c r="B275" s="98" t="s">
        <v>26</v>
      </c>
      <c r="C275" s="98" t="s">
        <v>511</v>
      </c>
      <c r="D275" s="99" t="s">
        <v>1214</v>
      </c>
      <c r="E275" s="98" t="s">
        <v>994</v>
      </c>
      <c r="F275" s="98" t="s">
        <v>1062</v>
      </c>
      <c r="G275" s="98" t="s">
        <v>531</v>
      </c>
      <c r="H275" s="98" t="s">
        <v>1548</v>
      </c>
      <c r="I275" s="98" t="s">
        <v>1548</v>
      </c>
      <c r="J275" s="98" t="s">
        <v>1216</v>
      </c>
      <c r="K275" s="98" t="s">
        <v>1127</v>
      </c>
      <c r="L275" s="98" t="s">
        <v>532</v>
      </c>
      <c r="M275" s="101" t="s">
        <v>1093</v>
      </c>
      <c r="N275" s="139">
        <v>44419</v>
      </c>
      <c r="O275" s="100">
        <v>1</v>
      </c>
      <c r="P275" s="69">
        <v>0</v>
      </c>
      <c r="Q275" s="69">
        <f t="shared" si="3357"/>
        <v>1</v>
      </c>
      <c r="R275" s="69">
        <f t="shared" si="3358"/>
        <v>1</v>
      </c>
      <c r="S275" s="69">
        <f t="shared" si="3359"/>
        <v>0</v>
      </c>
      <c r="T275" s="69">
        <f t="shared" si="3360"/>
        <v>1</v>
      </c>
      <c r="U275" s="69">
        <f t="shared" si="3361"/>
        <v>1</v>
      </c>
      <c r="V275" s="70">
        <f t="shared" si="3362"/>
        <v>1</v>
      </c>
      <c r="W275" s="71">
        <f t="shared" si="3363"/>
        <v>1</v>
      </c>
      <c r="X275" s="71">
        <f t="shared" si="3364"/>
        <v>1</v>
      </c>
      <c r="Y275" s="71">
        <f t="shared" si="3365"/>
        <v>0</v>
      </c>
      <c r="Z275" s="71">
        <f t="shared" si="3366"/>
        <v>1</v>
      </c>
      <c r="AA275" s="71">
        <f t="shared" si="3367"/>
        <v>0</v>
      </c>
      <c r="AB275" s="71">
        <f t="shared" si="3368"/>
        <v>0</v>
      </c>
      <c r="AC275" s="71">
        <f t="shared" si="3369"/>
        <v>1</v>
      </c>
      <c r="AD275" s="71">
        <f t="shared" si="3370"/>
        <v>1</v>
      </c>
      <c r="AE275" s="71">
        <f t="shared" si="3371"/>
        <v>1</v>
      </c>
      <c r="AF275" s="71">
        <f t="shared" si="3372"/>
        <v>0</v>
      </c>
      <c r="AG275" s="71">
        <f t="shared" si="3373"/>
        <v>1</v>
      </c>
      <c r="AH275" s="71">
        <f t="shared" si="3374"/>
        <v>1</v>
      </c>
      <c r="AI275" s="71">
        <f t="shared" si="3375"/>
        <v>1</v>
      </c>
      <c r="AJ275" s="71">
        <f t="shared" si="3376"/>
        <v>0</v>
      </c>
      <c r="AK275" s="71">
        <f t="shared" si="3377"/>
        <v>0</v>
      </c>
      <c r="AL275" s="71">
        <f t="shared" si="3378"/>
        <v>0</v>
      </c>
      <c r="AM275" s="71">
        <f t="shared" si="3379"/>
        <v>0</v>
      </c>
      <c r="AN275" s="71">
        <f t="shared" si="3380"/>
        <v>0</v>
      </c>
      <c r="AO275" s="71">
        <f t="shared" si="3381"/>
        <v>0</v>
      </c>
      <c r="AP275" s="71">
        <f t="shared" si="3382"/>
        <v>0</v>
      </c>
      <c r="AQ275" s="71">
        <f t="shared" si="3383"/>
        <v>0</v>
      </c>
      <c r="AR275" s="71">
        <f t="shared" si="3384"/>
        <v>0</v>
      </c>
      <c r="AS275" s="71">
        <f t="shared" si="3385"/>
        <v>0</v>
      </c>
      <c r="AT275" s="71">
        <f t="shared" si="3386"/>
        <v>0</v>
      </c>
      <c r="AU275" s="71">
        <f t="shared" si="3387"/>
        <v>0</v>
      </c>
      <c r="AV275" s="71">
        <f t="shared" si="3388"/>
        <v>0</v>
      </c>
      <c r="AW275" s="71">
        <f t="shared" si="3389"/>
        <v>0</v>
      </c>
      <c r="AX275" s="71">
        <f t="shared" si="3390"/>
        <v>0</v>
      </c>
      <c r="AY275" s="71">
        <f t="shared" si="3391"/>
        <v>0</v>
      </c>
      <c r="AZ275" s="72">
        <f t="shared" si="3392"/>
        <v>0</v>
      </c>
      <c r="BA275" s="70">
        <f t="shared" si="3123"/>
        <v>10</v>
      </c>
      <c r="BB275" s="69">
        <f t="shared" ca="1" si="3124"/>
        <v>0.76923076923076927</v>
      </c>
      <c r="BC275" s="70">
        <f t="shared" si="3393"/>
        <v>43</v>
      </c>
      <c r="BD275" s="71">
        <f t="shared" si="3394"/>
        <v>46</v>
      </c>
      <c r="BE275" s="71">
        <f t="shared" si="3395"/>
        <v>41</v>
      </c>
      <c r="BF275" s="71">
        <f t="shared" si="3396"/>
        <v>0</v>
      </c>
      <c r="BG275" s="71">
        <f t="shared" si="3397"/>
        <v>45</v>
      </c>
      <c r="BH275" s="71">
        <f t="shared" si="3398"/>
        <v>0</v>
      </c>
      <c r="BI275" s="71">
        <f t="shared" si="3399"/>
        <v>0</v>
      </c>
      <c r="BJ275" s="71">
        <f t="shared" si="3400"/>
        <v>43</v>
      </c>
      <c r="BK275" s="71">
        <f t="shared" si="3401"/>
        <v>67</v>
      </c>
      <c r="BL275" s="71">
        <f t="shared" si="3402"/>
        <v>63</v>
      </c>
      <c r="BM275" s="71">
        <f t="shared" si="3403"/>
        <v>0</v>
      </c>
      <c r="BN275" s="71">
        <f t="shared" si="3404"/>
        <v>35</v>
      </c>
      <c r="BO275" s="71">
        <f t="shared" si="3405"/>
        <v>42</v>
      </c>
      <c r="BP275" s="71">
        <f t="shared" si="3406"/>
        <v>0</v>
      </c>
      <c r="BQ275" s="71">
        <f t="shared" si="3407"/>
        <v>0</v>
      </c>
      <c r="BR275" s="71">
        <f t="shared" si="3408"/>
        <v>0</v>
      </c>
      <c r="BS275" s="71">
        <f t="shared" si="3409"/>
        <v>0</v>
      </c>
      <c r="BT275" s="71">
        <f t="shared" si="3410"/>
        <v>0</v>
      </c>
      <c r="BU275" s="71">
        <f t="shared" si="3411"/>
        <v>0</v>
      </c>
      <c r="BV275" s="71">
        <f t="shared" si="3412"/>
        <v>0</v>
      </c>
      <c r="BW275" s="71">
        <f t="shared" si="3413"/>
        <v>0</v>
      </c>
      <c r="BX275" s="71">
        <f t="shared" si="3414"/>
        <v>0</v>
      </c>
      <c r="BY275" s="71">
        <f t="shared" si="3415"/>
        <v>0</v>
      </c>
      <c r="BZ275" s="71">
        <f t="shared" si="3416"/>
        <v>0</v>
      </c>
      <c r="CA275" s="71">
        <f t="shared" si="3417"/>
        <v>0</v>
      </c>
      <c r="CB275" s="71">
        <f t="shared" si="3418"/>
        <v>0</v>
      </c>
      <c r="CC275" s="71">
        <f t="shared" si="3419"/>
        <v>0</v>
      </c>
      <c r="CD275" s="71">
        <f t="shared" si="3420"/>
        <v>0</v>
      </c>
      <c r="CE275" s="71">
        <f t="shared" si="3421"/>
        <v>0</v>
      </c>
      <c r="CF275" s="71">
        <f t="shared" si="3422"/>
        <v>0</v>
      </c>
      <c r="CG275" s="71">
        <f t="shared" si="3423"/>
        <v>0</v>
      </c>
      <c r="CH275" s="70">
        <f t="shared" si="3125"/>
        <v>425</v>
      </c>
      <c r="CI275" s="69">
        <f t="shared" ca="1" si="3126"/>
        <v>32.692307692307693</v>
      </c>
      <c r="GM275" s="2" t="s">
        <v>16</v>
      </c>
      <c r="GN275" s="98" t="str">
        <f t="shared" si="3424"/>
        <v>JLM01-FMCG-SPO-02</v>
      </c>
      <c r="GO275" s="4">
        <v>1</v>
      </c>
      <c r="GP275" s="3">
        <v>1</v>
      </c>
      <c r="GQ275" s="3">
        <v>1</v>
      </c>
      <c r="GR275" s="3">
        <v>0</v>
      </c>
      <c r="GS275" s="3">
        <v>1</v>
      </c>
      <c r="GT275" s="3">
        <v>0</v>
      </c>
      <c r="GU275" s="3">
        <v>0</v>
      </c>
      <c r="GV275" s="3">
        <v>1</v>
      </c>
      <c r="GW275" s="3">
        <v>1</v>
      </c>
      <c r="GX275" s="3">
        <v>1</v>
      </c>
      <c r="GY275" s="3">
        <v>0</v>
      </c>
      <c r="GZ275" s="3">
        <v>1</v>
      </c>
      <c r="HA275" s="3">
        <v>1</v>
      </c>
      <c r="HB275" s="3">
        <v>1</v>
      </c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6"/>
      <c r="HT275" s="4">
        <v>43</v>
      </c>
      <c r="HU275" s="3">
        <v>46</v>
      </c>
      <c r="HV275" s="3">
        <v>41</v>
      </c>
      <c r="HW275" s="3">
        <v>0</v>
      </c>
      <c r="HX275" s="3">
        <v>45</v>
      </c>
      <c r="HY275" s="3">
        <v>0</v>
      </c>
      <c r="HZ275" s="3">
        <v>0</v>
      </c>
      <c r="IA275" s="3">
        <v>43</v>
      </c>
      <c r="IB275" s="3">
        <v>67</v>
      </c>
      <c r="IC275" s="3">
        <v>63</v>
      </c>
      <c r="ID275" s="3">
        <v>0</v>
      </c>
      <c r="IE275" s="3">
        <v>35</v>
      </c>
      <c r="IF275" s="3">
        <v>42</v>
      </c>
      <c r="IG275" s="3">
        <v>0</v>
      </c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6"/>
    </row>
    <row r="276" spans="1:258" hidden="1">
      <c r="A276" s="97" t="s">
        <v>25</v>
      </c>
      <c r="B276" s="98" t="s">
        <v>90</v>
      </c>
      <c r="C276" s="98" t="s">
        <v>511</v>
      </c>
      <c r="D276" s="99" t="s">
        <v>1214</v>
      </c>
      <c r="E276" s="98" t="s">
        <v>995</v>
      </c>
      <c r="F276" s="98" t="s">
        <v>1063</v>
      </c>
      <c r="G276" s="98" t="s">
        <v>662</v>
      </c>
      <c r="H276" s="98" t="s">
        <v>1549</v>
      </c>
      <c r="I276" s="98" t="s">
        <v>1549</v>
      </c>
      <c r="J276" s="98" t="s">
        <v>861</v>
      </c>
      <c r="K276" s="98" t="s">
        <v>1127</v>
      </c>
      <c r="L276" s="98" t="s">
        <v>663</v>
      </c>
      <c r="M276" s="101" t="s">
        <v>1093</v>
      </c>
      <c r="N276" s="139">
        <v>45917</v>
      </c>
      <c r="O276" s="100">
        <v>1</v>
      </c>
      <c r="P276" s="69">
        <v>0</v>
      </c>
      <c r="Q276" s="69">
        <f t="shared" si="3357"/>
        <v>1</v>
      </c>
      <c r="R276" s="69">
        <f t="shared" si="3358"/>
        <v>1</v>
      </c>
      <c r="S276" s="69">
        <f t="shared" si="3359"/>
        <v>0</v>
      </c>
      <c r="T276" s="69">
        <f t="shared" si="3360"/>
        <v>1</v>
      </c>
      <c r="U276" s="69">
        <f t="shared" si="3361"/>
        <v>1</v>
      </c>
      <c r="V276" s="70">
        <f t="shared" si="3362"/>
        <v>1</v>
      </c>
      <c r="W276" s="71">
        <f t="shared" si="3363"/>
        <v>1</v>
      </c>
      <c r="X276" s="71">
        <f t="shared" si="3364"/>
        <v>1</v>
      </c>
      <c r="Y276" s="71">
        <f t="shared" si="3365"/>
        <v>0</v>
      </c>
      <c r="Z276" s="71">
        <f t="shared" si="3366"/>
        <v>1</v>
      </c>
      <c r="AA276" s="71">
        <f t="shared" si="3367"/>
        <v>1</v>
      </c>
      <c r="AB276" s="71">
        <f t="shared" si="3368"/>
        <v>1</v>
      </c>
      <c r="AC276" s="71">
        <f t="shared" si="3369"/>
        <v>1</v>
      </c>
      <c r="AD276" s="71">
        <f t="shared" si="3370"/>
        <v>1</v>
      </c>
      <c r="AE276" s="71">
        <f t="shared" si="3371"/>
        <v>1</v>
      </c>
      <c r="AF276" s="71">
        <f t="shared" si="3372"/>
        <v>0</v>
      </c>
      <c r="AG276" s="71">
        <f t="shared" si="3373"/>
        <v>1</v>
      </c>
      <c r="AH276" s="71">
        <f t="shared" si="3374"/>
        <v>0</v>
      </c>
      <c r="AI276" s="71">
        <f t="shared" si="3375"/>
        <v>1</v>
      </c>
      <c r="AJ276" s="71">
        <f t="shared" si="3376"/>
        <v>0</v>
      </c>
      <c r="AK276" s="71">
        <f t="shared" si="3377"/>
        <v>0</v>
      </c>
      <c r="AL276" s="71">
        <f t="shared" si="3378"/>
        <v>0</v>
      </c>
      <c r="AM276" s="71">
        <f t="shared" si="3379"/>
        <v>0</v>
      </c>
      <c r="AN276" s="71">
        <f t="shared" si="3380"/>
        <v>0</v>
      </c>
      <c r="AO276" s="71">
        <f t="shared" si="3381"/>
        <v>0</v>
      </c>
      <c r="AP276" s="71">
        <f t="shared" si="3382"/>
        <v>0</v>
      </c>
      <c r="AQ276" s="71">
        <f t="shared" si="3383"/>
        <v>0</v>
      </c>
      <c r="AR276" s="71">
        <f t="shared" si="3384"/>
        <v>0</v>
      </c>
      <c r="AS276" s="71">
        <f t="shared" si="3385"/>
        <v>0</v>
      </c>
      <c r="AT276" s="71">
        <f t="shared" si="3386"/>
        <v>0</v>
      </c>
      <c r="AU276" s="71">
        <f t="shared" si="3387"/>
        <v>0</v>
      </c>
      <c r="AV276" s="71">
        <f t="shared" si="3388"/>
        <v>0</v>
      </c>
      <c r="AW276" s="71">
        <f t="shared" si="3389"/>
        <v>0</v>
      </c>
      <c r="AX276" s="71">
        <f t="shared" si="3390"/>
        <v>0</v>
      </c>
      <c r="AY276" s="71">
        <f t="shared" si="3391"/>
        <v>0</v>
      </c>
      <c r="AZ276" s="72">
        <f t="shared" si="3392"/>
        <v>0</v>
      </c>
      <c r="BA276" s="70">
        <f t="shared" si="3123"/>
        <v>11</v>
      </c>
      <c r="BB276" s="69">
        <f t="shared" ca="1" si="3124"/>
        <v>0.84615384615384615</v>
      </c>
      <c r="BC276" s="70">
        <f t="shared" si="3393"/>
        <v>41</v>
      </c>
      <c r="BD276" s="71">
        <f t="shared" si="3394"/>
        <v>40</v>
      </c>
      <c r="BE276" s="71">
        <f t="shared" si="3395"/>
        <v>47</v>
      </c>
      <c r="BF276" s="71">
        <f t="shared" si="3396"/>
        <v>0</v>
      </c>
      <c r="BG276" s="71">
        <f t="shared" si="3397"/>
        <v>39</v>
      </c>
      <c r="BH276" s="71">
        <f t="shared" si="3398"/>
        <v>0</v>
      </c>
      <c r="BI276" s="71">
        <f t="shared" si="3399"/>
        <v>39</v>
      </c>
      <c r="BJ276" s="71">
        <f t="shared" si="3400"/>
        <v>38</v>
      </c>
      <c r="BK276" s="71">
        <f t="shared" si="3401"/>
        <v>41</v>
      </c>
      <c r="BL276" s="71">
        <f t="shared" si="3402"/>
        <v>38</v>
      </c>
      <c r="BM276" s="71">
        <f t="shared" si="3403"/>
        <v>0</v>
      </c>
      <c r="BN276" s="71">
        <f t="shared" si="3404"/>
        <v>0</v>
      </c>
      <c r="BO276" s="71">
        <f t="shared" si="3405"/>
        <v>0</v>
      </c>
      <c r="BP276" s="71">
        <f t="shared" si="3406"/>
        <v>0</v>
      </c>
      <c r="BQ276" s="71">
        <f t="shared" si="3407"/>
        <v>0</v>
      </c>
      <c r="BR276" s="71">
        <f t="shared" si="3408"/>
        <v>0</v>
      </c>
      <c r="BS276" s="71">
        <f t="shared" si="3409"/>
        <v>0</v>
      </c>
      <c r="BT276" s="71">
        <f t="shared" si="3410"/>
        <v>0</v>
      </c>
      <c r="BU276" s="71">
        <f t="shared" si="3411"/>
        <v>0</v>
      </c>
      <c r="BV276" s="71">
        <f t="shared" si="3412"/>
        <v>0</v>
      </c>
      <c r="BW276" s="71">
        <f t="shared" si="3413"/>
        <v>0</v>
      </c>
      <c r="BX276" s="71">
        <f t="shared" si="3414"/>
        <v>0</v>
      </c>
      <c r="BY276" s="71">
        <f t="shared" si="3415"/>
        <v>0</v>
      </c>
      <c r="BZ276" s="71">
        <f t="shared" si="3416"/>
        <v>0</v>
      </c>
      <c r="CA276" s="71">
        <f t="shared" si="3417"/>
        <v>0</v>
      </c>
      <c r="CB276" s="71">
        <f t="shared" si="3418"/>
        <v>0</v>
      </c>
      <c r="CC276" s="71">
        <f t="shared" si="3419"/>
        <v>0</v>
      </c>
      <c r="CD276" s="71">
        <f t="shared" si="3420"/>
        <v>0</v>
      </c>
      <c r="CE276" s="71">
        <f t="shared" si="3421"/>
        <v>0</v>
      </c>
      <c r="CF276" s="71">
        <f t="shared" si="3422"/>
        <v>0</v>
      </c>
      <c r="CG276" s="71">
        <f t="shared" si="3423"/>
        <v>0</v>
      </c>
      <c r="CH276" s="70">
        <f t="shared" si="3125"/>
        <v>323</v>
      </c>
      <c r="CI276" s="69">
        <f t="shared" ca="1" si="3126"/>
        <v>24.846153846153847</v>
      </c>
      <c r="GM276" s="2" t="s">
        <v>16</v>
      </c>
      <c r="GN276" s="98" t="str">
        <f t="shared" si="3424"/>
        <v>JLM01-FMCG-SPO-03</v>
      </c>
      <c r="GO276" s="4">
        <v>1</v>
      </c>
      <c r="GP276" s="3">
        <v>1</v>
      </c>
      <c r="GQ276" s="3">
        <v>1</v>
      </c>
      <c r="GR276" s="3">
        <v>0</v>
      </c>
      <c r="GS276" s="3">
        <v>1</v>
      </c>
      <c r="GT276" s="3">
        <v>1</v>
      </c>
      <c r="GU276" s="3">
        <v>1</v>
      </c>
      <c r="GV276" s="3">
        <v>1</v>
      </c>
      <c r="GW276" s="3">
        <v>1</v>
      </c>
      <c r="GX276" s="3">
        <v>1</v>
      </c>
      <c r="GY276" s="3">
        <v>0</v>
      </c>
      <c r="GZ276" s="3">
        <v>1</v>
      </c>
      <c r="HA276" s="3">
        <v>0</v>
      </c>
      <c r="HB276" s="3">
        <v>1</v>
      </c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6"/>
      <c r="HT276" s="4">
        <v>41</v>
      </c>
      <c r="HU276" s="3">
        <v>40</v>
      </c>
      <c r="HV276" s="3">
        <v>47</v>
      </c>
      <c r="HW276" s="3">
        <v>0</v>
      </c>
      <c r="HX276" s="3">
        <v>39</v>
      </c>
      <c r="HY276" s="3">
        <v>0</v>
      </c>
      <c r="HZ276" s="3">
        <v>39</v>
      </c>
      <c r="IA276" s="3">
        <v>38</v>
      </c>
      <c r="IB276" s="3">
        <v>41</v>
      </c>
      <c r="IC276" s="3">
        <v>38</v>
      </c>
      <c r="ID276" s="3">
        <v>0</v>
      </c>
      <c r="IE276" s="3">
        <v>0</v>
      </c>
      <c r="IF276" s="3">
        <v>0</v>
      </c>
      <c r="IG276" s="3">
        <v>0</v>
      </c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6"/>
    </row>
    <row r="277" spans="1:258" hidden="1">
      <c r="A277" s="97" t="s">
        <v>25</v>
      </c>
      <c r="B277" s="98" t="s">
        <v>90</v>
      </c>
      <c r="C277" s="98" t="s">
        <v>511</v>
      </c>
      <c r="D277" s="99" t="s">
        <v>1214</v>
      </c>
      <c r="E277" s="98" t="s">
        <v>996</v>
      </c>
      <c r="F277" s="98" t="s">
        <v>926</v>
      </c>
      <c r="G277" s="98" t="s">
        <v>925</v>
      </c>
      <c r="H277" s="98" t="s">
        <v>1550</v>
      </c>
      <c r="I277" s="98" t="s">
        <v>1550</v>
      </c>
      <c r="J277" s="98" t="s">
        <v>1215</v>
      </c>
      <c r="K277" s="98" t="s">
        <v>1127</v>
      </c>
      <c r="L277" s="98" t="s">
        <v>927</v>
      </c>
      <c r="M277" s="101" t="s">
        <v>1093</v>
      </c>
      <c r="N277" s="139">
        <v>46220</v>
      </c>
      <c r="O277" s="100">
        <v>1</v>
      </c>
      <c r="P277" s="69">
        <v>0</v>
      </c>
      <c r="Q277" s="69">
        <f t="shared" si="3357"/>
        <v>1</v>
      </c>
      <c r="R277" s="69">
        <f t="shared" si="3358"/>
        <v>1</v>
      </c>
      <c r="S277" s="69">
        <f t="shared" si="3359"/>
        <v>0</v>
      </c>
      <c r="T277" s="69">
        <f t="shared" si="3360"/>
        <v>1</v>
      </c>
      <c r="U277" s="69">
        <f t="shared" si="3361"/>
        <v>1</v>
      </c>
      <c r="V277" s="70">
        <f t="shared" si="3362"/>
        <v>1</v>
      </c>
      <c r="W277" s="71">
        <f t="shared" si="3363"/>
        <v>1</v>
      </c>
      <c r="X277" s="71">
        <f t="shared" si="3364"/>
        <v>1</v>
      </c>
      <c r="Y277" s="71">
        <f t="shared" si="3365"/>
        <v>0</v>
      </c>
      <c r="Z277" s="71">
        <f t="shared" si="3366"/>
        <v>1</v>
      </c>
      <c r="AA277" s="71">
        <f t="shared" si="3367"/>
        <v>1</v>
      </c>
      <c r="AB277" s="71">
        <f t="shared" si="3368"/>
        <v>1</v>
      </c>
      <c r="AC277" s="71">
        <f t="shared" si="3369"/>
        <v>1</v>
      </c>
      <c r="AD277" s="71">
        <f t="shared" si="3370"/>
        <v>1</v>
      </c>
      <c r="AE277" s="71">
        <f t="shared" si="3371"/>
        <v>1</v>
      </c>
      <c r="AF277" s="71">
        <f t="shared" si="3372"/>
        <v>0</v>
      </c>
      <c r="AG277" s="71">
        <f t="shared" si="3373"/>
        <v>1</v>
      </c>
      <c r="AH277" s="71">
        <f t="shared" si="3374"/>
        <v>1</v>
      </c>
      <c r="AI277" s="71">
        <f t="shared" si="3375"/>
        <v>1</v>
      </c>
      <c r="AJ277" s="71">
        <f t="shared" si="3376"/>
        <v>0</v>
      </c>
      <c r="AK277" s="71">
        <f t="shared" si="3377"/>
        <v>0</v>
      </c>
      <c r="AL277" s="71">
        <f t="shared" si="3378"/>
        <v>0</v>
      </c>
      <c r="AM277" s="71">
        <f t="shared" si="3379"/>
        <v>0</v>
      </c>
      <c r="AN277" s="71">
        <f t="shared" si="3380"/>
        <v>0</v>
      </c>
      <c r="AO277" s="71">
        <f t="shared" si="3381"/>
        <v>0</v>
      </c>
      <c r="AP277" s="71">
        <f t="shared" si="3382"/>
        <v>0</v>
      </c>
      <c r="AQ277" s="71">
        <f t="shared" si="3383"/>
        <v>0</v>
      </c>
      <c r="AR277" s="71">
        <f t="shared" si="3384"/>
        <v>0</v>
      </c>
      <c r="AS277" s="71">
        <f t="shared" si="3385"/>
        <v>0</v>
      </c>
      <c r="AT277" s="71">
        <f t="shared" si="3386"/>
        <v>0</v>
      </c>
      <c r="AU277" s="71">
        <f t="shared" si="3387"/>
        <v>0</v>
      </c>
      <c r="AV277" s="71">
        <f t="shared" si="3388"/>
        <v>0</v>
      </c>
      <c r="AW277" s="71">
        <f t="shared" si="3389"/>
        <v>0</v>
      </c>
      <c r="AX277" s="71">
        <f t="shared" si="3390"/>
        <v>0</v>
      </c>
      <c r="AY277" s="71">
        <f t="shared" si="3391"/>
        <v>0</v>
      </c>
      <c r="AZ277" s="72">
        <f t="shared" si="3392"/>
        <v>0</v>
      </c>
      <c r="BA277" s="70">
        <f t="shared" si="3123"/>
        <v>12</v>
      </c>
      <c r="BB277" s="69">
        <f t="shared" ca="1" si="3124"/>
        <v>0.92307692307692313</v>
      </c>
      <c r="BC277" s="70">
        <f t="shared" si="3393"/>
        <v>52</v>
      </c>
      <c r="BD277" s="71">
        <f t="shared" si="3394"/>
        <v>41</v>
      </c>
      <c r="BE277" s="71">
        <f t="shared" si="3395"/>
        <v>42</v>
      </c>
      <c r="BF277" s="71">
        <f t="shared" si="3396"/>
        <v>0</v>
      </c>
      <c r="BG277" s="71">
        <f t="shared" si="3397"/>
        <v>3</v>
      </c>
      <c r="BH277" s="71">
        <f t="shared" si="3398"/>
        <v>1</v>
      </c>
      <c r="BI277" s="71">
        <f t="shared" si="3399"/>
        <v>59</v>
      </c>
      <c r="BJ277" s="71">
        <f t="shared" si="3400"/>
        <v>42</v>
      </c>
      <c r="BK277" s="71">
        <f t="shared" si="3401"/>
        <v>43</v>
      </c>
      <c r="BL277" s="71">
        <f t="shared" si="3402"/>
        <v>39</v>
      </c>
      <c r="BM277" s="71">
        <f t="shared" si="3403"/>
        <v>0</v>
      </c>
      <c r="BN277" s="71">
        <f t="shared" si="3404"/>
        <v>44</v>
      </c>
      <c r="BO277" s="71">
        <f t="shared" si="3405"/>
        <v>44</v>
      </c>
      <c r="BP277" s="71">
        <f t="shared" si="3406"/>
        <v>0</v>
      </c>
      <c r="BQ277" s="71">
        <f t="shared" si="3407"/>
        <v>0</v>
      </c>
      <c r="BR277" s="71">
        <f t="shared" si="3408"/>
        <v>0</v>
      </c>
      <c r="BS277" s="71">
        <f t="shared" si="3409"/>
        <v>0</v>
      </c>
      <c r="BT277" s="71">
        <f t="shared" si="3410"/>
        <v>0</v>
      </c>
      <c r="BU277" s="71">
        <f t="shared" si="3411"/>
        <v>0</v>
      </c>
      <c r="BV277" s="71">
        <f t="shared" si="3412"/>
        <v>0</v>
      </c>
      <c r="BW277" s="71">
        <f t="shared" si="3413"/>
        <v>0</v>
      </c>
      <c r="BX277" s="71">
        <f t="shared" si="3414"/>
        <v>0</v>
      </c>
      <c r="BY277" s="71">
        <f t="shared" si="3415"/>
        <v>0</v>
      </c>
      <c r="BZ277" s="71">
        <f t="shared" si="3416"/>
        <v>0</v>
      </c>
      <c r="CA277" s="71">
        <f t="shared" si="3417"/>
        <v>0</v>
      </c>
      <c r="CB277" s="71">
        <f t="shared" si="3418"/>
        <v>0</v>
      </c>
      <c r="CC277" s="71">
        <f t="shared" si="3419"/>
        <v>0</v>
      </c>
      <c r="CD277" s="71">
        <f t="shared" si="3420"/>
        <v>0</v>
      </c>
      <c r="CE277" s="71">
        <f t="shared" si="3421"/>
        <v>0</v>
      </c>
      <c r="CF277" s="71">
        <f t="shared" si="3422"/>
        <v>0</v>
      </c>
      <c r="CG277" s="71">
        <f t="shared" si="3423"/>
        <v>0</v>
      </c>
      <c r="CH277" s="70">
        <f t="shared" si="3125"/>
        <v>410</v>
      </c>
      <c r="CI277" s="69">
        <f t="shared" ca="1" si="3126"/>
        <v>31.53846153846154</v>
      </c>
      <c r="GM277" s="2" t="s">
        <v>16</v>
      </c>
      <c r="GN277" s="98" t="str">
        <f t="shared" si="3424"/>
        <v>JLM01-FMCG03-SPO-01</v>
      </c>
      <c r="GO277" s="4">
        <v>1</v>
      </c>
      <c r="GP277" s="3">
        <v>1</v>
      </c>
      <c r="GQ277" s="3">
        <v>1</v>
      </c>
      <c r="GR277" s="3">
        <v>0</v>
      </c>
      <c r="GS277" s="3">
        <v>1</v>
      </c>
      <c r="GT277" s="3">
        <v>1</v>
      </c>
      <c r="GU277" s="3">
        <v>1</v>
      </c>
      <c r="GV277" s="3">
        <v>1</v>
      </c>
      <c r="GW277" s="3">
        <v>1</v>
      </c>
      <c r="GX277" s="3">
        <v>1</v>
      </c>
      <c r="GY277" s="3">
        <v>0</v>
      </c>
      <c r="GZ277" s="3">
        <v>1</v>
      </c>
      <c r="HA277" s="3">
        <v>1</v>
      </c>
      <c r="HB277" s="3">
        <v>1</v>
      </c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6"/>
      <c r="HT277" s="4">
        <v>52</v>
      </c>
      <c r="HU277" s="3">
        <v>41</v>
      </c>
      <c r="HV277" s="3">
        <v>42</v>
      </c>
      <c r="HW277" s="3">
        <v>0</v>
      </c>
      <c r="HX277" s="3">
        <v>3</v>
      </c>
      <c r="HY277" s="3">
        <v>1</v>
      </c>
      <c r="HZ277" s="3">
        <v>59</v>
      </c>
      <c r="IA277" s="3">
        <v>42</v>
      </c>
      <c r="IB277" s="3">
        <v>43</v>
      </c>
      <c r="IC277" s="3">
        <v>39</v>
      </c>
      <c r="ID277" s="3">
        <v>0</v>
      </c>
      <c r="IE277" s="3">
        <v>44</v>
      </c>
      <c r="IF277" s="3">
        <v>44</v>
      </c>
      <c r="IG277" s="3">
        <v>0</v>
      </c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6"/>
    </row>
    <row r="278" spans="1:258" hidden="1">
      <c r="A278" s="97" t="s">
        <v>1287</v>
      </c>
      <c r="B278" s="98" t="s">
        <v>20</v>
      </c>
      <c r="C278" s="98" t="s">
        <v>511</v>
      </c>
      <c r="D278" s="99" t="s">
        <v>1214</v>
      </c>
      <c r="E278" s="98" t="s">
        <v>1098</v>
      </c>
      <c r="F278" s="98" t="s">
        <v>533</v>
      </c>
      <c r="G278" s="98" t="s">
        <v>534</v>
      </c>
      <c r="H278" s="98" t="s">
        <v>1551</v>
      </c>
      <c r="I278" s="98" t="s">
        <v>1551</v>
      </c>
      <c r="J278" s="98" t="s">
        <v>1215</v>
      </c>
      <c r="K278" s="98" t="s">
        <v>1099</v>
      </c>
      <c r="L278" s="98" t="s">
        <v>1099</v>
      </c>
      <c r="M278" s="98" t="s">
        <v>1099</v>
      </c>
      <c r="N278" s="108">
        <v>45474</v>
      </c>
      <c r="O278" s="100">
        <v>0</v>
      </c>
      <c r="P278" s="69">
        <v>0</v>
      </c>
      <c r="Q278" s="69">
        <f t="shared" si="3357"/>
        <v>0</v>
      </c>
      <c r="R278" s="69">
        <f t="shared" si="3358"/>
        <v>0</v>
      </c>
      <c r="S278" s="69">
        <f t="shared" si="3359"/>
        <v>0</v>
      </c>
      <c r="T278" s="69">
        <f t="shared" si="3360"/>
        <v>0</v>
      </c>
      <c r="U278" s="69">
        <f t="shared" si="3361"/>
        <v>0</v>
      </c>
      <c r="V278" s="70">
        <f t="shared" si="3362"/>
        <v>0</v>
      </c>
      <c r="W278" s="71">
        <f t="shared" si="3363"/>
        <v>0</v>
      </c>
      <c r="X278" s="71">
        <f t="shared" si="3364"/>
        <v>0</v>
      </c>
      <c r="Y278" s="71">
        <f t="shared" si="3365"/>
        <v>0</v>
      </c>
      <c r="Z278" s="71">
        <f t="shared" si="3366"/>
        <v>0</v>
      </c>
      <c r="AA278" s="71">
        <f t="shared" si="3367"/>
        <v>0</v>
      </c>
      <c r="AB278" s="71">
        <f t="shared" si="3368"/>
        <v>0</v>
      </c>
      <c r="AC278" s="71">
        <f t="shared" si="3369"/>
        <v>0</v>
      </c>
      <c r="AD278" s="71">
        <f t="shared" si="3370"/>
        <v>0</v>
      </c>
      <c r="AE278" s="71">
        <f t="shared" si="3371"/>
        <v>0</v>
      </c>
      <c r="AF278" s="71">
        <f t="shared" si="3372"/>
        <v>0</v>
      </c>
      <c r="AG278" s="71">
        <f t="shared" si="3373"/>
        <v>0</v>
      </c>
      <c r="AH278" s="71">
        <f t="shared" si="3374"/>
        <v>0</v>
      </c>
      <c r="AI278" s="71">
        <f t="shared" si="3375"/>
        <v>0</v>
      </c>
      <c r="AJ278" s="71">
        <f t="shared" si="3376"/>
        <v>0</v>
      </c>
      <c r="AK278" s="71">
        <f t="shared" si="3377"/>
        <v>0</v>
      </c>
      <c r="AL278" s="71">
        <f t="shared" si="3378"/>
        <v>0</v>
      </c>
      <c r="AM278" s="71">
        <f t="shared" si="3379"/>
        <v>0</v>
      </c>
      <c r="AN278" s="71">
        <f t="shared" si="3380"/>
        <v>0</v>
      </c>
      <c r="AO278" s="71">
        <f t="shared" si="3381"/>
        <v>0</v>
      </c>
      <c r="AP278" s="71">
        <f t="shared" si="3382"/>
        <v>0</v>
      </c>
      <c r="AQ278" s="71">
        <f t="shared" si="3383"/>
        <v>0</v>
      </c>
      <c r="AR278" s="71">
        <f t="shared" si="3384"/>
        <v>0</v>
      </c>
      <c r="AS278" s="71">
        <f t="shared" si="3385"/>
        <v>0</v>
      </c>
      <c r="AT278" s="71">
        <f t="shared" si="3386"/>
        <v>0</v>
      </c>
      <c r="AU278" s="71">
        <f t="shared" si="3387"/>
        <v>0</v>
      </c>
      <c r="AV278" s="71">
        <f t="shared" si="3388"/>
        <v>0</v>
      </c>
      <c r="AW278" s="71">
        <f t="shared" si="3389"/>
        <v>0</v>
      </c>
      <c r="AX278" s="71">
        <f t="shared" si="3390"/>
        <v>0</v>
      </c>
      <c r="AY278" s="71">
        <f t="shared" si="3391"/>
        <v>0</v>
      </c>
      <c r="AZ278" s="72">
        <f t="shared" si="3392"/>
        <v>0</v>
      </c>
      <c r="BA278" s="70">
        <f t="shared" si="3123"/>
        <v>0</v>
      </c>
      <c r="BB278" s="69">
        <f t="shared" ca="1" si="3124"/>
        <v>0</v>
      </c>
      <c r="BC278" s="70">
        <f t="shared" si="3393"/>
        <v>0</v>
      </c>
      <c r="BD278" s="71">
        <f t="shared" si="3394"/>
        <v>0</v>
      </c>
      <c r="BE278" s="71">
        <f t="shared" si="3395"/>
        <v>0</v>
      </c>
      <c r="BF278" s="71">
        <f t="shared" si="3396"/>
        <v>0</v>
      </c>
      <c r="BG278" s="71">
        <f t="shared" si="3397"/>
        <v>0</v>
      </c>
      <c r="BH278" s="71">
        <f t="shared" si="3398"/>
        <v>0</v>
      </c>
      <c r="BI278" s="71">
        <f t="shared" si="3399"/>
        <v>0</v>
      </c>
      <c r="BJ278" s="71">
        <f t="shared" si="3400"/>
        <v>0</v>
      </c>
      <c r="BK278" s="71">
        <f t="shared" si="3401"/>
        <v>0</v>
      </c>
      <c r="BL278" s="71">
        <f t="shared" si="3402"/>
        <v>0</v>
      </c>
      <c r="BM278" s="71">
        <f t="shared" si="3403"/>
        <v>0</v>
      </c>
      <c r="BN278" s="71">
        <f t="shared" si="3404"/>
        <v>0</v>
      </c>
      <c r="BO278" s="71">
        <f t="shared" si="3405"/>
        <v>0</v>
      </c>
      <c r="BP278" s="71">
        <f t="shared" si="3406"/>
        <v>0</v>
      </c>
      <c r="BQ278" s="71">
        <f t="shared" si="3407"/>
        <v>0</v>
      </c>
      <c r="BR278" s="71">
        <f t="shared" si="3408"/>
        <v>0</v>
      </c>
      <c r="BS278" s="71">
        <f t="shared" si="3409"/>
        <v>0</v>
      </c>
      <c r="BT278" s="71">
        <f t="shared" si="3410"/>
        <v>0</v>
      </c>
      <c r="BU278" s="71">
        <f t="shared" si="3411"/>
        <v>0</v>
      </c>
      <c r="BV278" s="71">
        <f t="shared" si="3412"/>
        <v>0</v>
      </c>
      <c r="BW278" s="71">
        <f t="shared" si="3413"/>
        <v>0</v>
      </c>
      <c r="BX278" s="71">
        <f t="shared" si="3414"/>
        <v>0</v>
      </c>
      <c r="BY278" s="71">
        <f t="shared" si="3415"/>
        <v>0</v>
      </c>
      <c r="BZ278" s="71">
        <f t="shared" si="3416"/>
        <v>0</v>
      </c>
      <c r="CA278" s="71">
        <f t="shared" si="3417"/>
        <v>0</v>
      </c>
      <c r="CB278" s="71">
        <f t="shared" si="3418"/>
        <v>0</v>
      </c>
      <c r="CC278" s="71">
        <f t="shared" si="3419"/>
        <v>0</v>
      </c>
      <c r="CD278" s="71">
        <f t="shared" si="3420"/>
        <v>0</v>
      </c>
      <c r="CE278" s="71">
        <f t="shared" si="3421"/>
        <v>0</v>
      </c>
      <c r="CF278" s="71">
        <f t="shared" si="3422"/>
        <v>0</v>
      </c>
      <c r="CG278" s="71">
        <f t="shared" si="3423"/>
        <v>0</v>
      </c>
      <c r="CH278" s="70">
        <f t="shared" si="3125"/>
        <v>0</v>
      </c>
      <c r="CI278" s="69">
        <f t="shared" ca="1" si="3126"/>
        <v>0</v>
      </c>
      <c r="GM278" s="2" t="s">
        <v>16</v>
      </c>
      <c r="GN278" s="98" t="str">
        <f t="shared" si="3424"/>
        <v>JLM01-FMCG-SPO-00</v>
      </c>
      <c r="GO278" s="4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6"/>
      <c r="HT278" s="4">
        <v>0</v>
      </c>
      <c r="HU278" s="3">
        <v>0</v>
      </c>
      <c r="HV278" s="3">
        <v>0</v>
      </c>
      <c r="HW278" s="3">
        <v>0</v>
      </c>
      <c r="HX278" s="3">
        <v>0</v>
      </c>
      <c r="HY278" s="3">
        <v>0</v>
      </c>
      <c r="HZ278" s="3">
        <v>0</v>
      </c>
      <c r="IA278" s="3">
        <v>0</v>
      </c>
      <c r="IB278" s="3">
        <v>0</v>
      </c>
      <c r="IC278" s="3">
        <v>0</v>
      </c>
      <c r="ID278" s="3">
        <v>0</v>
      </c>
      <c r="IE278" s="3">
        <v>0</v>
      </c>
      <c r="IF278" s="3">
        <v>0</v>
      </c>
      <c r="IG278" s="3">
        <v>0</v>
      </c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6"/>
    </row>
    <row r="279" spans="1:258" hidden="1">
      <c r="A279" s="97" t="s">
        <v>1380</v>
      </c>
      <c r="B279" s="98" t="s">
        <v>20</v>
      </c>
      <c r="C279" s="98" t="s">
        <v>511</v>
      </c>
      <c r="D279" s="99" t="s">
        <v>1214</v>
      </c>
      <c r="E279" s="98" t="s">
        <v>535</v>
      </c>
      <c r="F279" s="98" t="s">
        <v>536</v>
      </c>
      <c r="G279" s="98" t="s">
        <v>537</v>
      </c>
      <c r="H279" s="98" t="s">
        <v>1217</v>
      </c>
      <c r="I279" s="98" t="s">
        <v>1217</v>
      </c>
      <c r="J279" s="98" t="s">
        <v>1215</v>
      </c>
      <c r="K279" s="98" t="s">
        <v>1127</v>
      </c>
      <c r="L279" s="98" t="s">
        <v>538</v>
      </c>
      <c r="M279" s="98" t="s">
        <v>1093</v>
      </c>
      <c r="N279" s="108">
        <v>45734</v>
      </c>
      <c r="O279" s="100">
        <v>0</v>
      </c>
      <c r="P279" s="69">
        <v>0</v>
      </c>
      <c r="Q279" s="69">
        <f t="shared" si="3357"/>
        <v>0</v>
      </c>
      <c r="R279" s="69">
        <f t="shared" si="3358"/>
        <v>0</v>
      </c>
      <c r="S279" s="69">
        <f t="shared" si="3359"/>
        <v>0</v>
      </c>
      <c r="T279" s="69">
        <f t="shared" si="3360"/>
        <v>0</v>
      </c>
      <c r="U279" s="69">
        <f t="shared" si="3361"/>
        <v>0</v>
      </c>
      <c r="V279" s="70">
        <f t="shared" si="3362"/>
        <v>0</v>
      </c>
      <c r="W279" s="71">
        <f t="shared" si="3363"/>
        <v>0</v>
      </c>
      <c r="X279" s="71">
        <f t="shared" si="3364"/>
        <v>0</v>
      </c>
      <c r="Y279" s="71">
        <f t="shared" si="3365"/>
        <v>0</v>
      </c>
      <c r="Z279" s="71">
        <f t="shared" si="3366"/>
        <v>0</v>
      </c>
      <c r="AA279" s="71">
        <f t="shared" si="3367"/>
        <v>0</v>
      </c>
      <c r="AB279" s="71">
        <f t="shared" si="3368"/>
        <v>0</v>
      </c>
      <c r="AC279" s="71">
        <f t="shared" si="3369"/>
        <v>0</v>
      </c>
      <c r="AD279" s="71">
        <f t="shared" si="3370"/>
        <v>0</v>
      </c>
      <c r="AE279" s="71">
        <f t="shared" si="3371"/>
        <v>0</v>
      </c>
      <c r="AF279" s="71">
        <f t="shared" si="3372"/>
        <v>0</v>
      </c>
      <c r="AG279" s="71">
        <f t="shared" si="3373"/>
        <v>0</v>
      </c>
      <c r="AH279" s="71">
        <f t="shared" si="3374"/>
        <v>0</v>
      </c>
      <c r="AI279" s="71">
        <f t="shared" si="3375"/>
        <v>0</v>
      </c>
      <c r="AJ279" s="71">
        <f t="shared" si="3376"/>
        <v>0</v>
      </c>
      <c r="AK279" s="71">
        <f t="shared" si="3377"/>
        <v>0</v>
      </c>
      <c r="AL279" s="71">
        <f t="shared" si="3378"/>
        <v>0</v>
      </c>
      <c r="AM279" s="71">
        <f t="shared" si="3379"/>
        <v>0</v>
      </c>
      <c r="AN279" s="71">
        <f t="shared" si="3380"/>
        <v>0</v>
      </c>
      <c r="AO279" s="71">
        <f t="shared" si="3381"/>
        <v>0</v>
      </c>
      <c r="AP279" s="71">
        <f t="shared" si="3382"/>
        <v>0</v>
      </c>
      <c r="AQ279" s="71">
        <f t="shared" si="3383"/>
        <v>0</v>
      </c>
      <c r="AR279" s="71">
        <f t="shared" si="3384"/>
        <v>0</v>
      </c>
      <c r="AS279" s="71">
        <f t="shared" si="3385"/>
        <v>0</v>
      </c>
      <c r="AT279" s="71">
        <f t="shared" si="3386"/>
        <v>0</v>
      </c>
      <c r="AU279" s="71">
        <f t="shared" si="3387"/>
        <v>0</v>
      </c>
      <c r="AV279" s="71">
        <f t="shared" si="3388"/>
        <v>0</v>
      </c>
      <c r="AW279" s="71">
        <f t="shared" si="3389"/>
        <v>0</v>
      </c>
      <c r="AX279" s="71">
        <f t="shared" si="3390"/>
        <v>0</v>
      </c>
      <c r="AY279" s="71">
        <f t="shared" si="3391"/>
        <v>0</v>
      </c>
      <c r="AZ279" s="72">
        <f t="shared" si="3392"/>
        <v>0</v>
      </c>
      <c r="BA279" s="70">
        <f t="shared" si="3123"/>
        <v>0</v>
      </c>
      <c r="BB279" s="69">
        <f t="shared" ca="1" si="3124"/>
        <v>0</v>
      </c>
      <c r="BC279" s="70">
        <f t="shared" si="3393"/>
        <v>0</v>
      </c>
      <c r="BD279" s="71">
        <f t="shared" si="3394"/>
        <v>0</v>
      </c>
      <c r="BE279" s="71">
        <f t="shared" si="3395"/>
        <v>0</v>
      </c>
      <c r="BF279" s="71">
        <f t="shared" si="3396"/>
        <v>0</v>
      </c>
      <c r="BG279" s="71">
        <f t="shared" si="3397"/>
        <v>0</v>
      </c>
      <c r="BH279" s="71">
        <f t="shared" si="3398"/>
        <v>0</v>
      </c>
      <c r="BI279" s="71">
        <f t="shared" si="3399"/>
        <v>0</v>
      </c>
      <c r="BJ279" s="71">
        <f t="shared" si="3400"/>
        <v>0</v>
      </c>
      <c r="BK279" s="71">
        <f t="shared" si="3401"/>
        <v>0</v>
      </c>
      <c r="BL279" s="71">
        <f t="shared" si="3402"/>
        <v>0</v>
      </c>
      <c r="BM279" s="71">
        <f t="shared" si="3403"/>
        <v>0</v>
      </c>
      <c r="BN279" s="71">
        <f t="shared" si="3404"/>
        <v>0</v>
      </c>
      <c r="BO279" s="71">
        <f t="shared" si="3405"/>
        <v>0</v>
      </c>
      <c r="BP279" s="71">
        <f t="shared" si="3406"/>
        <v>0</v>
      </c>
      <c r="BQ279" s="71">
        <f t="shared" si="3407"/>
        <v>0</v>
      </c>
      <c r="BR279" s="71">
        <f t="shared" si="3408"/>
        <v>0</v>
      </c>
      <c r="BS279" s="71">
        <f t="shared" si="3409"/>
        <v>0</v>
      </c>
      <c r="BT279" s="71">
        <f t="shared" si="3410"/>
        <v>0</v>
      </c>
      <c r="BU279" s="71">
        <f t="shared" si="3411"/>
        <v>0</v>
      </c>
      <c r="BV279" s="71">
        <f t="shared" si="3412"/>
        <v>0</v>
      </c>
      <c r="BW279" s="71">
        <f t="shared" si="3413"/>
        <v>0</v>
      </c>
      <c r="BX279" s="71">
        <f t="shared" si="3414"/>
        <v>0</v>
      </c>
      <c r="BY279" s="71">
        <f t="shared" si="3415"/>
        <v>0</v>
      </c>
      <c r="BZ279" s="71">
        <f t="shared" si="3416"/>
        <v>0</v>
      </c>
      <c r="CA279" s="71">
        <f t="shared" si="3417"/>
        <v>0</v>
      </c>
      <c r="CB279" s="71">
        <f t="shared" si="3418"/>
        <v>0</v>
      </c>
      <c r="CC279" s="71">
        <f t="shared" si="3419"/>
        <v>0</v>
      </c>
      <c r="CD279" s="71">
        <f t="shared" si="3420"/>
        <v>0</v>
      </c>
      <c r="CE279" s="71">
        <f t="shared" si="3421"/>
        <v>0</v>
      </c>
      <c r="CF279" s="71">
        <f t="shared" si="3422"/>
        <v>0</v>
      </c>
      <c r="CG279" s="71">
        <f t="shared" si="3423"/>
        <v>0</v>
      </c>
      <c r="CH279" s="70">
        <f t="shared" si="3125"/>
        <v>0</v>
      </c>
      <c r="CI279" s="69">
        <f t="shared" ca="1" si="3126"/>
        <v>0</v>
      </c>
      <c r="GM279" s="2" t="s">
        <v>16</v>
      </c>
      <c r="GN279" s="98" t="str">
        <f t="shared" si="3424"/>
        <v>JLM01-FMCG-ASM-01</v>
      </c>
      <c r="GO279" s="4">
        <v>0</v>
      </c>
      <c r="GP279" s="3">
        <v>0</v>
      </c>
      <c r="GQ279" s="3">
        <v>0</v>
      </c>
      <c r="GR279" s="3">
        <v>0</v>
      </c>
      <c r="GS279" s="3">
        <v>0</v>
      </c>
      <c r="GT279" s="3">
        <v>0</v>
      </c>
      <c r="GU279" s="3">
        <v>0</v>
      </c>
      <c r="GV279" s="3">
        <v>0</v>
      </c>
      <c r="GW279" s="3">
        <v>0</v>
      </c>
      <c r="GX279" s="3">
        <v>0</v>
      </c>
      <c r="GY279" s="3">
        <v>0</v>
      </c>
      <c r="GZ279" s="3">
        <v>0</v>
      </c>
      <c r="HA279" s="3">
        <v>0</v>
      </c>
      <c r="HB279" s="3">
        <v>0</v>
      </c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6"/>
      <c r="HT279" s="4">
        <v>0</v>
      </c>
      <c r="HU279" s="3">
        <v>0</v>
      </c>
      <c r="HV279" s="3">
        <v>0</v>
      </c>
      <c r="HW279" s="3">
        <v>0</v>
      </c>
      <c r="HX279" s="3">
        <v>0</v>
      </c>
      <c r="HY279" s="3">
        <v>0</v>
      </c>
      <c r="HZ279" s="3">
        <v>0</v>
      </c>
      <c r="IA279" s="3">
        <v>0</v>
      </c>
      <c r="IB279" s="3">
        <v>0</v>
      </c>
      <c r="IC279" s="3">
        <v>0</v>
      </c>
      <c r="ID279" s="3">
        <v>0</v>
      </c>
      <c r="IE279" s="3">
        <v>0</v>
      </c>
      <c r="IF279" s="3">
        <v>0</v>
      </c>
      <c r="IG279" s="3">
        <v>0</v>
      </c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6"/>
    </row>
    <row r="280" spans="1:258" hidden="1">
      <c r="A280" s="102" t="s">
        <v>53</v>
      </c>
      <c r="B280" s="103" t="s">
        <v>20</v>
      </c>
      <c r="C280" s="103" t="s">
        <v>511</v>
      </c>
      <c r="D280" s="104" t="s">
        <v>1214</v>
      </c>
      <c r="E280" s="103" t="s">
        <v>535</v>
      </c>
      <c r="F280" s="103" t="s">
        <v>536</v>
      </c>
      <c r="G280" s="103" t="s">
        <v>537</v>
      </c>
      <c r="H280" s="103" t="s">
        <v>1217</v>
      </c>
      <c r="I280" s="103" t="s">
        <v>1217</v>
      </c>
      <c r="J280" s="103" t="s">
        <v>1215</v>
      </c>
      <c r="K280" s="103" t="s">
        <v>1127</v>
      </c>
      <c r="L280" s="103" t="s">
        <v>538</v>
      </c>
      <c r="M280" s="103" t="s">
        <v>1093</v>
      </c>
      <c r="N280" s="119">
        <v>45734</v>
      </c>
      <c r="O280" s="105">
        <f>O278+O277+O276+O275+O274</f>
        <v>4</v>
      </c>
      <c r="P280" s="73">
        <f>P278+P277+P276+P275+P274</f>
        <v>0</v>
      </c>
      <c r="Q280" s="73">
        <f t="shared" si="3357"/>
        <v>1</v>
      </c>
      <c r="R280" s="73">
        <f t="shared" ref="R280:AZ280" si="3425">R278+R277+R276+R275+R274</f>
        <v>4</v>
      </c>
      <c r="S280" s="73">
        <f t="shared" si="3425"/>
        <v>1</v>
      </c>
      <c r="T280" s="73">
        <f t="shared" si="3425"/>
        <v>4</v>
      </c>
      <c r="U280" s="73">
        <f t="shared" si="3425"/>
        <v>4</v>
      </c>
      <c r="V280" s="74">
        <f t="shared" si="3425"/>
        <v>4</v>
      </c>
      <c r="W280" s="75">
        <f t="shared" si="3425"/>
        <v>4</v>
      </c>
      <c r="X280" s="75">
        <f t="shared" si="3425"/>
        <v>4</v>
      </c>
      <c r="Y280" s="75">
        <f t="shared" si="3425"/>
        <v>0</v>
      </c>
      <c r="Z280" s="75">
        <f t="shared" si="3425"/>
        <v>4</v>
      </c>
      <c r="AA280" s="75">
        <f t="shared" si="3425"/>
        <v>3</v>
      </c>
      <c r="AB280" s="75">
        <f t="shared" si="3425"/>
        <v>3</v>
      </c>
      <c r="AC280" s="75">
        <f t="shared" si="3425"/>
        <v>4</v>
      </c>
      <c r="AD280" s="75">
        <f t="shared" si="3425"/>
        <v>4</v>
      </c>
      <c r="AE280" s="75">
        <f t="shared" si="3425"/>
        <v>4</v>
      </c>
      <c r="AF280" s="75">
        <f t="shared" si="3425"/>
        <v>0</v>
      </c>
      <c r="AG280" s="75">
        <f t="shared" si="3425"/>
        <v>4</v>
      </c>
      <c r="AH280" s="75">
        <f t="shared" si="3425"/>
        <v>2</v>
      </c>
      <c r="AI280" s="75">
        <f t="shared" si="3425"/>
        <v>4</v>
      </c>
      <c r="AJ280" s="75">
        <f t="shared" si="3425"/>
        <v>0</v>
      </c>
      <c r="AK280" s="75">
        <f t="shared" si="3425"/>
        <v>0</v>
      </c>
      <c r="AL280" s="75">
        <f t="shared" si="3425"/>
        <v>0</v>
      </c>
      <c r="AM280" s="75">
        <f t="shared" si="3425"/>
        <v>0</v>
      </c>
      <c r="AN280" s="75">
        <f t="shared" si="3425"/>
        <v>0</v>
      </c>
      <c r="AO280" s="75">
        <f t="shared" si="3425"/>
        <v>0</v>
      </c>
      <c r="AP280" s="75">
        <f t="shared" si="3425"/>
        <v>0</v>
      </c>
      <c r="AQ280" s="75">
        <f t="shared" si="3425"/>
        <v>0</v>
      </c>
      <c r="AR280" s="75">
        <f t="shared" si="3425"/>
        <v>0</v>
      </c>
      <c r="AS280" s="75">
        <f t="shared" si="3425"/>
        <v>0</v>
      </c>
      <c r="AT280" s="75">
        <f t="shared" si="3425"/>
        <v>0</v>
      </c>
      <c r="AU280" s="75">
        <f t="shared" si="3425"/>
        <v>0</v>
      </c>
      <c r="AV280" s="75">
        <f t="shared" si="3425"/>
        <v>0</v>
      </c>
      <c r="AW280" s="75">
        <f t="shared" si="3425"/>
        <v>0</v>
      </c>
      <c r="AX280" s="75">
        <f t="shared" si="3425"/>
        <v>0</v>
      </c>
      <c r="AY280" s="75">
        <f t="shared" si="3425"/>
        <v>0</v>
      </c>
      <c r="AZ280" s="76">
        <f t="shared" si="3425"/>
        <v>0</v>
      </c>
      <c r="BA280" s="74">
        <f t="shared" si="3123"/>
        <v>44</v>
      </c>
      <c r="BB280" s="73">
        <f t="shared" ca="1" si="3124"/>
        <v>0.84615384615384615</v>
      </c>
      <c r="BC280" s="74">
        <f>+BC278+BC277+BC276+BC275+BC274</f>
        <v>178</v>
      </c>
      <c r="BD280" s="75">
        <f>+BD278+BD277+BD276+BD275+BD274</f>
        <v>167</v>
      </c>
      <c r="BE280" s="75">
        <f>+BE278+BE277+BE276+BE275+BE274</f>
        <v>173</v>
      </c>
      <c r="BF280" s="75">
        <f>+BF278+BF277+BF276+BF275+BF274</f>
        <v>0</v>
      </c>
      <c r="BG280" s="75">
        <f>+BG278+BG277+BG276+BG275+BG274</f>
        <v>132</v>
      </c>
      <c r="BH280" s="75">
        <f>BH278+BH277+BH276+BH275+BH274</f>
        <v>1</v>
      </c>
      <c r="BI280" s="75">
        <f t="shared" ref="BI280:CG280" si="3426">BI278+BI277+BI276+BI275+BI274</f>
        <v>140</v>
      </c>
      <c r="BJ280" s="75">
        <f t="shared" si="3426"/>
        <v>167</v>
      </c>
      <c r="BK280" s="75">
        <f t="shared" si="3426"/>
        <v>192</v>
      </c>
      <c r="BL280" s="75">
        <f t="shared" si="3426"/>
        <v>182</v>
      </c>
      <c r="BM280" s="75">
        <f t="shared" si="3426"/>
        <v>0</v>
      </c>
      <c r="BN280" s="75">
        <f t="shared" si="3426"/>
        <v>120</v>
      </c>
      <c r="BO280" s="75">
        <f t="shared" si="3426"/>
        <v>86</v>
      </c>
      <c r="BP280" s="75">
        <f t="shared" si="3426"/>
        <v>1</v>
      </c>
      <c r="BQ280" s="75">
        <f t="shared" si="3426"/>
        <v>0</v>
      </c>
      <c r="BR280" s="75">
        <f t="shared" si="3426"/>
        <v>0</v>
      </c>
      <c r="BS280" s="75">
        <f t="shared" si="3426"/>
        <v>0</v>
      </c>
      <c r="BT280" s="75">
        <f t="shared" si="3426"/>
        <v>0</v>
      </c>
      <c r="BU280" s="75">
        <f t="shared" si="3426"/>
        <v>0</v>
      </c>
      <c r="BV280" s="75">
        <f t="shared" si="3426"/>
        <v>0</v>
      </c>
      <c r="BW280" s="75">
        <f t="shared" si="3426"/>
        <v>0</v>
      </c>
      <c r="BX280" s="75">
        <f t="shared" si="3426"/>
        <v>0</v>
      </c>
      <c r="BY280" s="75">
        <f t="shared" si="3426"/>
        <v>0</v>
      </c>
      <c r="BZ280" s="75">
        <f t="shared" si="3426"/>
        <v>0</v>
      </c>
      <c r="CA280" s="75">
        <f t="shared" si="3426"/>
        <v>0</v>
      </c>
      <c r="CB280" s="75">
        <f t="shared" si="3426"/>
        <v>0</v>
      </c>
      <c r="CC280" s="75">
        <f t="shared" si="3426"/>
        <v>0</v>
      </c>
      <c r="CD280" s="75">
        <f t="shared" si="3426"/>
        <v>0</v>
      </c>
      <c r="CE280" s="75">
        <f t="shared" si="3426"/>
        <v>0</v>
      </c>
      <c r="CF280" s="75">
        <f t="shared" si="3426"/>
        <v>0</v>
      </c>
      <c r="CG280" s="75">
        <f t="shared" si="3426"/>
        <v>0</v>
      </c>
      <c r="CH280" s="74">
        <f t="shared" si="3125"/>
        <v>1539</v>
      </c>
      <c r="CI280" s="73">
        <f t="shared" ca="1" si="3126"/>
        <v>29.596153846153847</v>
      </c>
      <c r="GM280" s="2" t="s">
        <v>17</v>
      </c>
      <c r="GN280" s="103" t="str">
        <f t="shared" si="3424"/>
        <v>JLM01-FMCG-ASM-01</v>
      </c>
      <c r="GO280" s="4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6"/>
      <c r="HT280" s="4">
        <v>0</v>
      </c>
      <c r="HU280" s="3">
        <v>0</v>
      </c>
      <c r="HV280" s="3">
        <v>0</v>
      </c>
      <c r="HW280" s="3">
        <v>0</v>
      </c>
      <c r="HX280" s="3">
        <v>0</v>
      </c>
      <c r="HY280" s="3">
        <v>0</v>
      </c>
      <c r="HZ280" s="3">
        <v>0</v>
      </c>
      <c r="IA280" s="3">
        <v>0</v>
      </c>
      <c r="IB280" s="3">
        <v>0</v>
      </c>
      <c r="IC280" s="3">
        <v>0</v>
      </c>
      <c r="ID280" s="3">
        <v>0</v>
      </c>
      <c r="IE280" s="3">
        <v>0</v>
      </c>
      <c r="IF280" s="3">
        <v>0</v>
      </c>
      <c r="IG280" s="3">
        <v>0</v>
      </c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6"/>
    </row>
    <row r="281" spans="1:258" hidden="1">
      <c r="A281" s="97" t="s">
        <v>25</v>
      </c>
      <c r="B281" s="98" t="s">
        <v>26</v>
      </c>
      <c r="C281" s="98" t="s">
        <v>661</v>
      </c>
      <c r="D281" s="99" t="s">
        <v>1239</v>
      </c>
      <c r="E281" s="98" t="s">
        <v>666</v>
      </c>
      <c r="F281" s="98" t="s">
        <v>667</v>
      </c>
      <c r="G281" s="98" t="s">
        <v>668</v>
      </c>
      <c r="H281" s="98" t="s">
        <v>1587</v>
      </c>
      <c r="I281" s="98" t="s">
        <v>1587</v>
      </c>
      <c r="J281" s="98" t="s">
        <v>859</v>
      </c>
      <c r="K281" s="98" t="s">
        <v>1127</v>
      </c>
      <c r="L281" s="98" t="s">
        <v>669</v>
      </c>
      <c r="M281" s="101" t="s">
        <v>1093</v>
      </c>
      <c r="N281" s="139">
        <v>46092</v>
      </c>
      <c r="O281" s="100">
        <v>1</v>
      </c>
      <c r="P281" s="69">
        <v>0</v>
      </c>
      <c r="Q281" s="69">
        <f t="shared" si="3357"/>
        <v>1</v>
      </c>
      <c r="R281" s="69">
        <f t="shared" ref="R281:R287" si="3427">IFERROR(IF(OR(BA281&gt;0),1,0),0)</f>
        <v>1</v>
      </c>
      <c r="S281" s="69">
        <f t="shared" ref="S281:S287" si="3428">IFERROR(IF(OR(BP281&gt;0),1,0),0)</f>
        <v>0</v>
      </c>
      <c r="T281" s="69">
        <f t="shared" ref="T281:T287" si="3429">IFERROR(IF(OR(CH281&gt;0),1,0),0)</f>
        <v>1</v>
      </c>
      <c r="U281" s="69">
        <f t="shared" ref="U281:U287" si="3430">IFERROR(IF(OR(BA281&gt;0,CH281&gt;0),1,0),0)</f>
        <v>1</v>
      </c>
      <c r="V281" s="70">
        <f t="shared" ref="V281:V287" si="3431">GO281</f>
        <v>1</v>
      </c>
      <c r="W281" s="71">
        <f t="shared" ref="W281:W287" si="3432">GP281</f>
        <v>1</v>
      </c>
      <c r="X281" s="71">
        <f t="shared" ref="X281:X287" si="3433">GQ281</f>
        <v>1</v>
      </c>
      <c r="Y281" s="71">
        <f t="shared" ref="Y281:Y287" si="3434">GR281</f>
        <v>0</v>
      </c>
      <c r="Z281" s="71">
        <f t="shared" ref="Z281:Z287" si="3435">GS281</f>
        <v>1</v>
      </c>
      <c r="AA281" s="71">
        <f t="shared" ref="AA281:AA287" si="3436">GT281</f>
        <v>1</v>
      </c>
      <c r="AB281" s="71">
        <f t="shared" ref="AB281:AB287" si="3437">GU281</f>
        <v>1</v>
      </c>
      <c r="AC281" s="71">
        <f t="shared" ref="AC281:AC287" si="3438">GV281</f>
        <v>1</v>
      </c>
      <c r="AD281" s="71">
        <f t="shared" ref="AD281:AD287" si="3439">GW281</f>
        <v>1</v>
      </c>
      <c r="AE281" s="71">
        <f t="shared" ref="AE281:AE287" si="3440">GX281</f>
        <v>1</v>
      </c>
      <c r="AF281" s="71">
        <f t="shared" ref="AF281:AF287" si="3441">GY281</f>
        <v>0</v>
      </c>
      <c r="AG281" s="71">
        <f t="shared" ref="AG281:AG287" si="3442">GZ281</f>
        <v>1</v>
      </c>
      <c r="AH281" s="71">
        <f t="shared" ref="AH281:AH287" si="3443">HA281</f>
        <v>1</v>
      </c>
      <c r="AI281" s="71">
        <f t="shared" ref="AI281:AI287" si="3444">HB281</f>
        <v>1</v>
      </c>
      <c r="AJ281" s="71">
        <f t="shared" ref="AJ281:AJ287" si="3445">HC281</f>
        <v>0</v>
      </c>
      <c r="AK281" s="71">
        <f t="shared" ref="AK281:AK287" si="3446">HD281</f>
        <v>0</v>
      </c>
      <c r="AL281" s="71">
        <f t="shared" ref="AL281:AL287" si="3447">HE281</f>
        <v>0</v>
      </c>
      <c r="AM281" s="71">
        <f t="shared" ref="AM281:AM287" si="3448">HF281</f>
        <v>0</v>
      </c>
      <c r="AN281" s="71">
        <f t="shared" ref="AN281:AN287" si="3449">HG281</f>
        <v>0</v>
      </c>
      <c r="AO281" s="71">
        <f t="shared" ref="AO281:AO287" si="3450">HH281</f>
        <v>0</v>
      </c>
      <c r="AP281" s="71">
        <f t="shared" ref="AP281:AP287" si="3451">HI281</f>
        <v>0</v>
      </c>
      <c r="AQ281" s="71">
        <f t="shared" ref="AQ281:AQ287" si="3452">HJ281</f>
        <v>0</v>
      </c>
      <c r="AR281" s="71">
        <f t="shared" ref="AR281:AR287" si="3453">HK281</f>
        <v>0</v>
      </c>
      <c r="AS281" s="71">
        <f t="shared" ref="AS281:AS287" si="3454">HL281</f>
        <v>0</v>
      </c>
      <c r="AT281" s="71">
        <f t="shared" ref="AT281:AT287" si="3455">HM281</f>
        <v>0</v>
      </c>
      <c r="AU281" s="71">
        <f t="shared" ref="AU281:AU287" si="3456">HN281</f>
        <v>0</v>
      </c>
      <c r="AV281" s="71">
        <f t="shared" ref="AV281:AV287" si="3457">HO281</f>
        <v>0</v>
      </c>
      <c r="AW281" s="71">
        <f t="shared" ref="AW281:AW287" si="3458">HP281</f>
        <v>0</v>
      </c>
      <c r="AX281" s="71">
        <f t="shared" ref="AX281:AX287" si="3459">HQ281</f>
        <v>0</v>
      </c>
      <c r="AY281" s="71">
        <f t="shared" ref="AY281:AY287" si="3460">HR281</f>
        <v>0</v>
      </c>
      <c r="AZ281" s="72">
        <f t="shared" ref="AZ281:AZ287" si="3461">HS281</f>
        <v>0</v>
      </c>
      <c r="BA281" s="70">
        <f t="shared" si="3123"/>
        <v>12</v>
      </c>
      <c r="BB281" s="69">
        <f t="shared" ca="1" si="3124"/>
        <v>0.92307692307692313</v>
      </c>
      <c r="BC281" s="70">
        <f t="shared" ref="BC281:BC287" si="3462">HT281</f>
        <v>50</v>
      </c>
      <c r="BD281" s="71">
        <f t="shared" ref="BD281:BD287" si="3463">HU281</f>
        <v>40</v>
      </c>
      <c r="BE281" s="71">
        <f t="shared" ref="BE281:BE287" si="3464">HV281</f>
        <v>42</v>
      </c>
      <c r="BF281" s="71">
        <f t="shared" ref="BF281:BF287" si="3465">HW281</f>
        <v>0</v>
      </c>
      <c r="BG281" s="71">
        <f t="shared" ref="BG281:BG287" si="3466">HX281</f>
        <v>45</v>
      </c>
      <c r="BH281" s="71">
        <f t="shared" ref="BH281:BH287" si="3467">HY281</f>
        <v>42</v>
      </c>
      <c r="BI281" s="71">
        <f t="shared" ref="BI281:BI287" si="3468">HZ281</f>
        <v>40</v>
      </c>
      <c r="BJ281" s="71">
        <f t="shared" ref="BJ281:BJ287" si="3469">IA281</f>
        <v>38</v>
      </c>
      <c r="BK281" s="71">
        <f t="shared" ref="BK281:BK287" si="3470">IB281</f>
        <v>1</v>
      </c>
      <c r="BL281" s="71">
        <f t="shared" ref="BL281:BL287" si="3471">IC281</f>
        <v>42</v>
      </c>
      <c r="BM281" s="71">
        <f t="shared" ref="BM281:BM287" si="3472">ID281</f>
        <v>0</v>
      </c>
      <c r="BN281" s="71">
        <f t="shared" ref="BN281:BN287" si="3473">IE281</f>
        <v>0</v>
      </c>
      <c r="BO281" s="71">
        <f t="shared" ref="BO281:BO287" si="3474">IF281</f>
        <v>0</v>
      </c>
      <c r="BP281" s="71">
        <f t="shared" ref="BP281:BP287" si="3475">IG281</f>
        <v>0</v>
      </c>
      <c r="BQ281" s="71">
        <f t="shared" ref="BQ281:BQ287" si="3476">IH281</f>
        <v>0</v>
      </c>
      <c r="BR281" s="71">
        <f t="shared" ref="BR281:BR287" si="3477">II281</f>
        <v>0</v>
      </c>
      <c r="BS281" s="71">
        <f t="shared" ref="BS281:BS287" si="3478">IJ281</f>
        <v>0</v>
      </c>
      <c r="BT281" s="71">
        <f t="shared" ref="BT281:BT287" si="3479">IK281</f>
        <v>0</v>
      </c>
      <c r="BU281" s="71">
        <f t="shared" ref="BU281:BU287" si="3480">IL281</f>
        <v>0</v>
      </c>
      <c r="BV281" s="71">
        <f t="shared" ref="BV281:BV287" si="3481">IM281</f>
        <v>0</v>
      </c>
      <c r="BW281" s="71">
        <f t="shared" ref="BW281:BW287" si="3482">IN281</f>
        <v>0</v>
      </c>
      <c r="BX281" s="71">
        <f t="shared" ref="BX281:BX287" si="3483">IO281</f>
        <v>0</v>
      </c>
      <c r="BY281" s="71">
        <f t="shared" ref="BY281:BY287" si="3484">IP281</f>
        <v>0</v>
      </c>
      <c r="BZ281" s="71">
        <f t="shared" ref="BZ281:BZ287" si="3485">IQ281</f>
        <v>0</v>
      </c>
      <c r="CA281" s="71">
        <f t="shared" ref="CA281:CA287" si="3486">IR281</f>
        <v>0</v>
      </c>
      <c r="CB281" s="71">
        <f t="shared" ref="CB281:CB287" si="3487">IS281</f>
        <v>0</v>
      </c>
      <c r="CC281" s="71">
        <f t="shared" ref="CC281:CC287" si="3488">IT281</f>
        <v>0</v>
      </c>
      <c r="CD281" s="71">
        <f t="shared" ref="CD281:CD287" si="3489">IU281</f>
        <v>0</v>
      </c>
      <c r="CE281" s="71">
        <f t="shared" ref="CE281:CE287" si="3490">IV281</f>
        <v>0</v>
      </c>
      <c r="CF281" s="71">
        <f t="shared" ref="CF281:CF287" si="3491">IW281</f>
        <v>0</v>
      </c>
      <c r="CG281" s="71">
        <f t="shared" ref="CG281:CG287" si="3492">IX281</f>
        <v>0</v>
      </c>
      <c r="CH281" s="70">
        <f t="shared" si="3125"/>
        <v>340</v>
      </c>
      <c r="CI281" s="69">
        <f t="shared" ca="1" si="3126"/>
        <v>26.153846153846153</v>
      </c>
      <c r="GM281" s="2" t="s">
        <v>16</v>
      </c>
      <c r="GN281" s="98" t="str">
        <f t="shared" si="3053"/>
        <v>ISB01-FMCG01-SPO-01</v>
      </c>
      <c r="GO281" s="4">
        <v>1</v>
      </c>
      <c r="GP281" s="3">
        <v>1</v>
      </c>
      <c r="GQ281" s="3">
        <v>1</v>
      </c>
      <c r="GR281" s="3">
        <v>0</v>
      </c>
      <c r="GS281" s="3">
        <v>1</v>
      </c>
      <c r="GT281" s="3">
        <v>1</v>
      </c>
      <c r="GU281" s="3">
        <v>1</v>
      </c>
      <c r="GV281" s="3">
        <v>1</v>
      </c>
      <c r="GW281" s="3">
        <v>1</v>
      </c>
      <c r="GX281" s="3">
        <v>1</v>
      </c>
      <c r="GY281" s="3">
        <v>0</v>
      </c>
      <c r="GZ281" s="3">
        <v>1</v>
      </c>
      <c r="HA281" s="3">
        <v>1</v>
      </c>
      <c r="HB281" s="3">
        <v>1</v>
      </c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6"/>
      <c r="HT281" s="4">
        <v>50</v>
      </c>
      <c r="HU281" s="3">
        <v>40</v>
      </c>
      <c r="HV281" s="3">
        <v>42</v>
      </c>
      <c r="HW281" s="3">
        <v>0</v>
      </c>
      <c r="HX281" s="3">
        <v>45</v>
      </c>
      <c r="HY281" s="3">
        <v>42</v>
      </c>
      <c r="HZ281" s="3">
        <v>40</v>
      </c>
      <c r="IA281" s="3">
        <v>38</v>
      </c>
      <c r="IB281" s="3">
        <v>1</v>
      </c>
      <c r="IC281" s="3">
        <v>42</v>
      </c>
      <c r="ID281" s="3">
        <v>0</v>
      </c>
      <c r="IE281" s="3">
        <v>0</v>
      </c>
      <c r="IF281" s="3">
        <v>0</v>
      </c>
      <c r="IG281" s="3">
        <v>0</v>
      </c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6"/>
    </row>
    <row r="282" spans="1:258" hidden="1">
      <c r="A282" s="106" t="s">
        <v>25</v>
      </c>
      <c r="B282" s="101" t="s">
        <v>26</v>
      </c>
      <c r="C282" s="98" t="s">
        <v>661</v>
      </c>
      <c r="D282" s="107" t="s">
        <v>1239</v>
      </c>
      <c r="E282" s="101" t="s">
        <v>991</v>
      </c>
      <c r="F282" s="101" t="s">
        <v>670</v>
      </c>
      <c r="G282" s="98" t="s">
        <v>671</v>
      </c>
      <c r="H282" s="101" t="s">
        <v>1726</v>
      </c>
      <c r="I282" s="101" t="s">
        <v>1588</v>
      </c>
      <c r="J282" s="101" t="s">
        <v>859</v>
      </c>
      <c r="K282" s="98" t="s">
        <v>1127</v>
      </c>
      <c r="L282" s="101" t="s">
        <v>1725</v>
      </c>
      <c r="M282" s="101" t="s">
        <v>1093</v>
      </c>
      <c r="N282" s="139">
        <v>46300</v>
      </c>
      <c r="O282" s="100">
        <v>1</v>
      </c>
      <c r="P282" s="69">
        <v>0</v>
      </c>
      <c r="Q282" s="69">
        <f t="shared" si="3357"/>
        <v>1</v>
      </c>
      <c r="R282" s="69">
        <f t="shared" si="3427"/>
        <v>1</v>
      </c>
      <c r="S282" s="69">
        <f t="shared" si="3428"/>
        <v>1</v>
      </c>
      <c r="T282" s="69">
        <f t="shared" si="3429"/>
        <v>1</v>
      </c>
      <c r="U282" s="69">
        <f t="shared" si="3430"/>
        <v>1</v>
      </c>
      <c r="V282" s="70">
        <f t="shared" si="3431"/>
        <v>0</v>
      </c>
      <c r="W282" s="71">
        <f t="shared" si="3432"/>
        <v>0</v>
      </c>
      <c r="X282" s="71">
        <f t="shared" si="3433"/>
        <v>0</v>
      </c>
      <c r="Y282" s="71">
        <f t="shared" si="3434"/>
        <v>0</v>
      </c>
      <c r="Z282" s="71">
        <f t="shared" si="3435"/>
        <v>0</v>
      </c>
      <c r="AA282" s="71">
        <f t="shared" si="3436"/>
        <v>0</v>
      </c>
      <c r="AB282" s="71">
        <f t="shared" si="3437"/>
        <v>0</v>
      </c>
      <c r="AC282" s="71">
        <f t="shared" si="3438"/>
        <v>0</v>
      </c>
      <c r="AD282" s="71">
        <f t="shared" si="3439"/>
        <v>0</v>
      </c>
      <c r="AE282" s="71">
        <f t="shared" si="3440"/>
        <v>0</v>
      </c>
      <c r="AF282" s="71">
        <f t="shared" si="3441"/>
        <v>0</v>
      </c>
      <c r="AG282" s="71">
        <f t="shared" si="3442"/>
        <v>0</v>
      </c>
      <c r="AH282" s="71">
        <f t="shared" si="3443"/>
        <v>0</v>
      </c>
      <c r="AI282" s="71">
        <f t="shared" si="3444"/>
        <v>1</v>
      </c>
      <c r="AJ282" s="71">
        <f t="shared" si="3445"/>
        <v>0</v>
      </c>
      <c r="AK282" s="71">
        <f t="shared" si="3446"/>
        <v>0</v>
      </c>
      <c r="AL282" s="71">
        <f t="shared" si="3447"/>
        <v>0</v>
      </c>
      <c r="AM282" s="71">
        <f t="shared" si="3448"/>
        <v>0</v>
      </c>
      <c r="AN282" s="71">
        <f t="shared" si="3449"/>
        <v>0</v>
      </c>
      <c r="AO282" s="71">
        <f t="shared" si="3450"/>
        <v>0</v>
      </c>
      <c r="AP282" s="71">
        <f t="shared" si="3451"/>
        <v>0</v>
      </c>
      <c r="AQ282" s="71">
        <f t="shared" si="3452"/>
        <v>0</v>
      </c>
      <c r="AR282" s="71">
        <f t="shared" si="3453"/>
        <v>0</v>
      </c>
      <c r="AS282" s="71">
        <f t="shared" si="3454"/>
        <v>0</v>
      </c>
      <c r="AT282" s="71">
        <f t="shared" si="3455"/>
        <v>0</v>
      </c>
      <c r="AU282" s="71">
        <f t="shared" si="3456"/>
        <v>0</v>
      </c>
      <c r="AV282" s="71">
        <f t="shared" si="3457"/>
        <v>0</v>
      </c>
      <c r="AW282" s="71">
        <f t="shared" si="3458"/>
        <v>0</v>
      </c>
      <c r="AX282" s="71">
        <f t="shared" si="3459"/>
        <v>0</v>
      </c>
      <c r="AY282" s="71">
        <f t="shared" si="3460"/>
        <v>0</v>
      </c>
      <c r="AZ282" s="72">
        <f t="shared" si="3461"/>
        <v>0</v>
      </c>
      <c r="BA282" s="70">
        <f t="shared" si="3123"/>
        <v>1</v>
      </c>
      <c r="BB282" s="69">
        <f t="shared" ca="1" si="3124"/>
        <v>7.6923076923076927E-2</v>
      </c>
      <c r="BC282" s="70">
        <f t="shared" si="3462"/>
        <v>0</v>
      </c>
      <c r="BD282" s="71">
        <f t="shared" si="3463"/>
        <v>0</v>
      </c>
      <c r="BE282" s="71">
        <f t="shared" si="3464"/>
        <v>0</v>
      </c>
      <c r="BF282" s="71">
        <f t="shared" si="3465"/>
        <v>0</v>
      </c>
      <c r="BG282" s="71">
        <f t="shared" si="3466"/>
        <v>0</v>
      </c>
      <c r="BH282" s="71">
        <f t="shared" si="3467"/>
        <v>0</v>
      </c>
      <c r="BI282" s="71">
        <f t="shared" si="3468"/>
        <v>0</v>
      </c>
      <c r="BJ282" s="71">
        <f t="shared" si="3469"/>
        <v>0</v>
      </c>
      <c r="BK282" s="71">
        <f t="shared" si="3470"/>
        <v>0</v>
      </c>
      <c r="BL282" s="71">
        <f t="shared" si="3471"/>
        <v>0</v>
      </c>
      <c r="BM282" s="71">
        <f t="shared" si="3472"/>
        <v>0</v>
      </c>
      <c r="BN282" s="71">
        <f t="shared" si="3473"/>
        <v>0</v>
      </c>
      <c r="BO282" s="71">
        <f t="shared" si="3474"/>
        <v>0</v>
      </c>
      <c r="BP282" s="71">
        <f t="shared" si="3475"/>
        <v>4</v>
      </c>
      <c r="BQ282" s="71">
        <f t="shared" si="3476"/>
        <v>0</v>
      </c>
      <c r="BR282" s="71">
        <f t="shared" si="3477"/>
        <v>0</v>
      </c>
      <c r="BS282" s="71">
        <f t="shared" si="3478"/>
        <v>0</v>
      </c>
      <c r="BT282" s="71">
        <f t="shared" si="3479"/>
        <v>0</v>
      </c>
      <c r="BU282" s="71">
        <f t="shared" si="3480"/>
        <v>0</v>
      </c>
      <c r="BV282" s="71">
        <f t="shared" si="3481"/>
        <v>0</v>
      </c>
      <c r="BW282" s="71">
        <f t="shared" si="3482"/>
        <v>0</v>
      </c>
      <c r="BX282" s="71">
        <f t="shared" si="3483"/>
        <v>0</v>
      </c>
      <c r="BY282" s="71">
        <f t="shared" si="3484"/>
        <v>0</v>
      </c>
      <c r="BZ282" s="71">
        <f t="shared" si="3485"/>
        <v>0</v>
      </c>
      <c r="CA282" s="71">
        <f t="shared" si="3486"/>
        <v>0</v>
      </c>
      <c r="CB282" s="71">
        <f t="shared" si="3487"/>
        <v>0</v>
      </c>
      <c r="CC282" s="71">
        <f t="shared" si="3488"/>
        <v>0</v>
      </c>
      <c r="CD282" s="71">
        <f t="shared" si="3489"/>
        <v>0</v>
      </c>
      <c r="CE282" s="71">
        <f t="shared" si="3490"/>
        <v>0</v>
      </c>
      <c r="CF282" s="71">
        <f t="shared" si="3491"/>
        <v>0</v>
      </c>
      <c r="CG282" s="71">
        <f t="shared" si="3492"/>
        <v>0</v>
      </c>
      <c r="CH282" s="70">
        <f t="shared" si="3125"/>
        <v>4</v>
      </c>
      <c r="CI282" s="69">
        <f t="shared" ca="1" si="3126"/>
        <v>0.30769230769230771</v>
      </c>
      <c r="GM282" s="2" t="s">
        <v>16</v>
      </c>
      <c r="GN282" s="101" t="str">
        <f t="shared" si="3053"/>
        <v>ISB01-FMCG01-SPO-02</v>
      </c>
      <c r="GO282" s="4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1</v>
      </c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6"/>
      <c r="HT282" s="4">
        <v>0</v>
      </c>
      <c r="HU282" s="3">
        <v>0</v>
      </c>
      <c r="HV282" s="3">
        <v>0</v>
      </c>
      <c r="HW282" s="3">
        <v>0</v>
      </c>
      <c r="HX282" s="3">
        <v>0</v>
      </c>
      <c r="HY282" s="3">
        <v>0</v>
      </c>
      <c r="HZ282" s="3">
        <v>0</v>
      </c>
      <c r="IA282" s="3">
        <v>0</v>
      </c>
      <c r="IB282" s="3">
        <v>0</v>
      </c>
      <c r="IC282" s="3">
        <v>0</v>
      </c>
      <c r="ID282" s="3">
        <v>0</v>
      </c>
      <c r="IE282" s="3">
        <v>0</v>
      </c>
      <c r="IF282" s="3">
        <v>0</v>
      </c>
      <c r="IG282" s="3">
        <v>4</v>
      </c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6"/>
    </row>
    <row r="283" spans="1:258" hidden="1">
      <c r="A283" s="97" t="s">
        <v>25</v>
      </c>
      <c r="B283" s="98" t="s">
        <v>90</v>
      </c>
      <c r="C283" s="98" t="s">
        <v>661</v>
      </c>
      <c r="D283" s="99" t="s">
        <v>1239</v>
      </c>
      <c r="E283" s="98" t="s">
        <v>673</v>
      </c>
      <c r="F283" s="98" t="s">
        <v>674</v>
      </c>
      <c r="G283" s="98" t="s">
        <v>675</v>
      </c>
      <c r="H283" s="98" t="s">
        <v>1589</v>
      </c>
      <c r="I283" s="98" t="s">
        <v>1589</v>
      </c>
      <c r="J283" s="98" t="s">
        <v>859</v>
      </c>
      <c r="K283" s="98" t="s">
        <v>1127</v>
      </c>
      <c r="L283" s="98" t="s">
        <v>860</v>
      </c>
      <c r="M283" s="101" t="s">
        <v>1093</v>
      </c>
      <c r="N283" s="139">
        <v>46213</v>
      </c>
      <c r="O283" s="100">
        <v>1</v>
      </c>
      <c r="P283" s="69">
        <v>0</v>
      </c>
      <c r="Q283" s="69">
        <f t="shared" si="3357"/>
        <v>1</v>
      </c>
      <c r="R283" s="69">
        <f t="shared" si="3427"/>
        <v>1</v>
      </c>
      <c r="S283" s="69">
        <f t="shared" si="3428"/>
        <v>1</v>
      </c>
      <c r="T283" s="69">
        <f t="shared" si="3429"/>
        <v>1</v>
      </c>
      <c r="U283" s="69">
        <f t="shared" si="3430"/>
        <v>1</v>
      </c>
      <c r="V283" s="70">
        <f t="shared" si="3431"/>
        <v>1</v>
      </c>
      <c r="W283" s="71">
        <f t="shared" si="3432"/>
        <v>0</v>
      </c>
      <c r="X283" s="71">
        <f t="shared" si="3433"/>
        <v>0</v>
      </c>
      <c r="Y283" s="71">
        <f t="shared" si="3434"/>
        <v>0</v>
      </c>
      <c r="Z283" s="71">
        <f t="shared" si="3435"/>
        <v>0</v>
      </c>
      <c r="AA283" s="71">
        <f t="shared" si="3436"/>
        <v>1</v>
      </c>
      <c r="AB283" s="71">
        <f t="shared" si="3437"/>
        <v>0</v>
      </c>
      <c r="AC283" s="71">
        <f t="shared" si="3438"/>
        <v>0</v>
      </c>
      <c r="AD283" s="71">
        <f t="shared" si="3439"/>
        <v>1</v>
      </c>
      <c r="AE283" s="71">
        <f t="shared" si="3440"/>
        <v>0</v>
      </c>
      <c r="AF283" s="71">
        <f t="shared" si="3441"/>
        <v>0</v>
      </c>
      <c r="AG283" s="71">
        <f t="shared" si="3442"/>
        <v>1</v>
      </c>
      <c r="AH283" s="71">
        <f t="shared" si="3443"/>
        <v>0</v>
      </c>
      <c r="AI283" s="71">
        <f t="shared" si="3444"/>
        <v>1</v>
      </c>
      <c r="AJ283" s="71">
        <f t="shared" si="3445"/>
        <v>0</v>
      </c>
      <c r="AK283" s="71">
        <f t="shared" si="3446"/>
        <v>0</v>
      </c>
      <c r="AL283" s="71">
        <f t="shared" si="3447"/>
        <v>0</v>
      </c>
      <c r="AM283" s="71">
        <f t="shared" si="3448"/>
        <v>0</v>
      </c>
      <c r="AN283" s="71">
        <f t="shared" si="3449"/>
        <v>0</v>
      </c>
      <c r="AO283" s="71">
        <f t="shared" si="3450"/>
        <v>0</v>
      </c>
      <c r="AP283" s="71">
        <f t="shared" si="3451"/>
        <v>0</v>
      </c>
      <c r="AQ283" s="71">
        <f t="shared" si="3452"/>
        <v>0</v>
      </c>
      <c r="AR283" s="71">
        <f t="shared" si="3453"/>
        <v>0</v>
      </c>
      <c r="AS283" s="71">
        <f t="shared" si="3454"/>
        <v>0</v>
      </c>
      <c r="AT283" s="71">
        <f t="shared" si="3455"/>
        <v>0</v>
      </c>
      <c r="AU283" s="71">
        <f t="shared" si="3456"/>
        <v>0</v>
      </c>
      <c r="AV283" s="71">
        <f t="shared" si="3457"/>
        <v>0</v>
      </c>
      <c r="AW283" s="71">
        <f t="shared" si="3458"/>
        <v>0</v>
      </c>
      <c r="AX283" s="71">
        <f t="shared" si="3459"/>
        <v>0</v>
      </c>
      <c r="AY283" s="71">
        <f t="shared" si="3460"/>
        <v>0</v>
      </c>
      <c r="AZ283" s="72">
        <f t="shared" si="3461"/>
        <v>0</v>
      </c>
      <c r="BA283" s="70">
        <f t="shared" si="3123"/>
        <v>5</v>
      </c>
      <c r="BB283" s="69">
        <f t="shared" ca="1" si="3124"/>
        <v>0.38461538461538464</v>
      </c>
      <c r="BC283" s="70">
        <f t="shared" si="3462"/>
        <v>36</v>
      </c>
      <c r="BD283" s="71">
        <f t="shared" si="3463"/>
        <v>0</v>
      </c>
      <c r="BE283" s="71">
        <f t="shared" si="3464"/>
        <v>0</v>
      </c>
      <c r="BF283" s="71">
        <f t="shared" si="3465"/>
        <v>0</v>
      </c>
      <c r="BG283" s="71">
        <f t="shared" si="3466"/>
        <v>0</v>
      </c>
      <c r="BH283" s="71">
        <f t="shared" si="3467"/>
        <v>0</v>
      </c>
      <c r="BI283" s="71">
        <f t="shared" si="3468"/>
        <v>0</v>
      </c>
      <c r="BJ283" s="71">
        <f t="shared" si="3469"/>
        <v>0</v>
      </c>
      <c r="BK283" s="71">
        <f t="shared" si="3470"/>
        <v>39</v>
      </c>
      <c r="BL283" s="71">
        <f t="shared" si="3471"/>
        <v>0</v>
      </c>
      <c r="BM283" s="71">
        <f t="shared" si="3472"/>
        <v>0</v>
      </c>
      <c r="BN283" s="71">
        <f t="shared" si="3473"/>
        <v>40</v>
      </c>
      <c r="BO283" s="71">
        <f t="shared" si="3474"/>
        <v>0</v>
      </c>
      <c r="BP283" s="71">
        <f t="shared" si="3475"/>
        <v>2</v>
      </c>
      <c r="BQ283" s="71">
        <f t="shared" si="3476"/>
        <v>0</v>
      </c>
      <c r="BR283" s="71">
        <f t="shared" si="3477"/>
        <v>0</v>
      </c>
      <c r="BS283" s="71">
        <f t="shared" si="3478"/>
        <v>0</v>
      </c>
      <c r="BT283" s="71">
        <f t="shared" si="3479"/>
        <v>0</v>
      </c>
      <c r="BU283" s="71">
        <f t="shared" si="3480"/>
        <v>0</v>
      </c>
      <c r="BV283" s="71">
        <f t="shared" si="3481"/>
        <v>0</v>
      </c>
      <c r="BW283" s="71">
        <f t="shared" si="3482"/>
        <v>0</v>
      </c>
      <c r="BX283" s="71">
        <f t="shared" si="3483"/>
        <v>0</v>
      </c>
      <c r="BY283" s="71">
        <f t="shared" si="3484"/>
        <v>0</v>
      </c>
      <c r="BZ283" s="71">
        <f t="shared" si="3485"/>
        <v>0</v>
      </c>
      <c r="CA283" s="71">
        <f t="shared" si="3486"/>
        <v>0</v>
      </c>
      <c r="CB283" s="71">
        <f t="shared" si="3487"/>
        <v>0</v>
      </c>
      <c r="CC283" s="71">
        <f t="shared" si="3488"/>
        <v>0</v>
      </c>
      <c r="CD283" s="71">
        <f t="shared" si="3489"/>
        <v>0</v>
      </c>
      <c r="CE283" s="71">
        <f t="shared" si="3490"/>
        <v>0</v>
      </c>
      <c r="CF283" s="71">
        <f t="shared" si="3491"/>
        <v>0</v>
      </c>
      <c r="CG283" s="71">
        <f t="shared" si="3492"/>
        <v>0</v>
      </c>
      <c r="CH283" s="70">
        <f t="shared" si="3125"/>
        <v>117</v>
      </c>
      <c r="CI283" s="69">
        <f t="shared" ca="1" si="3126"/>
        <v>9</v>
      </c>
      <c r="GM283" s="2" t="s">
        <v>16</v>
      </c>
      <c r="GN283" s="98" t="str">
        <f t="shared" si="3053"/>
        <v>ISB01-FMCG02-SPO-01</v>
      </c>
      <c r="GO283" s="4">
        <v>1</v>
      </c>
      <c r="GP283" s="3">
        <v>0</v>
      </c>
      <c r="GQ283" s="3">
        <v>0</v>
      </c>
      <c r="GR283" s="3">
        <v>0</v>
      </c>
      <c r="GS283" s="3">
        <v>0</v>
      </c>
      <c r="GT283" s="3">
        <v>1</v>
      </c>
      <c r="GU283" s="3">
        <v>0</v>
      </c>
      <c r="GV283" s="3">
        <v>0</v>
      </c>
      <c r="GW283" s="3">
        <v>1</v>
      </c>
      <c r="GX283" s="3">
        <v>0</v>
      </c>
      <c r="GY283" s="3">
        <v>0</v>
      </c>
      <c r="GZ283" s="3">
        <v>1</v>
      </c>
      <c r="HA283" s="3">
        <v>0</v>
      </c>
      <c r="HB283" s="3">
        <v>1</v>
      </c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6"/>
      <c r="HT283" s="4">
        <v>36</v>
      </c>
      <c r="HU283" s="3">
        <v>0</v>
      </c>
      <c r="HV283" s="3">
        <v>0</v>
      </c>
      <c r="HW283" s="3">
        <v>0</v>
      </c>
      <c r="HX283" s="3">
        <v>0</v>
      </c>
      <c r="HY283" s="3">
        <v>0</v>
      </c>
      <c r="HZ283" s="3">
        <v>0</v>
      </c>
      <c r="IA283" s="3">
        <v>0</v>
      </c>
      <c r="IB283" s="3">
        <v>39</v>
      </c>
      <c r="IC283" s="3">
        <v>0</v>
      </c>
      <c r="ID283" s="3">
        <v>0</v>
      </c>
      <c r="IE283" s="3">
        <v>40</v>
      </c>
      <c r="IF283" s="3">
        <v>0</v>
      </c>
      <c r="IG283" s="3">
        <v>2</v>
      </c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6"/>
    </row>
    <row r="284" spans="1:258" hidden="1">
      <c r="A284" s="97" t="s">
        <v>25</v>
      </c>
      <c r="B284" s="98" t="s">
        <v>90</v>
      </c>
      <c r="C284" s="98" t="s">
        <v>661</v>
      </c>
      <c r="D284" s="99" t="s">
        <v>1239</v>
      </c>
      <c r="E284" s="98" t="s">
        <v>677</v>
      </c>
      <c r="F284" s="98" t="s">
        <v>678</v>
      </c>
      <c r="G284" s="98" t="s">
        <v>679</v>
      </c>
      <c r="H284" s="98" t="s">
        <v>1590</v>
      </c>
      <c r="I284" s="98" t="s">
        <v>1590</v>
      </c>
      <c r="J284" s="98" t="s">
        <v>859</v>
      </c>
      <c r="K284" s="98" t="s">
        <v>1127</v>
      </c>
      <c r="L284" s="98" t="s">
        <v>680</v>
      </c>
      <c r="M284" s="101" t="s">
        <v>1093</v>
      </c>
      <c r="N284" s="139">
        <v>46017</v>
      </c>
      <c r="O284" s="100">
        <v>1</v>
      </c>
      <c r="P284" s="69">
        <v>0</v>
      </c>
      <c r="Q284" s="69">
        <f t="shared" si="3357"/>
        <v>1</v>
      </c>
      <c r="R284" s="69">
        <f t="shared" si="3427"/>
        <v>1</v>
      </c>
      <c r="S284" s="69">
        <f t="shared" si="3428"/>
        <v>1</v>
      </c>
      <c r="T284" s="69">
        <f t="shared" si="3429"/>
        <v>1</v>
      </c>
      <c r="U284" s="69">
        <f t="shared" si="3430"/>
        <v>1</v>
      </c>
      <c r="V284" s="70">
        <f t="shared" si="3431"/>
        <v>1</v>
      </c>
      <c r="W284" s="71">
        <f t="shared" si="3432"/>
        <v>1</v>
      </c>
      <c r="X284" s="71">
        <f t="shared" si="3433"/>
        <v>1</v>
      </c>
      <c r="Y284" s="71">
        <f t="shared" si="3434"/>
        <v>0</v>
      </c>
      <c r="Z284" s="71">
        <f t="shared" si="3435"/>
        <v>1</v>
      </c>
      <c r="AA284" s="71">
        <f t="shared" si="3436"/>
        <v>1</v>
      </c>
      <c r="AB284" s="71">
        <f t="shared" si="3437"/>
        <v>1</v>
      </c>
      <c r="AC284" s="71">
        <f t="shared" si="3438"/>
        <v>1</v>
      </c>
      <c r="AD284" s="71">
        <f t="shared" si="3439"/>
        <v>1</v>
      </c>
      <c r="AE284" s="71">
        <f t="shared" si="3440"/>
        <v>1</v>
      </c>
      <c r="AF284" s="71">
        <f t="shared" si="3441"/>
        <v>0</v>
      </c>
      <c r="AG284" s="71">
        <f t="shared" si="3442"/>
        <v>1</v>
      </c>
      <c r="AH284" s="71">
        <f t="shared" si="3443"/>
        <v>1</v>
      </c>
      <c r="AI284" s="71">
        <f t="shared" si="3444"/>
        <v>1</v>
      </c>
      <c r="AJ284" s="71">
        <f t="shared" si="3445"/>
        <v>0</v>
      </c>
      <c r="AK284" s="71">
        <f t="shared" si="3446"/>
        <v>0</v>
      </c>
      <c r="AL284" s="71">
        <f t="shared" si="3447"/>
        <v>0</v>
      </c>
      <c r="AM284" s="71">
        <f t="shared" si="3448"/>
        <v>0</v>
      </c>
      <c r="AN284" s="71">
        <f t="shared" si="3449"/>
        <v>0</v>
      </c>
      <c r="AO284" s="71">
        <f t="shared" si="3450"/>
        <v>0</v>
      </c>
      <c r="AP284" s="71">
        <f t="shared" si="3451"/>
        <v>0</v>
      </c>
      <c r="AQ284" s="71">
        <f t="shared" si="3452"/>
        <v>0</v>
      </c>
      <c r="AR284" s="71">
        <f t="shared" si="3453"/>
        <v>0</v>
      </c>
      <c r="AS284" s="71">
        <f t="shared" si="3454"/>
        <v>0</v>
      </c>
      <c r="AT284" s="71">
        <f t="shared" si="3455"/>
        <v>0</v>
      </c>
      <c r="AU284" s="71">
        <f t="shared" si="3456"/>
        <v>0</v>
      </c>
      <c r="AV284" s="71">
        <f t="shared" si="3457"/>
        <v>0</v>
      </c>
      <c r="AW284" s="71">
        <f t="shared" si="3458"/>
        <v>0</v>
      </c>
      <c r="AX284" s="71">
        <f t="shared" si="3459"/>
        <v>0</v>
      </c>
      <c r="AY284" s="71">
        <f t="shared" si="3460"/>
        <v>0</v>
      </c>
      <c r="AZ284" s="72">
        <f t="shared" si="3461"/>
        <v>0</v>
      </c>
      <c r="BA284" s="70">
        <f t="shared" si="3123"/>
        <v>12</v>
      </c>
      <c r="BB284" s="69">
        <f t="shared" ca="1" si="3124"/>
        <v>0.92307692307692313</v>
      </c>
      <c r="BC284" s="70">
        <f t="shared" si="3462"/>
        <v>42</v>
      </c>
      <c r="BD284" s="71">
        <f t="shared" si="3463"/>
        <v>45</v>
      </c>
      <c r="BE284" s="71">
        <f t="shared" si="3464"/>
        <v>40</v>
      </c>
      <c r="BF284" s="71">
        <f t="shared" si="3465"/>
        <v>0</v>
      </c>
      <c r="BG284" s="71">
        <f t="shared" si="3466"/>
        <v>45</v>
      </c>
      <c r="BH284" s="71">
        <f t="shared" si="3467"/>
        <v>43</v>
      </c>
      <c r="BI284" s="71">
        <f t="shared" si="3468"/>
        <v>42</v>
      </c>
      <c r="BJ284" s="71">
        <f t="shared" si="3469"/>
        <v>45</v>
      </c>
      <c r="BK284" s="71">
        <f t="shared" si="3470"/>
        <v>40</v>
      </c>
      <c r="BL284" s="71">
        <f t="shared" si="3471"/>
        <v>42</v>
      </c>
      <c r="BM284" s="71">
        <f t="shared" si="3472"/>
        <v>0</v>
      </c>
      <c r="BN284" s="71">
        <f t="shared" si="3473"/>
        <v>40</v>
      </c>
      <c r="BO284" s="71">
        <f t="shared" si="3474"/>
        <v>41</v>
      </c>
      <c r="BP284" s="71">
        <f t="shared" si="3475"/>
        <v>9</v>
      </c>
      <c r="BQ284" s="71">
        <f t="shared" si="3476"/>
        <v>0</v>
      </c>
      <c r="BR284" s="71">
        <f t="shared" si="3477"/>
        <v>0</v>
      </c>
      <c r="BS284" s="71">
        <f t="shared" si="3478"/>
        <v>0</v>
      </c>
      <c r="BT284" s="71">
        <f t="shared" si="3479"/>
        <v>0</v>
      </c>
      <c r="BU284" s="71">
        <f t="shared" si="3480"/>
        <v>0</v>
      </c>
      <c r="BV284" s="71">
        <f t="shared" si="3481"/>
        <v>0</v>
      </c>
      <c r="BW284" s="71">
        <f t="shared" si="3482"/>
        <v>0</v>
      </c>
      <c r="BX284" s="71">
        <f t="shared" si="3483"/>
        <v>0</v>
      </c>
      <c r="BY284" s="71">
        <f t="shared" si="3484"/>
        <v>0</v>
      </c>
      <c r="BZ284" s="71">
        <f t="shared" si="3485"/>
        <v>0</v>
      </c>
      <c r="CA284" s="71">
        <f t="shared" si="3486"/>
        <v>0</v>
      </c>
      <c r="CB284" s="71">
        <f t="shared" si="3487"/>
        <v>0</v>
      </c>
      <c r="CC284" s="71">
        <f t="shared" si="3488"/>
        <v>0</v>
      </c>
      <c r="CD284" s="71">
        <f t="shared" si="3489"/>
        <v>0</v>
      </c>
      <c r="CE284" s="71">
        <f t="shared" si="3490"/>
        <v>0</v>
      </c>
      <c r="CF284" s="71">
        <f t="shared" si="3491"/>
        <v>0</v>
      </c>
      <c r="CG284" s="71">
        <f t="shared" si="3492"/>
        <v>0</v>
      </c>
      <c r="CH284" s="70">
        <f t="shared" si="3125"/>
        <v>474</v>
      </c>
      <c r="CI284" s="69">
        <f t="shared" ca="1" si="3126"/>
        <v>36.46153846153846</v>
      </c>
      <c r="GM284" s="2" t="s">
        <v>16</v>
      </c>
      <c r="GN284" s="98" t="str">
        <f t="shared" si="3053"/>
        <v>ISB01-FMCG02-SPO-02</v>
      </c>
      <c r="GO284" s="4">
        <v>1</v>
      </c>
      <c r="GP284" s="3">
        <v>1</v>
      </c>
      <c r="GQ284" s="3">
        <v>1</v>
      </c>
      <c r="GR284" s="3">
        <v>0</v>
      </c>
      <c r="GS284" s="3">
        <v>1</v>
      </c>
      <c r="GT284" s="3">
        <v>1</v>
      </c>
      <c r="GU284" s="3">
        <v>1</v>
      </c>
      <c r="GV284" s="3">
        <v>1</v>
      </c>
      <c r="GW284" s="3">
        <v>1</v>
      </c>
      <c r="GX284" s="3">
        <v>1</v>
      </c>
      <c r="GY284" s="3">
        <v>0</v>
      </c>
      <c r="GZ284" s="3">
        <v>1</v>
      </c>
      <c r="HA284" s="3">
        <v>1</v>
      </c>
      <c r="HB284" s="3">
        <v>1</v>
      </c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6"/>
      <c r="HT284" s="4">
        <v>42</v>
      </c>
      <c r="HU284" s="3">
        <v>45</v>
      </c>
      <c r="HV284" s="3">
        <v>40</v>
      </c>
      <c r="HW284" s="3">
        <v>0</v>
      </c>
      <c r="HX284" s="3">
        <v>45</v>
      </c>
      <c r="HY284" s="3">
        <v>43</v>
      </c>
      <c r="HZ284" s="3">
        <v>42</v>
      </c>
      <c r="IA284" s="3">
        <v>45</v>
      </c>
      <c r="IB284" s="3">
        <v>40</v>
      </c>
      <c r="IC284" s="3">
        <v>42</v>
      </c>
      <c r="ID284" s="3">
        <v>0</v>
      </c>
      <c r="IE284" s="3">
        <v>40</v>
      </c>
      <c r="IF284" s="3">
        <v>41</v>
      </c>
      <c r="IG284" s="3">
        <v>9</v>
      </c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6"/>
    </row>
    <row r="285" spans="1:258" hidden="1">
      <c r="A285" s="97" t="s">
        <v>25</v>
      </c>
      <c r="B285" s="98" t="s">
        <v>90</v>
      </c>
      <c r="C285" s="98" t="s">
        <v>661</v>
      </c>
      <c r="D285" s="99" t="s">
        <v>1239</v>
      </c>
      <c r="E285" s="98" t="s">
        <v>992</v>
      </c>
      <c r="F285" s="98" t="s">
        <v>924</v>
      </c>
      <c r="G285" s="98" t="s">
        <v>687</v>
      </c>
      <c r="H285" s="98" t="s">
        <v>1591</v>
      </c>
      <c r="I285" s="98" t="s">
        <v>1591</v>
      </c>
      <c r="J285" s="98" t="s">
        <v>859</v>
      </c>
      <c r="K285" s="98" t="s">
        <v>1127</v>
      </c>
      <c r="L285" s="98" t="s">
        <v>676</v>
      </c>
      <c r="M285" s="101" t="s">
        <v>1093</v>
      </c>
      <c r="N285" s="139">
        <v>45511</v>
      </c>
      <c r="O285" s="100">
        <v>1</v>
      </c>
      <c r="P285" s="69">
        <v>0</v>
      </c>
      <c r="Q285" s="69">
        <f t="shared" si="3357"/>
        <v>1</v>
      </c>
      <c r="R285" s="69">
        <f t="shared" si="3427"/>
        <v>1</v>
      </c>
      <c r="S285" s="69">
        <f t="shared" si="3428"/>
        <v>0</v>
      </c>
      <c r="T285" s="69">
        <f t="shared" si="3429"/>
        <v>1</v>
      </c>
      <c r="U285" s="69">
        <f t="shared" si="3430"/>
        <v>1</v>
      </c>
      <c r="V285" s="70">
        <f t="shared" si="3431"/>
        <v>1</v>
      </c>
      <c r="W285" s="71">
        <f t="shared" si="3432"/>
        <v>1</v>
      </c>
      <c r="X285" s="71">
        <f t="shared" si="3433"/>
        <v>1</v>
      </c>
      <c r="Y285" s="71">
        <f t="shared" si="3434"/>
        <v>0</v>
      </c>
      <c r="Z285" s="71">
        <f t="shared" si="3435"/>
        <v>1</v>
      </c>
      <c r="AA285" s="71">
        <f t="shared" si="3436"/>
        <v>1</v>
      </c>
      <c r="AB285" s="71">
        <f t="shared" si="3437"/>
        <v>1</v>
      </c>
      <c r="AC285" s="71">
        <f t="shared" si="3438"/>
        <v>1</v>
      </c>
      <c r="AD285" s="71">
        <f t="shared" si="3439"/>
        <v>1</v>
      </c>
      <c r="AE285" s="71">
        <f t="shared" si="3440"/>
        <v>1</v>
      </c>
      <c r="AF285" s="71">
        <f t="shared" si="3441"/>
        <v>0</v>
      </c>
      <c r="AG285" s="71">
        <f t="shared" si="3442"/>
        <v>0</v>
      </c>
      <c r="AH285" s="71">
        <f t="shared" si="3443"/>
        <v>1</v>
      </c>
      <c r="AI285" s="71">
        <f t="shared" si="3444"/>
        <v>1</v>
      </c>
      <c r="AJ285" s="71">
        <f t="shared" si="3445"/>
        <v>0</v>
      </c>
      <c r="AK285" s="71">
        <f t="shared" si="3446"/>
        <v>0</v>
      </c>
      <c r="AL285" s="71">
        <f t="shared" si="3447"/>
        <v>0</v>
      </c>
      <c r="AM285" s="71">
        <f t="shared" si="3448"/>
        <v>0</v>
      </c>
      <c r="AN285" s="71">
        <f t="shared" si="3449"/>
        <v>0</v>
      </c>
      <c r="AO285" s="71">
        <f t="shared" si="3450"/>
        <v>0</v>
      </c>
      <c r="AP285" s="71">
        <f t="shared" si="3451"/>
        <v>0</v>
      </c>
      <c r="AQ285" s="71">
        <f t="shared" si="3452"/>
        <v>0</v>
      </c>
      <c r="AR285" s="71">
        <f t="shared" si="3453"/>
        <v>0</v>
      </c>
      <c r="AS285" s="71">
        <f t="shared" si="3454"/>
        <v>0</v>
      </c>
      <c r="AT285" s="71">
        <f t="shared" si="3455"/>
        <v>0</v>
      </c>
      <c r="AU285" s="71">
        <f t="shared" si="3456"/>
        <v>0</v>
      </c>
      <c r="AV285" s="71">
        <f t="shared" si="3457"/>
        <v>0</v>
      </c>
      <c r="AW285" s="71">
        <f t="shared" si="3458"/>
        <v>0</v>
      </c>
      <c r="AX285" s="71">
        <f t="shared" si="3459"/>
        <v>0</v>
      </c>
      <c r="AY285" s="71">
        <f t="shared" si="3460"/>
        <v>0</v>
      </c>
      <c r="AZ285" s="72">
        <f t="shared" si="3461"/>
        <v>0</v>
      </c>
      <c r="BA285" s="70">
        <f t="shared" si="3123"/>
        <v>11</v>
      </c>
      <c r="BB285" s="69">
        <f t="shared" ca="1" si="3124"/>
        <v>0.84615384615384615</v>
      </c>
      <c r="BC285" s="70">
        <f t="shared" si="3462"/>
        <v>41</v>
      </c>
      <c r="BD285" s="71">
        <f t="shared" si="3463"/>
        <v>40</v>
      </c>
      <c r="BE285" s="71">
        <f t="shared" si="3464"/>
        <v>0</v>
      </c>
      <c r="BF285" s="71">
        <f t="shared" si="3465"/>
        <v>0</v>
      </c>
      <c r="BG285" s="71">
        <f t="shared" si="3466"/>
        <v>41</v>
      </c>
      <c r="BH285" s="71">
        <f t="shared" si="3467"/>
        <v>42</v>
      </c>
      <c r="BI285" s="71">
        <f t="shared" si="3468"/>
        <v>43</v>
      </c>
      <c r="BJ285" s="71">
        <f t="shared" si="3469"/>
        <v>43</v>
      </c>
      <c r="BK285" s="71">
        <f t="shared" si="3470"/>
        <v>41</v>
      </c>
      <c r="BL285" s="71">
        <f t="shared" si="3471"/>
        <v>42</v>
      </c>
      <c r="BM285" s="71">
        <f t="shared" si="3472"/>
        <v>0</v>
      </c>
      <c r="BN285" s="71">
        <f t="shared" si="3473"/>
        <v>0</v>
      </c>
      <c r="BO285" s="71">
        <f t="shared" si="3474"/>
        <v>40</v>
      </c>
      <c r="BP285" s="71">
        <f t="shared" si="3475"/>
        <v>0</v>
      </c>
      <c r="BQ285" s="71">
        <f t="shared" si="3476"/>
        <v>0</v>
      </c>
      <c r="BR285" s="71">
        <f t="shared" si="3477"/>
        <v>0</v>
      </c>
      <c r="BS285" s="71">
        <f t="shared" si="3478"/>
        <v>0</v>
      </c>
      <c r="BT285" s="71">
        <f t="shared" si="3479"/>
        <v>0</v>
      </c>
      <c r="BU285" s="71">
        <f t="shared" si="3480"/>
        <v>0</v>
      </c>
      <c r="BV285" s="71">
        <f t="shared" si="3481"/>
        <v>0</v>
      </c>
      <c r="BW285" s="71">
        <f t="shared" si="3482"/>
        <v>0</v>
      </c>
      <c r="BX285" s="71">
        <f t="shared" si="3483"/>
        <v>0</v>
      </c>
      <c r="BY285" s="71">
        <f t="shared" si="3484"/>
        <v>0</v>
      </c>
      <c r="BZ285" s="71">
        <f t="shared" si="3485"/>
        <v>0</v>
      </c>
      <c r="CA285" s="71">
        <f t="shared" si="3486"/>
        <v>0</v>
      </c>
      <c r="CB285" s="71">
        <f t="shared" si="3487"/>
        <v>0</v>
      </c>
      <c r="CC285" s="71">
        <f t="shared" si="3488"/>
        <v>0</v>
      </c>
      <c r="CD285" s="71">
        <f t="shared" si="3489"/>
        <v>0</v>
      </c>
      <c r="CE285" s="71">
        <f t="shared" si="3490"/>
        <v>0</v>
      </c>
      <c r="CF285" s="71">
        <f t="shared" si="3491"/>
        <v>0</v>
      </c>
      <c r="CG285" s="71">
        <f t="shared" si="3492"/>
        <v>0</v>
      </c>
      <c r="CH285" s="70">
        <f t="shared" si="3125"/>
        <v>373</v>
      </c>
      <c r="CI285" s="69">
        <f t="shared" ca="1" si="3126"/>
        <v>28.692307692307693</v>
      </c>
      <c r="GM285" s="2" t="s">
        <v>16</v>
      </c>
      <c r="GN285" s="98" t="str">
        <f t="shared" si="3053"/>
        <v>ISB01-FMCG03-SPO-01</v>
      </c>
      <c r="GO285" s="4">
        <v>1</v>
      </c>
      <c r="GP285" s="3">
        <v>1</v>
      </c>
      <c r="GQ285" s="3">
        <v>1</v>
      </c>
      <c r="GR285" s="3">
        <v>0</v>
      </c>
      <c r="GS285" s="3">
        <v>1</v>
      </c>
      <c r="GT285" s="3">
        <v>1</v>
      </c>
      <c r="GU285" s="3">
        <v>1</v>
      </c>
      <c r="GV285" s="3">
        <v>1</v>
      </c>
      <c r="GW285" s="3">
        <v>1</v>
      </c>
      <c r="GX285" s="3">
        <v>1</v>
      </c>
      <c r="GY285" s="3">
        <v>0</v>
      </c>
      <c r="GZ285" s="3">
        <v>0</v>
      </c>
      <c r="HA285" s="3">
        <v>1</v>
      </c>
      <c r="HB285" s="3">
        <v>1</v>
      </c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6"/>
      <c r="HT285" s="4">
        <v>41</v>
      </c>
      <c r="HU285" s="3">
        <v>40</v>
      </c>
      <c r="HV285" s="3">
        <v>0</v>
      </c>
      <c r="HW285" s="3">
        <v>0</v>
      </c>
      <c r="HX285" s="3">
        <v>41</v>
      </c>
      <c r="HY285" s="3">
        <v>42</v>
      </c>
      <c r="HZ285" s="3">
        <v>43</v>
      </c>
      <c r="IA285" s="3">
        <v>43</v>
      </c>
      <c r="IB285" s="3">
        <v>41</v>
      </c>
      <c r="IC285" s="3">
        <v>42</v>
      </c>
      <c r="ID285" s="3">
        <v>0</v>
      </c>
      <c r="IE285" s="3">
        <v>0</v>
      </c>
      <c r="IF285" s="3">
        <v>40</v>
      </c>
      <c r="IG285" s="3">
        <v>0</v>
      </c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6"/>
    </row>
    <row r="286" spans="1:258" hidden="1">
      <c r="A286" s="97" t="s">
        <v>1287</v>
      </c>
      <c r="B286" s="98" t="s">
        <v>20</v>
      </c>
      <c r="C286" s="98" t="s">
        <v>661</v>
      </c>
      <c r="D286" s="99" t="s">
        <v>1239</v>
      </c>
      <c r="E286" s="98" t="s">
        <v>1098</v>
      </c>
      <c r="F286" s="98" t="s">
        <v>681</v>
      </c>
      <c r="G286" s="98" t="s">
        <v>682</v>
      </c>
      <c r="H286" s="98" t="s">
        <v>1592</v>
      </c>
      <c r="I286" s="98" t="s">
        <v>1592</v>
      </c>
      <c r="J286" s="98" t="s">
        <v>859</v>
      </c>
      <c r="K286" s="98" t="s">
        <v>1099</v>
      </c>
      <c r="L286" s="98" t="s">
        <v>1099</v>
      </c>
      <c r="M286" s="98" t="s">
        <v>1099</v>
      </c>
      <c r="N286" s="108">
        <v>45474</v>
      </c>
      <c r="O286" s="100">
        <v>0</v>
      </c>
      <c r="P286" s="69">
        <v>0</v>
      </c>
      <c r="Q286" s="69">
        <f t="shared" si="3357"/>
        <v>0</v>
      </c>
      <c r="R286" s="69">
        <f t="shared" si="3427"/>
        <v>0</v>
      </c>
      <c r="S286" s="69">
        <f t="shared" si="3428"/>
        <v>0</v>
      </c>
      <c r="T286" s="69">
        <f t="shared" si="3429"/>
        <v>0</v>
      </c>
      <c r="U286" s="69">
        <f t="shared" si="3430"/>
        <v>0</v>
      </c>
      <c r="V286" s="70">
        <f t="shared" si="3431"/>
        <v>0</v>
      </c>
      <c r="W286" s="71">
        <f t="shared" si="3432"/>
        <v>0</v>
      </c>
      <c r="X286" s="71">
        <f t="shared" si="3433"/>
        <v>0</v>
      </c>
      <c r="Y286" s="71">
        <f t="shared" si="3434"/>
        <v>0</v>
      </c>
      <c r="Z286" s="71">
        <f t="shared" si="3435"/>
        <v>0</v>
      </c>
      <c r="AA286" s="71">
        <f t="shared" si="3436"/>
        <v>0</v>
      </c>
      <c r="AB286" s="71">
        <f t="shared" si="3437"/>
        <v>0</v>
      </c>
      <c r="AC286" s="71">
        <f t="shared" si="3438"/>
        <v>0</v>
      </c>
      <c r="AD286" s="71">
        <f t="shared" si="3439"/>
        <v>0</v>
      </c>
      <c r="AE286" s="71">
        <f t="shared" si="3440"/>
        <v>0</v>
      </c>
      <c r="AF286" s="71">
        <f t="shared" si="3441"/>
        <v>0</v>
      </c>
      <c r="AG286" s="71">
        <f t="shared" si="3442"/>
        <v>0</v>
      </c>
      <c r="AH286" s="71">
        <f t="shared" si="3443"/>
        <v>0</v>
      </c>
      <c r="AI286" s="71">
        <f t="shared" si="3444"/>
        <v>0</v>
      </c>
      <c r="AJ286" s="71">
        <f t="shared" si="3445"/>
        <v>0</v>
      </c>
      <c r="AK286" s="71">
        <f t="shared" si="3446"/>
        <v>0</v>
      </c>
      <c r="AL286" s="71">
        <f t="shared" si="3447"/>
        <v>0</v>
      </c>
      <c r="AM286" s="71">
        <f t="shared" si="3448"/>
        <v>0</v>
      </c>
      <c r="AN286" s="71">
        <f t="shared" si="3449"/>
        <v>0</v>
      </c>
      <c r="AO286" s="71">
        <f t="shared" si="3450"/>
        <v>0</v>
      </c>
      <c r="AP286" s="71">
        <f t="shared" si="3451"/>
        <v>0</v>
      </c>
      <c r="AQ286" s="71">
        <f t="shared" si="3452"/>
        <v>0</v>
      </c>
      <c r="AR286" s="71">
        <f t="shared" si="3453"/>
        <v>0</v>
      </c>
      <c r="AS286" s="71">
        <f t="shared" si="3454"/>
        <v>0</v>
      </c>
      <c r="AT286" s="71">
        <f t="shared" si="3455"/>
        <v>0</v>
      </c>
      <c r="AU286" s="71">
        <f t="shared" si="3456"/>
        <v>0</v>
      </c>
      <c r="AV286" s="71">
        <f t="shared" si="3457"/>
        <v>0</v>
      </c>
      <c r="AW286" s="71">
        <f t="shared" si="3458"/>
        <v>0</v>
      </c>
      <c r="AX286" s="71">
        <f t="shared" si="3459"/>
        <v>0</v>
      </c>
      <c r="AY286" s="71">
        <f t="shared" si="3460"/>
        <v>0</v>
      </c>
      <c r="AZ286" s="72">
        <f t="shared" si="3461"/>
        <v>0</v>
      </c>
      <c r="BA286" s="70">
        <f t="shared" si="3123"/>
        <v>0</v>
      </c>
      <c r="BB286" s="69">
        <f t="shared" ca="1" si="3124"/>
        <v>0</v>
      </c>
      <c r="BC286" s="70">
        <f t="shared" si="3462"/>
        <v>0</v>
      </c>
      <c r="BD286" s="71">
        <f t="shared" si="3463"/>
        <v>0</v>
      </c>
      <c r="BE286" s="71">
        <f t="shared" si="3464"/>
        <v>0</v>
      </c>
      <c r="BF286" s="71">
        <f t="shared" si="3465"/>
        <v>0</v>
      </c>
      <c r="BG286" s="71">
        <f t="shared" si="3466"/>
        <v>0</v>
      </c>
      <c r="BH286" s="71">
        <f t="shared" si="3467"/>
        <v>0</v>
      </c>
      <c r="BI286" s="71">
        <f t="shared" si="3468"/>
        <v>0</v>
      </c>
      <c r="BJ286" s="71">
        <f t="shared" si="3469"/>
        <v>0</v>
      </c>
      <c r="BK286" s="71">
        <f t="shared" si="3470"/>
        <v>0</v>
      </c>
      <c r="BL286" s="71">
        <f t="shared" si="3471"/>
        <v>0</v>
      </c>
      <c r="BM286" s="71">
        <f t="shared" si="3472"/>
        <v>0</v>
      </c>
      <c r="BN286" s="71">
        <f t="shared" si="3473"/>
        <v>0</v>
      </c>
      <c r="BO286" s="71">
        <f t="shared" si="3474"/>
        <v>0</v>
      </c>
      <c r="BP286" s="71">
        <f t="shared" si="3475"/>
        <v>0</v>
      </c>
      <c r="BQ286" s="71">
        <f t="shared" si="3476"/>
        <v>0</v>
      </c>
      <c r="BR286" s="71">
        <f t="shared" si="3477"/>
        <v>0</v>
      </c>
      <c r="BS286" s="71">
        <f t="shared" si="3478"/>
        <v>0</v>
      </c>
      <c r="BT286" s="71">
        <f t="shared" si="3479"/>
        <v>0</v>
      </c>
      <c r="BU286" s="71">
        <f t="shared" si="3480"/>
        <v>0</v>
      </c>
      <c r="BV286" s="71">
        <f t="shared" si="3481"/>
        <v>0</v>
      </c>
      <c r="BW286" s="71">
        <f t="shared" si="3482"/>
        <v>0</v>
      </c>
      <c r="BX286" s="71">
        <f t="shared" si="3483"/>
        <v>0</v>
      </c>
      <c r="BY286" s="71">
        <f t="shared" si="3484"/>
        <v>0</v>
      </c>
      <c r="BZ286" s="71">
        <f t="shared" si="3485"/>
        <v>0</v>
      </c>
      <c r="CA286" s="71">
        <f t="shared" si="3486"/>
        <v>0</v>
      </c>
      <c r="CB286" s="71">
        <f t="shared" si="3487"/>
        <v>0</v>
      </c>
      <c r="CC286" s="71">
        <f t="shared" si="3488"/>
        <v>0</v>
      </c>
      <c r="CD286" s="71">
        <f t="shared" si="3489"/>
        <v>0</v>
      </c>
      <c r="CE286" s="71">
        <f t="shared" si="3490"/>
        <v>0</v>
      </c>
      <c r="CF286" s="71">
        <f t="shared" si="3491"/>
        <v>0</v>
      </c>
      <c r="CG286" s="71">
        <f t="shared" si="3492"/>
        <v>0</v>
      </c>
      <c r="CH286" s="70">
        <f t="shared" si="3125"/>
        <v>0</v>
      </c>
      <c r="CI286" s="69">
        <f t="shared" ca="1" si="3126"/>
        <v>0</v>
      </c>
      <c r="GM286" s="2" t="s">
        <v>16</v>
      </c>
      <c r="GN286" s="98" t="str">
        <f t="shared" si="3053"/>
        <v>ISB01-FMCG-SPO-00</v>
      </c>
      <c r="GO286" s="4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6"/>
      <c r="HT286" s="4">
        <v>0</v>
      </c>
      <c r="HU286" s="3">
        <v>0</v>
      </c>
      <c r="HV286" s="3">
        <v>0</v>
      </c>
      <c r="HW286" s="3">
        <v>0</v>
      </c>
      <c r="HX286" s="3">
        <v>0</v>
      </c>
      <c r="HY286" s="3">
        <v>0</v>
      </c>
      <c r="HZ286" s="3">
        <v>0</v>
      </c>
      <c r="IA286" s="3">
        <v>0</v>
      </c>
      <c r="IB286" s="3">
        <v>0</v>
      </c>
      <c r="IC286" s="3">
        <v>0</v>
      </c>
      <c r="ID286" s="3">
        <v>0</v>
      </c>
      <c r="IE286" s="3">
        <v>0</v>
      </c>
      <c r="IF286" s="3">
        <v>0</v>
      </c>
      <c r="IG286" s="3">
        <v>0</v>
      </c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6"/>
    </row>
    <row r="287" spans="1:258" hidden="1">
      <c r="A287" s="97" t="s">
        <v>1380</v>
      </c>
      <c r="B287" s="98" t="s">
        <v>20</v>
      </c>
      <c r="C287" s="98" t="s">
        <v>661</v>
      </c>
      <c r="D287" s="99" t="s">
        <v>1239</v>
      </c>
      <c r="E287" s="98" t="s">
        <v>683</v>
      </c>
      <c r="F287" s="98" t="s">
        <v>684</v>
      </c>
      <c r="G287" s="98" t="s">
        <v>685</v>
      </c>
      <c r="H287" s="98" t="s">
        <v>1240</v>
      </c>
      <c r="I287" s="98" t="s">
        <v>1240</v>
      </c>
      <c r="J287" s="98" t="s">
        <v>859</v>
      </c>
      <c r="K287" s="98" t="s">
        <v>1127</v>
      </c>
      <c r="L287" s="98" t="s">
        <v>686</v>
      </c>
      <c r="M287" s="98" t="s">
        <v>52</v>
      </c>
      <c r="N287" s="108">
        <v>45941</v>
      </c>
      <c r="O287" s="100">
        <v>0</v>
      </c>
      <c r="P287" s="69">
        <v>0</v>
      </c>
      <c r="Q287" s="69">
        <f t="shared" si="3357"/>
        <v>0</v>
      </c>
      <c r="R287" s="69">
        <f t="shared" si="3427"/>
        <v>0</v>
      </c>
      <c r="S287" s="69">
        <f t="shared" si="3428"/>
        <v>0</v>
      </c>
      <c r="T287" s="69">
        <f t="shared" si="3429"/>
        <v>0</v>
      </c>
      <c r="U287" s="69">
        <f t="shared" si="3430"/>
        <v>0</v>
      </c>
      <c r="V287" s="70">
        <f t="shared" si="3431"/>
        <v>0</v>
      </c>
      <c r="W287" s="71">
        <f t="shared" si="3432"/>
        <v>0</v>
      </c>
      <c r="X287" s="71">
        <f t="shared" si="3433"/>
        <v>0</v>
      </c>
      <c r="Y287" s="71">
        <f t="shared" si="3434"/>
        <v>0</v>
      </c>
      <c r="Z287" s="71">
        <f t="shared" si="3435"/>
        <v>0</v>
      </c>
      <c r="AA287" s="71">
        <f t="shared" si="3436"/>
        <v>0</v>
      </c>
      <c r="AB287" s="71">
        <f t="shared" si="3437"/>
        <v>0</v>
      </c>
      <c r="AC287" s="71">
        <f t="shared" si="3438"/>
        <v>0</v>
      </c>
      <c r="AD287" s="71">
        <f t="shared" si="3439"/>
        <v>0</v>
      </c>
      <c r="AE287" s="71">
        <f t="shared" si="3440"/>
        <v>0</v>
      </c>
      <c r="AF287" s="71">
        <f t="shared" si="3441"/>
        <v>0</v>
      </c>
      <c r="AG287" s="71">
        <f t="shared" si="3442"/>
        <v>0</v>
      </c>
      <c r="AH287" s="71">
        <f t="shared" si="3443"/>
        <v>0</v>
      </c>
      <c r="AI287" s="71">
        <f t="shared" si="3444"/>
        <v>0</v>
      </c>
      <c r="AJ287" s="71">
        <f t="shared" si="3445"/>
        <v>0</v>
      </c>
      <c r="AK287" s="71">
        <f t="shared" si="3446"/>
        <v>0</v>
      </c>
      <c r="AL287" s="71">
        <f t="shared" si="3447"/>
        <v>0</v>
      </c>
      <c r="AM287" s="71">
        <f t="shared" si="3448"/>
        <v>0</v>
      </c>
      <c r="AN287" s="71">
        <f t="shared" si="3449"/>
        <v>0</v>
      </c>
      <c r="AO287" s="71">
        <f t="shared" si="3450"/>
        <v>0</v>
      </c>
      <c r="AP287" s="71">
        <f t="shared" si="3451"/>
        <v>0</v>
      </c>
      <c r="AQ287" s="71">
        <f t="shared" si="3452"/>
        <v>0</v>
      </c>
      <c r="AR287" s="71">
        <f t="shared" si="3453"/>
        <v>0</v>
      </c>
      <c r="AS287" s="71">
        <f t="shared" si="3454"/>
        <v>0</v>
      </c>
      <c r="AT287" s="71">
        <f t="shared" si="3455"/>
        <v>0</v>
      </c>
      <c r="AU287" s="71">
        <f t="shared" si="3456"/>
        <v>0</v>
      </c>
      <c r="AV287" s="71">
        <f t="shared" si="3457"/>
        <v>0</v>
      </c>
      <c r="AW287" s="71">
        <f t="shared" si="3458"/>
        <v>0</v>
      </c>
      <c r="AX287" s="71">
        <f t="shared" si="3459"/>
        <v>0</v>
      </c>
      <c r="AY287" s="71">
        <f t="shared" si="3460"/>
        <v>0</v>
      </c>
      <c r="AZ287" s="72">
        <f t="shared" si="3461"/>
        <v>0</v>
      </c>
      <c r="BA287" s="70">
        <f t="shared" si="3123"/>
        <v>0</v>
      </c>
      <c r="BB287" s="69">
        <f t="shared" ca="1" si="3124"/>
        <v>0</v>
      </c>
      <c r="BC287" s="70">
        <f t="shared" si="3462"/>
        <v>0</v>
      </c>
      <c r="BD287" s="71">
        <f t="shared" si="3463"/>
        <v>0</v>
      </c>
      <c r="BE287" s="71">
        <f t="shared" si="3464"/>
        <v>0</v>
      </c>
      <c r="BF287" s="71">
        <f t="shared" si="3465"/>
        <v>0</v>
      </c>
      <c r="BG287" s="71">
        <f t="shared" si="3466"/>
        <v>0</v>
      </c>
      <c r="BH287" s="71">
        <f t="shared" si="3467"/>
        <v>0</v>
      </c>
      <c r="BI287" s="71">
        <f t="shared" si="3468"/>
        <v>0</v>
      </c>
      <c r="BJ287" s="71">
        <f t="shared" si="3469"/>
        <v>0</v>
      </c>
      <c r="BK287" s="71">
        <f t="shared" si="3470"/>
        <v>0</v>
      </c>
      <c r="BL287" s="71">
        <f t="shared" si="3471"/>
        <v>0</v>
      </c>
      <c r="BM287" s="71">
        <f t="shared" si="3472"/>
        <v>0</v>
      </c>
      <c r="BN287" s="71">
        <f t="shared" si="3473"/>
        <v>0</v>
      </c>
      <c r="BO287" s="71">
        <f t="shared" si="3474"/>
        <v>0</v>
      </c>
      <c r="BP287" s="71">
        <f t="shared" si="3475"/>
        <v>0</v>
      </c>
      <c r="BQ287" s="71">
        <f t="shared" si="3476"/>
        <v>0</v>
      </c>
      <c r="BR287" s="71">
        <f t="shared" si="3477"/>
        <v>0</v>
      </c>
      <c r="BS287" s="71">
        <f t="shared" si="3478"/>
        <v>0</v>
      </c>
      <c r="BT287" s="71">
        <f t="shared" si="3479"/>
        <v>0</v>
      </c>
      <c r="BU287" s="71">
        <f t="shared" si="3480"/>
        <v>0</v>
      </c>
      <c r="BV287" s="71">
        <f t="shared" si="3481"/>
        <v>0</v>
      </c>
      <c r="BW287" s="71">
        <f t="shared" si="3482"/>
        <v>0</v>
      </c>
      <c r="BX287" s="71">
        <f t="shared" si="3483"/>
        <v>0</v>
      </c>
      <c r="BY287" s="71">
        <f t="shared" si="3484"/>
        <v>0</v>
      </c>
      <c r="BZ287" s="71">
        <f t="shared" si="3485"/>
        <v>0</v>
      </c>
      <c r="CA287" s="71">
        <f t="shared" si="3486"/>
        <v>0</v>
      </c>
      <c r="CB287" s="71">
        <f t="shared" si="3487"/>
        <v>0</v>
      </c>
      <c r="CC287" s="71">
        <f t="shared" si="3488"/>
        <v>0</v>
      </c>
      <c r="CD287" s="71">
        <f t="shared" si="3489"/>
        <v>0</v>
      </c>
      <c r="CE287" s="71">
        <f t="shared" si="3490"/>
        <v>0</v>
      </c>
      <c r="CF287" s="71">
        <f t="shared" si="3491"/>
        <v>0</v>
      </c>
      <c r="CG287" s="71">
        <f t="shared" si="3492"/>
        <v>0</v>
      </c>
      <c r="CH287" s="70">
        <f t="shared" si="3125"/>
        <v>0</v>
      </c>
      <c r="CI287" s="69">
        <f t="shared" ca="1" si="3126"/>
        <v>0</v>
      </c>
      <c r="GM287" s="2" t="s">
        <v>16</v>
      </c>
      <c r="GN287" s="98" t="str">
        <f t="shared" si="3053"/>
        <v>ISB01-FMCG-ASM-01</v>
      </c>
      <c r="GO287" s="4">
        <v>0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3">
        <v>0</v>
      </c>
      <c r="GX287" s="3">
        <v>0</v>
      </c>
      <c r="GY287" s="3">
        <v>0</v>
      </c>
      <c r="GZ287" s="3">
        <v>0</v>
      </c>
      <c r="HA287" s="3">
        <v>0</v>
      </c>
      <c r="HB287" s="3">
        <v>0</v>
      </c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6"/>
      <c r="HT287" s="4">
        <v>0</v>
      </c>
      <c r="HU287" s="3">
        <v>0</v>
      </c>
      <c r="HV287" s="3">
        <v>0</v>
      </c>
      <c r="HW287" s="3">
        <v>0</v>
      </c>
      <c r="HX287" s="3">
        <v>0</v>
      </c>
      <c r="HY287" s="3">
        <v>0</v>
      </c>
      <c r="HZ287" s="3">
        <v>0</v>
      </c>
      <c r="IA287" s="3">
        <v>0</v>
      </c>
      <c r="IB287" s="3">
        <v>0</v>
      </c>
      <c r="IC287" s="3">
        <v>0</v>
      </c>
      <c r="ID287" s="3">
        <v>0</v>
      </c>
      <c r="IE287" s="3">
        <v>0</v>
      </c>
      <c r="IF287" s="3">
        <v>0</v>
      </c>
      <c r="IG287" s="3">
        <v>0</v>
      </c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6"/>
    </row>
    <row r="288" spans="1:258" hidden="1">
      <c r="A288" s="102" t="s">
        <v>53</v>
      </c>
      <c r="B288" s="103" t="s">
        <v>20</v>
      </c>
      <c r="C288" s="103" t="s">
        <v>661</v>
      </c>
      <c r="D288" s="104" t="s">
        <v>1239</v>
      </c>
      <c r="E288" s="103" t="s">
        <v>683</v>
      </c>
      <c r="F288" s="103" t="s">
        <v>684</v>
      </c>
      <c r="G288" s="103" t="s">
        <v>685</v>
      </c>
      <c r="H288" s="103" t="s">
        <v>1240</v>
      </c>
      <c r="I288" s="103" t="s">
        <v>1240</v>
      </c>
      <c r="J288" s="103" t="s">
        <v>859</v>
      </c>
      <c r="K288" s="103" t="s">
        <v>1127</v>
      </c>
      <c r="L288" s="103" t="s">
        <v>686</v>
      </c>
      <c r="M288" s="103" t="s">
        <v>52</v>
      </c>
      <c r="N288" s="119">
        <v>45941</v>
      </c>
      <c r="O288" s="105">
        <f>O285+O286+O284+O283+O282+O281</f>
        <v>5</v>
      </c>
      <c r="P288" s="73">
        <f t="shared" ref="P288:CA288" si="3493">P285+P286+P284+P283+P282+P281</f>
        <v>0</v>
      </c>
      <c r="Q288" s="73">
        <f t="shared" si="3493"/>
        <v>5</v>
      </c>
      <c r="R288" s="73">
        <f t="shared" si="3493"/>
        <v>5</v>
      </c>
      <c r="S288" s="73">
        <f t="shared" si="3493"/>
        <v>3</v>
      </c>
      <c r="T288" s="73">
        <f t="shared" si="3493"/>
        <v>5</v>
      </c>
      <c r="U288" s="73">
        <f t="shared" si="3493"/>
        <v>5</v>
      </c>
      <c r="V288" s="74">
        <f t="shared" si="3493"/>
        <v>4</v>
      </c>
      <c r="W288" s="75">
        <f t="shared" si="3493"/>
        <v>3</v>
      </c>
      <c r="X288" s="75">
        <f t="shared" si="3493"/>
        <v>3</v>
      </c>
      <c r="Y288" s="75">
        <f t="shared" si="3493"/>
        <v>0</v>
      </c>
      <c r="Z288" s="75">
        <f t="shared" si="3493"/>
        <v>3</v>
      </c>
      <c r="AA288" s="75">
        <f t="shared" si="3493"/>
        <v>4</v>
      </c>
      <c r="AB288" s="75">
        <f t="shared" si="3493"/>
        <v>3</v>
      </c>
      <c r="AC288" s="75">
        <f t="shared" si="3493"/>
        <v>3</v>
      </c>
      <c r="AD288" s="75">
        <f t="shared" si="3493"/>
        <v>4</v>
      </c>
      <c r="AE288" s="75">
        <f t="shared" si="3493"/>
        <v>3</v>
      </c>
      <c r="AF288" s="75">
        <f t="shared" si="3493"/>
        <v>0</v>
      </c>
      <c r="AG288" s="75">
        <f t="shared" si="3493"/>
        <v>3</v>
      </c>
      <c r="AH288" s="75">
        <f t="shared" si="3493"/>
        <v>3</v>
      </c>
      <c r="AI288" s="75">
        <f t="shared" si="3493"/>
        <v>5</v>
      </c>
      <c r="AJ288" s="75">
        <f t="shared" si="3493"/>
        <v>0</v>
      </c>
      <c r="AK288" s="75">
        <f t="shared" si="3493"/>
        <v>0</v>
      </c>
      <c r="AL288" s="75">
        <f t="shared" si="3493"/>
        <v>0</v>
      </c>
      <c r="AM288" s="75">
        <f t="shared" si="3493"/>
        <v>0</v>
      </c>
      <c r="AN288" s="75">
        <f t="shared" si="3493"/>
        <v>0</v>
      </c>
      <c r="AO288" s="75">
        <f t="shared" si="3493"/>
        <v>0</v>
      </c>
      <c r="AP288" s="75">
        <f t="shared" si="3493"/>
        <v>0</v>
      </c>
      <c r="AQ288" s="75">
        <f t="shared" si="3493"/>
        <v>0</v>
      </c>
      <c r="AR288" s="75">
        <f t="shared" si="3493"/>
        <v>0</v>
      </c>
      <c r="AS288" s="75">
        <f t="shared" si="3493"/>
        <v>0</v>
      </c>
      <c r="AT288" s="75">
        <f t="shared" si="3493"/>
        <v>0</v>
      </c>
      <c r="AU288" s="75">
        <f t="shared" si="3493"/>
        <v>0</v>
      </c>
      <c r="AV288" s="75">
        <f t="shared" si="3493"/>
        <v>0</v>
      </c>
      <c r="AW288" s="75">
        <f t="shared" si="3493"/>
        <v>0</v>
      </c>
      <c r="AX288" s="75">
        <f t="shared" si="3493"/>
        <v>0</v>
      </c>
      <c r="AY288" s="75">
        <f t="shared" si="3493"/>
        <v>0</v>
      </c>
      <c r="AZ288" s="76">
        <f t="shared" si="3493"/>
        <v>0</v>
      </c>
      <c r="BA288" s="74">
        <f t="shared" si="3123"/>
        <v>41</v>
      </c>
      <c r="BB288" s="73">
        <f t="shared" ca="1" si="3124"/>
        <v>0.63076923076923075</v>
      </c>
      <c r="BC288" s="74">
        <f t="shared" si="3493"/>
        <v>169</v>
      </c>
      <c r="BD288" s="75">
        <f t="shared" si="3493"/>
        <v>125</v>
      </c>
      <c r="BE288" s="75">
        <f t="shared" si="3493"/>
        <v>82</v>
      </c>
      <c r="BF288" s="75">
        <f t="shared" si="3493"/>
        <v>0</v>
      </c>
      <c r="BG288" s="75">
        <f t="shared" si="3493"/>
        <v>131</v>
      </c>
      <c r="BH288" s="75">
        <f t="shared" si="3493"/>
        <v>127</v>
      </c>
      <c r="BI288" s="75">
        <f t="shared" si="3493"/>
        <v>125</v>
      </c>
      <c r="BJ288" s="75">
        <f t="shared" si="3493"/>
        <v>126</v>
      </c>
      <c r="BK288" s="75">
        <f t="shared" si="3493"/>
        <v>121</v>
      </c>
      <c r="BL288" s="75">
        <f t="shared" si="3493"/>
        <v>126</v>
      </c>
      <c r="BM288" s="75">
        <f t="shared" si="3493"/>
        <v>0</v>
      </c>
      <c r="BN288" s="75">
        <f t="shared" si="3493"/>
        <v>80</v>
      </c>
      <c r="BO288" s="75">
        <f t="shared" si="3493"/>
        <v>81</v>
      </c>
      <c r="BP288" s="75">
        <f t="shared" si="3493"/>
        <v>15</v>
      </c>
      <c r="BQ288" s="75">
        <f t="shared" si="3493"/>
        <v>0</v>
      </c>
      <c r="BR288" s="75">
        <f t="shared" si="3493"/>
        <v>0</v>
      </c>
      <c r="BS288" s="75">
        <f t="shared" si="3493"/>
        <v>0</v>
      </c>
      <c r="BT288" s="75">
        <f t="shared" si="3493"/>
        <v>0</v>
      </c>
      <c r="BU288" s="75">
        <f t="shared" si="3493"/>
        <v>0</v>
      </c>
      <c r="BV288" s="75">
        <f t="shared" si="3493"/>
        <v>0</v>
      </c>
      <c r="BW288" s="75">
        <f t="shared" si="3493"/>
        <v>0</v>
      </c>
      <c r="BX288" s="75">
        <f t="shared" si="3493"/>
        <v>0</v>
      </c>
      <c r="BY288" s="75">
        <f t="shared" si="3493"/>
        <v>0</v>
      </c>
      <c r="BZ288" s="75">
        <f t="shared" si="3493"/>
        <v>0</v>
      </c>
      <c r="CA288" s="75">
        <f t="shared" si="3493"/>
        <v>0</v>
      </c>
      <c r="CB288" s="75">
        <f t="shared" ref="CB288:CG288" si="3494">CB285+CB286+CB284+CB283+CB282+CB281</f>
        <v>0</v>
      </c>
      <c r="CC288" s="75">
        <f t="shared" si="3494"/>
        <v>0</v>
      </c>
      <c r="CD288" s="75">
        <f t="shared" si="3494"/>
        <v>0</v>
      </c>
      <c r="CE288" s="75">
        <f t="shared" si="3494"/>
        <v>0</v>
      </c>
      <c r="CF288" s="75">
        <f t="shared" si="3494"/>
        <v>0</v>
      </c>
      <c r="CG288" s="75">
        <f t="shared" si="3494"/>
        <v>0</v>
      </c>
      <c r="CH288" s="74">
        <f t="shared" si="3125"/>
        <v>1308</v>
      </c>
      <c r="CI288" s="73">
        <f t="shared" ca="1" si="3126"/>
        <v>20.123076923076923</v>
      </c>
      <c r="GM288" s="2" t="s">
        <v>17</v>
      </c>
      <c r="GN288" s="103" t="str">
        <f t="shared" si="3053"/>
        <v>ISB01-FMCG-ASM-01</v>
      </c>
      <c r="GO288" s="4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6"/>
      <c r="HT288" s="4">
        <v>0</v>
      </c>
      <c r="HU288" s="3">
        <v>0</v>
      </c>
      <c r="HV288" s="3">
        <v>0</v>
      </c>
      <c r="HW288" s="3">
        <v>0</v>
      </c>
      <c r="HX288" s="3">
        <v>0</v>
      </c>
      <c r="HY288" s="3">
        <v>0</v>
      </c>
      <c r="HZ288" s="3">
        <v>0</v>
      </c>
      <c r="IA288" s="3">
        <v>0</v>
      </c>
      <c r="IB288" s="3">
        <v>0</v>
      </c>
      <c r="IC288" s="3">
        <v>0</v>
      </c>
      <c r="ID288" s="3">
        <v>0</v>
      </c>
      <c r="IE288" s="3">
        <v>0</v>
      </c>
      <c r="IF288" s="3">
        <v>0</v>
      </c>
      <c r="IG288" s="3">
        <v>0</v>
      </c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6"/>
    </row>
    <row r="289" spans="1:258" hidden="1">
      <c r="A289" s="97" t="s">
        <v>25</v>
      </c>
      <c r="B289" s="98" t="s">
        <v>26</v>
      </c>
      <c r="C289" s="101" t="s">
        <v>661</v>
      </c>
      <c r="D289" s="99" t="s">
        <v>1241</v>
      </c>
      <c r="E289" s="98" t="s">
        <v>688</v>
      </c>
      <c r="F289" s="98" t="s">
        <v>689</v>
      </c>
      <c r="G289" s="98" t="s">
        <v>690</v>
      </c>
      <c r="H289" s="98" t="s">
        <v>1737</v>
      </c>
      <c r="I289" s="98" t="s">
        <v>1593</v>
      </c>
      <c r="J289" s="98" t="s">
        <v>858</v>
      </c>
      <c r="K289" s="98" t="s">
        <v>1127</v>
      </c>
      <c r="L289" s="98" t="s">
        <v>950</v>
      </c>
      <c r="M289" s="101" t="s">
        <v>1093</v>
      </c>
      <c r="N289" s="139" t="s">
        <v>1708</v>
      </c>
      <c r="O289" s="100">
        <v>1</v>
      </c>
      <c r="P289" s="69">
        <v>1</v>
      </c>
      <c r="Q289" s="69">
        <f t="shared" ref="Q289:Q295" si="3495">IFERROR(IF(OR(AI289&gt;0),1,0),0)</f>
        <v>0</v>
      </c>
      <c r="R289" s="69">
        <f t="shared" ref="R289:R295" si="3496">IFERROR(IF(OR(BA289&gt;0),1,0),0)</f>
        <v>1</v>
      </c>
      <c r="S289" s="69">
        <f t="shared" ref="S289:S295" si="3497">IFERROR(IF(OR(BP289&gt;0),1,0),0)</f>
        <v>0</v>
      </c>
      <c r="T289" s="69">
        <f t="shared" ref="T289:T295" si="3498">IFERROR(IF(OR(CH289&gt;0),1,0),0)</f>
        <v>1</v>
      </c>
      <c r="U289" s="69">
        <f t="shared" ref="U289:U295" si="3499">IFERROR(IF(OR(BA289&gt;0,CH289&gt;0),1,0),0)</f>
        <v>1</v>
      </c>
      <c r="V289" s="70">
        <f t="shared" ref="V289:V295" si="3500">GO289</f>
        <v>1</v>
      </c>
      <c r="W289" s="71">
        <f t="shared" ref="W289:W295" si="3501">GP289</f>
        <v>1</v>
      </c>
      <c r="X289" s="71">
        <f t="shared" ref="X289:X295" si="3502">GQ289</f>
        <v>1</v>
      </c>
      <c r="Y289" s="71">
        <f t="shared" ref="Y289:Y295" si="3503">GR289</f>
        <v>0</v>
      </c>
      <c r="Z289" s="71">
        <f t="shared" ref="Z289:Z295" si="3504">GS289</f>
        <v>0</v>
      </c>
      <c r="AA289" s="71">
        <f t="shared" ref="AA289:AA295" si="3505">GT289</f>
        <v>0</v>
      </c>
      <c r="AB289" s="71">
        <f t="shared" ref="AB289:AB295" si="3506">GU289</f>
        <v>0</v>
      </c>
      <c r="AC289" s="71">
        <f t="shared" ref="AC289:AC295" si="3507">GV289</f>
        <v>0</v>
      </c>
      <c r="AD289" s="71">
        <f t="shared" ref="AD289:AD295" si="3508">GW289</f>
        <v>0</v>
      </c>
      <c r="AE289" s="71">
        <f t="shared" ref="AE289:AE295" si="3509">GX289</f>
        <v>0</v>
      </c>
      <c r="AF289" s="71">
        <f t="shared" ref="AF289:AF295" si="3510">GY289</f>
        <v>0</v>
      </c>
      <c r="AG289" s="71">
        <f t="shared" ref="AG289:AG295" si="3511">GZ289</f>
        <v>0</v>
      </c>
      <c r="AH289" s="71">
        <f t="shared" ref="AH289:AH295" si="3512">HA289</f>
        <v>0</v>
      </c>
      <c r="AI289" s="71">
        <f t="shared" ref="AI289:AI295" si="3513">HB289</f>
        <v>0</v>
      </c>
      <c r="AJ289" s="71">
        <f t="shared" ref="AJ289:AJ295" si="3514">HC289</f>
        <v>0</v>
      </c>
      <c r="AK289" s="71">
        <f t="shared" ref="AK289:AK295" si="3515">HD289</f>
        <v>0</v>
      </c>
      <c r="AL289" s="71">
        <f t="shared" ref="AL289:AL295" si="3516">HE289</f>
        <v>0</v>
      </c>
      <c r="AM289" s="71">
        <f t="shared" ref="AM289:AM295" si="3517">HF289</f>
        <v>0</v>
      </c>
      <c r="AN289" s="71">
        <f t="shared" ref="AN289:AN295" si="3518">HG289</f>
        <v>0</v>
      </c>
      <c r="AO289" s="71">
        <f t="shared" ref="AO289:AO295" si="3519">HH289</f>
        <v>0</v>
      </c>
      <c r="AP289" s="71">
        <f t="shared" ref="AP289:AP295" si="3520">HI289</f>
        <v>0</v>
      </c>
      <c r="AQ289" s="71">
        <f t="shared" ref="AQ289:AQ295" si="3521">HJ289</f>
        <v>0</v>
      </c>
      <c r="AR289" s="71">
        <f t="shared" ref="AR289:AR295" si="3522">HK289</f>
        <v>0</v>
      </c>
      <c r="AS289" s="71">
        <f t="shared" ref="AS289:AS295" si="3523">HL289</f>
        <v>0</v>
      </c>
      <c r="AT289" s="71">
        <f t="shared" ref="AT289:AT295" si="3524">HM289</f>
        <v>0</v>
      </c>
      <c r="AU289" s="71">
        <f t="shared" ref="AU289:AU295" si="3525">HN289</f>
        <v>0</v>
      </c>
      <c r="AV289" s="71">
        <f t="shared" ref="AV289:AV295" si="3526">HO289</f>
        <v>0</v>
      </c>
      <c r="AW289" s="71">
        <f t="shared" ref="AW289:AW295" si="3527">HP289</f>
        <v>0</v>
      </c>
      <c r="AX289" s="71">
        <f t="shared" ref="AX289:AX295" si="3528">HQ289</f>
        <v>0</v>
      </c>
      <c r="AY289" s="71">
        <f t="shared" ref="AY289:AY295" si="3529">HR289</f>
        <v>0</v>
      </c>
      <c r="AZ289" s="72">
        <f t="shared" ref="AZ289:AZ295" si="3530">HS289</f>
        <v>0</v>
      </c>
      <c r="BA289" s="70">
        <f t="shared" si="3123"/>
        <v>3</v>
      </c>
      <c r="BB289" s="69">
        <f t="shared" ca="1" si="3124"/>
        <v>0</v>
      </c>
      <c r="BC289" s="70">
        <f t="shared" ref="BC289:BC295" si="3531">HT289</f>
        <v>0</v>
      </c>
      <c r="BD289" s="71">
        <f t="shared" ref="BD289:BD295" si="3532">HU289</f>
        <v>0</v>
      </c>
      <c r="BE289" s="71">
        <f t="shared" ref="BE289:BE295" si="3533">HV289</f>
        <v>4</v>
      </c>
      <c r="BF289" s="71">
        <f t="shared" ref="BF289:BF295" si="3534">HW289</f>
        <v>0</v>
      </c>
      <c r="BG289" s="71">
        <f t="shared" ref="BG289:BG295" si="3535">HX289</f>
        <v>0</v>
      </c>
      <c r="BH289" s="71">
        <f t="shared" ref="BH289:BH295" si="3536">HY289</f>
        <v>0</v>
      </c>
      <c r="BI289" s="71">
        <f t="shared" ref="BI289:BI295" si="3537">HZ289</f>
        <v>0</v>
      </c>
      <c r="BJ289" s="71">
        <f t="shared" ref="BJ289:BJ295" si="3538">IA289</f>
        <v>0</v>
      </c>
      <c r="BK289" s="71">
        <f t="shared" ref="BK289:BK295" si="3539">IB289</f>
        <v>0</v>
      </c>
      <c r="BL289" s="71">
        <f t="shared" ref="BL289:BL295" si="3540">IC289</f>
        <v>0</v>
      </c>
      <c r="BM289" s="71">
        <f t="shared" ref="BM289:BM295" si="3541">ID289</f>
        <v>0</v>
      </c>
      <c r="BN289" s="71">
        <f t="shared" ref="BN289:BN295" si="3542">IE289</f>
        <v>0</v>
      </c>
      <c r="BO289" s="71">
        <f t="shared" ref="BO289:BO295" si="3543">IF289</f>
        <v>0</v>
      </c>
      <c r="BP289" s="71">
        <f t="shared" ref="BP289:BP295" si="3544">IG289</f>
        <v>0</v>
      </c>
      <c r="BQ289" s="71">
        <f t="shared" ref="BQ289:BQ295" si="3545">IH289</f>
        <v>0</v>
      </c>
      <c r="BR289" s="71">
        <f t="shared" ref="BR289:BR295" si="3546">II289</f>
        <v>0</v>
      </c>
      <c r="BS289" s="71">
        <f t="shared" ref="BS289:BS295" si="3547">IJ289</f>
        <v>0</v>
      </c>
      <c r="BT289" s="71">
        <f t="shared" ref="BT289:BT295" si="3548">IK289</f>
        <v>0</v>
      </c>
      <c r="BU289" s="71">
        <f t="shared" ref="BU289:BU295" si="3549">IL289</f>
        <v>0</v>
      </c>
      <c r="BV289" s="71">
        <f t="shared" ref="BV289:BV295" si="3550">IM289</f>
        <v>0</v>
      </c>
      <c r="BW289" s="71">
        <f t="shared" ref="BW289:BW295" si="3551">IN289</f>
        <v>0</v>
      </c>
      <c r="BX289" s="71">
        <f t="shared" ref="BX289:BX295" si="3552">IO289</f>
        <v>0</v>
      </c>
      <c r="BY289" s="71">
        <f t="shared" ref="BY289:BY295" si="3553">IP289</f>
        <v>0</v>
      </c>
      <c r="BZ289" s="71">
        <f t="shared" ref="BZ289:BZ295" si="3554">IQ289</f>
        <v>0</v>
      </c>
      <c r="CA289" s="71">
        <f t="shared" ref="CA289:CA295" si="3555">IR289</f>
        <v>0</v>
      </c>
      <c r="CB289" s="71">
        <f t="shared" ref="CB289:CB295" si="3556">IS289</f>
        <v>0</v>
      </c>
      <c r="CC289" s="71">
        <f t="shared" ref="CC289:CC295" si="3557">IT289</f>
        <v>0</v>
      </c>
      <c r="CD289" s="71">
        <f t="shared" ref="CD289:CD295" si="3558">IU289</f>
        <v>0</v>
      </c>
      <c r="CE289" s="71">
        <f t="shared" ref="CE289:CE295" si="3559">IV289</f>
        <v>0</v>
      </c>
      <c r="CF289" s="71">
        <f t="shared" ref="CF289:CF295" si="3560">IW289</f>
        <v>0</v>
      </c>
      <c r="CG289" s="71">
        <f t="shared" ref="CG289:CG295" si="3561">IX289</f>
        <v>0</v>
      </c>
      <c r="CH289" s="70">
        <f t="shared" si="3125"/>
        <v>4</v>
      </c>
      <c r="CI289" s="69">
        <f t="shared" ca="1" si="3126"/>
        <v>0</v>
      </c>
      <c r="GM289" s="2" t="s">
        <v>16</v>
      </c>
      <c r="GN289" s="98" t="str">
        <f t="shared" si="3053"/>
        <v>RWP01-FMCG01-SPO-01</v>
      </c>
      <c r="GO289" s="4">
        <v>1</v>
      </c>
      <c r="GP289" s="3">
        <v>1</v>
      </c>
      <c r="GQ289" s="3">
        <v>1</v>
      </c>
      <c r="GR289" s="3">
        <v>0</v>
      </c>
      <c r="GS289" s="3">
        <v>0</v>
      </c>
      <c r="GT289" s="3">
        <v>0</v>
      </c>
      <c r="GU289" s="3">
        <v>0</v>
      </c>
      <c r="GV289" s="3">
        <v>0</v>
      </c>
      <c r="GW289" s="3">
        <v>0</v>
      </c>
      <c r="GX289" s="3">
        <v>0</v>
      </c>
      <c r="GY289" s="3">
        <v>0</v>
      </c>
      <c r="GZ289" s="3">
        <v>0</v>
      </c>
      <c r="HA289" s="3">
        <v>0</v>
      </c>
      <c r="HB289" s="3">
        <v>0</v>
      </c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6"/>
      <c r="HT289" s="4">
        <v>0</v>
      </c>
      <c r="HU289" s="3">
        <v>0</v>
      </c>
      <c r="HV289" s="3">
        <v>4</v>
      </c>
      <c r="HW289" s="3">
        <v>0</v>
      </c>
      <c r="HX289" s="3">
        <v>0</v>
      </c>
      <c r="HY289" s="3">
        <v>0</v>
      </c>
      <c r="HZ289" s="3">
        <v>0</v>
      </c>
      <c r="IA289" s="3">
        <v>0</v>
      </c>
      <c r="IB289" s="3">
        <v>0</v>
      </c>
      <c r="IC289" s="3">
        <v>0</v>
      </c>
      <c r="ID289" s="3">
        <v>0</v>
      </c>
      <c r="IE289" s="3">
        <v>0</v>
      </c>
      <c r="IF289" s="3">
        <v>0</v>
      </c>
      <c r="IG289" s="3">
        <v>0</v>
      </c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6"/>
    </row>
    <row r="290" spans="1:258" hidden="1">
      <c r="A290" s="97" t="s">
        <v>25</v>
      </c>
      <c r="B290" s="98" t="s">
        <v>26</v>
      </c>
      <c r="C290" s="101" t="s">
        <v>661</v>
      </c>
      <c r="D290" s="99" t="s">
        <v>1241</v>
      </c>
      <c r="E290" s="98" t="s">
        <v>691</v>
      </c>
      <c r="F290" s="98" t="s">
        <v>692</v>
      </c>
      <c r="G290" s="98" t="s">
        <v>693</v>
      </c>
      <c r="H290" s="98" t="s">
        <v>1594</v>
      </c>
      <c r="I290" s="98" t="s">
        <v>1594</v>
      </c>
      <c r="J290" s="98" t="s">
        <v>858</v>
      </c>
      <c r="K290" s="98" t="s">
        <v>1127</v>
      </c>
      <c r="L290" s="98" t="s">
        <v>694</v>
      </c>
      <c r="M290" s="101" t="s">
        <v>1093</v>
      </c>
      <c r="N290" s="139">
        <v>45525</v>
      </c>
      <c r="O290" s="100">
        <v>1</v>
      </c>
      <c r="P290" s="69">
        <v>0</v>
      </c>
      <c r="Q290" s="69">
        <f t="shared" si="3495"/>
        <v>1</v>
      </c>
      <c r="R290" s="69">
        <f t="shared" si="3496"/>
        <v>1</v>
      </c>
      <c r="S290" s="69">
        <f t="shared" si="3497"/>
        <v>0</v>
      </c>
      <c r="T290" s="69">
        <f t="shared" si="3498"/>
        <v>1</v>
      </c>
      <c r="U290" s="69">
        <f t="shared" si="3499"/>
        <v>1</v>
      </c>
      <c r="V290" s="70">
        <f t="shared" si="3500"/>
        <v>1</v>
      </c>
      <c r="W290" s="71">
        <f t="shared" si="3501"/>
        <v>1</v>
      </c>
      <c r="X290" s="71">
        <f t="shared" si="3502"/>
        <v>1</v>
      </c>
      <c r="Y290" s="71">
        <f t="shared" si="3503"/>
        <v>0</v>
      </c>
      <c r="Z290" s="71">
        <f t="shared" si="3504"/>
        <v>1</v>
      </c>
      <c r="AA290" s="71">
        <f t="shared" si="3505"/>
        <v>1</v>
      </c>
      <c r="AB290" s="71">
        <f t="shared" si="3506"/>
        <v>1</v>
      </c>
      <c r="AC290" s="71">
        <f t="shared" si="3507"/>
        <v>0</v>
      </c>
      <c r="AD290" s="71">
        <f t="shared" si="3508"/>
        <v>1</v>
      </c>
      <c r="AE290" s="71">
        <f t="shared" si="3509"/>
        <v>1</v>
      </c>
      <c r="AF290" s="71">
        <f t="shared" si="3510"/>
        <v>0</v>
      </c>
      <c r="AG290" s="71">
        <f t="shared" si="3511"/>
        <v>1</v>
      </c>
      <c r="AH290" s="71">
        <f t="shared" si="3512"/>
        <v>1</v>
      </c>
      <c r="AI290" s="71">
        <f t="shared" si="3513"/>
        <v>1</v>
      </c>
      <c r="AJ290" s="71">
        <f t="shared" si="3514"/>
        <v>0</v>
      </c>
      <c r="AK290" s="71">
        <f t="shared" si="3515"/>
        <v>0</v>
      </c>
      <c r="AL290" s="71">
        <f t="shared" si="3516"/>
        <v>0</v>
      </c>
      <c r="AM290" s="71">
        <f t="shared" si="3517"/>
        <v>0</v>
      </c>
      <c r="AN290" s="71">
        <f t="shared" si="3518"/>
        <v>0</v>
      </c>
      <c r="AO290" s="71">
        <f t="shared" si="3519"/>
        <v>0</v>
      </c>
      <c r="AP290" s="71">
        <f t="shared" si="3520"/>
        <v>0</v>
      </c>
      <c r="AQ290" s="71">
        <f t="shared" si="3521"/>
        <v>0</v>
      </c>
      <c r="AR290" s="71">
        <f t="shared" si="3522"/>
        <v>0</v>
      </c>
      <c r="AS290" s="71">
        <f t="shared" si="3523"/>
        <v>0</v>
      </c>
      <c r="AT290" s="71">
        <f t="shared" si="3524"/>
        <v>0</v>
      </c>
      <c r="AU290" s="71">
        <f t="shared" si="3525"/>
        <v>0</v>
      </c>
      <c r="AV290" s="71">
        <f t="shared" si="3526"/>
        <v>0</v>
      </c>
      <c r="AW290" s="71">
        <f t="shared" si="3527"/>
        <v>0</v>
      </c>
      <c r="AX290" s="71">
        <f t="shared" si="3528"/>
        <v>0</v>
      </c>
      <c r="AY290" s="71">
        <f t="shared" si="3529"/>
        <v>0</v>
      </c>
      <c r="AZ290" s="72">
        <f t="shared" si="3530"/>
        <v>0</v>
      </c>
      <c r="BA290" s="70">
        <f t="shared" si="3123"/>
        <v>11</v>
      </c>
      <c r="BB290" s="69">
        <f t="shared" ca="1" si="3124"/>
        <v>0.84615384615384615</v>
      </c>
      <c r="BC290" s="70">
        <f t="shared" si="3531"/>
        <v>0</v>
      </c>
      <c r="BD290" s="71">
        <f t="shared" si="3532"/>
        <v>0</v>
      </c>
      <c r="BE290" s="71">
        <f t="shared" si="3533"/>
        <v>45</v>
      </c>
      <c r="BF290" s="71">
        <f t="shared" si="3534"/>
        <v>0</v>
      </c>
      <c r="BG290" s="71">
        <f t="shared" si="3535"/>
        <v>40</v>
      </c>
      <c r="BH290" s="71">
        <f t="shared" si="3536"/>
        <v>21</v>
      </c>
      <c r="BI290" s="71">
        <f t="shared" si="3537"/>
        <v>34</v>
      </c>
      <c r="BJ290" s="71">
        <f t="shared" si="3538"/>
        <v>0</v>
      </c>
      <c r="BK290" s="71">
        <f t="shared" si="3539"/>
        <v>0</v>
      </c>
      <c r="BL290" s="71">
        <f t="shared" si="3540"/>
        <v>28</v>
      </c>
      <c r="BM290" s="71">
        <f t="shared" si="3541"/>
        <v>0</v>
      </c>
      <c r="BN290" s="71">
        <f t="shared" si="3542"/>
        <v>35</v>
      </c>
      <c r="BO290" s="71">
        <f t="shared" si="3543"/>
        <v>28</v>
      </c>
      <c r="BP290" s="71">
        <f t="shared" si="3544"/>
        <v>0</v>
      </c>
      <c r="BQ290" s="71">
        <f t="shared" si="3545"/>
        <v>0</v>
      </c>
      <c r="BR290" s="71">
        <f t="shared" si="3546"/>
        <v>0</v>
      </c>
      <c r="BS290" s="71">
        <f t="shared" si="3547"/>
        <v>0</v>
      </c>
      <c r="BT290" s="71">
        <f t="shared" si="3548"/>
        <v>0</v>
      </c>
      <c r="BU290" s="71">
        <f t="shared" si="3549"/>
        <v>0</v>
      </c>
      <c r="BV290" s="71">
        <f t="shared" si="3550"/>
        <v>0</v>
      </c>
      <c r="BW290" s="71">
        <f t="shared" si="3551"/>
        <v>0</v>
      </c>
      <c r="BX290" s="71">
        <f t="shared" si="3552"/>
        <v>0</v>
      </c>
      <c r="BY290" s="71">
        <f t="shared" si="3553"/>
        <v>0</v>
      </c>
      <c r="BZ290" s="71">
        <f t="shared" si="3554"/>
        <v>0</v>
      </c>
      <c r="CA290" s="71">
        <f t="shared" si="3555"/>
        <v>0</v>
      </c>
      <c r="CB290" s="71">
        <f t="shared" si="3556"/>
        <v>0</v>
      </c>
      <c r="CC290" s="71">
        <f t="shared" si="3557"/>
        <v>0</v>
      </c>
      <c r="CD290" s="71">
        <f t="shared" si="3558"/>
        <v>0</v>
      </c>
      <c r="CE290" s="71">
        <f t="shared" si="3559"/>
        <v>0</v>
      </c>
      <c r="CF290" s="71">
        <f t="shared" si="3560"/>
        <v>0</v>
      </c>
      <c r="CG290" s="71">
        <f t="shared" si="3561"/>
        <v>0</v>
      </c>
      <c r="CH290" s="70">
        <f t="shared" si="3125"/>
        <v>231</v>
      </c>
      <c r="CI290" s="69">
        <f t="shared" ca="1" si="3126"/>
        <v>17.76923076923077</v>
      </c>
      <c r="GM290" s="2" t="s">
        <v>16</v>
      </c>
      <c r="GN290" s="98" t="str">
        <f t="shared" si="3053"/>
        <v>RWP01-FMCG01-SPO-02</v>
      </c>
      <c r="GO290" s="4">
        <v>1</v>
      </c>
      <c r="GP290" s="3">
        <v>1</v>
      </c>
      <c r="GQ290" s="3">
        <v>1</v>
      </c>
      <c r="GR290" s="3">
        <v>0</v>
      </c>
      <c r="GS290" s="3">
        <v>1</v>
      </c>
      <c r="GT290" s="3">
        <v>1</v>
      </c>
      <c r="GU290" s="3">
        <v>1</v>
      </c>
      <c r="GV290" s="3">
        <v>0</v>
      </c>
      <c r="GW290" s="3">
        <v>1</v>
      </c>
      <c r="GX290" s="3">
        <v>1</v>
      </c>
      <c r="GY290" s="3">
        <v>0</v>
      </c>
      <c r="GZ290" s="3">
        <v>1</v>
      </c>
      <c r="HA290" s="3">
        <v>1</v>
      </c>
      <c r="HB290" s="3">
        <v>1</v>
      </c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6"/>
      <c r="HT290" s="4">
        <v>0</v>
      </c>
      <c r="HU290" s="3">
        <v>0</v>
      </c>
      <c r="HV290" s="3">
        <v>45</v>
      </c>
      <c r="HW290" s="3">
        <v>0</v>
      </c>
      <c r="HX290" s="3">
        <v>40</v>
      </c>
      <c r="HY290" s="3">
        <v>21</v>
      </c>
      <c r="HZ290" s="3">
        <v>34</v>
      </c>
      <c r="IA290" s="3">
        <v>0</v>
      </c>
      <c r="IB290" s="3">
        <v>0</v>
      </c>
      <c r="IC290" s="3">
        <v>28</v>
      </c>
      <c r="ID290" s="3">
        <v>0</v>
      </c>
      <c r="IE290" s="3">
        <v>35</v>
      </c>
      <c r="IF290" s="3">
        <v>28</v>
      </c>
      <c r="IG290" s="3">
        <v>0</v>
      </c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6"/>
    </row>
    <row r="291" spans="1:258" hidden="1">
      <c r="A291" s="97" t="s">
        <v>25</v>
      </c>
      <c r="B291" s="98" t="s">
        <v>90</v>
      </c>
      <c r="C291" s="101" t="s">
        <v>661</v>
      </c>
      <c r="D291" s="99" t="s">
        <v>1241</v>
      </c>
      <c r="E291" s="98" t="s">
        <v>695</v>
      </c>
      <c r="F291" s="98" t="s">
        <v>696</v>
      </c>
      <c r="G291" s="98" t="s">
        <v>697</v>
      </c>
      <c r="H291" s="98" t="s">
        <v>1595</v>
      </c>
      <c r="I291" s="98" t="s">
        <v>1595</v>
      </c>
      <c r="J291" s="98" t="s">
        <v>858</v>
      </c>
      <c r="K291" s="98" t="s">
        <v>1127</v>
      </c>
      <c r="L291" s="98" t="s">
        <v>698</v>
      </c>
      <c r="M291" s="101" t="s">
        <v>1093</v>
      </c>
      <c r="N291" s="139">
        <v>45973</v>
      </c>
      <c r="O291" s="100">
        <v>1</v>
      </c>
      <c r="P291" s="69">
        <v>0</v>
      </c>
      <c r="Q291" s="69">
        <f t="shared" si="3495"/>
        <v>0</v>
      </c>
      <c r="R291" s="69">
        <f t="shared" si="3496"/>
        <v>1</v>
      </c>
      <c r="S291" s="69">
        <f t="shared" si="3497"/>
        <v>0</v>
      </c>
      <c r="T291" s="69">
        <f t="shared" si="3498"/>
        <v>1</v>
      </c>
      <c r="U291" s="69">
        <f t="shared" si="3499"/>
        <v>1</v>
      </c>
      <c r="V291" s="70">
        <f t="shared" si="3500"/>
        <v>0</v>
      </c>
      <c r="W291" s="71">
        <f t="shared" si="3501"/>
        <v>1</v>
      </c>
      <c r="X291" s="71">
        <f t="shared" si="3502"/>
        <v>1</v>
      </c>
      <c r="Y291" s="71">
        <f t="shared" si="3503"/>
        <v>0</v>
      </c>
      <c r="Z291" s="71">
        <f t="shared" si="3504"/>
        <v>1</v>
      </c>
      <c r="AA291" s="71">
        <f t="shared" si="3505"/>
        <v>1</v>
      </c>
      <c r="AB291" s="71">
        <f t="shared" si="3506"/>
        <v>1</v>
      </c>
      <c r="AC291" s="71">
        <f t="shared" si="3507"/>
        <v>0</v>
      </c>
      <c r="AD291" s="71">
        <f t="shared" si="3508"/>
        <v>1</v>
      </c>
      <c r="AE291" s="71">
        <f t="shared" si="3509"/>
        <v>0</v>
      </c>
      <c r="AF291" s="71">
        <f t="shared" si="3510"/>
        <v>0</v>
      </c>
      <c r="AG291" s="71">
        <f t="shared" si="3511"/>
        <v>1</v>
      </c>
      <c r="AH291" s="71">
        <f t="shared" si="3512"/>
        <v>1</v>
      </c>
      <c r="AI291" s="71">
        <f t="shared" si="3513"/>
        <v>0</v>
      </c>
      <c r="AJ291" s="71">
        <f t="shared" si="3514"/>
        <v>0</v>
      </c>
      <c r="AK291" s="71">
        <f t="shared" si="3515"/>
        <v>0</v>
      </c>
      <c r="AL291" s="71">
        <f t="shared" si="3516"/>
        <v>0</v>
      </c>
      <c r="AM291" s="71">
        <f t="shared" si="3517"/>
        <v>0</v>
      </c>
      <c r="AN291" s="71">
        <f t="shared" si="3518"/>
        <v>0</v>
      </c>
      <c r="AO291" s="71">
        <f t="shared" si="3519"/>
        <v>0</v>
      </c>
      <c r="AP291" s="71">
        <f t="shared" si="3520"/>
        <v>0</v>
      </c>
      <c r="AQ291" s="71">
        <f t="shared" si="3521"/>
        <v>0</v>
      </c>
      <c r="AR291" s="71">
        <f t="shared" si="3522"/>
        <v>0</v>
      </c>
      <c r="AS291" s="71">
        <f t="shared" si="3523"/>
        <v>0</v>
      </c>
      <c r="AT291" s="71">
        <f t="shared" si="3524"/>
        <v>0</v>
      </c>
      <c r="AU291" s="71">
        <f t="shared" si="3525"/>
        <v>0</v>
      </c>
      <c r="AV291" s="71">
        <f t="shared" si="3526"/>
        <v>0</v>
      </c>
      <c r="AW291" s="71">
        <f t="shared" si="3527"/>
        <v>0</v>
      </c>
      <c r="AX291" s="71">
        <f t="shared" si="3528"/>
        <v>0</v>
      </c>
      <c r="AY291" s="71">
        <f t="shared" si="3529"/>
        <v>0</v>
      </c>
      <c r="AZ291" s="72">
        <f t="shared" si="3530"/>
        <v>0</v>
      </c>
      <c r="BA291" s="70">
        <f t="shared" si="3123"/>
        <v>8</v>
      </c>
      <c r="BB291" s="69">
        <f t="shared" ca="1" si="3124"/>
        <v>0.61538461538461542</v>
      </c>
      <c r="BC291" s="70">
        <f t="shared" si="3531"/>
        <v>0</v>
      </c>
      <c r="BD291" s="71">
        <f t="shared" si="3532"/>
        <v>42</v>
      </c>
      <c r="BE291" s="71">
        <f t="shared" si="3533"/>
        <v>38</v>
      </c>
      <c r="BF291" s="71">
        <f t="shared" si="3534"/>
        <v>0</v>
      </c>
      <c r="BG291" s="71">
        <f t="shared" si="3535"/>
        <v>0</v>
      </c>
      <c r="BH291" s="71">
        <f t="shared" si="3536"/>
        <v>0</v>
      </c>
      <c r="BI291" s="71">
        <f t="shared" si="3537"/>
        <v>44</v>
      </c>
      <c r="BJ291" s="71">
        <f t="shared" si="3538"/>
        <v>0</v>
      </c>
      <c r="BK291" s="71">
        <f t="shared" si="3539"/>
        <v>42</v>
      </c>
      <c r="BL291" s="71">
        <f t="shared" si="3540"/>
        <v>0</v>
      </c>
      <c r="BM291" s="71">
        <f t="shared" si="3541"/>
        <v>0</v>
      </c>
      <c r="BN291" s="71">
        <f t="shared" si="3542"/>
        <v>41</v>
      </c>
      <c r="BO291" s="71">
        <f t="shared" si="3543"/>
        <v>0</v>
      </c>
      <c r="BP291" s="71">
        <f t="shared" si="3544"/>
        <v>0</v>
      </c>
      <c r="BQ291" s="71">
        <f t="shared" si="3545"/>
        <v>0</v>
      </c>
      <c r="BR291" s="71">
        <f t="shared" si="3546"/>
        <v>0</v>
      </c>
      <c r="BS291" s="71">
        <f t="shared" si="3547"/>
        <v>0</v>
      </c>
      <c r="BT291" s="71">
        <f t="shared" si="3548"/>
        <v>0</v>
      </c>
      <c r="BU291" s="71">
        <f t="shared" si="3549"/>
        <v>0</v>
      </c>
      <c r="BV291" s="71">
        <f t="shared" si="3550"/>
        <v>0</v>
      </c>
      <c r="BW291" s="71">
        <f t="shared" si="3551"/>
        <v>0</v>
      </c>
      <c r="BX291" s="71">
        <f t="shared" si="3552"/>
        <v>0</v>
      </c>
      <c r="BY291" s="71">
        <f t="shared" si="3553"/>
        <v>0</v>
      </c>
      <c r="BZ291" s="71">
        <f t="shared" si="3554"/>
        <v>0</v>
      </c>
      <c r="CA291" s="71">
        <f t="shared" si="3555"/>
        <v>0</v>
      </c>
      <c r="CB291" s="71">
        <f t="shared" si="3556"/>
        <v>0</v>
      </c>
      <c r="CC291" s="71">
        <f t="shared" si="3557"/>
        <v>0</v>
      </c>
      <c r="CD291" s="71">
        <f t="shared" si="3558"/>
        <v>0</v>
      </c>
      <c r="CE291" s="71">
        <f t="shared" si="3559"/>
        <v>0</v>
      </c>
      <c r="CF291" s="71">
        <f t="shared" si="3560"/>
        <v>0</v>
      </c>
      <c r="CG291" s="71">
        <f t="shared" si="3561"/>
        <v>0</v>
      </c>
      <c r="CH291" s="70">
        <f t="shared" si="3125"/>
        <v>207</v>
      </c>
      <c r="CI291" s="69">
        <f t="shared" ca="1" si="3126"/>
        <v>15.923076923076923</v>
      </c>
      <c r="GM291" s="2" t="s">
        <v>16</v>
      </c>
      <c r="GN291" s="98" t="str">
        <f t="shared" si="3053"/>
        <v>RWP01-FMCG02-SPO-01</v>
      </c>
      <c r="GO291" s="4">
        <v>0</v>
      </c>
      <c r="GP291" s="3">
        <v>1</v>
      </c>
      <c r="GQ291" s="3">
        <v>1</v>
      </c>
      <c r="GR291" s="3">
        <v>0</v>
      </c>
      <c r="GS291" s="3">
        <v>1</v>
      </c>
      <c r="GT291" s="3">
        <v>1</v>
      </c>
      <c r="GU291" s="3">
        <v>1</v>
      </c>
      <c r="GV291" s="3">
        <v>0</v>
      </c>
      <c r="GW291" s="3">
        <v>1</v>
      </c>
      <c r="GX291" s="3">
        <v>0</v>
      </c>
      <c r="GY291" s="3">
        <v>0</v>
      </c>
      <c r="GZ291" s="3">
        <v>1</v>
      </c>
      <c r="HA291" s="3">
        <v>1</v>
      </c>
      <c r="HB291" s="3">
        <v>0</v>
      </c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6"/>
      <c r="HT291" s="4">
        <v>0</v>
      </c>
      <c r="HU291" s="3">
        <v>42</v>
      </c>
      <c r="HV291" s="3">
        <v>38</v>
      </c>
      <c r="HW291" s="3">
        <v>0</v>
      </c>
      <c r="HX291" s="3">
        <v>0</v>
      </c>
      <c r="HY291" s="3">
        <v>0</v>
      </c>
      <c r="HZ291" s="3">
        <v>44</v>
      </c>
      <c r="IA291" s="3">
        <v>0</v>
      </c>
      <c r="IB291" s="3">
        <v>42</v>
      </c>
      <c r="IC291" s="3">
        <v>0</v>
      </c>
      <c r="ID291" s="3">
        <v>0</v>
      </c>
      <c r="IE291" s="3">
        <v>41</v>
      </c>
      <c r="IF291" s="3">
        <v>0</v>
      </c>
      <c r="IG291" s="3">
        <v>0</v>
      </c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6"/>
    </row>
    <row r="292" spans="1:258" hidden="1">
      <c r="A292" s="97" t="s">
        <v>25</v>
      </c>
      <c r="B292" s="98" t="s">
        <v>90</v>
      </c>
      <c r="C292" s="101" t="s">
        <v>661</v>
      </c>
      <c r="D292" s="99" t="s">
        <v>1241</v>
      </c>
      <c r="E292" s="98" t="s">
        <v>699</v>
      </c>
      <c r="F292" s="98" t="s">
        <v>700</v>
      </c>
      <c r="G292" s="98" t="s">
        <v>701</v>
      </c>
      <c r="H292" s="98" t="s">
        <v>1596</v>
      </c>
      <c r="I292" s="98" t="s">
        <v>1596</v>
      </c>
      <c r="J292" s="98" t="s">
        <v>858</v>
      </c>
      <c r="K292" s="98" t="s">
        <v>1127</v>
      </c>
      <c r="L292" s="98" t="s">
        <v>702</v>
      </c>
      <c r="M292" s="101" t="s">
        <v>1093</v>
      </c>
      <c r="N292" s="139">
        <v>44613</v>
      </c>
      <c r="O292" s="100">
        <v>1</v>
      </c>
      <c r="P292" s="69">
        <v>0</v>
      </c>
      <c r="Q292" s="69">
        <f t="shared" si="3495"/>
        <v>1</v>
      </c>
      <c r="R292" s="69">
        <f t="shared" si="3496"/>
        <v>1</v>
      </c>
      <c r="S292" s="69">
        <f t="shared" si="3497"/>
        <v>0</v>
      </c>
      <c r="T292" s="69">
        <f t="shared" si="3498"/>
        <v>1</v>
      </c>
      <c r="U292" s="69">
        <f t="shared" si="3499"/>
        <v>1</v>
      </c>
      <c r="V292" s="70">
        <f t="shared" si="3500"/>
        <v>1</v>
      </c>
      <c r="W292" s="71">
        <f t="shared" si="3501"/>
        <v>1</v>
      </c>
      <c r="X292" s="71">
        <f t="shared" si="3502"/>
        <v>1</v>
      </c>
      <c r="Y292" s="71">
        <f t="shared" si="3503"/>
        <v>0</v>
      </c>
      <c r="Z292" s="71">
        <f t="shared" si="3504"/>
        <v>1</v>
      </c>
      <c r="AA292" s="71">
        <f t="shared" si="3505"/>
        <v>1</v>
      </c>
      <c r="AB292" s="71">
        <f t="shared" si="3506"/>
        <v>1</v>
      </c>
      <c r="AC292" s="71">
        <f t="shared" si="3507"/>
        <v>1</v>
      </c>
      <c r="AD292" s="71">
        <f t="shared" si="3508"/>
        <v>1</v>
      </c>
      <c r="AE292" s="71">
        <f t="shared" si="3509"/>
        <v>1</v>
      </c>
      <c r="AF292" s="71">
        <f t="shared" si="3510"/>
        <v>0</v>
      </c>
      <c r="AG292" s="71">
        <f t="shared" si="3511"/>
        <v>1</v>
      </c>
      <c r="AH292" s="71">
        <f t="shared" si="3512"/>
        <v>1</v>
      </c>
      <c r="AI292" s="71">
        <f t="shared" si="3513"/>
        <v>1</v>
      </c>
      <c r="AJ292" s="71">
        <f t="shared" si="3514"/>
        <v>0</v>
      </c>
      <c r="AK292" s="71">
        <f t="shared" si="3515"/>
        <v>0</v>
      </c>
      <c r="AL292" s="71">
        <f t="shared" si="3516"/>
        <v>0</v>
      </c>
      <c r="AM292" s="71">
        <f t="shared" si="3517"/>
        <v>0</v>
      </c>
      <c r="AN292" s="71">
        <f t="shared" si="3518"/>
        <v>0</v>
      </c>
      <c r="AO292" s="71">
        <f t="shared" si="3519"/>
        <v>0</v>
      </c>
      <c r="AP292" s="71">
        <f t="shared" si="3520"/>
        <v>0</v>
      </c>
      <c r="AQ292" s="71">
        <f t="shared" si="3521"/>
        <v>0</v>
      </c>
      <c r="AR292" s="71">
        <f t="shared" si="3522"/>
        <v>0</v>
      </c>
      <c r="AS292" s="71">
        <f t="shared" si="3523"/>
        <v>0</v>
      </c>
      <c r="AT292" s="71">
        <f t="shared" si="3524"/>
        <v>0</v>
      </c>
      <c r="AU292" s="71">
        <f t="shared" si="3525"/>
        <v>0</v>
      </c>
      <c r="AV292" s="71">
        <f t="shared" si="3526"/>
        <v>0</v>
      </c>
      <c r="AW292" s="71">
        <f t="shared" si="3527"/>
        <v>0</v>
      </c>
      <c r="AX292" s="71">
        <f t="shared" si="3528"/>
        <v>0</v>
      </c>
      <c r="AY292" s="71">
        <f t="shared" si="3529"/>
        <v>0</v>
      </c>
      <c r="AZ292" s="72">
        <f t="shared" si="3530"/>
        <v>0</v>
      </c>
      <c r="BA292" s="70">
        <f t="shared" si="3123"/>
        <v>12</v>
      </c>
      <c r="BB292" s="69">
        <f t="shared" ca="1" si="3124"/>
        <v>0.92307692307692313</v>
      </c>
      <c r="BC292" s="70">
        <f t="shared" si="3531"/>
        <v>0</v>
      </c>
      <c r="BD292" s="71">
        <f t="shared" si="3532"/>
        <v>75</v>
      </c>
      <c r="BE292" s="71">
        <f t="shared" si="3533"/>
        <v>42</v>
      </c>
      <c r="BF292" s="71">
        <f t="shared" si="3534"/>
        <v>0</v>
      </c>
      <c r="BG292" s="71">
        <f t="shared" si="3535"/>
        <v>41</v>
      </c>
      <c r="BH292" s="71">
        <f t="shared" si="3536"/>
        <v>19</v>
      </c>
      <c r="BI292" s="71">
        <f t="shared" si="3537"/>
        <v>0</v>
      </c>
      <c r="BJ292" s="71">
        <f t="shared" si="3538"/>
        <v>0</v>
      </c>
      <c r="BK292" s="71">
        <f t="shared" si="3539"/>
        <v>38</v>
      </c>
      <c r="BL292" s="71">
        <f t="shared" si="3540"/>
        <v>31</v>
      </c>
      <c r="BM292" s="71">
        <f t="shared" si="3541"/>
        <v>0</v>
      </c>
      <c r="BN292" s="71">
        <f t="shared" si="3542"/>
        <v>22</v>
      </c>
      <c r="BO292" s="71">
        <f t="shared" si="3543"/>
        <v>31</v>
      </c>
      <c r="BP292" s="71">
        <f t="shared" si="3544"/>
        <v>0</v>
      </c>
      <c r="BQ292" s="71">
        <f t="shared" si="3545"/>
        <v>0</v>
      </c>
      <c r="BR292" s="71">
        <f t="shared" si="3546"/>
        <v>0</v>
      </c>
      <c r="BS292" s="71">
        <f t="shared" si="3547"/>
        <v>0</v>
      </c>
      <c r="BT292" s="71">
        <f t="shared" si="3548"/>
        <v>0</v>
      </c>
      <c r="BU292" s="71">
        <f t="shared" si="3549"/>
        <v>0</v>
      </c>
      <c r="BV292" s="71">
        <f t="shared" si="3550"/>
        <v>0</v>
      </c>
      <c r="BW292" s="71">
        <f t="shared" si="3551"/>
        <v>0</v>
      </c>
      <c r="BX292" s="71">
        <f t="shared" si="3552"/>
        <v>0</v>
      </c>
      <c r="BY292" s="71">
        <f t="shared" si="3553"/>
        <v>0</v>
      </c>
      <c r="BZ292" s="71">
        <f t="shared" si="3554"/>
        <v>0</v>
      </c>
      <c r="CA292" s="71">
        <f t="shared" si="3555"/>
        <v>0</v>
      </c>
      <c r="CB292" s="71">
        <f t="shared" si="3556"/>
        <v>0</v>
      </c>
      <c r="CC292" s="71">
        <f t="shared" si="3557"/>
        <v>0</v>
      </c>
      <c r="CD292" s="71">
        <f t="shared" si="3558"/>
        <v>0</v>
      </c>
      <c r="CE292" s="71">
        <f t="shared" si="3559"/>
        <v>0</v>
      </c>
      <c r="CF292" s="71">
        <f t="shared" si="3560"/>
        <v>0</v>
      </c>
      <c r="CG292" s="71">
        <f t="shared" si="3561"/>
        <v>0</v>
      </c>
      <c r="CH292" s="70">
        <f t="shared" si="3125"/>
        <v>299</v>
      </c>
      <c r="CI292" s="69">
        <f t="shared" ca="1" si="3126"/>
        <v>23</v>
      </c>
      <c r="GM292" s="2" t="s">
        <v>16</v>
      </c>
      <c r="GN292" s="98" t="str">
        <f t="shared" si="3053"/>
        <v>RWP01-FMCG02-SPO-02</v>
      </c>
      <c r="GO292" s="4">
        <v>1</v>
      </c>
      <c r="GP292" s="3">
        <v>1</v>
      </c>
      <c r="GQ292" s="3">
        <v>1</v>
      </c>
      <c r="GR292" s="3">
        <v>0</v>
      </c>
      <c r="GS292" s="3">
        <v>1</v>
      </c>
      <c r="GT292" s="3">
        <v>1</v>
      </c>
      <c r="GU292" s="3">
        <v>1</v>
      </c>
      <c r="GV292" s="3">
        <v>1</v>
      </c>
      <c r="GW292" s="3">
        <v>1</v>
      </c>
      <c r="GX292" s="3">
        <v>1</v>
      </c>
      <c r="GY292" s="3">
        <v>0</v>
      </c>
      <c r="GZ292" s="3">
        <v>1</v>
      </c>
      <c r="HA292" s="3">
        <v>1</v>
      </c>
      <c r="HB292" s="3">
        <v>1</v>
      </c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6"/>
      <c r="HT292" s="4">
        <v>0</v>
      </c>
      <c r="HU292" s="3">
        <v>75</v>
      </c>
      <c r="HV292" s="3">
        <v>42</v>
      </c>
      <c r="HW292" s="3">
        <v>0</v>
      </c>
      <c r="HX292" s="3">
        <v>41</v>
      </c>
      <c r="HY292" s="3">
        <v>19</v>
      </c>
      <c r="HZ292" s="3">
        <v>0</v>
      </c>
      <c r="IA292" s="3">
        <v>0</v>
      </c>
      <c r="IB292" s="3">
        <v>38</v>
      </c>
      <c r="IC292" s="3">
        <v>31</v>
      </c>
      <c r="ID292" s="3">
        <v>0</v>
      </c>
      <c r="IE292" s="3">
        <v>22</v>
      </c>
      <c r="IF292" s="3">
        <v>31</v>
      </c>
      <c r="IG292" s="3">
        <v>0</v>
      </c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6"/>
    </row>
    <row r="293" spans="1:258" hidden="1">
      <c r="A293" s="97" t="s">
        <v>25</v>
      </c>
      <c r="B293" s="98" t="s">
        <v>90</v>
      </c>
      <c r="C293" s="101" t="s">
        <v>661</v>
      </c>
      <c r="D293" s="99" t="s">
        <v>1241</v>
      </c>
      <c r="E293" s="98" t="s">
        <v>1020</v>
      </c>
      <c r="F293" s="98" t="s">
        <v>922</v>
      </c>
      <c r="G293" s="98" t="s">
        <v>921</v>
      </c>
      <c r="H293" s="98" t="s">
        <v>1597</v>
      </c>
      <c r="I293" s="98" t="s">
        <v>1597</v>
      </c>
      <c r="J293" s="98" t="s">
        <v>858</v>
      </c>
      <c r="K293" s="98" t="s">
        <v>1127</v>
      </c>
      <c r="L293" s="98" t="s">
        <v>923</v>
      </c>
      <c r="M293" s="101" t="s">
        <v>1093</v>
      </c>
      <c r="N293" s="139">
        <v>46216</v>
      </c>
      <c r="O293" s="100">
        <v>1</v>
      </c>
      <c r="P293" s="69">
        <v>0</v>
      </c>
      <c r="Q293" s="69">
        <f t="shared" si="3495"/>
        <v>1</v>
      </c>
      <c r="R293" s="69">
        <f t="shared" si="3496"/>
        <v>1</v>
      </c>
      <c r="S293" s="69">
        <f t="shared" si="3497"/>
        <v>0</v>
      </c>
      <c r="T293" s="69">
        <f t="shared" si="3498"/>
        <v>1</v>
      </c>
      <c r="U293" s="69">
        <f t="shared" si="3499"/>
        <v>1</v>
      </c>
      <c r="V293" s="70">
        <f t="shared" si="3500"/>
        <v>1</v>
      </c>
      <c r="W293" s="71">
        <f t="shared" si="3501"/>
        <v>1</v>
      </c>
      <c r="X293" s="71">
        <f t="shared" si="3502"/>
        <v>1</v>
      </c>
      <c r="Y293" s="71">
        <f t="shared" si="3503"/>
        <v>0</v>
      </c>
      <c r="Z293" s="71">
        <f t="shared" si="3504"/>
        <v>1</v>
      </c>
      <c r="AA293" s="71">
        <f t="shared" si="3505"/>
        <v>1</v>
      </c>
      <c r="AB293" s="71">
        <f t="shared" si="3506"/>
        <v>1</v>
      </c>
      <c r="AC293" s="71">
        <f t="shared" si="3507"/>
        <v>1</v>
      </c>
      <c r="AD293" s="71">
        <f t="shared" si="3508"/>
        <v>1</v>
      </c>
      <c r="AE293" s="71">
        <f t="shared" si="3509"/>
        <v>1</v>
      </c>
      <c r="AF293" s="71">
        <f t="shared" si="3510"/>
        <v>0</v>
      </c>
      <c r="AG293" s="71">
        <f t="shared" si="3511"/>
        <v>1</v>
      </c>
      <c r="AH293" s="71">
        <f t="shared" si="3512"/>
        <v>1</v>
      </c>
      <c r="AI293" s="71">
        <f t="shared" si="3513"/>
        <v>1</v>
      </c>
      <c r="AJ293" s="71">
        <f t="shared" si="3514"/>
        <v>0</v>
      </c>
      <c r="AK293" s="71">
        <f t="shared" si="3515"/>
        <v>0</v>
      </c>
      <c r="AL293" s="71">
        <f t="shared" si="3516"/>
        <v>0</v>
      </c>
      <c r="AM293" s="71">
        <f t="shared" si="3517"/>
        <v>0</v>
      </c>
      <c r="AN293" s="71">
        <f t="shared" si="3518"/>
        <v>0</v>
      </c>
      <c r="AO293" s="71">
        <f t="shared" si="3519"/>
        <v>0</v>
      </c>
      <c r="AP293" s="71">
        <f t="shared" si="3520"/>
        <v>0</v>
      </c>
      <c r="AQ293" s="71">
        <f t="shared" si="3521"/>
        <v>0</v>
      </c>
      <c r="AR293" s="71">
        <f t="shared" si="3522"/>
        <v>0</v>
      </c>
      <c r="AS293" s="71">
        <f t="shared" si="3523"/>
        <v>0</v>
      </c>
      <c r="AT293" s="71">
        <f t="shared" si="3524"/>
        <v>0</v>
      </c>
      <c r="AU293" s="71">
        <f t="shared" si="3525"/>
        <v>0</v>
      </c>
      <c r="AV293" s="71">
        <f t="shared" si="3526"/>
        <v>0</v>
      </c>
      <c r="AW293" s="71">
        <f t="shared" si="3527"/>
        <v>0</v>
      </c>
      <c r="AX293" s="71">
        <f t="shared" si="3528"/>
        <v>0</v>
      </c>
      <c r="AY293" s="71">
        <f t="shared" si="3529"/>
        <v>0</v>
      </c>
      <c r="AZ293" s="72">
        <f t="shared" si="3530"/>
        <v>0</v>
      </c>
      <c r="BA293" s="70">
        <f t="shared" si="3123"/>
        <v>12</v>
      </c>
      <c r="BB293" s="69">
        <f t="shared" ca="1" si="3124"/>
        <v>0.92307692307692313</v>
      </c>
      <c r="BC293" s="70">
        <f t="shared" si="3531"/>
        <v>40</v>
      </c>
      <c r="BD293" s="71">
        <f t="shared" si="3532"/>
        <v>39</v>
      </c>
      <c r="BE293" s="71">
        <f t="shared" si="3533"/>
        <v>32</v>
      </c>
      <c r="BF293" s="71">
        <f t="shared" si="3534"/>
        <v>0</v>
      </c>
      <c r="BG293" s="71">
        <f t="shared" si="3535"/>
        <v>39</v>
      </c>
      <c r="BH293" s="71">
        <f t="shared" si="3536"/>
        <v>42</v>
      </c>
      <c r="BI293" s="71">
        <f t="shared" si="3537"/>
        <v>43</v>
      </c>
      <c r="BJ293" s="71">
        <f t="shared" si="3538"/>
        <v>0</v>
      </c>
      <c r="BK293" s="71">
        <f t="shared" si="3539"/>
        <v>41</v>
      </c>
      <c r="BL293" s="71">
        <f t="shared" si="3540"/>
        <v>41</v>
      </c>
      <c r="BM293" s="71">
        <f t="shared" si="3541"/>
        <v>0</v>
      </c>
      <c r="BN293" s="71">
        <f t="shared" si="3542"/>
        <v>40</v>
      </c>
      <c r="BO293" s="71">
        <f t="shared" si="3543"/>
        <v>46</v>
      </c>
      <c r="BP293" s="71">
        <f t="shared" si="3544"/>
        <v>0</v>
      </c>
      <c r="BQ293" s="71">
        <f t="shared" si="3545"/>
        <v>0</v>
      </c>
      <c r="BR293" s="71">
        <f t="shared" si="3546"/>
        <v>0</v>
      </c>
      <c r="BS293" s="71">
        <f t="shared" si="3547"/>
        <v>0</v>
      </c>
      <c r="BT293" s="71">
        <f t="shared" si="3548"/>
        <v>0</v>
      </c>
      <c r="BU293" s="71">
        <f t="shared" si="3549"/>
        <v>0</v>
      </c>
      <c r="BV293" s="71">
        <f t="shared" si="3550"/>
        <v>0</v>
      </c>
      <c r="BW293" s="71">
        <f t="shared" si="3551"/>
        <v>0</v>
      </c>
      <c r="BX293" s="71">
        <f t="shared" si="3552"/>
        <v>0</v>
      </c>
      <c r="BY293" s="71">
        <f t="shared" si="3553"/>
        <v>0</v>
      </c>
      <c r="BZ293" s="71">
        <f t="shared" si="3554"/>
        <v>0</v>
      </c>
      <c r="CA293" s="71">
        <f t="shared" si="3555"/>
        <v>0</v>
      </c>
      <c r="CB293" s="71">
        <f t="shared" si="3556"/>
        <v>0</v>
      </c>
      <c r="CC293" s="71">
        <f t="shared" si="3557"/>
        <v>0</v>
      </c>
      <c r="CD293" s="71">
        <f t="shared" si="3558"/>
        <v>0</v>
      </c>
      <c r="CE293" s="71">
        <f t="shared" si="3559"/>
        <v>0</v>
      </c>
      <c r="CF293" s="71">
        <f t="shared" si="3560"/>
        <v>0</v>
      </c>
      <c r="CG293" s="71">
        <f t="shared" si="3561"/>
        <v>0</v>
      </c>
      <c r="CH293" s="70">
        <f t="shared" si="3125"/>
        <v>403</v>
      </c>
      <c r="CI293" s="69">
        <f t="shared" ca="1" si="3126"/>
        <v>31</v>
      </c>
      <c r="GM293" s="2" t="s">
        <v>16</v>
      </c>
      <c r="GN293" s="98" t="str">
        <f t="shared" si="3053"/>
        <v>RWP01-FMCG03-SPO-01</v>
      </c>
      <c r="GO293" s="4">
        <v>1</v>
      </c>
      <c r="GP293" s="3">
        <v>1</v>
      </c>
      <c r="GQ293" s="3">
        <v>1</v>
      </c>
      <c r="GR293" s="3">
        <v>0</v>
      </c>
      <c r="GS293" s="3">
        <v>1</v>
      </c>
      <c r="GT293" s="3">
        <v>1</v>
      </c>
      <c r="GU293" s="3">
        <v>1</v>
      </c>
      <c r="GV293" s="3">
        <v>1</v>
      </c>
      <c r="GW293" s="3">
        <v>1</v>
      </c>
      <c r="GX293" s="3">
        <v>1</v>
      </c>
      <c r="GY293" s="3">
        <v>0</v>
      </c>
      <c r="GZ293" s="3">
        <v>1</v>
      </c>
      <c r="HA293" s="3">
        <v>1</v>
      </c>
      <c r="HB293" s="3">
        <v>1</v>
      </c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6"/>
      <c r="HT293" s="4">
        <v>40</v>
      </c>
      <c r="HU293" s="3">
        <v>39</v>
      </c>
      <c r="HV293" s="3">
        <v>32</v>
      </c>
      <c r="HW293" s="3">
        <v>0</v>
      </c>
      <c r="HX293" s="3">
        <v>39</v>
      </c>
      <c r="HY293" s="3">
        <v>42</v>
      </c>
      <c r="HZ293" s="3">
        <v>43</v>
      </c>
      <c r="IA293" s="3">
        <v>0</v>
      </c>
      <c r="IB293" s="3">
        <v>41</v>
      </c>
      <c r="IC293" s="3">
        <v>41</v>
      </c>
      <c r="ID293" s="3">
        <v>0</v>
      </c>
      <c r="IE293" s="3">
        <v>40</v>
      </c>
      <c r="IF293" s="3">
        <v>46</v>
      </c>
      <c r="IG293" s="3">
        <v>0</v>
      </c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6"/>
    </row>
    <row r="294" spans="1:258" hidden="1">
      <c r="A294" s="97" t="s">
        <v>1287</v>
      </c>
      <c r="B294" s="98" t="s">
        <v>20</v>
      </c>
      <c r="C294" s="98" t="s">
        <v>661</v>
      </c>
      <c r="D294" s="99" t="s">
        <v>1241</v>
      </c>
      <c r="E294" s="98" t="s">
        <v>1098</v>
      </c>
      <c r="F294" s="98" t="s">
        <v>703</v>
      </c>
      <c r="G294" s="98" t="s">
        <v>704</v>
      </c>
      <c r="H294" s="98" t="s">
        <v>1598</v>
      </c>
      <c r="I294" s="98" t="s">
        <v>1598</v>
      </c>
      <c r="J294" s="98" t="s">
        <v>858</v>
      </c>
      <c r="K294" s="98" t="s">
        <v>1099</v>
      </c>
      <c r="L294" s="98" t="s">
        <v>1099</v>
      </c>
      <c r="M294" s="98" t="s">
        <v>1099</v>
      </c>
      <c r="N294" s="108">
        <v>45474</v>
      </c>
      <c r="O294" s="100">
        <v>0</v>
      </c>
      <c r="P294" s="69">
        <v>0</v>
      </c>
      <c r="Q294" s="69">
        <f t="shared" si="3495"/>
        <v>0</v>
      </c>
      <c r="R294" s="69">
        <f t="shared" si="3496"/>
        <v>0</v>
      </c>
      <c r="S294" s="69">
        <f t="shared" si="3497"/>
        <v>0</v>
      </c>
      <c r="T294" s="69">
        <f t="shared" si="3498"/>
        <v>0</v>
      </c>
      <c r="U294" s="69">
        <f t="shared" si="3499"/>
        <v>0</v>
      </c>
      <c r="V294" s="70">
        <f t="shared" si="3500"/>
        <v>0</v>
      </c>
      <c r="W294" s="71">
        <f t="shared" si="3501"/>
        <v>0</v>
      </c>
      <c r="X294" s="71">
        <f t="shared" si="3502"/>
        <v>0</v>
      </c>
      <c r="Y294" s="71">
        <f t="shared" si="3503"/>
        <v>0</v>
      </c>
      <c r="Z294" s="71">
        <f t="shared" si="3504"/>
        <v>0</v>
      </c>
      <c r="AA294" s="71">
        <f t="shared" si="3505"/>
        <v>0</v>
      </c>
      <c r="AB294" s="71">
        <f t="shared" si="3506"/>
        <v>0</v>
      </c>
      <c r="AC294" s="71">
        <f t="shared" si="3507"/>
        <v>0</v>
      </c>
      <c r="AD294" s="71">
        <f t="shared" si="3508"/>
        <v>0</v>
      </c>
      <c r="AE294" s="71">
        <f t="shared" si="3509"/>
        <v>0</v>
      </c>
      <c r="AF294" s="71">
        <f t="shared" si="3510"/>
        <v>0</v>
      </c>
      <c r="AG294" s="71">
        <f t="shared" si="3511"/>
        <v>0</v>
      </c>
      <c r="AH294" s="71">
        <f t="shared" si="3512"/>
        <v>0</v>
      </c>
      <c r="AI294" s="71">
        <f t="shared" si="3513"/>
        <v>0</v>
      </c>
      <c r="AJ294" s="71">
        <f t="shared" si="3514"/>
        <v>0</v>
      </c>
      <c r="AK294" s="71">
        <f t="shared" si="3515"/>
        <v>0</v>
      </c>
      <c r="AL294" s="71">
        <f t="shared" si="3516"/>
        <v>0</v>
      </c>
      <c r="AM294" s="71">
        <f t="shared" si="3517"/>
        <v>0</v>
      </c>
      <c r="AN294" s="71">
        <f t="shared" si="3518"/>
        <v>0</v>
      </c>
      <c r="AO294" s="71">
        <f t="shared" si="3519"/>
        <v>0</v>
      </c>
      <c r="AP294" s="71">
        <f t="shared" si="3520"/>
        <v>0</v>
      </c>
      <c r="AQ294" s="71">
        <f t="shared" si="3521"/>
        <v>0</v>
      </c>
      <c r="AR294" s="71">
        <f t="shared" si="3522"/>
        <v>0</v>
      </c>
      <c r="AS294" s="71">
        <f t="shared" si="3523"/>
        <v>0</v>
      </c>
      <c r="AT294" s="71">
        <f t="shared" si="3524"/>
        <v>0</v>
      </c>
      <c r="AU294" s="71">
        <f t="shared" si="3525"/>
        <v>0</v>
      </c>
      <c r="AV294" s="71">
        <f t="shared" si="3526"/>
        <v>0</v>
      </c>
      <c r="AW294" s="71">
        <f t="shared" si="3527"/>
        <v>0</v>
      </c>
      <c r="AX294" s="71">
        <f t="shared" si="3528"/>
        <v>0</v>
      </c>
      <c r="AY294" s="71">
        <f t="shared" si="3529"/>
        <v>0</v>
      </c>
      <c r="AZ294" s="72">
        <f t="shared" si="3530"/>
        <v>0</v>
      </c>
      <c r="BA294" s="70">
        <f t="shared" si="3123"/>
        <v>0</v>
      </c>
      <c r="BB294" s="69">
        <f t="shared" ca="1" si="3124"/>
        <v>0</v>
      </c>
      <c r="BC294" s="70">
        <f t="shared" si="3531"/>
        <v>0</v>
      </c>
      <c r="BD294" s="71">
        <f t="shared" si="3532"/>
        <v>0</v>
      </c>
      <c r="BE294" s="71">
        <f t="shared" si="3533"/>
        <v>0</v>
      </c>
      <c r="BF294" s="71">
        <f t="shared" si="3534"/>
        <v>0</v>
      </c>
      <c r="BG294" s="71">
        <f t="shared" si="3535"/>
        <v>0</v>
      </c>
      <c r="BH294" s="71">
        <f t="shared" si="3536"/>
        <v>0</v>
      </c>
      <c r="BI294" s="71">
        <f t="shared" si="3537"/>
        <v>0</v>
      </c>
      <c r="BJ294" s="71">
        <f t="shared" si="3538"/>
        <v>0</v>
      </c>
      <c r="BK294" s="71">
        <f t="shared" si="3539"/>
        <v>0</v>
      </c>
      <c r="BL294" s="71">
        <f t="shared" si="3540"/>
        <v>0</v>
      </c>
      <c r="BM294" s="71">
        <f t="shared" si="3541"/>
        <v>0</v>
      </c>
      <c r="BN294" s="71">
        <f t="shared" si="3542"/>
        <v>0</v>
      </c>
      <c r="BO294" s="71">
        <f t="shared" si="3543"/>
        <v>0</v>
      </c>
      <c r="BP294" s="71">
        <f t="shared" si="3544"/>
        <v>0</v>
      </c>
      <c r="BQ294" s="71">
        <f t="shared" si="3545"/>
        <v>0</v>
      </c>
      <c r="BR294" s="71">
        <f t="shared" si="3546"/>
        <v>0</v>
      </c>
      <c r="BS294" s="71">
        <f t="shared" si="3547"/>
        <v>0</v>
      </c>
      <c r="BT294" s="71">
        <f t="shared" si="3548"/>
        <v>0</v>
      </c>
      <c r="BU294" s="71">
        <f t="shared" si="3549"/>
        <v>0</v>
      </c>
      <c r="BV294" s="71">
        <f t="shared" si="3550"/>
        <v>0</v>
      </c>
      <c r="BW294" s="71">
        <f t="shared" si="3551"/>
        <v>0</v>
      </c>
      <c r="BX294" s="71">
        <f t="shared" si="3552"/>
        <v>0</v>
      </c>
      <c r="BY294" s="71">
        <f t="shared" si="3553"/>
        <v>0</v>
      </c>
      <c r="BZ294" s="71">
        <f t="shared" si="3554"/>
        <v>0</v>
      </c>
      <c r="CA294" s="71">
        <f t="shared" si="3555"/>
        <v>0</v>
      </c>
      <c r="CB294" s="71">
        <f t="shared" si="3556"/>
        <v>0</v>
      </c>
      <c r="CC294" s="71">
        <f t="shared" si="3557"/>
        <v>0</v>
      </c>
      <c r="CD294" s="71">
        <f t="shared" si="3558"/>
        <v>0</v>
      </c>
      <c r="CE294" s="71">
        <f t="shared" si="3559"/>
        <v>0</v>
      </c>
      <c r="CF294" s="71">
        <f t="shared" si="3560"/>
        <v>0</v>
      </c>
      <c r="CG294" s="71">
        <f t="shared" si="3561"/>
        <v>0</v>
      </c>
      <c r="CH294" s="70">
        <f t="shared" si="3125"/>
        <v>0</v>
      </c>
      <c r="CI294" s="69">
        <f t="shared" ca="1" si="3126"/>
        <v>0</v>
      </c>
      <c r="GM294" s="2" t="s">
        <v>16</v>
      </c>
      <c r="GN294" s="98" t="str">
        <f t="shared" si="3053"/>
        <v>RWP01-FMCG-SPO-00</v>
      </c>
      <c r="GO294" s="4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6"/>
      <c r="HT294" s="4">
        <v>0</v>
      </c>
      <c r="HU294" s="3">
        <v>0</v>
      </c>
      <c r="HV294" s="3">
        <v>0</v>
      </c>
      <c r="HW294" s="3">
        <v>0</v>
      </c>
      <c r="HX294" s="3">
        <v>0</v>
      </c>
      <c r="HY294" s="3">
        <v>0</v>
      </c>
      <c r="HZ294" s="3">
        <v>0</v>
      </c>
      <c r="IA294" s="3">
        <v>0</v>
      </c>
      <c r="IB294" s="3">
        <v>0</v>
      </c>
      <c r="IC294" s="3">
        <v>0</v>
      </c>
      <c r="ID294" s="3">
        <v>0</v>
      </c>
      <c r="IE294" s="3">
        <v>0</v>
      </c>
      <c r="IF294" s="3">
        <v>0</v>
      </c>
      <c r="IG294" s="3">
        <v>0</v>
      </c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6"/>
    </row>
    <row r="295" spans="1:258" hidden="1">
      <c r="A295" s="97" t="s">
        <v>1380</v>
      </c>
      <c r="B295" s="98" t="s">
        <v>20</v>
      </c>
      <c r="C295" s="98" t="s">
        <v>661</v>
      </c>
      <c r="D295" s="99" t="s">
        <v>1241</v>
      </c>
      <c r="E295" s="98" t="s">
        <v>705</v>
      </c>
      <c r="F295" s="98" t="s">
        <v>706</v>
      </c>
      <c r="G295" s="98" t="s">
        <v>707</v>
      </c>
      <c r="H295" s="98" t="s">
        <v>1144</v>
      </c>
      <c r="I295" s="98" t="s">
        <v>1144</v>
      </c>
      <c r="J295" s="98" t="s">
        <v>858</v>
      </c>
      <c r="K295" s="98" t="s">
        <v>1127</v>
      </c>
      <c r="L295" s="98" t="s">
        <v>1729</v>
      </c>
      <c r="M295" s="98" t="s">
        <v>52</v>
      </c>
      <c r="N295" s="108">
        <v>46284</v>
      </c>
      <c r="O295" s="100">
        <v>0</v>
      </c>
      <c r="P295" s="69">
        <v>0</v>
      </c>
      <c r="Q295" s="69">
        <f t="shared" si="3495"/>
        <v>0</v>
      </c>
      <c r="R295" s="69">
        <f t="shared" si="3496"/>
        <v>0</v>
      </c>
      <c r="S295" s="69">
        <f t="shared" si="3497"/>
        <v>0</v>
      </c>
      <c r="T295" s="69">
        <f t="shared" si="3498"/>
        <v>0</v>
      </c>
      <c r="U295" s="69">
        <f t="shared" si="3499"/>
        <v>0</v>
      </c>
      <c r="V295" s="70">
        <f t="shared" si="3500"/>
        <v>0</v>
      </c>
      <c r="W295" s="71">
        <f t="shared" si="3501"/>
        <v>0</v>
      </c>
      <c r="X295" s="71">
        <f t="shared" si="3502"/>
        <v>0</v>
      </c>
      <c r="Y295" s="71">
        <f t="shared" si="3503"/>
        <v>0</v>
      </c>
      <c r="Z295" s="71">
        <f t="shared" si="3504"/>
        <v>0</v>
      </c>
      <c r="AA295" s="71">
        <f t="shared" si="3505"/>
        <v>0</v>
      </c>
      <c r="AB295" s="71">
        <f t="shared" si="3506"/>
        <v>0</v>
      </c>
      <c r="AC295" s="71">
        <f t="shared" si="3507"/>
        <v>0</v>
      </c>
      <c r="AD295" s="71">
        <f t="shared" si="3508"/>
        <v>0</v>
      </c>
      <c r="AE295" s="71">
        <f t="shared" si="3509"/>
        <v>0</v>
      </c>
      <c r="AF295" s="71">
        <f t="shared" si="3510"/>
        <v>0</v>
      </c>
      <c r="AG295" s="71">
        <f t="shared" si="3511"/>
        <v>0</v>
      </c>
      <c r="AH295" s="71">
        <f t="shared" si="3512"/>
        <v>0</v>
      </c>
      <c r="AI295" s="71">
        <f t="shared" si="3513"/>
        <v>0</v>
      </c>
      <c r="AJ295" s="71">
        <f t="shared" si="3514"/>
        <v>0</v>
      </c>
      <c r="AK295" s="71">
        <f t="shared" si="3515"/>
        <v>0</v>
      </c>
      <c r="AL295" s="71">
        <f t="shared" si="3516"/>
        <v>0</v>
      </c>
      <c r="AM295" s="71">
        <f t="shared" si="3517"/>
        <v>0</v>
      </c>
      <c r="AN295" s="71">
        <f t="shared" si="3518"/>
        <v>0</v>
      </c>
      <c r="AO295" s="71">
        <f t="shared" si="3519"/>
        <v>0</v>
      </c>
      <c r="AP295" s="71">
        <f t="shared" si="3520"/>
        <v>0</v>
      </c>
      <c r="AQ295" s="71">
        <f t="shared" si="3521"/>
        <v>0</v>
      </c>
      <c r="AR295" s="71">
        <f t="shared" si="3522"/>
        <v>0</v>
      </c>
      <c r="AS295" s="71">
        <f t="shared" si="3523"/>
        <v>0</v>
      </c>
      <c r="AT295" s="71">
        <f t="shared" si="3524"/>
        <v>0</v>
      </c>
      <c r="AU295" s="71">
        <f t="shared" si="3525"/>
        <v>0</v>
      </c>
      <c r="AV295" s="71">
        <f t="shared" si="3526"/>
        <v>0</v>
      </c>
      <c r="AW295" s="71">
        <f t="shared" si="3527"/>
        <v>0</v>
      </c>
      <c r="AX295" s="71">
        <f t="shared" si="3528"/>
        <v>0</v>
      </c>
      <c r="AY295" s="71">
        <f t="shared" si="3529"/>
        <v>0</v>
      </c>
      <c r="AZ295" s="72">
        <f t="shared" si="3530"/>
        <v>0</v>
      </c>
      <c r="BA295" s="70">
        <f t="shared" si="3123"/>
        <v>0</v>
      </c>
      <c r="BB295" s="69">
        <f t="shared" ca="1" si="3124"/>
        <v>0</v>
      </c>
      <c r="BC295" s="70">
        <f t="shared" si="3531"/>
        <v>0</v>
      </c>
      <c r="BD295" s="71">
        <f t="shared" si="3532"/>
        <v>0</v>
      </c>
      <c r="BE295" s="71">
        <f t="shared" si="3533"/>
        <v>0</v>
      </c>
      <c r="BF295" s="71">
        <f t="shared" si="3534"/>
        <v>0</v>
      </c>
      <c r="BG295" s="71">
        <f t="shared" si="3535"/>
        <v>0</v>
      </c>
      <c r="BH295" s="71">
        <f t="shared" si="3536"/>
        <v>0</v>
      </c>
      <c r="BI295" s="71">
        <f t="shared" si="3537"/>
        <v>0</v>
      </c>
      <c r="BJ295" s="71">
        <f t="shared" si="3538"/>
        <v>0</v>
      </c>
      <c r="BK295" s="71">
        <f t="shared" si="3539"/>
        <v>0</v>
      </c>
      <c r="BL295" s="71">
        <f t="shared" si="3540"/>
        <v>0</v>
      </c>
      <c r="BM295" s="71">
        <f t="shared" si="3541"/>
        <v>0</v>
      </c>
      <c r="BN295" s="71">
        <f t="shared" si="3542"/>
        <v>0</v>
      </c>
      <c r="BO295" s="71">
        <f t="shared" si="3543"/>
        <v>0</v>
      </c>
      <c r="BP295" s="71">
        <f t="shared" si="3544"/>
        <v>0</v>
      </c>
      <c r="BQ295" s="71">
        <f t="shared" si="3545"/>
        <v>0</v>
      </c>
      <c r="BR295" s="71">
        <f t="shared" si="3546"/>
        <v>0</v>
      </c>
      <c r="BS295" s="71">
        <f t="shared" si="3547"/>
        <v>0</v>
      </c>
      <c r="BT295" s="71">
        <f t="shared" si="3548"/>
        <v>0</v>
      </c>
      <c r="BU295" s="71">
        <f t="shared" si="3549"/>
        <v>0</v>
      </c>
      <c r="BV295" s="71">
        <f t="shared" si="3550"/>
        <v>0</v>
      </c>
      <c r="BW295" s="71">
        <f t="shared" si="3551"/>
        <v>0</v>
      </c>
      <c r="BX295" s="71">
        <f t="shared" si="3552"/>
        <v>0</v>
      </c>
      <c r="BY295" s="71">
        <f t="shared" si="3553"/>
        <v>0</v>
      </c>
      <c r="BZ295" s="71">
        <f t="shared" si="3554"/>
        <v>0</v>
      </c>
      <c r="CA295" s="71">
        <f t="shared" si="3555"/>
        <v>0</v>
      </c>
      <c r="CB295" s="71">
        <f t="shared" si="3556"/>
        <v>0</v>
      </c>
      <c r="CC295" s="71">
        <f t="shared" si="3557"/>
        <v>0</v>
      </c>
      <c r="CD295" s="71">
        <f t="shared" si="3558"/>
        <v>0</v>
      </c>
      <c r="CE295" s="71">
        <f t="shared" si="3559"/>
        <v>0</v>
      </c>
      <c r="CF295" s="71">
        <f t="shared" si="3560"/>
        <v>0</v>
      </c>
      <c r="CG295" s="71">
        <f t="shared" si="3561"/>
        <v>0</v>
      </c>
      <c r="CH295" s="70">
        <f t="shared" si="3125"/>
        <v>0</v>
      </c>
      <c r="CI295" s="69">
        <f t="shared" ca="1" si="3126"/>
        <v>0</v>
      </c>
      <c r="GM295" s="2" t="s">
        <v>16</v>
      </c>
      <c r="GN295" s="98" t="str">
        <f t="shared" si="3053"/>
        <v>RWP01-FMCG-ASM-01</v>
      </c>
      <c r="GO295" s="4">
        <v>0</v>
      </c>
      <c r="GP295" s="3">
        <v>0</v>
      </c>
      <c r="GQ295" s="3">
        <v>0</v>
      </c>
      <c r="GR295" s="3">
        <v>0</v>
      </c>
      <c r="GS295" s="3">
        <v>0</v>
      </c>
      <c r="GT295" s="3">
        <v>0</v>
      </c>
      <c r="GU295" s="3">
        <v>0</v>
      </c>
      <c r="GV295" s="3">
        <v>0</v>
      </c>
      <c r="GW295" s="3">
        <v>0</v>
      </c>
      <c r="GX295" s="3">
        <v>0</v>
      </c>
      <c r="GY295" s="3">
        <v>0</v>
      </c>
      <c r="GZ295" s="3">
        <v>0</v>
      </c>
      <c r="HA295" s="3">
        <v>0</v>
      </c>
      <c r="HB295" s="3">
        <v>0</v>
      </c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6"/>
      <c r="HT295" s="4">
        <v>0</v>
      </c>
      <c r="HU295" s="3">
        <v>0</v>
      </c>
      <c r="HV295" s="3">
        <v>0</v>
      </c>
      <c r="HW295" s="3">
        <v>0</v>
      </c>
      <c r="HX295" s="3">
        <v>0</v>
      </c>
      <c r="HY295" s="3">
        <v>0</v>
      </c>
      <c r="HZ295" s="3">
        <v>0</v>
      </c>
      <c r="IA295" s="3">
        <v>0</v>
      </c>
      <c r="IB295" s="3">
        <v>0</v>
      </c>
      <c r="IC295" s="3">
        <v>0</v>
      </c>
      <c r="ID295" s="3">
        <v>0</v>
      </c>
      <c r="IE295" s="3">
        <v>0</v>
      </c>
      <c r="IF295" s="3">
        <v>0</v>
      </c>
      <c r="IG295" s="3">
        <v>0</v>
      </c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6"/>
    </row>
    <row r="296" spans="1:258" hidden="1">
      <c r="A296" s="102" t="s">
        <v>53</v>
      </c>
      <c r="B296" s="103" t="s">
        <v>20</v>
      </c>
      <c r="C296" s="103" t="s">
        <v>661</v>
      </c>
      <c r="D296" s="104" t="s">
        <v>1241</v>
      </c>
      <c r="E296" s="103" t="s">
        <v>705</v>
      </c>
      <c r="F296" s="103" t="s">
        <v>706</v>
      </c>
      <c r="G296" s="103" t="s">
        <v>707</v>
      </c>
      <c r="H296" s="103" t="s">
        <v>1144</v>
      </c>
      <c r="I296" s="103" t="s">
        <v>1144</v>
      </c>
      <c r="J296" s="103" t="s">
        <v>858</v>
      </c>
      <c r="K296" s="103" t="s">
        <v>1127</v>
      </c>
      <c r="L296" s="103" t="s">
        <v>1729</v>
      </c>
      <c r="M296" s="103" t="s">
        <v>52</v>
      </c>
      <c r="N296" s="119">
        <v>46284</v>
      </c>
      <c r="O296" s="105">
        <f>O293+O294+O292+O291+O290+O289</f>
        <v>5</v>
      </c>
      <c r="P296" s="73">
        <f t="shared" ref="P296:CA296" si="3562">P293+P294+P292+P291+P290+P289</f>
        <v>1</v>
      </c>
      <c r="Q296" s="73">
        <f t="shared" si="3562"/>
        <v>3</v>
      </c>
      <c r="R296" s="73">
        <f t="shared" si="3562"/>
        <v>5</v>
      </c>
      <c r="S296" s="73">
        <f t="shared" si="3562"/>
        <v>0</v>
      </c>
      <c r="T296" s="73">
        <f t="shared" si="3562"/>
        <v>5</v>
      </c>
      <c r="U296" s="73">
        <f t="shared" si="3562"/>
        <v>5</v>
      </c>
      <c r="V296" s="74">
        <f t="shared" si="3562"/>
        <v>4</v>
      </c>
      <c r="W296" s="75">
        <f t="shared" si="3562"/>
        <v>5</v>
      </c>
      <c r="X296" s="75">
        <f t="shared" si="3562"/>
        <v>5</v>
      </c>
      <c r="Y296" s="75">
        <f t="shared" si="3562"/>
        <v>0</v>
      </c>
      <c r="Z296" s="75">
        <f t="shared" si="3562"/>
        <v>4</v>
      </c>
      <c r="AA296" s="75">
        <f t="shared" si="3562"/>
        <v>4</v>
      </c>
      <c r="AB296" s="75">
        <f t="shared" si="3562"/>
        <v>4</v>
      </c>
      <c r="AC296" s="75">
        <f t="shared" si="3562"/>
        <v>2</v>
      </c>
      <c r="AD296" s="75">
        <f t="shared" si="3562"/>
        <v>4</v>
      </c>
      <c r="AE296" s="75">
        <f t="shared" si="3562"/>
        <v>3</v>
      </c>
      <c r="AF296" s="75">
        <f t="shared" si="3562"/>
        <v>0</v>
      </c>
      <c r="AG296" s="75">
        <f t="shared" si="3562"/>
        <v>4</v>
      </c>
      <c r="AH296" s="75">
        <f t="shared" si="3562"/>
        <v>4</v>
      </c>
      <c r="AI296" s="75">
        <f t="shared" si="3562"/>
        <v>3</v>
      </c>
      <c r="AJ296" s="75">
        <f t="shared" si="3562"/>
        <v>0</v>
      </c>
      <c r="AK296" s="75">
        <f t="shared" si="3562"/>
        <v>0</v>
      </c>
      <c r="AL296" s="75">
        <f t="shared" si="3562"/>
        <v>0</v>
      </c>
      <c r="AM296" s="75">
        <f t="shared" si="3562"/>
        <v>0</v>
      </c>
      <c r="AN296" s="75">
        <f t="shared" si="3562"/>
        <v>0</v>
      </c>
      <c r="AO296" s="75">
        <f t="shared" si="3562"/>
        <v>0</v>
      </c>
      <c r="AP296" s="75">
        <f t="shared" si="3562"/>
        <v>0</v>
      </c>
      <c r="AQ296" s="75">
        <f t="shared" si="3562"/>
        <v>0</v>
      </c>
      <c r="AR296" s="75">
        <f t="shared" si="3562"/>
        <v>0</v>
      </c>
      <c r="AS296" s="75">
        <f t="shared" si="3562"/>
        <v>0</v>
      </c>
      <c r="AT296" s="75">
        <f t="shared" si="3562"/>
        <v>0</v>
      </c>
      <c r="AU296" s="75">
        <f t="shared" si="3562"/>
        <v>0</v>
      </c>
      <c r="AV296" s="75">
        <f t="shared" si="3562"/>
        <v>0</v>
      </c>
      <c r="AW296" s="75">
        <f t="shared" si="3562"/>
        <v>0</v>
      </c>
      <c r="AX296" s="75">
        <f t="shared" si="3562"/>
        <v>0</v>
      </c>
      <c r="AY296" s="75">
        <f t="shared" si="3562"/>
        <v>0</v>
      </c>
      <c r="AZ296" s="76">
        <f t="shared" si="3562"/>
        <v>0</v>
      </c>
      <c r="BA296" s="74">
        <f t="shared" si="3123"/>
        <v>46</v>
      </c>
      <c r="BB296" s="73">
        <f t="shared" ca="1" si="3124"/>
        <v>0.88461538461538458</v>
      </c>
      <c r="BC296" s="74">
        <f t="shared" si="3562"/>
        <v>40</v>
      </c>
      <c r="BD296" s="75">
        <f t="shared" si="3562"/>
        <v>156</v>
      </c>
      <c r="BE296" s="75">
        <f t="shared" si="3562"/>
        <v>161</v>
      </c>
      <c r="BF296" s="75">
        <f t="shared" si="3562"/>
        <v>0</v>
      </c>
      <c r="BG296" s="75">
        <f t="shared" si="3562"/>
        <v>120</v>
      </c>
      <c r="BH296" s="75">
        <f t="shared" si="3562"/>
        <v>82</v>
      </c>
      <c r="BI296" s="75">
        <f t="shared" si="3562"/>
        <v>121</v>
      </c>
      <c r="BJ296" s="75">
        <f t="shared" si="3562"/>
        <v>0</v>
      </c>
      <c r="BK296" s="75">
        <f t="shared" si="3562"/>
        <v>121</v>
      </c>
      <c r="BL296" s="75">
        <f t="shared" si="3562"/>
        <v>100</v>
      </c>
      <c r="BM296" s="75">
        <f t="shared" si="3562"/>
        <v>0</v>
      </c>
      <c r="BN296" s="75">
        <f t="shared" si="3562"/>
        <v>138</v>
      </c>
      <c r="BO296" s="75">
        <f t="shared" si="3562"/>
        <v>105</v>
      </c>
      <c r="BP296" s="75">
        <f t="shared" si="3562"/>
        <v>0</v>
      </c>
      <c r="BQ296" s="75">
        <f t="shared" si="3562"/>
        <v>0</v>
      </c>
      <c r="BR296" s="75">
        <f t="shared" si="3562"/>
        <v>0</v>
      </c>
      <c r="BS296" s="75">
        <f t="shared" si="3562"/>
        <v>0</v>
      </c>
      <c r="BT296" s="75">
        <f t="shared" si="3562"/>
        <v>0</v>
      </c>
      <c r="BU296" s="75">
        <f t="shared" si="3562"/>
        <v>0</v>
      </c>
      <c r="BV296" s="75">
        <f t="shared" si="3562"/>
        <v>0</v>
      </c>
      <c r="BW296" s="75">
        <f t="shared" si="3562"/>
        <v>0</v>
      </c>
      <c r="BX296" s="75">
        <f t="shared" si="3562"/>
        <v>0</v>
      </c>
      <c r="BY296" s="75">
        <f t="shared" si="3562"/>
        <v>0</v>
      </c>
      <c r="BZ296" s="75">
        <f t="shared" si="3562"/>
        <v>0</v>
      </c>
      <c r="CA296" s="75">
        <f t="shared" si="3562"/>
        <v>0</v>
      </c>
      <c r="CB296" s="75">
        <f t="shared" ref="CB296:CG296" si="3563">CB293+CB294+CB292+CB291+CB290+CB289</f>
        <v>0</v>
      </c>
      <c r="CC296" s="75">
        <f t="shared" si="3563"/>
        <v>0</v>
      </c>
      <c r="CD296" s="75">
        <f t="shared" si="3563"/>
        <v>0</v>
      </c>
      <c r="CE296" s="75">
        <f t="shared" si="3563"/>
        <v>0</v>
      </c>
      <c r="CF296" s="75">
        <f t="shared" si="3563"/>
        <v>0</v>
      </c>
      <c r="CG296" s="75">
        <f t="shared" si="3563"/>
        <v>0</v>
      </c>
      <c r="CH296" s="74">
        <f t="shared" si="3125"/>
        <v>1144</v>
      </c>
      <c r="CI296" s="73">
        <f t="shared" ca="1" si="3126"/>
        <v>22</v>
      </c>
      <c r="GM296" s="2" t="s">
        <v>17</v>
      </c>
      <c r="GN296" s="103" t="str">
        <f t="shared" si="3053"/>
        <v>RWP01-FMCG-ASM-01</v>
      </c>
      <c r="GO296" s="4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6"/>
      <c r="HT296" s="4">
        <v>0</v>
      </c>
      <c r="HU296" s="3">
        <v>0</v>
      </c>
      <c r="HV296" s="3">
        <v>0</v>
      </c>
      <c r="HW296" s="3">
        <v>0</v>
      </c>
      <c r="HX296" s="3">
        <v>0</v>
      </c>
      <c r="HY296" s="3">
        <v>0</v>
      </c>
      <c r="HZ296" s="3">
        <v>0</v>
      </c>
      <c r="IA296" s="3">
        <v>0</v>
      </c>
      <c r="IB296" s="3">
        <v>0</v>
      </c>
      <c r="IC296" s="3">
        <v>0</v>
      </c>
      <c r="ID296" s="3">
        <v>0</v>
      </c>
      <c r="IE296" s="3">
        <v>0</v>
      </c>
      <c r="IF296" s="3">
        <v>0</v>
      </c>
      <c r="IG296" s="3">
        <v>0</v>
      </c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6"/>
    </row>
    <row r="297" spans="1:258" hidden="1">
      <c r="A297" s="97" t="s">
        <v>500</v>
      </c>
      <c r="B297" s="98" t="s">
        <v>20</v>
      </c>
      <c r="C297" s="98" t="s">
        <v>661</v>
      </c>
      <c r="D297" s="99" t="s">
        <v>1242</v>
      </c>
      <c r="E297" s="98" t="s">
        <v>1021</v>
      </c>
      <c r="F297" s="98" t="s">
        <v>1074</v>
      </c>
      <c r="G297" s="98" t="s">
        <v>708</v>
      </c>
      <c r="H297" s="98" t="s">
        <v>1599</v>
      </c>
      <c r="I297" s="98" t="s">
        <v>1599</v>
      </c>
      <c r="J297" s="98" t="s">
        <v>1243</v>
      </c>
      <c r="K297" s="98" t="s">
        <v>1156</v>
      </c>
      <c r="L297" s="98" t="s">
        <v>710</v>
      </c>
      <c r="M297" s="98" t="s">
        <v>1093</v>
      </c>
      <c r="N297" s="108">
        <v>46071</v>
      </c>
      <c r="O297" s="100">
        <v>1</v>
      </c>
      <c r="P297" s="69">
        <v>0</v>
      </c>
      <c r="Q297" s="69">
        <f>IFERROR(IF(OR(AI297&gt;0),1,0),0)</f>
        <v>1</v>
      </c>
      <c r="R297" s="69">
        <f t="shared" ref="R297:R299" si="3564">IFERROR(IF(OR(BA297&gt;0),1,0),0)</f>
        <v>1</v>
      </c>
      <c r="S297" s="69">
        <f>IFERROR(IF(OR(BP297&gt;0),1,0),0)</f>
        <v>0</v>
      </c>
      <c r="T297" s="69">
        <f t="shared" ref="T297:T299" si="3565">IFERROR(IF(OR(CH297&gt;0),1,0),0)</f>
        <v>1</v>
      </c>
      <c r="U297" s="69">
        <f t="shared" ref="U297:U299" si="3566">IFERROR(IF(OR(BA297&gt;0,CH297&gt;0),1,0),0)</f>
        <v>1</v>
      </c>
      <c r="V297" s="70">
        <f t="shared" ref="V297:V299" si="3567">GO297</f>
        <v>1</v>
      </c>
      <c r="W297" s="71">
        <f t="shared" ref="W297:W299" si="3568">GP297</f>
        <v>1</v>
      </c>
      <c r="X297" s="71">
        <f t="shared" ref="X297:X299" si="3569">GQ297</f>
        <v>1</v>
      </c>
      <c r="Y297" s="71">
        <f t="shared" ref="Y297:Y299" si="3570">GR297</f>
        <v>0</v>
      </c>
      <c r="Z297" s="71">
        <f t="shared" ref="Z297:Z299" si="3571">GS297</f>
        <v>1</v>
      </c>
      <c r="AA297" s="71">
        <f t="shared" ref="AA297:AA299" si="3572">GT297</f>
        <v>0</v>
      </c>
      <c r="AB297" s="71">
        <f t="shared" ref="AB297:AB299" si="3573">GU297</f>
        <v>0</v>
      </c>
      <c r="AC297" s="71">
        <f t="shared" ref="AC297:AC299" si="3574">GV297</f>
        <v>1</v>
      </c>
      <c r="AD297" s="71">
        <f t="shared" ref="AD297:AD299" si="3575">GW297</f>
        <v>1</v>
      </c>
      <c r="AE297" s="71">
        <f t="shared" ref="AE297:AE299" si="3576">GX297</f>
        <v>0</v>
      </c>
      <c r="AF297" s="71">
        <f t="shared" ref="AF297:AF299" si="3577">GY297</f>
        <v>0</v>
      </c>
      <c r="AG297" s="71">
        <f t="shared" ref="AG297:AG299" si="3578">GZ297</f>
        <v>1</v>
      </c>
      <c r="AH297" s="71">
        <f t="shared" ref="AH297:AH299" si="3579">HA297</f>
        <v>1</v>
      </c>
      <c r="AI297" s="71">
        <f t="shared" ref="AI297:AI299" si="3580">HB297</f>
        <v>1</v>
      </c>
      <c r="AJ297" s="71">
        <f t="shared" ref="AJ297:AJ299" si="3581">HC297</f>
        <v>0</v>
      </c>
      <c r="AK297" s="71">
        <f t="shared" ref="AK297:AK299" si="3582">HD297</f>
        <v>0</v>
      </c>
      <c r="AL297" s="71">
        <f t="shared" ref="AL297:AL299" si="3583">HE297</f>
        <v>0</v>
      </c>
      <c r="AM297" s="71">
        <f t="shared" ref="AM297:AM299" si="3584">HF297</f>
        <v>0</v>
      </c>
      <c r="AN297" s="71">
        <f t="shared" ref="AN297:AN299" si="3585">HG297</f>
        <v>0</v>
      </c>
      <c r="AO297" s="71">
        <f t="shared" ref="AO297:AO299" si="3586">HH297</f>
        <v>0</v>
      </c>
      <c r="AP297" s="71">
        <f t="shared" ref="AP297:AP299" si="3587">HI297</f>
        <v>0</v>
      </c>
      <c r="AQ297" s="71">
        <f t="shared" ref="AQ297:AQ299" si="3588">HJ297</f>
        <v>0</v>
      </c>
      <c r="AR297" s="71">
        <f t="shared" ref="AR297:AR299" si="3589">HK297</f>
        <v>0</v>
      </c>
      <c r="AS297" s="71">
        <f t="shared" ref="AS297:AS299" si="3590">HL297</f>
        <v>0</v>
      </c>
      <c r="AT297" s="71">
        <f t="shared" ref="AT297:AT299" si="3591">HM297</f>
        <v>0</v>
      </c>
      <c r="AU297" s="71">
        <f t="shared" ref="AU297:AU299" si="3592">HN297</f>
        <v>0</v>
      </c>
      <c r="AV297" s="71">
        <f t="shared" ref="AV297:AV299" si="3593">HO297</f>
        <v>0</v>
      </c>
      <c r="AW297" s="71">
        <f t="shared" ref="AW297:AW299" si="3594">HP297</f>
        <v>0</v>
      </c>
      <c r="AX297" s="71">
        <f t="shared" ref="AX297:AX299" si="3595">HQ297</f>
        <v>0</v>
      </c>
      <c r="AY297" s="71">
        <f t="shared" ref="AY297:AY299" si="3596">HR297</f>
        <v>0</v>
      </c>
      <c r="AZ297" s="72">
        <f t="shared" ref="AZ297:AZ299" si="3597">HS297</f>
        <v>0</v>
      </c>
      <c r="BA297" s="70">
        <f t="shared" si="3123"/>
        <v>9</v>
      </c>
      <c r="BB297" s="69">
        <f t="shared" ca="1" si="3124"/>
        <v>0.69230769230769229</v>
      </c>
      <c r="BC297" s="70">
        <f t="shared" ref="BC297:BC299" si="3598">HT297</f>
        <v>2</v>
      </c>
      <c r="BD297" s="71">
        <f t="shared" ref="BD297:BD299" si="3599">HU297</f>
        <v>2</v>
      </c>
      <c r="BE297" s="71">
        <f t="shared" ref="BE297:BE299" si="3600">HV297</f>
        <v>1</v>
      </c>
      <c r="BF297" s="71">
        <f t="shared" ref="BF297:BF299" si="3601">HW297</f>
        <v>0</v>
      </c>
      <c r="BG297" s="71">
        <f t="shared" ref="BG297:BG299" si="3602">HX297</f>
        <v>2</v>
      </c>
      <c r="BH297" s="71">
        <f t="shared" ref="BH297:BH299" si="3603">HY297</f>
        <v>0</v>
      </c>
      <c r="BI297" s="71">
        <f t="shared" ref="BI297:BI299" si="3604">HZ297</f>
        <v>0</v>
      </c>
      <c r="BJ297" s="71">
        <f t="shared" ref="BJ297:BJ299" si="3605">IA297</f>
        <v>1</v>
      </c>
      <c r="BK297" s="71">
        <f t="shared" ref="BK297:BK299" si="3606">IB297</f>
        <v>1</v>
      </c>
      <c r="BL297" s="71">
        <f t="shared" ref="BL297:BL299" si="3607">IC297</f>
        <v>0</v>
      </c>
      <c r="BM297" s="71">
        <f t="shared" ref="BM297:BM299" si="3608">ID297</f>
        <v>0</v>
      </c>
      <c r="BN297" s="71">
        <f t="shared" ref="BN297:BN299" si="3609">IE297</f>
        <v>2</v>
      </c>
      <c r="BO297" s="71">
        <f t="shared" ref="BO297:BO299" si="3610">IF297</f>
        <v>2</v>
      </c>
      <c r="BP297" s="71">
        <f t="shared" ref="BP297:BP299" si="3611">IG297</f>
        <v>0</v>
      </c>
      <c r="BQ297" s="71">
        <f t="shared" ref="BQ297:BQ299" si="3612">IH297</f>
        <v>0</v>
      </c>
      <c r="BR297" s="71">
        <f t="shared" ref="BR297:BR299" si="3613">II297</f>
        <v>0</v>
      </c>
      <c r="BS297" s="71">
        <f t="shared" ref="BS297:BS299" si="3614">IJ297</f>
        <v>0</v>
      </c>
      <c r="BT297" s="71">
        <f t="shared" ref="BT297:BT299" si="3615">IK297</f>
        <v>0</v>
      </c>
      <c r="BU297" s="71">
        <f t="shared" ref="BU297:BU299" si="3616">IL297</f>
        <v>0</v>
      </c>
      <c r="BV297" s="71">
        <f t="shared" ref="BV297:BV299" si="3617">IM297</f>
        <v>0</v>
      </c>
      <c r="BW297" s="71">
        <f t="shared" ref="BW297:BW299" si="3618">IN297</f>
        <v>0</v>
      </c>
      <c r="BX297" s="71">
        <f t="shared" ref="BX297:BX299" si="3619">IO297</f>
        <v>0</v>
      </c>
      <c r="BY297" s="71">
        <f t="shared" ref="BY297:BY299" si="3620">IP297</f>
        <v>0</v>
      </c>
      <c r="BZ297" s="71">
        <f t="shared" ref="BZ297:BZ299" si="3621">IQ297</f>
        <v>0</v>
      </c>
      <c r="CA297" s="71">
        <f t="shared" ref="CA297:CA299" si="3622">IR297</f>
        <v>0</v>
      </c>
      <c r="CB297" s="71">
        <f t="shared" ref="CB297:CB299" si="3623">IS297</f>
        <v>0</v>
      </c>
      <c r="CC297" s="71">
        <f t="shared" ref="CC297:CC299" si="3624">IT297</f>
        <v>0</v>
      </c>
      <c r="CD297" s="71">
        <f t="shared" ref="CD297:CD299" si="3625">IU297</f>
        <v>0</v>
      </c>
      <c r="CE297" s="71">
        <f t="shared" ref="CE297:CE299" si="3626">IV297</f>
        <v>0</v>
      </c>
      <c r="CF297" s="71">
        <f t="shared" ref="CF297:CF299" si="3627">IW297</f>
        <v>0</v>
      </c>
      <c r="CG297" s="71">
        <f t="shared" ref="CG297:CG299" si="3628">IX297</f>
        <v>0</v>
      </c>
      <c r="CH297" s="70">
        <f t="shared" si="3125"/>
        <v>13</v>
      </c>
      <c r="CI297" s="69">
        <f t="shared" ca="1" si="3126"/>
        <v>1</v>
      </c>
      <c r="GM297" s="2" t="s">
        <v>16</v>
      </c>
      <c r="GN297" s="98" t="str">
        <f t="shared" si="3053"/>
        <v>NTH-D-FMCG01-SPOWS-01</v>
      </c>
      <c r="GO297" s="4">
        <v>1</v>
      </c>
      <c r="GP297" s="3">
        <v>1</v>
      </c>
      <c r="GQ297" s="3">
        <v>1</v>
      </c>
      <c r="GR297" s="3">
        <v>0</v>
      </c>
      <c r="GS297" s="3">
        <v>1</v>
      </c>
      <c r="GT297" s="3">
        <v>0</v>
      </c>
      <c r="GU297" s="3">
        <v>0</v>
      </c>
      <c r="GV297" s="3">
        <v>1</v>
      </c>
      <c r="GW297" s="3">
        <v>1</v>
      </c>
      <c r="GX297" s="3">
        <v>0</v>
      </c>
      <c r="GY297" s="3">
        <v>0</v>
      </c>
      <c r="GZ297" s="3">
        <v>1</v>
      </c>
      <c r="HA297" s="3">
        <v>1</v>
      </c>
      <c r="HB297" s="3">
        <v>1</v>
      </c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6"/>
      <c r="HT297" s="4">
        <v>2</v>
      </c>
      <c r="HU297" s="3">
        <v>2</v>
      </c>
      <c r="HV297" s="3">
        <v>1</v>
      </c>
      <c r="HW297" s="3">
        <v>0</v>
      </c>
      <c r="HX297" s="3">
        <v>2</v>
      </c>
      <c r="HY297" s="3">
        <v>0</v>
      </c>
      <c r="HZ297" s="3">
        <v>0</v>
      </c>
      <c r="IA297" s="3">
        <v>1</v>
      </c>
      <c r="IB297" s="3">
        <v>1</v>
      </c>
      <c r="IC297" s="3">
        <v>0</v>
      </c>
      <c r="ID297" s="3">
        <v>0</v>
      </c>
      <c r="IE297" s="3">
        <v>2</v>
      </c>
      <c r="IF297" s="3">
        <v>2</v>
      </c>
      <c r="IG297" s="3">
        <v>0</v>
      </c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6"/>
    </row>
    <row r="298" spans="1:258" hidden="1">
      <c r="A298" s="97" t="s">
        <v>500</v>
      </c>
      <c r="B298" s="98" t="s">
        <v>20</v>
      </c>
      <c r="C298" s="98" t="s">
        <v>661</v>
      </c>
      <c r="D298" s="99" t="s">
        <v>1242</v>
      </c>
      <c r="E298" s="98" t="s">
        <v>1022</v>
      </c>
      <c r="F298" s="98" t="s">
        <v>1075</v>
      </c>
      <c r="G298" s="98" t="s">
        <v>863</v>
      </c>
      <c r="H298" s="98" t="s">
        <v>1600</v>
      </c>
      <c r="I298" s="98" t="s">
        <v>1600</v>
      </c>
      <c r="J298" s="98" t="s">
        <v>1243</v>
      </c>
      <c r="K298" s="98" t="s">
        <v>1156</v>
      </c>
      <c r="L298" s="98" t="s">
        <v>672</v>
      </c>
      <c r="M298" s="98" t="s">
        <v>1093</v>
      </c>
      <c r="N298" s="108">
        <v>45397</v>
      </c>
      <c r="O298" s="100">
        <v>1</v>
      </c>
      <c r="P298" s="69">
        <v>0</v>
      </c>
      <c r="Q298" s="69">
        <f>IFERROR(IF(OR(AI298&gt;0),1,0),0)</f>
        <v>1</v>
      </c>
      <c r="R298" s="69">
        <f t="shared" si="3564"/>
        <v>1</v>
      </c>
      <c r="S298" s="69">
        <f>IFERROR(IF(OR(BP298&gt;0),1,0),0)</f>
        <v>1</v>
      </c>
      <c r="T298" s="69">
        <f t="shared" si="3565"/>
        <v>1</v>
      </c>
      <c r="U298" s="69">
        <f t="shared" si="3566"/>
        <v>1</v>
      </c>
      <c r="V298" s="70">
        <f t="shared" si="3567"/>
        <v>1</v>
      </c>
      <c r="W298" s="71">
        <f t="shared" si="3568"/>
        <v>1</v>
      </c>
      <c r="X298" s="71">
        <f t="shared" si="3569"/>
        <v>1</v>
      </c>
      <c r="Y298" s="71">
        <f t="shared" si="3570"/>
        <v>1</v>
      </c>
      <c r="Z298" s="71">
        <f t="shared" si="3571"/>
        <v>1</v>
      </c>
      <c r="AA298" s="71">
        <f t="shared" si="3572"/>
        <v>1</v>
      </c>
      <c r="AB298" s="71">
        <f t="shared" si="3573"/>
        <v>1</v>
      </c>
      <c r="AC298" s="71">
        <f t="shared" si="3574"/>
        <v>1</v>
      </c>
      <c r="AD298" s="71">
        <f t="shared" si="3575"/>
        <v>1</v>
      </c>
      <c r="AE298" s="71">
        <f t="shared" si="3576"/>
        <v>1</v>
      </c>
      <c r="AF298" s="71">
        <f t="shared" si="3577"/>
        <v>0</v>
      </c>
      <c r="AG298" s="71">
        <f t="shared" si="3578"/>
        <v>1</v>
      </c>
      <c r="AH298" s="71">
        <f t="shared" si="3579"/>
        <v>1</v>
      </c>
      <c r="AI298" s="71">
        <f t="shared" si="3580"/>
        <v>1</v>
      </c>
      <c r="AJ298" s="71">
        <f t="shared" si="3581"/>
        <v>0</v>
      </c>
      <c r="AK298" s="71">
        <f t="shared" si="3582"/>
        <v>0</v>
      </c>
      <c r="AL298" s="71">
        <f t="shared" si="3583"/>
        <v>0</v>
      </c>
      <c r="AM298" s="71">
        <f t="shared" si="3584"/>
        <v>0</v>
      </c>
      <c r="AN298" s="71">
        <f t="shared" si="3585"/>
        <v>0</v>
      </c>
      <c r="AO298" s="71">
        <f t="shared" si="3586"/>
        <v>0</v>
      </c>
      <c r="AP298" s="71">
        <f t="shared" si="3587"/>
        <v>0</v>
      </c>
      <c r="AQ298" s="71">
        <f t="shared" si="3588"/>
        <v>0</v>
      </c>
      <c r="AR298" s="71">
        <f t="shared" si="3589"/>
        <v>0</v>
      </c>
      <c r="AS298" s="71">
        <f t="shared" si="3590"/>
        <v>0</v>
      </c>
      <c r="AT298" s="71">
        <f t="shared" si="3591"/>
        <v>0</v>
      </c>
      <c r="AU298" s="71">
        <f t="shared" si="3592"/>
        <v>0</v>
      </c>
      <c r="AV298" s="71">
        <f t="shared" si="3593"/>
        <v>0</v>
      </c>
      <c r="AW298" s="71">
        <f t="shared" si="3594"/>
        <v>0</v>
      </c>
      <c r="AX298" s="71">
        <f t="shared" si="3595"/>
        <v>0</v>
      </c>
      <c r="AY298" s="71">
        <f t="shared" si="3596"/>
        <v>0</v>
      </c>
      <c r="AZ298" s="72">
        <f t="shared" si="3597"/>
        <v>0</v>
      </c>
      <c r="BA298" s="70">
        <f t="shared" si="3123"/>
        <v>13</v>
      </c>
      <c r="BB298" s="69">
        <f t="shared" ca="1" si="3124"/>
        <v>1</v>
      </c>
      <c r="BC298" s="70">
        <f t="shared" si="3598"/>
        <v>3</v>
      </c>
      <c r="BD298" s="71">
        <f t="shared" si="3599"/>
        <v>2</v>
      </c>
      <c r="BE298" s="71">
        <f t="shared" si="3600"/>
        <v>1</v>
      </c>
      <c r="BF298" s="71">
        <f t="shared" si="3601"/>
        <v>3</v>
      </c>
      <c r="BG298" s="71">
        <f t="shared" si="3602"/>
        <v>2</v>
      </c>
      <c r="BH298" s="71">
        <f t="shared" si="3603"/>
        <v>1</v>
      </c>
      <c r="BI298" s="71">
        <f t="shared" si="3604"/>
        <v>3</v>
      </c>
      <c r="BJ298" s="71">
        <f t="shared" si="3605"/>
        <v>2</v>
      </c>
      <c r="BK298" s="71">
        <f t="shared" si="3606"/>
        <v>4</v>
      </c>
      <c r="BL298" s="71">
        <f t="shared" si="3607"/>
        <v>2</v>
      </c>
      <c r="BM298" s="71">
        <f t="shared" si="3608"/>
        <v>0</v>
      </c>
      <c r="BN298" s="71">
        <f t="shared" si="3609"/>
        <v>2</v>
      </c>
      <c r="BO298" s="71">
        <f t="shared" si="3610"/>
        <v>4</v>
      </c>
      <c r="BP298" s="71">
        <f t="shared" si="3611"/>
        <v>8</v>
      </c>
      <c r="BQ298" s="71">
        <f t="shared" si="3612"/>
        <v>0</v>
      </c>
      <c r="BR298" s="71">
        <f t="shared" si="3613"/>
        <v>0</v>
      </c>
      <c r="BS298" s="71">
        <f t="shared" si="3614"/>
        <v>0</v>
      </c>
      <c r="BT298" s="71">
        <f t="shared" si="3615"/>
        <v>0</v>
      </c>
      <c r="BU298" s="71">
        <f t="shared" si="3616"/>
        <v>0</v>
      </c>
      <c r="BV298" s="71">
        <f t="shared" si="3617"/>
        <v>0</v>
      </c>
      <c r="BW298" s="71">
        <f t="shared" si="3618"/>
        <v>0</v>
      </c>
      <c r="BX298" s="71">
        <f t="shared" si="3619"/>
        <v>0</v>
      </c>
      <c r="BY298" s="71">
        <f t="shared" si="3620"/>
        <v>0</v>
      </c>
      <c r="BZ298" s="71">
        <f t="shared" si="3621"/>
        <v>0</v>
      </c>
      <c r="CA298" s="71">
        <f t="shared" si="3622"/>
        <v>0</v>
      </c>
      <c r="CB298" s="71">
        <f t="shared" si="3623"/>
        <v>0</v>
      </c>
      <c r="CC298" s="71">
        <f t="shared" si="3624"/>
        <v>0</v>
      </c>
      <c r="CD298" s="71">
        <f t="shared" si="3625"/>
        <v>0</v>
      </c>
      <c r="CE298" s="71">
        <f t="shared" si="3626"/>
        <v>0</v>
      </c>
      <c r="CF298" s="71">
        <f t="shared" si="3627"/>
        <v>0</v>
      </c>
      <c r="CG298" s="71">
        <f t="shared" si="3628"/>
        <v>0</v>
      </c>
      <c r="CH298" s="70">
        <f t="shared" si="3125"/>
        <v>37</v>
      </c>
      <c r="CI298" s="69">
        <f t="shared" ca="1" si="3126"/>
        <v>2.8461538461538463</v>
      </c>
      <c r="GM298" s="2" t="s">
        <v>16</v>
      </c>
      <c r="GN298" s="98" t="str">
        <f t="shared" si="3053"/>
        <v>NTH-D-FMCG02-SPOWS-01</v>
      </c>
      <c r="GO298" s="4">
        <v>1</v>
      </c>
      <c r="GP298" s="3">
        <v>1</v>
      </c>
      <c r="GQ298" s="3">
        <v>1</v>
      </c>
      <c r="GR298" s="3">
        <v>1</v>
      </c>
      <c r="GS298" s="3">
        <v>1</v>
      </c>
      <c r="GT298" s="3">
        <v>1</v>
      </c>
      <c r="GU298" s="3">
        <v>1</v>
      </c>
      <c r="GV298" s="3">
        <v>1</v>
      </c>
      <c r="GW298" s="3">
        <v>1</v>
      </c>
      <c r="GX298" s="3">
        <v>1</v>
      </c>
      <c r="GY298" s="3">
        <v>0</v>
      </c>
      <c r="GZ298" s="3">
        <v>1</v>
      </c>
      <c r="HA298" s="3">
        <v>1</v>
      </c>
      <c r="HB298" s="3">
        <v>1</v>
      </c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6"/>
      <c r="HT298" s="4">
        <v>3</v>
      </c>
      <c r="HU298" s="3">
        <v>2</v>
      </c>
      <c r="HV298" s="3">
        <v>1</v>
      </c>
      <c r="HW298" s="3">
        <v>3</v>
      </c>
      <c r="HX298" s="3">
        <v>2</v>
      </c>
      <c r="HY298" s="3">
        <v>1</v>
      </c>
      <c r="HZ298" s="3">
        <v>3</v>
      </c>
      <c r="IA298" s="3">
        <v>2</v>
      </c>
      <c r="IB298" s="3">
        <v>4</v>
      </c>
      <c r="IC298" s="3">
        <v>2</v>
      </c>
      <c r="ID298" s="3">
        <v>0</v>
      </c>
      <c r="IE298" s="3">
        <v>2</v>
      </c>
      <c r="IF298" s="3">
        <v>4</v>
      </c>
      <c r="IG298" s="3">
        <v>8</v>
      </c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6"/>
    </row>
    <row r="299" spans="1:258" hidden="1">
      <c r="A299" s="97" t="s">
        <v>19</v>
      </c>
      <c r="B299" s="98" t="s">
        <v>20</v>
      </c>
      <c r="C299" s="98" t="s">
        <v>661</v>
      </c>
      <c r="D299" s="99" t="s">
        <v>1242</v>
      </c>
      <c r="E299" s="98" t="s">
        <v>1244</v>
      </c>
      <c r="F299" s="98" t="s">
        <v>1394</v>
      </c>
      <c r="G299" s="98" t="s">
        <v>862</v>
      </c>
      <c r="H299" s="98" t="s">
        <v>1601</v>
      </c>
      <c r="I299" s="98" t="s">
        <v>1601</v>
      </c>
      <c r="J299" s="98" t="s">
        <v>1243</v>
      </c>
      <c r="K299" s="98" t="s">
        <v>1156</v>
      </c>
      <c r="L299" s="98" t="s">
        <v>712</v>
      </c>
      <c r="M299" s="101" t="s">
        <v>52</v>
      </c>
      <c r="N299" s="108">
        <v>43059</v>
      </c>
      <c r="O299" s="100">
        <v>1</v>
      </c>
      <c r="P299" s="69">
        <v>0</v>
      </c>
      <c r="Q299" s="69">
        <f>IFERROR(IF(OR(AI299&gt;0),1,0),0)</f>
        <v>1</v>
      </c>
      <c r="R299" s="69">
        <f t="shared" si="3564"/>
        <v>1</v>
      </c>
      <c r="S299" s="69">
        <f>IFERROR(IF(OR(BP299&gt;0),1,0),0)</f>
        <v>1</v>
      </c>
      <c r="T299" s="69">
        <f t="shared" si="3565"/>
        <v>1</v>
      </c>
      <c r="U299" s="69">
        <f t="shared" si="3566"/>
        <v>1</v>
      </c>
      <c r="V299" s="70">
        <f t="shared" si="3567"/>
        <v>1</v>
      </c>
      <c r="W299" s="71">
        <f t="shared" si="3568"/>
        <v>1</v>
      </c>
      <c r="X299" s="71">
        <f t="shared" si="3569"/>
        <v>1</v>
      </c>
      <c r="Y299" s="71">
        <f t="shared" si="3570"/>
        <v>0</v>
      </c>
      <c r="Z299" s="71">
        <f t="shared" si="3571"/>
        <v>1</v>
      </c>
      <c r="AA299" s="71">
        <f t="shared" si="3572"/>
        <v>1</v>
      </c>
      <c r="AB299" s="71">
        <f t="shared" si="3573"/>
        <v>1</v>
      </c>
      <c r="AC299" s="71">
        <f t="shared" si="3574"/>
        <v>1</v>
      </c>
      <c r="AD299" s="71">
        <f t="shared" si="3575"/>
        <v>1</v>
      </c>
      <c r="AE299" s="71">
        <f t="shared" si="3576"/>
        <v>1</v>
      </c>
      <c r="AF299" s="71">
        <f t="shared" si="3577"/>
        <v>0</v>
      </c>
      <c r="AG299" s="71">
        <f t="shared" si="3578"/>
        <v>1</v>
      </c>
      <c r="AH299" s="71">
        <f t="shared" si="3579"/>
        <v>1</v>
      </c>
      <c r="AI299" s="71">
        <f t="shared" si="3580"/>
        <v>1</v>
      </c>
      <c r="AJ299" s="71">
        <f t="shared" si="3581"/>
        <v>0</v>
      </c>
      <c r="AK299" s="71">
        <f t="shared" si="3582"/>
        <v>0</v>
      </c>
      <c r="AL299" s="71">
        <f t="shared" si="3583"/>
        <v>0</v>
      </c>
      <c r="AM299" s="71">
        <f t="shared" si="3584"/>
        <v>0</v>
      </c>
      <c r="AN299" s="71">
        <f t="shared" si="3585"/>
        <v>0</v>
      </c>
      <c r="AO299" s="71">
        <f t="shared" si="3586"/>
        <v>0</v>
      </c>
      <c r="AP299" s="71">
        <f t="shared" si="3587"/>
        <v>0</v>
      </c>
      <c r="AQ299" s="71">
        <f t="shared" si="3588"/>
        <v>0</v>
      </c>
      <c r="AR299" s="71">
        <f t="shared" si="3589"/>
        <v>0</v>
      </c>
      <c r="AS299" s="71">
        <f t="shared" si="3590"/>
        <v>0</v>
      </c>
      <c r="AT299" s="71">
        <f t="shared" si="3591"/>
        <v>0</v>
      </c>
      <c r="AU299" s="71">
        <f t="shared" si="3592"/>
        <v>0</v>
      </c>
      <c r="AV299" s="71">
        <f t="shared" si="3593"/>
        <v>0</v>
      </c>
      <c r="AW299" s="71">
        <f t="shared" si="3594"/>
        <v>0</v>
      </c>
      <c r="AX299" s="71">
        <f t="shared" si="3595"/>
        <v>0</v>
      </c>
      <c r="AY299" s="71">
        <f t="shared" si="3596"/>
        <v>0</v>
      </c>
      <c r="AZ299" s="72">
        <f t="shared" si="3597"/>
        <v>0</v>
      </c>
      <c r="BA299" s="70">
        <f t="shared" si="3123"/>
        <v>12</v>
      </c>
      <c r="BB299" s="69">
        <f t="shared" ca="1" si="3124"/>
        <v>0.92307692307692313</v>
      </c>
      <c r="BC299" s="70">
        <f t="shared" si="3598"/>
        <v>1</v>
      </c>
      <c r="BD299" s="71">
        <f t="shared" si="3599"/>
        <v>0</v>
      </c>
      <c r="BE299" s="71">
        <f t="shared" si="3600"/>
        <v>0</v>
      </c>
      <c r="BF299" s="71">
        <f t="shared" si="3601"/>
        <v>0</v>
      </c>
      <c r="BG299" s="71">
        <f t="shared" si="3602"/>
        <v>0</v>
      </c>
      <c r="BH299" s="71">
        <f t="shared" si="3603"/>
        <v>1</v>
      </c>
      <c r="BI299" s="71">
        <f t="shared" si="3604"/>
        <v>1</v>
      </c>
      <c r="BJ299" s="71">
        <f t="shared" si="3605"/>
        <v>1</v>
      </c>
      <c r="BK299" s="71">
        <f t="shared" si="3606"/>
        <v>0</v>
      </c>
      <c r="BL299" s="71">
        <f t="shared" si="3607"/>
        <v>1</v>
      </c>
      <c r="BM299" s="71">
        <f t="shared" si="3608"/>
        <v>0</v>
      </c>
      <c r="BN299" s="71">
        <f t="shared" si="3609"/>
        <v>1</v>
      </c>
      <c r="BO299" s="71">
        <f t="shared" si="3610"/>
        <v>1</v>
      </c>
      <c r="BP299" s="71">
        <f t="shared" si="3611"/>
        <v>1</v>
      </c>
      <c r="BQ299" s="71">
        <f t="shared" si="3612"/>
        <v>0</v>
      </c>
      <c r="BR299" s="71">
        <f t="shared" si="3613"/>
        <v>0</v>
      </c>
      <c r="BS299" s="71">
        <f t="shared" si="3614"/>
        <v>0</v>
      </c>
      <c r="BT299" s="71">
        <f t="shared" si="3615"/>
        <v>0</v>
      </c>
      <c r="BU299" s="71">
        <f t="shared" si="3616"/>
        <v>0</v>
      </c>
      <c r="BV299" s="71">
        <f t="shared" si="3617"/>
        <v>0</v>
      </c>
      <c r="BW299" s="71">
        <f t="shared" si="3618"/>
        <v>0</v>
      </c>
      <c r="BX299" s="71">
        <f t="shared" si="3619"/>
        <v>0</v>
      </c>
      <c r="BY299" s="71">
        <f t="shared" si="3620"/>
        <v>0</v>
      </c>
      <c r="BZ299" s="71">
        <f t="shared" si="3621"/>
        <v>0</v>
      </c>
      <c r="CA299" s="71">
        <f t="shared" si="3622"/>
        <v>0</v>
      </c>
      <c r="CB299" s="71">
        <f t="shared" si="3623"/>
        <v>0</v>
      </c>
      <c r="CC299" s="71">
        <f t="shared" si="3624"/>
        <v>0</v>
      </c>
      <c r="CD299" s="71">
        <f t="shared" si="3625"/>
        <v>0</v>
      </c>
      <c r="CE299" s="71">
        <f t="shared" si="3626"/>
        <v>0</v>
      </c>
      <c r="CF299" s="71">
        <f t="shared" si="3627"/>
        <v>0</v>
      </c>
      <c r="CG299" s="71">
        <f t="shared" si="3628"/>
        <v>0</v>
      </c>
      <c r="CH299" s="70">
        <f t="shared" si="3125"/>
        <v>8</v>
      </c>
      <c r="CI299" s="69">
        <f t="shared" ca="1" si="3126"/>
        <v>0.61538461538461542</v>
      </c>
      <c r="GM299" s="2" t="s">
        <v>16</v>
      </c>
      <c r="GN299" s="98" t="str">
        <f t="shared" si="3053"/>
        <v>NTH-D-FMCG-CM-00</v>
      </c>
      <c r="GO299" s="4">
        <v>1</v>
      </c>
      <c r="GP299" s="3">
        <v>1</v>
      </c>
      <c r="GQ299" s="3">
        <v>1</v>
      </c>
      <c r="GR299" s="3">
        <v>0</v>
      </c>
      <c r="GS299" s="3">
        <v>1</v>
      </c>
      <c r="GT299" s="3">
        <v>1</v>
      </c>
      <c r="GU299" s="3">
        <v>1</v>
      </c>
      <c r="GV299" s="3">
        <v>1</v>
      </c>
      <c r="GW299" s="3">
        <v>1</v>
      </c>
      <c r="GX299" s="3">
        <v>1</v>
      </c>
      <c r="GY299" s="3">
        <v>0</v>
      </c>
      <c r="GZ299" s="3">
        <v>1</v>
      </c>
      <c r="HA299" s="3">
        <v>1</v>
      </c>
      <c r="HB299" s="3">
        <v>1</v>
      </c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6"/>
      <c r="HT299" s="4">
        <v>1</v>
      </c>
      <c r="HU299" s="3">
        <v>0</v>
      </c>
      <c r="HV299" s="3">
        <v>0</v>
      </c>
      <c r="HW299" s="3">
        <v>0</v>
      </c>
      <c r="HX299" s="3">
        <v>0</v>
      </c>
      <c r="HY299" s="3">
        <v>1</v>
      </c>
      <c r="HZ299" s="3">
        <v>1</v>
      </c>
      <c r="IA299" s="3">
        <v>1</v>
      </c>
      <c r="IB299" s="3">
        <v>0</v>
      </c>
      <c r="IC299" s="3">
        <v>1</v>
      </c>
      <c r="ID299" s="3">
        <v>0</v>
      </c>
      <c r="IE299" s="3">
        <v>1</v>
      </c>
      <c r="IF299" s="3">
        <v>1</v>
      </c>
      <c r="IG299" s="3">
        <v>1</v>
      </c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6"/>
    </row>
    <row r="300" spans="1:258" hidden="1">
      <c r="A300" s="102" t="s">
        <v>19</v>
      </c>
      <c r="B300" s="103" t="s">
        <v>20</v>
      </c>
      <c r="C300" s="103" t="s">
        <v>661</v>
      </c>
      <c r="D300" s="104" t="s">
        <v>1242</v>
      </c>
      <c r="E300" s="103" t="s">
        <v>711</v>
      </c>
      <c r="F300" s="103" t="s">
        <v>1245</v>
      </c>
      <c r="G300" s="120" t="s">
        <v>1393</v>
      </c>
      <c r="H300" s="103" t="s">
        <v>1602</v>
      </c>
      <c r="I300" s="103" t="s">
        <v>1602</v>
      </c>
      <c r="J300" s="103" t="s">
        <v>709</v>
      </c>
      <c r="K300" s="103" t="s">
        <v>144</v>
      </c>
      <c r="L300" s="103" t="s">
        <v>712</v>
      </c>
      <c r="M300" s="103" t="s">
        <v>52</v>
      </c>
      <c r="N300" s="119">
        <v>43059</v>
      </c>
      <c r="O300" s="105">
        <f>SUM(O297:O299)</f>
        <v>3</v>
      </c>
      <c r="P300" s="73">
        <f t="shared" ref="P300:CA300" si="3629">SUM(P297:P299)</f>
        <v>0</v>
      </c>
      <c r="Q300" s="73">
        <f t="shared" si="3629"/>
        <v>3</v>
      </c>
      <c r="R300" s="73">
        <f t="shared" si="3629"/>
        <v>3</v>
      </c>
      <c r="S300" s="73">
        <f t="shared" si="3629"/>
        <v>2</v>
      </c>
      <c r="T300" s="73">
        <f t="shared" si="3629"/>
        <v>3</v>
      </c>
      <c r="U300" s="73">
        <f t="shared" si="3629"/>
        <v>3</v>
      </c>
      <c r="V300" s="74">
        <f t="shared" si="3629"/>
        <v>3</v>
      </c>
      <c r="W300" s="75">
        <f t="shared" si="3629"/>
        <v>3</v>
      </c>
      <c r="X300" s="75">
        <f t="shared" si="3629"/>
        <v>3</v>
      </c>
      <c r="Y300" s="75">
        <f t="shared" si="3629"/>
        <v>1</v>
      </c>
      <c r="Z300" s="75">
        <f t="shared" si="3629"/>
        <v>3</v>
      </c>
      <c r="AA300" s="75">
        <f t="shared" si="3629"/>
        <v>2</v>
      </c>
      <c r="AB300" s="75">
        <f t="shared" si="3629"/>
        <v>2</v>
      </c>
      <c r="AC300" s="75">
        <f t="shared" si="3629"/>
        <v>3</v>
      </c>
      <c r="AD300" s="75">
        <f t="shared" si="3629"/>
        <v>3</v>
      </c>
      <c r="AE300" s="75">
        <f t="shared" si="3629"/>
        <v>2</v>
      </c>
      <c r="AF300" s="75">
        <f t="shared" si="3629"/>
        <v>0</v>
      </c>
      <c r="AG300" s="75">
        <f t="shared" si="3629"/>
        <v>3</v>
      </c>
      <c r="AH300" s="75">
        <f t="shared" si="3629"/>
        <v>3</v>
      </c>
      <c r="AI300" s="75">
        <f t="shared" si="3629"/>
        <v>3</v>
      </c>
      <c r="AJ300" s="75">
        <f t="shared" si="3629"/>
        <v>0</v>
      </c>
      <c r="AK300" s="75">
        <f t="shared" si="3629"/>
        <v>0</v>
      </c>
      <c r="AL300" s="75">
        <f t="shared" si="3629"/>
        <v>0</v>
      </c>
      <c r="AM300" s="75">
        <f t="shared" si="3629"/>
        <v>0</v>
      </c>
      <c r="AN300" s="75">
        <f t="shared" si="3629"/>
        <v>0</v>
      </c>
      <c r="AO300" s="75">
        <f t="shared" si="3629"/>
        <v>0</v>
      </c>
      <c r="AP300" s="75">
        <f t="shared" si="3629"/>
        <v>0</v>
      </c>
      <c r="AQ300" s="75">
        <f t="shared" si="3629"/>
        <v>0</v>
      </c>
      <c r="AR300" s="75">
        <f t="shared" si="3629"/>
        <v>0</v>
      </c>
      <c r="AS300" s="75">
        <f t="shared" si="3629"/>
        <v>0</v>
      </c>
      <c r="AT300" s="75">
        <f t="shared" si="3629"/>
        <v>0</v>
      </c>
      <c r="AU300" s="75">
        <f t="shared" si="3629"/>
        <v>0</v>
      </c>
      <c r="AV300" s="75">
        <f t="shared" si="3629"/>
        <v>0</v>
      </c>
      <c r="AW300" s="75">
        <f t="shared" si="3629"/>
        <v>0</v>
      </c>
      <c r="AX300" s="75">
        <f t="shared" si="3629"/>
        <v>0</v>
      </c>
      <c r="AY300" s="75">
        <f t="shared" si="3629"/>
        <v>0</v>
      </c>
      <c r="AZ300" s="76">
        <f t="shared" si="3629"/>
        <v>0</v>
      </c>
      <c r="BA300" s="74">
        <f t="shared" si="3123"/>
        <v>34</v>
      </c>
      <c r="BB300" s="73">
        <f t="shared" ca="1" si="3124"/>
        <v>0.87179487179487181</v>
      </c>
      <c r="BC300" s="74">
        <f t="shared" si="3629"/>
        <v>6</v>
      </c>
      <c r="BD300" s="75">
        <f t="shared" si="3629"/>
        <v>4</v>
      </c>
      <c r="BE300" s="75">
        <f t="shared" si="3629"/>
        <v>2</v>
      </c>
      <c r="BF300" s="75">
        <f t="shared" si="3629"/>
        <v>3</v>
      </c>
      <c r="BG300" s="75">
        <f t="shared" si="3629"/>
        <v>4</v>
      </c>
      <c r="BH300" s="75">
        <f t="shared" si="3629"/>
        <v>2</v>
      </c>
      <c r="BI300" s="75">
        <f t="shared" si="3629"/>
        <v>4</v>
      </c>
      <c r="BJ300" s="75">
        <f t="shared" si="3629"/>
        <v>4</v>
      </c>
      <c r="BK300" s="75">
        <f t="shared" si="3629"/>
        <v>5</v>
      </c>
      <c r="BL300" s="75">
        <f t="shared" si="3629"/>
        <v>3</v>
      </c>
      <c r="BM300" s="75">
        <f t="shared" si="3629"/>
        <v>0</v>
      </c>
      <c r="BN300" s="75">
        <f t="shared" si="3629"/>
        <v>5</v>
      </c>
      <c r="BO300" s="75">
        <f t="shared" si="3629"/>
        <v>7</v>
      </c>
      <c r="BP300" s="75">
        <f t="shared" si="3629"/>
        <v>9</v>
      </c>
      <c r="BQ300" s="75">
        <f t="shared" si="3629"/>
        <v>0</v>
      </c>
      <c r="BR300" s="75">
        <f t="shared" si="3629"/>
        <v>0</v>
      </c>
      <c r="BS300" s="75">
        <f t="shared" si="3629"/>
        <v>0</v>
      </c>
      <c r="BT300" s="75">
        <f t="shared" si="3629"/>
        <v>0</v>
      </c>
      <c r="BU300" s="75">
        <f t="shared" si="3629"/>
        <v>0</v>
      </c>
      <c r="BV300" s="75">
        <f t="shared" si="3629"/>
        <v>0</v>
      </c>
      <c r="BW300" s="75">
        <f t="shared" si="3629"/>
        <v>0</v>
      </c>
      <c r="BX300" s="75">
        <f t="shared" si="3629"/>
        <v>0</v>
      </c>
      <c r="BY300" s="75">
        <f t="shared" si="3629"/>
        <v>0</v>
      </c>
      <c r="BZ300" s="75">
        <f t="shared" si="3629"/>
        <v>0</v>
      </c>
      <c r="CA300" s="75">
        <f t="shared" si="3629"/>
        <v>0</v>
      </c>
      <c r="CB300" s="75">
        <f t="shared" ref="CB300:CG300" si="3630">SUM(CB297:CB299)</f>
        <v>0</v>
      </c>
      <c r="CC300" s="75">
        <f t="shared" si="3630"/>
        <v>0</v>
      </c>
      <c r="CD300" s="75">
        <f t="shared" si="3630"/>
        <v>0</v>
      </c>
      <c r="CE300" s="75">
        <f t="shared" si="3630"/>
        <v>0</v>
      </c>
      <c r="CF300" s="75">
        <f t="shared" si="3630"/>
        <v>0</v>
      </c>
      <c r="CG300" s="75">
        <f t="shared" si="3630"/>
        <v>0</v>
      </c>
      <c r="CH300" s="74">
        <f t="shared" si="3125"/>
        <v>58</v>
      </c>
      <c r="CI300" s="73">
        <f t="shared" ca="1" si="3126"/>
        <v>1.4871794871794872</v>
      </c>
      <c r="GM300" s="2" t="s">
        <v>17</v>
      </c>
      <c r="GN300" s="103" t="str">
        <f t="shared" si="3053"/>
        <v>NTH-D-FMCG-CM-01</v>
      </c>
      <c r="GO300" s="4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6"/>
      <c r="HT300" s="4">
        <v>0</v>
      </c>
      <c r="HU300" s="3">
        <v>0</v>
      </c>
      <c r="HV300" s="3">
        <v>0</v>
      </c>
      <c r="HW300" s="3">
        <v>0</v>
      </c>
      <c r="HX300" s="3">
        <v>0</v>
      </c>
      <c r="HY300" s="3">
        <v>0</v>
      </c>
      <c r="HZ300" s="3">
        <v>0</v>
      </c>
      <c r="IA300" s="3">
        <v>0</v>
      </c>
      <c r="IB300" s="3">
        <v>0</v>
      </c>
      <c r="IC300" s="3">
        <v>0</v>
      </c>
      <c r="ID300" s="3">
        <v>0</v>
      </c>
      <c r="IE300" s="3">
        <v>0</v>
      </c>
      <c r="IF300" s="3">
        <v>0</v>
      </c>
      <c r="IG300" s="3">
        <v>0</v>
      </c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6"/>
    </row>
    <row r="301" spans="1:258" hidden="1">
      <c r="A301" s="97" t="s">
        <v>149</v>
      </c>
      <c r="B301" s="98" t="s">
        <v>26</v>
      </c>
      <c r="C301" s="101" t="s">
        <v>661</v>
      </c>
      <c r="D301" s="99" t="s">
        <v>1242</v>
      </c>
      <c r="E301" s="98" t="s">
        <v>1246</v>
      </c>
      <c r="F301" s="98" t="s">
        <v>1247</v>
      </c>
      <c r="G301" s="98" t="s">
        <v>713</v>
      </c>
      <c r="H301" s="98" t="s">
        <v>1603</v>
      </c>
      <c r="I301" s="98" t="s">
        <v>1603</v>
      </c>
      <c r="J301" s="98" t="s">
        <v>1248</v>
      </c>
      <c r="K301" s="98" t="s">
        <v>1156</v>
      </c>
      <c r="L301" s="98" t="s">
        <v>714</v>
      </c>
      <c r="M301" s="101" t="s">
        <v>52</v>
      </c>
      <c r="N301" s="108">
        <v>45139</v>
      </c>
      <c r="O301" s="100">
        <v>1</v>
      </c>
      <c r="P301" s="69">
        <v>0</v>
      </c>
      <c r="Q301" s="69">
        <f>IFERROR(IF(OR(AI301&gt;0),1,0),0)</f>
        <v>1</v>
      </c>
      <c r="R301" s="69">
        <f t="shared" ref="R301:R302" si="3631">IFERROR(IF(OR(BA301&gt;0),1,0),0)</f>
        <v>1</v>
      </c>
      <c r="S301" s="69">
        <f>IFERROR(IF(OR(BP301&gt;0),1,0),0)</f>
        <v>0</v>
      </c>
      <c r="T301" s="69">
        <f t="shared" ref="T301:T302" si="3632">IFERROR(IF(OR(CH301&gt;0),1,0),0)</f>
        <v>1</v>
      </c>
      <c r="U301" s="69">
        <f t="shared" ref="U301:U302" si="3633">IFERROR(IF(OR(BA301&gt;0,CH301&gt;0),1,0),0)</f>
        <v>1</v>
      </c>
      <c r="V301" s="70">
        <f t="shared" ref="V301:V302" si="3634">GO301</f>
        <v>1</v>
      </c>
      <c r="W301" s="71">
        <f t="shared" ref="W301:W302" si="3635">GP301</f>
        <v>1</v>
      </c>
      <c r="X301" s="71">
        <f t="shared" ref="X301:X302" si="3636">GQ301</f>
        <v>1</v>
      </c>
      <c r="Y301" s="71">
        <f t="shared" ref="Y301:Y302" si="3637">GR301</f>
        <v>0</v>
      </c>
      <c r="Z301" s="71">
        <f t="shared" ref="Z301:Z302" si="3638">GS301</f>
        <v>1</v>
      </c>
      <c r="AA301" s="71">
        <f t="shared" ref="AA301:AA302" si="3639">GT301</f>
        <v>1</v>
      </c>
      <c r="AB301" s="71">
        <f t="shared" ref="AB301:AB302" si="3640">GU301</f>
        <v>1</v>
      </c>
      <c r="AC301" s="71">
        <f t="shared" ref="AC301:AC302" si="3641">GV301</f>
        <v>1</v>
      </c>
      <c r="AD301" s="71">
        <f t="shared" ref="AD301:AD302" si="3642">GW301</f>
        <v>1</v>
      </c>
      <c r="AE301" s="71">
        <f t="shared" ref="AE301:AE302" si="3643">GX301</f>
        <v>1</v>
      </c>
      <c r="AF301" s="71">
        <f t="shared" ref="AF301:AF302" si="3644">GY301</f>
        <v>1</v>
      </c>
      <c r="AG301" s="71">
        <f t="shared" ref="AG301:AG302" si="3645">GZ301</f>
        <v>1</v>
      </c>
      <c r="AH301" s="71">
        <f t="shared" ref="AH301:AH302" si="3646">HA301</f>
        <v>1</v>
      </c>
      <c r="AI301" s="71">
        <f t="shared" ref="AI301:AI302" si="3647">HB301</f>
        <v>1</v>
      </c>
      <c r="AJ301" s="71">
        <f t="shared" ref="AJ301:AJ302" si="3648">HC301</f>
        <v>0</v>
      </c>
      <c r="AK301" s="71">
        <f t="shared" ref="AK301:AK302" si="3649">HD301</f>
        <v>0</v>
      </c>
      <c r="AL301" s="71">
        <f t="shared" ref="AL301:AL302" si="3650">HE301</f>
        <v>0</v>
      </c>
      <c r="AM301" s="71">
        <f t="shared" ref="AM301:AM302" si="3651">HF301</f>
        <v>0</v>
      </c>
      <c r="AN301" s="71">
        <f t="shared" ref="AN301:AN302" si="3652">HG301</f>
        <v>0</v>
      </c>
      <c r="AO301" s="71">
        <f t="shared" ref="AO301:AO302" si="3653">HH301</f>
        <v>0</v>
      </c>
      <c r="AP301" s="71">
        <f t="shared" ref="AP301:AP302" si="3654">HI301</f>
        <v>0</v>
      </c>
      <c r="AQ301" s="71">
        <f t="shared" ref="AQ301:AQ302" si="3655">HJ301</f>
        <v>0</v>
      </c>
      <c r="AR301" s="71">
        <f t="shared" ref="AR301:AR302" si="3656">HK301</f>
        <v>0</v>
      </c>
      <c r="AS301" s="71">
        <f t="shared" ref="AS301:AS302" si="3657">HL301</f>
        <v>0</v>
      </c>
      <c r="AT301" s="71">
        <f t="shared" ref="AT301:AT302" si="3658">HM301</f>
        <v>0</v>
      </c>
      <c r="AU301" s="71">
        <f t="shared" ref="AU301:AU302" si="3659">HN301</f>
        <v>0</v>
      </c>
      <c r="AV301" s="71">
        <f t="shared" ref="AV301:AV302" si="3660">HO301</f>
        <v>0</v>
      </c>
      <c r="AW301" s="71">
        <f t="shared" ref="AW301:AW302" si="3661">HP301</f>
        <v>0</v>
      </c>
      <c r="AX301" s="71">
        <f t="shared" ref="AX301:AX302" si="3662">HQ301</f>
        <v>0</v>
      </c>
      <c r="AY301" s="71">
        <f t="shared" ref="AY301:AY302" si="3663">HR301</f>
        <v>0</v>
      </c>
      <c r="AZ301" s="72">
        <f t="shared" ref="AZ301:AZ302" si="3664">HS301</f>
        <v>0</v>
      </c>
      <c r="BA301" s="70">
        <f t="shared" si="3123"/>
        <v>13</v>
      </c>
      <c r="BB301" s="69">
        <f t="shared" ca="1" si="3124"/>
        <v>1</v>
      </c>
      <c r="BC301" s="70">
        <f t="shared" ref="BC301:BC302" si="3665">HT301</f>
        <v>1</v>
      </c>
      <c r="BD301" s="71">
        <f t="shared" ref="BD301:BD302" si="3666">HU301</f>
        <v>0</v>
      </c>
      <c r="BE301" s="71">
        <f t="shared" ref="BE301:BE302" si="3667">HV301</f>
        <v>3</v>
      </c>
      <c r="BF301" s="71">
        <f t="shared" ref="BF301:BF302" si="3668">HW301</f>
        <v>0</v>
      </c>
      <c r="BG301" s="71">
        <f t="shared" ref="BG301:BG302" si="3669">HX301</f>
        <v>4</v>
      </c>
      <c r="BH301" s="71">
        <f t="shared" ref="BH301:BH302" si="3670">HY301</f>
        <v>3</v>
      </c>
      <c r="BI301" s="71">
        <f t="shared" ref="BI301:BI302" si="3671">HZ301</f>
        <v>4</v>
      </c>
      <c r="BJ301" s="71">
        <f t="shared" ref="BJ301:BJ302" si="3672">IA301</f>
        <v>3</v>
      </c>
      <c r="BK301" s="71">
        <f t="shared" ref="BK301:BK302" si="3673">IB301</f>
        <v>0</v>
      </c>
      <c r="BL301" s="71">
        <f t="shared" ref="BL301:BL302" si="3674">IC301</f>
        <v>3</v>
      </c>
      <c r="BM301" s="71">
        <f t="shared" ref="BM301:BM302" si="3675">ID301</f>
        <v>0</v>
      </c>
      <c r="BN301" s="71">
        <f t="shared" ref="BN301:BN302" si="3676">IE301</f>
        <v>0</v>
      </c>
      <c r="BO301" s="71">
        <f t="shared" ref="BO301:BO302" si="3677">IF301</f>
        <v>5</v>
      </c>
      <c r="BP301" s="71">
        <f t="shared" ref="BP301:BP302" si="3678">IG301</f>
        <v>0</v>
      </c>
      <c r="BQ301" s="71">
        <f t="shared" ref="BQ301:BQ302" si="3679">IH301</f>
        <v>0</v>
      </c>
      <c r="BR301" s="71">
        <f t="shared" ref="BR301:BR302" si="3680">II301</f>
        <v>0</v>
      </c>
      <c r="BS301" s="71">
        <f t="shared" ref="BS301:BS302" si="3681">IJ301</f>
        <v>0</v>
      </c>
      <c r="BT301" s="71">
        <f t="shared" ref="BT301:BT302" si="3682">IK301</f>
        <v>0</v>
      </c>
      <c r="BU301" s="71">
        <f t="shared" ref="BU301:BU302" si="3683">IL301</f>
        <v>0</v>
      </c>
      <c r="BV301" s="71">
        <f t="shared" ref="BV301:BV302" si="3684">IM301</f>
        <v>0</v>
      </c>
      <c r="BW301" s="71">
        <f t="shared" ref="BW301:BW302" si="3685">IN301</f>
        <v>0</v>
      </c>
      <c r="BX301" s="71">
        <f t="shared" ref="BX301:BX302" si="3686">IO301</f>
        <v>0</v>
      </c>
      <c r="BY301" s="71">
        <f t="shared" ref="BY301:BY302" si="3687">IP301</f>
        <v>0</v>
      </c>
      <c r="BZ301" s="71">
        <f t="shared" ref="BZ301:BZ302" si="3688">IQ301</f>
        <v>0</v>
      </c>
      <c r="CA301" s="71">
        <f t="shared" ref="CA301:CA302" si="3689">IR301</f>
        <v>0</v>
      </c>
      <c r="CB301" s="71">
        <f t="shared" ref="CB301:CB302" si="3690">IS301</f>
        <v>0</v>
      </c>
      <c r="CC301" s="71">
        <f t="shared" ref="CC301:CC302" si="3691">IT301</f>
        <v>0</v>
      </c>
      <c r="CD301" s="71">
        <f t="shared" ref="CD301:CD302" si="3692">IU301</f>
        <v>0</v>
      </c>
      <c r="CE301" s="71">
        <f t="shared" ref="CE301:CE302" si="3693">IV301</f>
        <v>0</v>
      </c>
      <c r="CF301" s="71">
        <f t="shared" ref="CF301:CF302" si="3694">IW301</f>
        <v>0</v>
      </c>
      <c r="CG301" s="71">
        <f t="shared" ref="CG301:CG302" si="3695">IX301</f>
        <v>0</v>
      </c>
      <c r="CH301" s="70">
        <f t="shared" si="3125"/>
        <v>26</v>
      </c>
      <c r="CI301" s="69">
        <f t="shared" ca="1" si="3126"/>
        <v>2</v>
      </c>
      <c r="GM301" s="2" t="s">
        <v>16</v>
      </c>
      <c r="GN301" s="98" t="str">
        <f t="shared" si="3053"/>
        <v>NTH-D-FMCG01-TE-01</v>
      </c>
      <c r="GO301" s="4">
        <v>1</v>
      </c>
      <c r="GP301" s="3">
        <v>1</v>
      </c>
      <c r="GQ301" s="3">
        <v>1</v>
      </c>
      <c r="GR301" s="3">
        <v>0</v>
      </c>
      <c r="GS301" s="3">
        <v>1</v>
      </c>
      <c r="GT301" s="3">
        <v>1</v>
      </c>
      <c r="GU301" s="3">
        <v>1</v>
      </c>
      <c r="GV301" s="3">
        <v>1</v>
      </c>
      <c r="GW301" s="3">
        <v>1</v>
      </c>
      <c r="GX301" s="3">
        <v>1</v>
      </c>
      <c r="GY301" s="3">
        <v>1</v>
      </c>
      <c r="GZ301" s="3">
        <v>1</v>
      </c>
      <c r="HA301" s="3">
        <v>1</v>
      </c>
      <c r="HB301" s="3">
        <v>1</v>
      </c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6"/>
      <c r="HT301" s="4">
        <v>1</v>
      </c>
      <c r="HU301" s="3">
        <v>0</v>
      </c>
      <c r="HV301" s="3">
        <v>3</v>
      </c>
      <c r="HW301" s="3">
        <v>0</v>
      </c>
      <c r="HX301" s="3">
        <v>4</v>
      </c>
      <c r="HY301" s="3">
        <v>3</v>
      </c>
      <c r="HZ301" s="3">
        <v>4</v>
      </c>
      <c r="IA301" s="3">
        <v>3</v>
      </c>
      <c r="IB301" s="3">
        <v>0</v>
      </c>
      <c r="IC301" s="3">
        <v>3</v>
      </c>
      <c r="ID301" s="3">
        <v>0</v>
      </c>
      <c r="IE301" s="3">
        <v>0</v>
      </c>
      <c r="IF301" s="3">
        <v>5</v>
      </c>
      <c r="IG301" s="3">
        <v>0</v>
      </c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6"/>
    </row>
    <row r="302" spans="1:258" hidden="1">
      <c r="A302" s="97" t="s">
        <v>1397</v>
      </c>
      <c r="B302" s="98" t="s">
        <v>20</v>
      </c>
      <c r="C302" s="98" t="s">
        <v>661</v>
      </c>
      <c r="D302" s="99" t="s">
        <v>715</v>
      </c>
      <c r="E302" s="98" t="s">
        <v>716</v>
      </c>
      <c r="F302" s="113" t="s">
        <v>717</v>
      </c>
      <c r="G302" s="98" t="s">
        <v>718</v>
      </c>
      <c r="H302" s="98" t="s">
        <v>719</v>
      </c>
      <c r="I302" s="98" t="s">
        <v>719</v>
      </c>
      <c r="J302" s="98" t="s">
        <v>618</v>
      </c>
      <c r="K302" s="98" t="s">
        <v>31</v>
      </c>
      <c r="L302" s="98" t="s">
        <v>720</v>
      </c>
      <c r="M302" s="98" t="s">
        <v>52</v>
      </c>
      <c r="N302" s="108">
        <v>38468</v>
      </c>
      <c r="O302" s="100">
        <v>0</v>
      </c>
      <c r="P302" s="69">
        <v>0</v>
      </c>
      <c r="Q302" s="69">
        <f>IFERROR(IF(OR(AI302&gt;0),1,0),0)</f>
        <v>0</v>
      </c>
      <c r="R302" s="69">
        <f t="shared" si="3631"/>
        <v>0</v>
      </c>
      <c r="S302" s="69">
        <f>IFERROR(IF(OR(BP302&gt;0),1,0),0)</f>
        <v>0</v>
      </c>
      <c r="T302" s="69">
        <f t="shared" si="3632"/>
        <v>0</v>
      </c>
      <c r="U302" s="69">
        <f t="shared" si="3633"/>
        <v>0</v>
      </c>
      <c r="V302" s="70">
        <f t="shared" si="3634"/>
        <v>0</v>
      </c>
      <c r="W302" s="71">
        <f t="shared" si="3635"/>
        <v>0</v>
      </c>
      <c r="X302" s="71">
        <f t="shared" si="3636"/>
        <v>0</v>
      </c>
      <c r="Y302" s="71">
        <f t="shared" si="3637"/>
        <v>0</v>
      </c>
      <c r="Z302" s="71">
        <f t="shared" si="3638"/>
        <v>0</v>
      </c>
      <c r="AA302" s="71">
        <f t="shared" si="3639"/>
        <v>0</v>
      </c>
      <c r="AB302" s="71">
        <f t="shared" si="3640"/>
        <v>0</v>
      </c>
      <c r="AC302" s="71">
        <f t="shared" si="3641"/>
        <v>0</v>
      </c>
      <c r="AD302" s="71">
        <f t="shared" si="3642"/>
        <v>0</v>
      </c>
      <c r="AE302" s="71">
        <f t="shared" si="3643"/>
        <v>0</v>
      </c>
      <c r="AF302" s="71">
        <f t="shared" si="3644"/>
        <v>0</v>
      </c>
      <c r="AG302" s="71">
        <f t="shared" si="3645"/>
        <v>0</v>
      </c>
      <c r="AH302" s="71">
        <f t="shared" si="3646"/>
        <v>0</v>
      </c>
      <c r="AI302" s="71">
        <f t="shared" si="3647"/>
        <v>0</v>
      </c>
      <c r="AJ302" s="71">
        <f t="shared" si="3648"/>
        <v>0</v>
      </c>
      <c r="AK302" s="71">
        <f t="shared" si="3649"/>
        <v>0</v>
      </c>
      <c r="AL302" s="71">
        <f t="shared" si="3650"/>
        <v>0</v>
      </c>
      <c r="AM302" s="71">
        <f t="shared" si="3651"/>
        <v>0</v>
      </c>
      <c r="AN302" s="71">
        <f t="shared" si="3652"/>
        <v>0</v>
      </c>
      <c r="AO302" s="71">
        <f t="shared" si="3653"/>
        <v>0</v>
      </c>
      <c r="AP302" s="71">
        <f t="shared" si="3654"/>
        <v>0</v>
      </c>
      <c r="AQ302" s="71">
        <f t="shared" si="3655"/>
        <v>0</v>
      </c>
      <c r="AR302" s="71">
        <f t="shared" si="3656"/>
        <v>0</v>
      </c>
      <c r="AS302" s="71">
        <f t="shared" si="3657"/>
        <v>0</v>
      </c>
      <c r="AT302" s="71">
        <f t="shared" si="3658"/>
        <v>0</v>
      </c>
      <c r="AU302" s="71">
        <f t="shared" si="3659"/>
        <v>0</v>
      </c>
      <c r="AV302" s="71">
        <f t="shared" si="3660"/>
        <v>0</v>
      </c>
      <c r="AW302" s="71">
        <f t="shared" si="3661"/>
        <v>0</v>
      </c>
      <c r="AX302" s="71">
        <f t="shared" si="3662"/>
        <v>0</v>
      </c>
      <c r="AY302" s="71">
        <f t="shared" si="3663"/>
        <v>0</v>
      </c>
      <c r="AZ302" s="72">
        <f t="shared" si="3664"/>
        <v>0</v>
      </c>
      <c r="BA302" s="70">
        <f t="shared" si="3123"/>
        <v>0</v>
      </c>
      <c r="BB302" s="69">
        <f t="shared" ca="1" si="3124"/>
        <v>0</v>
      </c>
      <c r="BC302" s="70">
        <f t="shared" si="3665"/>
        <v>0</v>
      </c>
      <c r="BD302" s="71">
        <f t="shared" si="3666"/>
        <v>0</v>
      </c>
      <c r="BE302" s="71">
        <f t="shared" si="3667"/>
        <v>0</v>
      </c>
      <c r="BF302" s="71">
        <f t="shared" si="3668"/>
        <v>0</v>
      </c>
      <c r="BG302" s="71">
        <f t="shared" si="3669"/>
        <v>0</v>
      </c>
      <c r="BH302" s="71">
        <f t="shared" si="3670"/>
        <v>0</v>
      </c>
      <c r="BI302" s="71">
        <f t="shared" si="3671"/>
        <v>0</v>
      </c>
      <c r="BJ302" s="71">
        <f t="shared" si="3672"/>
        <v>0</v>
      </c>
      <c r="BK302" s="71">
        <f t="shared" si="3673"/>
        <v>0</v>
      </c>
      <c r="BL302" s="71">
        <f t="shared" si="3674"/>
        <v>0</v>
      </c>
      <c r="BM302" s="71">
        <f t="shared" si="3675"/>
        <v>0</v>
      </c>
      <c r="BN302" s="71">
        <f t="shared" si="3676"/>
        <v>0</v>
      </c>
      <c r="BO302" s="71">
        <f t="shared" si="3677"/>
        <v>0</v>
      </c>
      <c r="BP302" s="71">
        <f t="shared" si="3678"/>
        <v>0</v>
      </c>
      <c r="BQ302" s="71">
        <f t="shared" si="3679"/>
        <v>0</v>
      </c>
      <c r="BR302" s="71">
        <f t="shared" si="3680"/>
        <v>0</v>
      </c>
      <c r="BS302" s="71">
        <f t="shared" si="3681"/>
        <v>0</v>
      </c>
      <c r="BT302" s="71">
        <f t="shared" si="3682"/>
        <v>0</v>
      </c>
      <c r="BU302" s="71">
        <f t="shared" si="3683"/>
        <v>0</v>
      </c>
      <c r="BV302" s="71">
        <f t="shared" si="3684"/>
        <v>0</v>
      </c>
      <c r="BW302" s="71">
        <f t="shared" si="3685"/>
        <v>0</v>
      </c>
      <c r="BX302" s="71">
        <f t="shared" si="3686"/>
        <v>0</v>
      </c>
      <c r="BY302" s="71">
        <f t="shared" si="3687"/>
        <v>0</v>
      </c>
      <c r="BZ302" s="71">
        <f t="shared" si="3688"/>
        <v>0</v>
      </c>
      <c r="CA302" s="71">
        <f t="shared" si="3689"/>
        <v>0</v>
      </c>
      <c r="CB302" s="71">
        <f t="shared" si="3690"/>
        <v>0</v>
      </c>
      <c r="CC302" s="71">
        <f t="shared" si="3691"/>
        <v>0</v>
      </c>
      <c r="CD302" s="71">
        <f t="shared" si="3692"/>
        <v>0</v>
      </c>
      <c r="CE302" s="71">
        <f t="shared" si="3693"/>
        <v>0</v>
      </c>
      <c r="CF302" s="71">
        <f t="shared" si="3694"/>
        <v>0</v>
      </c>
      <c r="CG302" s="71">
        <f t="shared" si="3695"/>
        <v>0</v>
      </c>
      <c r="CH302" s="70">
        <f t="shared" si="3125"/>
        <v>0</v>
      </c>
      <c r="CI302" s="69">
        <f t="shared" ca="1" si="3126"/>
        <v>0</v>
      </c>
      <c r="GM302" s="2" t="s">
        <v>16</v>
      </c>
      <c r="GN302" s="113" t="str">
        <f t="shared" si="3053"/>
        <v>NTH-D-FMCG-RSM-01</v>
      </c>
      <c r="GO302" s="4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6"/>
      <c r="HT302" s="4">
        <v>0</v>
      </c>
      <c r="HU302" s="3">
        <v>0</v>
      </c>
      <c r="HV302" s="3">
        <v>0</v>
      </c>
      <c r="HW302" s="3">
        <v>0</v>
      </c>
      <c r="HX302" s="3">
        <v>0</v>
      </c>
      <c r="HY302" s="3">
        <v>0</v>
      </c>
      <c r="HZ302" s="3">
        <v>0</v>
      </c>
      <c r="IA302" s="3">
        <v>0</v>
      </c>
      <c r="IB302" s="3">
        <v>0</v>
      </c>
      <c r="IC302" s="3">
        <v>0</v>
      </c>
      <c r="ID302" s="3">
        <v>0</v>
      </c>
      <c r="IE302" s="3">
        <v>0</v>
      </c>
      <c r="IF302" s="3">
        <v>0</v>
      </c>
      <c r="IG302" s="3">
        <v>0</v>
      </c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6"/>
    </row>
    <row r="303" spans="1:258" hidden="1">
      <c r="A303" s="109" t="s">
        <v>158</v>
      </c>
      <c r="B303" s="110" t="s">
        <v>20</v>
      </c>
      <c r="C303" s="110" t="s">
        <v>661</v>
      </c>
      <c r="D303" s="111" t="s">
        <v>715</v>
      </c>
      <c r="E303" s="110" t="s">
        <v>716</v>
      </c>
      <c r="F303" s="135" t="s">
        <v>717</v>
      </c>
      <c r="G303" s="110" t="s">
        <v>718</v>
      </c>
      <c r="H303" s="110" t="s">
        <v>719</v>
      </c>
      <c r="I303" s="110" t="s">
        <v>719</v>
      </c>
      <c r="J303" s="110" t="s">
        <v>618</v>
      </c>
      <c r="K303" s="110" t="s">
        <v>31</v>
      </c>
      <c r="L303" s="110" t="s">
        <v>720</v>
      </c>
      <c r="M303" s="110" t="s">
        <v>52</v>
      </c>
      <c r="N303" s="140">
        <v>38468</v>
      </c>
      <c r="O303" s="112">
        <f>O296+O288+O300+O301+O280</f>
        <v>18</v>
      </c>
      <c r="P303" s="77">
        <f t="shared" ref="P303:CA303" si="3696">P296+P288+P300+P301+P280</f>
        <v>1</v>
      </c>
      <c r="Q303" s="77">
        <f t="shared" si="3696"/>
        <v>13</v>
      </c>
      <c r="R303" s="77">
        <f t="shared" si="3696"/>
        <v>18</v>
      </c>
      <c r="S303" s="77">
        <f t="shared" si="3696"/>
        <v>6</v>
      </c>
      <c r="T303" s="77">
        <f t="shared" si="3696"/>
        <v>18</v>
      </c>
      <c r="U303" s="77">
        <f t="shared" si="3696"/>
        <v>18</v>
      </c>
      <c r="V303" s="78">
        <f t="shared" si="3696"/>
        <v>16</v>
      </c>
      <c r="W303" s="79">
        <f t="shared" si="3696"/>
        <v>16</v>
      </c>
      <c r="X303" s="79">
        <f t="shared" si="3696"/>
        <v>16</v>
      </c>
      <c r="Y303" s="79">
        <f t="shared" si="3696"/>
        <v>1</v>
      </c>
      <c r="Z303" s="79">
        <f t="shared" si="3696"/>
        <v>15</v>
      </c>
      <c r="AA303" s="79">
        <f t="shared" si="3696"/>
        <v>14</v>
      </c>
      <c r="AB303" s="79">
        <f t="shared" si="3696"/>
        <v>13</v>
      </c>
      <c r="AC303" s="79">
        <f t="shared" si="3696"/>
        <v>13</v>
      </c>
      <c r="AD303" s="79">
        <f t="shared" si="3696"/>
        <v>16</v>
      </c>
      <c r="AE303" s="79">
        <f t="shared" si="3696"/>
        <v>13</v>
      </c>
      <c r="AF303" s="79">
        <f t="shared" si="3696"/>
        <v>1</v>
      </c>
      <c r="AG303" s="79">
        <f t="shared" si="3696"/>
        <v>15</v>
      </c>
      <c r="AH303" s="79">
        <f t="shared" si="3696"/>
        <v>13</v>
      </c>
      <c r="AI303" s="79">
        <f t="shared" si="3696"/>
        <v>16</v>
      </c>
      <c r="AJ303" s="79">
        <f t="shared" si="3696"/>
        <v>0</v>
      </c>
      <c r="AK303" s="79">
        <f t="shared" si="3696"/>
        <v>0</v>
      </c>
      <c r="AL303" s="79">
        <f t="shared" si="3696"/>
        <v>0</v>
      </c>
      <c r="AM303" s="79">
        <f t="shared" si="3696"/>
        <v>0</v>
      </c>
      <c r="AN303" s="79">
        <f t="shared" si="3696"/>
        <v>0</v>
      </c>
      <c r="AO303" s="79">
        <f t="shared" si="3696"/>
        <v>0</v>
      </c>
      <c r="AP303" s="79">
        <f t="shared" si="3696"/>
        <v>0</v>
      </c>
      <c r="AQ303" s="79">
        <f t="shared" si="3696"/>
        <v>0</v>
      </c>
      <c r="AR303" s="79">
        <f t="shared" si="3696"/>
        <v>0</v>
      </c>
      <c r="AS303" s="79">
        <f t="shared" si="3696"/>
        <v>0</v>
      </c>
      <c r="AT303" s="79">
        <f t="shared" si="3696"/>
        <v>0</v>
      </c>
      <c r="AU303" s="79">
        <f t="shared" si="3696"/>
        <v>0</v>
      </c>
      <c r="AV303" s="79">
        <f t="shared" si="3696"/>
        <v>0</v>
      </c>
      <c r="AW303" s="79">
        <f t="shared" si="3696"/>
        <v>0</v>
      </c>
      <c r="AX303" s="79">
        <f t="shared" si="3696"/>
        <v>0</v>
      </c>
      <c r="AY303" s="79">
        <f t="shared" si="3696"/>
        <v>0</v>
      </c>
      <c r="AZ303" s="80">
        <f t="shared" si="3696"/>
        <v>0</v>
      </c>
      <c r="BA303" s="78">
        <f t="shared" ref="BA303" si="3697">SUM(V303:AZ303)</f>
        <v>178</v>
      </c>
      <c r="BB303" s="77">
        <f t="shared" ca="1" si="3124"/>
        <v>0.80542986425339358</v>
      </c>
      <c r="BC303" s="78">
        <f t="shared" si="3696"/>
        <v>394</v>
      </c>
      <c r="BD303" s="79">
        <f t="shared" si="3696"/>
        <v>452</v>
      </c>
      <c r="BE303" s="79">
        <f t="shared" si="3696"/>
        <v>421</v>
      </c>
      <c r="BF303" s="79">
        <f t="shared" si="3696"/>
        <v>3</v>
      </c>
      <c r="BG303" s="79">
        <f t="shared" si="3696"/>
        <v>391</v>
      </c>
      <c r="BH303" s="79">
        <f t="shared" si="3696"/>
        <v>215</v>
      </c>
      <c r="BI303" s="79">
        <f t="shared" si="3696"/>
        <v>394</v>
      </c>
      <c r="BJ303" s="79">
        <f t="shared" si="3696"/>
        <v>300</v>
      </c>
      <c r="BK303" s="79">
        <f t="shared" si="3696"/>
        <v>439</v>
      </c>
      <c r="BL303" s="79">
        <f t="shared" si="3696"/>
        <v>414</v>
      </c>
      <c r="BM303" s="79">
        <f t="shared" si="3696"/>
        <v>0</v>
      </c>
      <c r="BN303" s="79">
        <f t="shared" si="3696"/>
        <v>343</v>
      </c>
      <c r="BO303" s="79">
        <f t="shared" si="3696"/>
        <v>284</v>
      </c>
      <c r="BP303" s="79">
        <f t="shared" si="3696"/>
        <v>25</v>
      </c>
      <c r="BQ303" s="79">
        <f t="shared" si="3696"/>
        <v>0</v>
      </c>
      <c r="BR303" s="79">
        <f t="shared" si="3696"/>
        <v>0</v>
      </c>
      <c r="BS303" s="79">
        <f t="shared" si="3696"/>
        <v>0</v>
      </c>
      <c r="BT303" s="79">
        <f t="shared" si="3696"/>
        <v>0</v>
      </c>
      <c r="BU303" s="79">
        <f t="shared" si="3696"/>
        <v>0</v>
      </c>
      <c r="BV303" s="79">
        <f t="shared" si="3696"/>
        <v>0</v>
      </c>
      <c r="BW303" s="79">
        <f t="shared" si="3696"/>
        <v>0</v>
      </c>
      <c r="BX303" s="79">
        <f t="shared" si="3696"/>
        <v>0</v>
      </c>
      <c r="BY303" s="79">
        <f t="shared" si="3696"/>
        <v>0</v>
      </c>
      <c r="BZ303" s="79">
        <f t="shared" si="3696"/>
        <v>0</v>
      </c>
      <c r="CA303" s="79">
        <f t="shared" si="3696"/>
        <v>0</v>
      </c>
      <c r="CB303" s="79">
        <f t="shared" ref="CB303:CG303" si="3698">CB296+CB288+CB300+CB301+CB280</f>
        <v>0</v>
      </c>
      <c r="CC303" s="79">
        <f t="shared" si="3698"/>
        <v>0</v>
      </c>
      <c r="CD303" s="79">
        <f t="shared" si="3698"/>
        <v>0</v>
      </c>
      <c r="CE303" s="79">
        <f t="shared" si="3698"/>
        <v>0</v>
      </c>
      <c r="CF303" s="79">
        <f t="shared" si="3698"/>
        <v>0</v>
      </c>
      <c r="CG303" s="79">
        <f t="shared" si="3698"/>
        <v>0</v>
      </c>
      <c r="CH303" s="78">
        <f t="shared" si="3125"/>
        <v>4075</v>
      </c>
      <c r="CI303" s="77">
        <f t="shared" ca="1" si="3126"/>
        <v>18.43891402714932</v>
      </c>
      <c r="GM303" s="2" t="s">
        <v>17</v>
      </c>
      <c r="GN303" s="135" t="str">
        <f t="shared" si="3053"/>
        <v>NTH-D-FMCG-RSM-01</v>
      </c>
      <c r="GO303" s="4">
        <v>0</v>
      </c>
      <c r="GP303" s="3">
        <v>0</v>
      </c>
      <c r="GQ303" s="3">
        <v>0</v>
      </c>
      <c r="GR303" s="3">
        <v>0</v>
      </c>
      <c r="GS303" s="3">
        <v>0</v>
      </c>
      <c r="GT303" s="3">
        <v>0</v>
      </c>
      <c r="GU303" s="3">
        <v>0</v>
      </c>
      <c r="GV303" s="3">
        <v>0</v>
      </c>
      <c r="GW303" s="3">
        <v>0</v>
      </c>
      <c r="GX303" s="3">
        <v>0</v>
      </c>
      <c r="GY303" s="3">
        <v>0</v>
      </c>
      <c r="GZ303" s="3">
        <v>0</v>
      </c>
      <c r="HA303" s="3">
        <v>0</v>
      </c>
      <c r="HB303" s="3">
        <v>0</v>
      </c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6"/>
      <c r="HT303" s="4">
        <v>0</v>
      </c>
      <c r="HU303" s="3">
        <v>0</v>
      </c>
      <c r="HV303" s="3">
        <v>0</v>
      </c>
      <c r="HW303" s="3">
        <v>0</v>
      </c>
      <c r="HX303" s="3">
        <v>0</v>
      </c>
      <c r="HY303" s="3">
        <v>0</v>
      </c>
      <c r="HZ303" s="3">
        <v>0</v>
      </c>
      <c r="IA303" s="3">
        <v>0</v>
      </c>
      <c r="IB303" s="3">
        <v>0</v>
      </c>
      <c r="IC303" s="3">
        <v>0</v>
      </c>
      <c r="ID303" s="3">
        <v>0</v>
      </c>
      <c r="IE303" s="3">
        <v>0</v>
      </c>
      <c r="IF303" s="3">
        <v>0</v>
      </c>
      <c r="IG303" s="3">
        <v>0</v>
      </c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6"/>
    </row>
    <row r="304" spans="1:258" hidden="1">
      <c r="A304" s="97" t="s">
        <v>25</v>
      </c>
      <c r="B304" s="98" t="s">
        <v>26</v>
      </c>
      <c r="C304" s="98" t="s">
        <v>721</v>
      </c>
      <c r="D304" s="99" t="s">
        <v>1249</v>
      </c>
      <c r="E304" s="98" t="s">
        <v>722</v>
      </c>
      <c r="F304" s="98" t="s">
        <v>723</v>
      </c>
      <c r="G304" s="98" t="s">
        <v>724</v>
      </c>
      <c r="H304" s="98" t="s">
        <v>1604</v>
      </c>
      <c r="I304" s="98" t="s">
        <v>1604</v>
      </c>
      <c r="J304" s="98" t="s">
        <v>906</v>
      </c>
      <c r="K304" s="98" t="s">
        <v>1127</v>
      </c>
      <c r="L304" s="98" t="s">
        <v>725</v>
      </c>
      <c r="M304" s="98" t="s">
        <v>1093</v>
      </c>
      <c r="N304" s="108">
        <v>45598</v>
      </c>
      <c r="O304" s="100">
        <v>1</v>
      </c>
      <c r="P304" s="69">
        <v>0</v>
      </c>
      <c r="Q304" s="69">
        <f t="shared" ref="Q304:Q310" si="3699">IFERROR(IF(OR(AI304&gt;0),1,0),0)</f>
        <v>1</v>
      </c>
      <c r="R304" s="69">
        <f t="shared" ref="R304:R310" si="3700">IFERROR(IF(OR(BA304&gt;0),1,0),0)</f>
        <v>1</v>
      </c>
      <c r="S304" s="69">
        <f t="shared" ref="S304:S310" si="3701">IFERROR(IF(OR(BP304&gt;0),1,0),0)</f>
        <v>1</v>
      </c>
      <c r="T304" s="69">
        <f t="shared" ref="T304:T310" si="3702">IFERROR(IF(OR(CH304&gt;0),1,0),0)</f>
        <v>1</v>
      </c>
      <c r="U304" s="69">
        <f t="shared" ref="U304:U310" si="3703">IFERROR(IF(OR(BA304&gt;0,CH304&gt;0),1,0),0)</f>
        <v>1</v>
      </c>
      <c r="V304" s="70">
        <f t="shared" ref="V304:V310" si="3704">GO304</f>
        <v>1</v>
      </c>
      <c r="W304" s="71">
        <f t="shared" ref="W304:W310" si="3705">GP304</f>
        <v>0</v>
      </c>
      <c r="X304" s="71">
        <f t="shared" ref="X304:X310" si="3706">GQ304</f>
        <v>1</v>
      </c>
      <c r="Y304" s="71">
        <f t="shared" ref="Y304:Y310" si="3707">GR304</f>
        <v>1</v>
      </c>
      <c r="Z304" s="71">
        <f t="shared" ref="Z304:Z310" si="3708">GS304</f>
        <v>1</v>
      </c>
      <c r="AA304" s="71">
        <f t="shared" ref="AA304:AA310" si="3709">GT304</f>
        <v>1</v>
      </c>
      <c r="AB304" s="71">
        <f t="shared" ref="AB304:AB310" si="3710">GU304</f>
        <v>1</v>
      </c>
      <c r="AC304" s="71">
        <f t="shared" ref="AC304:AC310" si="3711">GV304</f>
        <v>1</v>
      </c>
      <c r="AD304" s="71">
        <f t="shared" ref="AD304:AD310" si="3712">GW304</f>
        <v>0</v>
      </c>
      <c r="AE304" s="71">
        <f t="shared" ref="AE304:AE310" si="3713">GX304</f>
        <v>1</v>
      </c>
      <c r="AF304" s="71">
        <f t="shared" ref="AF304:AF310" si="3714">GY304</f>
        <v>1</v>
      </c>
      <c r="AG304" s="71">
        <f t="shared" ref="AG304:AG310" si="3715">GZ304</f>
        <v>1</v>
      </c>
      <c r="AH304" s="71">
        <f t="shared" ref="AH304:AH310" si="3716">HA304</f>
        <v>1</v>
      </c>
      <c r="AI304" s="71">
        <f t="shared" ref="AI304:AI310" si="3717">HB304</f>
        <v>1</v>
      </c>
      <c r="AJ304" s="71">
        <f t="shared" ref="AJ304:AJ310" si="3718">HC304</f>
        <v>0</v>
      </c>
      <c r="AK304" s="71">
        <f t="shared" ref="AK304:AK310" si="3719">HD304</f>
        <v>0</v>
      </c>
      <c r="AL304" s="71">
        <f t="shared" ref="AL304:AL310" si="3720">HE304</f>
        <v>0</v>
      </c>
      <c r="AM304" s="71">
        <f t="shared" ref="AM304:AM310" si="3721">HF304</f>
        <v>0</v>
      </c>
      <c r="AN304" s="71">
        <f t="shared" ref="AN304:AN310" si="3722">HG304</f>
        <v>0</v>
      </c>
      <c r="AO304" s="71">
        <f t="shared" ref="AO304:AO310" si="3723">HH304</f>
        <v>0</v>
      </c>
      <c r="AP304" s="71">
        <f t="shared" ref="AP304:AP310" si="3724">HI304</f>
        <v>0</v>
      </c>
      <c r="AQ304" s="71">
        <f t="shared" ref="AQ304:AQ310" si="3725">HJ304</f>
        <v>0</v>
      </c>
      <c r="AR304" s="71">
        <f t="shared" ref="AR304:AR310" si="3726">HK304</f>
        <v>0</v>
      </c>
      <c r="AS304" s="71">
        <f t="shared" ref="AS304:AS310" si="3727">HL304</f>
        <v>0</v>
      </c>
      <c r="AT304" s="71">
        <f t="shared" ref="AT304:AT310" si="3728">HM304</f>
        <v>0</v>
      </c>
      <c r="AU304" s="71">
        <f t="shared" ref="AU304:AU310" si="3729">HN304</f>
        <v>0</v>
      </c>
      <c r="AV304" s="71">
        <f t="shared" ref="AV304:AV310" si="3730">HO304</f>
        <v>0</v>
      </c>
      <c r="AW304" s="71">
        <f t="shared" ref="AW304:AW310" si="3731">HP304</f>
        <v>0</v>
      </c>
      <c r="AX304" s="71">
        <f t="shared" ref="AX304:AX310" si="3732">HQ304</f>
        <v>0</v>
      </c>
      <c r="AY304" s="71">
        <f t="shared" ref="AY304:AY310" si="3733">HR304</f>
        <v>0</v>
      </c>
      <c r="AZ304" s="72">
        <f t="shared" ref="AZ304:AZ310" si="3734">HS304</f>
        <v>0</v>
      </c>
      <c r="BA304" s="70">
        <f t="shared" si="3123"/>
        <v>12</v>
      </c>
      <c r="BB304" s="69">
        <f t="shared" ca="1" si="3124"/>
        <v>0.92307692307692313</v>
      </c>
      <c r="BC304" s="70">
        <f t="shared" ref="BC304:BC310" si="3735">HT304</f>
        <v>18</v>
      </c>
      <c r="BD304" s="71">
        <f t="shared" ref="BD304:BD310" si="3736">HU304</f>
        <v>0</v>
      </c>
      <c r="BE304" s="71">
        <f t="shared" ref="BE304:BE310" si="3737">HV304</f>
        <v>30</v>
      </c>
      <c r="BF304" s="71">
        <f t="shared" ref="BF304:BF310" si="3738">HW304</f>
        <v>29</v>
      </c>
      <c r="BG304" s="71">
        <f t="shared" ref="BG304:BG310" si="3739">HX304</f>
        <v>0</v>
      </c>
      <c r="BH304" s="71">
        <f t="shared" ref="BH304:BH310" si="3740">HY304</f>
        <v>38</v>
      </c>
      <c r="BI304" s="71">
        <f t="shared" ref="BI304:BI310" si="3741">HZ304</f>
        <v>40</v>
      </c>
      <c r="BJ304" s="71">
        <f t="shared" ref="BJ304:BJ310" si="3742">IA304</f>
        <v>35</v>
      </c>
      <c r="BK304" s="71">
        <f t="shared" ref="BK304:BK310" si="3743">IB304</f>
        <v>0</v>
      </c>
      <c r="BL304" s="71">
        <f t="shared" ref="BL304:BL310" si="3744">IC304</f>
        <v>40</v>
      </c>
      <c r="BM304" s="71">
        <f t="shared" ref="BM304:BM310" si="3745">ID304</f>
        <v>44</v>
      </c>
      <c r="BN304" s="71">
        <f t="shared" ref="BN304:BN310" si="3746">IE304</f>
        <v>40</v>
      </c>
      <c r="BO304" s="71">
        <f t="shared" ref="BO304:BO310" si="3747">IF304</f>
        <v>0</v>
      </c>
      <c r="BP304" s="71">
        <f t="shared" ref="BP304:BP310" si="3748">IG304</f>
        <v>23</v>
      </c>
      <c r="BQ304" s="71">
        <f t="shared" ref="BQ304:BQ310" si="3749">IH304</f>
        <v>0</v>
      </c>
      <c r="BR304" s="71">
        <f t="shared" ref="BR304:BR310" si="3750">II304</f>
        <v>0</v>
      </c>
      <c r="BS304" s="71">
        <f t="shared" ref="BS304:BS310" si="3751">IJ304</f>
        <v>0</v>
      </c>
      <c r="BT304" s="71">
        <f t="shared" ref="BT304:BT310" si="3752">IK304</f>
        <v>0</v>
      </c>
      <c r="BU304" s="71">
        <f t="shared" ref="BU304:BU310" si="3753">IL304</f>
        <v>0</v>
      </c>
      <c r="BV304" s="71">
        <f t="shared" ref="BV304:BV310" si="3754">IM304</f>
        <v>0</v>
      </c>
      <c r="BW304" s="71">
        <f t="shared" ref="BW304:BW310" si="3755">IN304</f>
        <v>0</v>
      </c>
      <c r="BX304" s="71">
        <f t="shared" ref="BX304:BX310" si="3756">IO304</f>
        <v>0</v>
      </c>
      <c r="BY304" s="71">
        <f t="shared" ref="BY304:BY310" si="3757">IP304</f>
        <v>0</v>
      </c>
      <c r="BZ304" s="71">
        <f t="shared" ref="BZ304:BZ310" si="3758">IQ304</f>
        <v>0</v>
      </c>
      <c r="CA304" s="71">
        <f t="shared" ref="CA304:CA310" si="3759">IR304</f>
        <v>0</v>
      </c>
      <c r="CB304" s="71">
        <f t="shared" ref="CB304:CB310" si="3760">IS304</f>
        <v>0</v>
      </c>
      <c r="CC304" s="71">
        <f t="shared" ref="CC304:CC310" si="3761">IT304</f>
        <v>0</v>
      </c>
      <c r="CD304" s="71">
        <f t="shared" ref="CD304:CD310" si="3762">IU304</f>
        <v>0</v>
      </c>
      <c r="CE304" s="71">
        <f t="shared" ref="CE304:CE310" si="3763">IV304</f>
        <v>0</v>
      </c>
      <c r="CF304" s="71">
        <f t="shared" ref="CF304:CF310" si="3764">IW304</f>
        <v>0</v>
      </c>
      <c r="CG304" s="71">
        <f t="shared" ref="CG304:CG310" si="3765">IX304</f>
        <v>0</v>
      </c>
      <c r="CH304" s="70">
        <f t="shared" si="3125"/>
        <v>337</v>
      </c>
      <c r="CI304" s="69">
        <f t="shared" ca="1" si="3126"/>
        <v>25.923076923076923</v>
      </c>
      <c r="GM304" s="2" t="s">
        <v>16</v>
      </c>
      <c r="GN304" s="98" t="str">
        <f t="shared" si="3053"/>
        <v>SGD01-FMCG01-SPO-01</v>
      </c>
      <c r="GO304" s="4">
        <v>1</v>
      </c>
      <c r="GP304" s="3">
        <v>0</v>
      </c>
      <c r="GQ304" s="3">
        <v>1</v>
      </c>
      <c r="GR304" s="3">
        <v>1</v>
      </c>
      <c r="GS304" s="3">
        <v>1</v>
      </c>
      <c r="GT304" s="3">
        <v>1</v>
      </c>
      <c r="GU304" s="3">
        <v>1</v>
      </c>
      <c r="GV304" s="3">
        <v>1</v>
      </c>
      <c r="GW304" s="3">
        <v>0</v>
      </c>
      <c r="GX304" s="3">
        <v>1</v>
      </c>
      <c r="GY304" s="3">
        <v>1</v>
      </c>
      <c r="GZ304" s="3">
        <v>1</v>
      </c>
      <c r="HA304" s="3">
        <v>1</v>
      </c>
      <c r="HB304" s="3">
        <v>1</v>
      </c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6"/>
      <c r="HT304" s="4">
        <v>18</v>
      </c>
      <c r="HU304" s="3">
        <v>0</v>
      </c>
      <c r="HV304" s="3">
        <v>30</v>
      </c>
      <c r="HW304" s="3">
        <v>29</v>
      </c>
      <c r="HX304" s="3">
        <v>0</v>
      </c>
      <c r="HY304" s="3">
        <v>38</v>
      </c>
      <c r="HZ304" s="3">
        <v>40</v>
      </c>
      <c r="IA304" s="3">
        <v>35</v>
      </c>
      <c r="IB304" s="3">
        <v>0</v>
      </c>
      <c r="IC304" s="3">
        <v>40</v>
      </c>
      <c r="ID304" s="3">
        <v>44</v>
      </c>
      <c r="IE304" s="3">
        <v>40</v>
      </c>
      <c r="IF304" s="3">
        <v>0</v>
      </c>
      <c r="IG304" s="3">
        <v>23</v>
      </c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6"/>
    </row>
    <row r="305" spans="1:258" hidden="1">
      <c r="A305" s="106" t="s">
        <v>25</v>
      </c>
      <c r="B305" s="101" t="s">
        <v>26</v>
      </c>
      <c r="C305" s="101" t="s">
        <v>721</v>
      </c>
      <c r="D305" s="107" t="s">
        <v>1249</v>
      </c>
      <c r="E305" s="101" t="s">
        <v>726</v>
      </c>
      <c r="F305" s="101" t="s">
        <v>727</v>
      </c>
      <c r="G305" s="98" t="s">
        <v>730</v>
      </c>
      <c r="H305" s="101" t="s">
        <v>1680</v>
      </c>
      <c r="I305" s="101" t="s">
        <v>1605</v>
      </c>
      <c r="J305" s="101" t="s">
        <v>852</v>
      </c>
      <c r="K305" s="98" t="s">
        <v>179</v>
      </c>
      <c r="L305" s="101" t="s">
        <v>1679</v>
      </c>
      <c r="M305" s="101" t="s">
        <v>1093</v>
      </c>
      <c r="N305" s="139">
        <v>46247</v>
      </c>
      <c r="O305" s="100">
        <v>1</v>
      </c>
      <c r="P305" s="69">
        <v>0</v>
      </c>
      <c r="Q305" s="69">
        <f t="shared" si="3699"/>
        <v>1</v>
      </c>
      <c r="R305" s="69">
        <f t="shared" si="3700"/>
        <v>1</v>
      </c>
      <c r="S305" s="69">
        <f t="shared" si="3701"/>
        <v>1</v>
      </c>
      <c r="T305" s="69">
        <f t="shared" si="3702"/>
        <v>1</v>
      </c>
      <c r="U305" s="69">
        <f t="shared" si="3703"/>
        <v>1</v>
      </c>
      <c r="V305" s="70">
        <f t="shared" si="3704"/>
        <v>1</v>
      </c>
      <c r="W305" s="71">
        <f t="shared" si="3705"/>
        <v>0</v>
      </c>
      <c r="X305" s="71">
        <f t="shared" si="3706"/>
        <v>1</v>
      </c>
      <c r="Y305" s="71">
        <f t="shared" si="3707"/>
        <v>1</v>
      </c>
      <c r="Z305" s="71">
        <f t="shared" si="3708"/>
        <v>1</v>
      </c>
      <c r="AA305" s="71">
        <f t="shared" si="3709"/>
        <v>1</v>
      </c>
      <c r="AB305" s="71">
        <f t="shared" si="3710"/>
        <v>1</v>
      </c>
      <c r="AC305" s="71">
        <f t="shared" si="3711"/>
        <v>1</v>
      </c>
      <c r="AD305" s="71">
        <f t="shared" si="3712"/>
        <v>0</v>
      </c>
      <c r="AE305" s="71">
        <f t="shared" si="3713"/>
        <v>1</v>
      </c>
      <c r="AF305" s="71">
        <f t="shared" si="3714"/>
        <v>1</v>
      </c>
      <c r="AG305" s="71">
        <f t="shared" si="3715"/>
        <v>1</v>
      </c>
      <c r="AH305" s="71">
        <f t="shared" si="3716"/>
        <v>1</v>
      </c>
      <c r="AI305" s="71">
        <f t="shared" si="3717"/>
        <v>1</v>
      </c>
      <c r="AJ305" s="71">
        <f t="shared" si="3718"/>
        <v>0</v>
      </c>
      <c r="AK305" s="71">
        <f t="shared" si="3719"/>
        <v>0</v>
      </c>
      <c r="AL305" s="71">
        <f t="shared" si="3720"/>
        <v>0</v>
      </c>
      <c r="AM305" s="71">
        <f t="shared" si="3721"/>
        <v>0</v>
      </c>
      <c r="AN305" s="71">
        <f t="shared" si="3722"/>
        <v>0</v>
      </c>
      <c r="AO305" s="71">
        <f t="shared" si="3723"/>
        <v>0</v>
      </c>
      <c r="AP305" s="71">
        <f t="shared" si="3724"/>
        <v>0</v>
      </c>
      <c r="AQ305" s="71">
        <f t="shared" si="3725"/>
        <v>0</v>
      </c>
      <c r="AR305" s="71">
        <f t="shared" si="3726"/>
        <v>0</v>
      </c>
      <c r="AS305" s="71">
        <f t="shared" si="3727"/>
        <v>0</v>
      </c>
      <c r="AT305" s="71">
        <f t="shared" si="3728"/>
        <v>0</v>
      </c>
      <c r="AU305" s="71">
        <f t="shared" si="3729"/>
        <v>0</v>
      </c>
      <c r="AV305" s="71">
        <f t="shared" si="3730"/>
        <v>0</v>
      </c>
      <c r="AW305" s="71">
        <f t="shared" si="3731"/>
        <v>0</v>
      </c>
      <c r="AX305" s="71">
        <f t="shared" si="3732"/>
        <v>0</v>
      </c>
      <c r="AY305" s="71">
        <f t="shared" si="3733"/>
        <v>0</v>
      </c>
      <c r="AZ305" s="72">
        <f t="shared" si="3734"/>
        <v>0</v>
      </c>
      <c r="BA305" s="70">
        <f t="shared" si="3123"/>
        <v>12</v>
      </c>
      <c r="BB305" s="69">
        <f t="shared" ca="1" si="3124"/>
        <v>0.92307692307692313</v>
      </c>
      <c r="BC305" s="70">
        <f t="shared" si="3735"/>
        <v>0</v>
      </c>
      <c r="BD305" s="71">
        <f t="shared" si="3736"/>
        <v>0</v>
      </c>
      <c r="BE305" s="71">
        <f t="shared" si="3737"/>
        <v>0</v>
      </c>
      <c r="BF305" s="71">
        <f t="shared" si="3738"/>
        <v>0</v>
      </c>
      <c r="BG305" s="71">
        <f t="shared" si="3739"/>
        <v>0</v>
      </c>
      <c r="BH305" s="71">
        <f t="shared" si="3740"/>
        <v>0</v>
      </c>
      <c r="BI305" s="71">
        <f t="shared" si="3741"/>
        <v>0</v>
      </c>
      <c r="BJ305" s="71">
        <f t="shared" si="3742"/>
        <v>0</v>
      </c>
      <c r="BK305" s="71">
        <f t="shared" si="3743"/>
        <v>0</v>
      </c>
      <c r="BL305" s="71">
        <f t="shared" si="3744"/>
        <v>39</v>
      </c>
      <c r="BM305" s="71">
        <f t="shared" si="3745"/>
        <v>0</v>
      </c>
      <c r="BN305" s="71">
        <f t="shared" si="3746"/>
        <v>0</v>
      </c>
      <c r="BO305" s="71">
        <f t="shared" si="3747"/>
        <v>0</v>
      </c>
      <c r="BP305" s="71">
        <f t="shared" si="3748"/>
        <v>5</v>
      </c>
      <c r="BQ305" s="71">
        <f t="shared" si="3749"/>
        <v>0</v>
      </c>
      <c r="BR305" s="71">
        <f t="shared" si="3750"/>
        <v>0</v>
      </c>
      <c r="BS305" s="71">
        <f t="shared" si="3751"/>
        <v>0</v>
      </c>
      <c r="BT305" s="71">
        <f t="shared" si="3752"/>
        <v>0</v>
      </c>
      <c r="BU305" s="71">
        <f t="shared" si="3753"/>
        <v>0</v>
      </c>
      <c r="BV305" s="71">
        <f t="shared" si="3754"/>
        <v>0</v>
      </c>
      <c r="BW305" s="71">
        <f t="shared" si="3755"/>
        <v>0</v>
      </c>
      <c r="BX305" s="71">
        <f t="shared" si="3756"/>
        <v>0</v>
      </c>
      <c r="BY305" s="71">
        <f t="shared" si="3757"/>
        <v>0</v>
      </c>
      <c r="BZ305" s="71">
        <f t="shared" si="3758"/>
        <v>0</v>
      </c>
      <c r="CA305" s="71">
        <f t="shared" si="3759"/>
        <v>0</v>
      </c>
      <c r="CB305" s="71">
        <f t="shared" si="3760"/>
        <v>0</v>
      </c>
      <c r="CC305" s="71">
        <f t="shared" si="3761"/>
        <v>0</v>
      </c>
      <c r="CD305" s="71">
        <f t="shared" si="3762"/>
        <v>0</v>
      </c>
      <c r="CE305" s="71">
        <f t="shared" si="3763"/>
        <v>0</v>
      </c>
      <c r="CF305" s="71">
        <f t="shared" si="3764"/>
        <v>0</v>
      </c>
      <c r="CG305" s="71">
        <f t="shared" si="3765"/>
        <v>0</v>
      </c>
      <c r="CH305" s="70">
        <f t="shared" si="3125"/>
        <v>44</v>
      </c>
      <c r="CI305" s="69">
        <f t="shared" ca="1" si="3126"/>
        <v>3.3846153846153846</v>
      </c>
      <c r="GM305" s="2" t="s">
        <v>16</v>
      </c>
      <c r="GN305" s="101" t="str">
        <f t="shared" si="3053"/>
        <v>SGD01-FMCG01-SPO-02</v>
      </c>
      <c r="GO305" s="4">
        <v>1</v>
      </c>
      <c r="GP305" s="3">
        <v>0</v>
      </c>
      <c r="GQ305" s="3">
        <v>1</v>
      </c>
      <c r="GR305" s="3">
        <v>1</v>
      </c>
      <c r="GS305" s="3">
        <v>1</v>
      </c>
      <c r="GT305" s="3">
        <v>1</v>
      </c>
      <c r="GU305" s="3">
        <v>1</v>
      </c>
      <c r="GV305" s="3">
        <v>1</v>
      </c>
      <c r="GW305" s="3">
        <v>0</v>
      </c>
      <c r="GX305" s="3">
        <v>1</v>
      </c>
      <c r="GY305" s="3">
        <v>1</v>
      </c>
      <c r="GZ305" s="3">
        <v>1</v>
      </c>
      <c r="HA305" s="3">
        <v>1</v>
      </c>
      <c r="HB305" s="3">
        <v>1</v>
      </c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6"/>
      <c r="HT305" s="4">
        <v>0</v>
      </c>
      <c r="HU305" s="3">
        <v>0</v>
      </c>
      <c r="HV305" s="3">
        <v>0</v>
      </c>
      <c r="HW305" s="3">
        <v>0</v>
      </c>
      <c r="HX305" s="3">
        <v>0</v>
      </c>
      <c r="HY305" s="3">
        <v>0</v>
      </c>
      <c r="HZ305" s="3">
        <v>0</v>
      </c>
      <c r="IA305" s="3">
        <v>0</v>
      </c>
      <c r="IB305" s="3">
        <v>0</v>
      </c>
      <c r="IC305" s="3">
        <v>39</v>
      </c>
      <c r="ID305" s="3">
        <v>0</v>
      </c>
      <c r="IE305" s="3">
        <v>0</v>
      </c>
      <c r="IF305" s="3">
        <v>0</v>
      </c>
      <c r="IG305" s="3">
        <v>5</v>
      </c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6"/>
    </row>
    <row r="306" spans="1:258" hidden="1">
      <c r="A306" s="97" t="s">
        <v>25</v>
      </c>
      <c r="B306" s="98" t="s">
        <v>26</v>
      </c>
      <c r="C306" s="98" t="s">
        <v>721</v>
      </c>
      <c r="D306" s="99" t="s">
        <v>1249</v>
      </c>
      <c r="E306" s="98" t="s">
        <v>731</v>
      </c>
      <c r="F306" s="98" t="s">
        <v>732</v>
      </c>
      <c r="G306" s="98" t="s">
        <v>733</v>
      </c>
      <c r="H306" s="98" t="s">
        <v>1606</v>
      </c>
      <c r="I306" s="98" t="s">
        <v>1606</v>
      </c>
      <c r="J306" s="98" t="s">
        <v>852</v>
      </c>
      <c r="K306" s="98" t="s">
        <v>1127</v>
      </c>
      <c r="L306" s="98" t="s">
        <v>734</v>
      </c>
      <c r="M306" s="101" t="s">
        <v>1093</v>
      </c>
      <c r="N306" s="139">
        <v>44938</v>
      </c>
      <c r="O306" s="100">
        <v>1</v>
      </c>
      <c r="P306" s="69">
        <v>0</v>
      </c>
      <c r="Q306" s="69">
        <f t="shared" si="3699"/>
        <v>1</v>
      </c>
      <c r="R306" s="69">
        <f t="shared" si="3700"/>
        <v>1</v>
      </c>
      <c r="S306" s="69">
        <f t="shared" si="3701"/>
        <v>0</v>
      </c>
      <c r="T306" s="69">
        <f t="shared" si="3702"/>
        <v>1</v>
      </c>
      <c r="U306" s="69">
        <f t="shared" si="3703"/>
        <v>1</v>
      </c>
      <c r="V306" s="70">
        <f t="shared" si="3704"/>
        <v>1</v>
      </c>
      <c r="W306" s="71">
        <f t="shared" si="3705"/>
        <v>0</v>
      </c>
      <c r="X306" s="71">
        <f t="shared" si="3706"/>
        <v>1</v>
      </c>
      <c r="Y306" s="71">
        <f t="shared" si="3707"/>
        <v>1</v>
      </c>
      <c r="Z306" s="71">
        <f t="shared" si="3708"/>
        <v>1</v>
      </c>
      <c r="AA306" s="71">
        <f t="shared" si="3709"/>
        <v>1</v>
      </c>
      <c r="AB306" s="71">
        <f t="shared" si="3710"/>
        <v>1</v>
      </c>
      <c r="AC306" s="71">
        <f t="shared" si="3711"/>
        <v>1</v>
      </c>
      <c r="AD306" s="71">
        <f t="shared" si="3712"/>
        <v>0</v>
      </c>
      <c r="AE306" s="71">
        <f t="shared" si="3713"/>
        <v>1</v>
      </c>
      <c r="AF306" s="71">
        <f t="shared" si="3714"/>
        <v>1</v>
      </c>
      <c r="AG306" s="71">
        <f t="shared" si="3715"/>
        <v>1</v>
      </c>
      <c r="AH306" s="71">
        <f t="shared" si="3716"/>
        <v>1</v>
      </c>
      <c r="AI306" s="71">
        <f t="shared" si="3717"/>
        <v>1</v>
      </c>
      <c r="AJ306" s="71">
        <f t="shared" si="3718"/>
        <v>0</v>
      </c>
      <c r="AK306" s="71">
        <f t="shared" si="3719"/>
        <v>0</v>
      </c>
      <c r="AL306" s="71">
        <f t="shared" si="3720"/>
        <v>0</v>
      </c>
      <c r="AM306" s="71">
        <f t="shared" si="3721"/>
        <v>0</v>
      </c>
      <c r="AN306" s="71">
        <f t="shared" si="3722"/>
        <v>0</v>
      </c>
      <c r="AO306" s="71">
        <f t="shared" si="3723"/>
        <v>0</v>
      </c>
      <c r="AP306" s="71">
        <f t="shared" si="3724"/>
        <v>0</v>
      </c>
      <c r="AQ306" s="71">
        <f t="shared" si="3725"/>
        <v>0</v>
      </c>
      <c r="AR306" s="71">
        <f t="shared" si="3726"/>
        <v>0</v>
      </c>
      <c r="AS306" s="71">
        <f t="shared" si="3727"/>
        <v>0</v>
      </c>
      <c r="AT306" s="71">
        <f t="shared" si="3728"/>
        <v>0</v>
      </c>
      <c r="AU306" s="71">
        <f t="shared" si="3729"/>
        <v>0</v>
      </c>
      <c r="AV306" s="71">
        <f t="shared" si="3730"/>
        <v>0</v>
      </c>
      <c r="AW306" s="71">
        <f t="shared" si="3731"/>
        <v>0</v>
      </c>
      <c r="AX306" s="71">
        <f t="shared" si="3732"/>
        <v>0</v>
      </c>
      <c r="AY306" s="71">
        <f t="shared" si="3733"/>
        <v>0</v>
      </c>
      <c r="AZ306" s="72">
        <f t="shared" si="3734"/>
        <v>0</v>
      </c>
      <c r="BA306" s="70">
        <f t="shared" si="3123"/>
        <v>12</v>
      </c>
      <c r="BB306" s="69">
        <f t="shared" ca="1" si="3124"/>
        <v>0.92307692307692313</v>
      </c>
      <c r="BC306" s="70">
        <f t="shared" si="3735"/>
        <v>0</v>
      </c>
      <c r="BD306" s="71">
        <f t="shared" si="3736"/>
        <v>0</v>
      </c>
      <c r="BE306" s="71">
        <f t="shared" si="3737"/>
        <v>41</v>
      </c>
      <c r="BF306" s="71">
        <f t="shared" si="3738"/>
        <v>38</v>
      </c>
      <c r="BG306" s="71">
        <f t="shared" si="3739"/>
        <v>0</v>
      </c>
      <c r="BH306" s="71">
        <f t="shared" si="3740"/>
        <v>48</v>
      </c>
      <c r="BI306" s="71">
        <f t="shared" si="3741"/>
        <v>0</v>
      </c>
      <c r="BJ306" s="71">
        <f t="shared" si="3742"/>
        <v>52</v>
      </c>
      <c r="BK306" s="71">
        <f t="shared" si="3743"/>
        <v>0</v>
      </c>
      <c r="BL306" s="71">
        <f t="shared" si="3744"/>
        <v>50</v>
      </c>
      <c r="BM306" s="71">
        <f t="shared" si="3745"/>
        <v>41</v>
      </c>
      <c r="BN306" s="71">
        <f t="shared" si="3746"/>
        <v>39</v>
      </c>
      <c r="BO306" s="71">
        <f t="shared" si="3747"/>
        <v>0</v>
      </c>
      <c r="BP306" s="71">
        <f t="shared" si="3748"/>
        <v>0</v>
      </c>
      <c r="BQ306" s="71">
        <f t="shared" si="3749"/>
        <v>0</v>
      </c>
      <c r="BR306" s="71">
        <f t="shared" si="3750"/>
        <v>0</v>
      </c>
      <c r="BS306" s="71">
        <f t="shared" si="3751"/>
        <v>0</v>
      </c>
      <c r="BT306" s="71">
        <f t="shared" si="3752"/>
        <v>0</v>
      </c>
      <c r="BU306" s="71">
        <f t="shared" si="3753"/>
        <v>0</v>
      </c>
      <c r="BV306" s="71">
        <f t="shared" si="3754"/>
        <v>0</v>
      </c>
      <c r="BW306" s="71">
        <f t="shared" si="3755"/>
        <v>0</v>
      </c>
      <c r="BX306" s="71">
        <f t="shared" si="3756"/>
        <v>0</v>
      </c>
      <c r="BY306" s="71">
        <f t="shared" si="3757"/>
        <v>0</v>
      </c>
      <c r="BZ306" s="71">
        <f t="shared" si="3758"/>
        <v>0</v>
      </c>
      <c r="CA306" s="71">
        <f t="shared" si="3759"/>
        <v>0</v>
      </c>
      <c r="CB306" s="71">
        <f t="shared" si="3760"/>
        <v>0</v>
      </c>
      <c r="CC306" s="71">
        <f t="shared" si="3761"/>
        <v>0</v>
      </c>
      <c r="CD306" s="71">
        <f t="shared" si="3762"/>
        <v>0</v>
      </c>
      <c r="CE306" s="71">
        <f t="shared" si="3763"/>
        <v>0</v>
      </c>
      <c r="CF306" s="71">
        <f t="shared" si="3764"/>
        <v>0</v>
      </c>
      <c r="CG306" s="71">
        <f t="shared" si="3765"/>
        <v>0</v>
      </c>
      <c r="CH306" s="70">
        <f t="shared" si="3125"/>
        <v>309</v>
      </c>
      <c r="CI306" s="69">
        <f t="shared" ca="1" si="3126"/>
        <v>23.76923076923077</v>
      </c>
      <c r="GM306" s="2" t="s">
        <v>16</v>
      </c>
      <c r="GN306" s="98" t="str">
        <f t="shared" si="3053"/>
        <v>SGD01-FMCG02-SPO-01</v>
      </c>
      <c r="GO306" s="4">
        <v>1</v>
      </c>
      <c r="GP306" s="3">
        <v>0</v>
      </c>
      <c r="GQ306" s="3">
        <v>1</v>
      </c>
      <c r="GR306" s="3">
        <v>1</v>
      </c>
      <c r="GS306" s="3">
        <v>1</v>
      </c>
      <c r="GT306" s="3">
        <v>1</v>
      </c>
      <c r="GU306" s="3">
        <v>1</v>
      </c>
      <c r="GV306" s="3">
        <v>1</v>
      </c>
      <c r="GW306" s="3">
        <v>0</v>
      </c>
      <c r="GX306" s="3">
        <v>1</v>
      </c>
      <c r="GY306" s="3">
        <v>1</v>
      </c>
      <c r="GZ306" s="3">
        <v>1</v>
      </c>
      <c r="HA306" s="3">
        <v>1</v>
      </c>
      <c r="HB306" s="3">
        <v>1</v>
      </c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6"/>
      <c r="HT306" s="4">
        <v>0</v>
      </c>
      <c r="HU306" s="3">
        <v>0</v>
      </c>
      <c r="HV306" s="3">
        <v>41</v>
      </c>
      <c r="HW306" s="3">
        <v>38</v>
      </c>
      <c r="HX306" s="3">
        <v>0</v>
      </c>
      <c r="HY306" s="3">
        <v>48</v>
      </c>
      <c r="HZ306" s="3">
        <v>0</v>
      </c>
      <c r="IA306" s="3">
        <v>52</v>
      </c>
      <c r="IB306" s="3">
        <v>0</v>
      </c>
      <c r="IC306" s="3">
        <v>50</v>
      </c>
      <c r="ID306" s="3">
        <v>41</v>
      </c>
      <c r="IE306" s="3">
        <v>39</v>
      </c>
      <c r="IF306" s="3">
        <v>0</v>
      </c>
      <c r="IG306" s="3">
        <v>0</v>
      </c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6"/>
    </row>
    <row r="307" spans="1:258" hidden="1">
      <c r="A307" s="97" t="s">
        <v>25</v>
      </c>
      <c r="B307" s="98" t="s">
        <v>90</v>
      </c>
      <c r="C307" s="98" t="s">
        <v>721</v>
      </c>
      <c r="D307" s="99" t="s">
        <v>1249</v>
      </c>
      <c r="E307" s="98" t="s">
        <v>1025</v>
      </c>
      <c r="F307" s="98" t="s">
        <v>1076</v>
      </c>
      <c r="G307" s="98" t="s">
        <v>728</v>
      </c>
      <c r="H307" s="98" t="s">
        <v>1607</v>
      </c>
      <c r="I307" s="98" t="s">
        <v>1607</v>
      </c>
      <c r="J307" s="98" t="s">
        <v>853</v>
      </c>
      <c r="K307" s="98" t="s">
        <v>179</v>
      </c>
      <c r="L307" s="98" t="s">
        <v>729</v>
      </c>
      <c r="M307" s="101" t="s">
        <v>1093</v>
      </c>
      <c r="N307" s="139">
        <v>46037</v>
      </c>
      <c r="O307" s="100">
        <v>1</v>
      </c>
      <c r="P307" s="69">
        <v>0</v>
      </c>
      <c r="Q307" s="69">
        <f t="shared" si="3699"/>
        <v>1</v>
      </c>
      <c r="R307" s="69">
        <f t="shared" si="3700"/>
        <v>1</v>
      </c>
      <c r="S307" s="69">
        <f t="shared" si="3701"/>
        <v>0</v>
      </c>
      <c r="T307" s="69">
        <f t="shared" si="3702"/>
        <v>1</v>
      </c>
      <c r="U307" s="69">
        <f t="shared" si="3703"/>
        <v>1</v>
      </c>
      <c r="V307" s="70">
        <f t="shared" si="3704"/>
        <v>1</v>
      </c>
      <c r="W307" s="71">
        <f t="shared" si="3705"/>
        <v>0</v>
      </c>
      <c r="X307" s="71">
        <f t="shared" si="3706"/>
        <v>1</v>
      </c>
      <c r="Y307" s="71">
        <f t="shared" si="3707"/>
        <v>1</v>
      </c>
      <c r="Z307" s="71">
        <f t="shared" si="3708"/>
        <v>1</v>
      </c>
      <c r="AA307" s="71">
        <f t="shared" si="3709"/>
        <v>1</v>
      </c>
      <c r="AB307" s="71">
        <f t="shared" si="3710"/>
        <v>1</v>
      </c>
      <c r="AC307" s="71">
        <f t="shared" si="3711"/>
        <v>1</v>
      </c>
      <c r="AD307" s="71">
        <f t="shared" si="3712"/>
        <v>0</v>
      </c>
      <c r="AE307" s="71">
        <f t="shared" si="3713"/>
        <v>1</v>
      </c>
      <c r="AF307" s="71">
        <f t="shared" si="3714"/>
        <v>1</v>
      </c>
      <c r="AG307" s="71">
        <f t="shared" si="3715"/>
        <v>1</v>
      </c>
      <c r="AH307" s="71">
        <f t="shared" si="3716"/>
        <v>1</v>
      </c>
      <c r="AI307" s="71">
        <f t="shared" si="3717"/>
        <v>1</v>
      </c>
      <c r="AJ307" s="71">
        <f t="shared" si="3718"/>
        <v>0</v>
      </c>
      <c r="AK307" s="71">
        <f t="shared" si="3719"/>
        <v>0</v>
      </c>
      <c r="AL307" s="71">
        <f t="shared" si="3720"/>
        <v>0</v>
      </c>
      <c r="AM307" s="71">
        <f t="shared" si="3721"/>
        <v>0</v>
      </c>
      <c r="AN307" s="71">
        <f t="shared" si="3722"/>
        <v>0</v>
      </c>
      <c r="AO307" s="71">
        <f t="shared" si="3723"/>
        <v>0</v>
      </c>
      <c r="AP307" s="71">
        <f t="shared" si="3724"/>
        <v>0</v>
      </c>
      <c r="AQ307" s="71">
        <f t="shared" si="3725"/>
        <v>0</v>
      </c>
      <c r="AR307" s="71">
        <f t="shared" si="3726"/>
        <v>0</v>
      </c>
      <c r="AS307" s="71">
        <f t="shared" si="3727"/>
        <v>0</v>
      </c>
      <c r="AT307" s="71">
        <f t="shared" si="3728"/>
        <v>0</v>
      </c>
      <c r="AU307" s="71">
        <f t="shared" si="3729"/>
        <v>0</v>
      </c>
      <c r="AV307" s="71">
        <f t="shared" si="3730"/>
        <v>0</v>
      </c>
      <c r="AW307" s="71">
        <f t="shared" si="3731"/>
        <v>0</v>
      </c>
      <c r="AX307" s="71">
        <f t="shared" si="3732"/>
        <v>0</v>
      </c>
      <c r="AY307" s="71">
        <f t="shared" si="3733"/>
        <v>0</v>
      </c>
      <c r="AZ307" s="72">
        <f t="shared" si="3734"/>
        <v>0</v>
      </c>
      <c r="BA307" s="70">
        <f t="shared" si="3123"/>
        <v>12</v>
      </c>
      <c r="BB307" s="69">
        <f t="shared" ca="1" si="3124"/>
        <v>0.92307692307692313</v>
      </c>
      <c r="BC307" s="70">
        <f t="shared" si="3735"/>
        <v>0</v>
      </c>
      <c r="BD307" s="71">
        <f t="shared" si="3736"/>
        <v>0</v>
      </c>
      <c r="BE307" s="71">
        <f t="shared" si="3737"/>
        <v>41</v>
      </c>
      <c r="BF307" s="71">
        <f t="shared" si="3738"/>
        <v>42</v>
      </c>
      <c r="BG307" s="71">
        <f t="shared" si="3739"/>
        <v>40</v>
      </c>
      <c r="BH307" s="71">
        <f t="shared" si="3740"/>
        <v>40</v>
      </c>
      <c r="BI307" s="71">
        <f t="shared" si="3741"/>
        <v>40</v>
      </c>
      <c r="BJ307" s="71">
        <f t="shared" si="3742"/>
        <v>37</v>
      </c>
      <c r="BK307" s="71">
        <f t="shared" si="3743"/>
        <v>0</v>
      </c>
      <c r="BL307" s="71">
        <f t="shared" si="3744"/>
        <v>0</v>
      </c>
      <c r="BM307" s="71">
        <f t="shared" si="3745"/>
        <v>0</v>
      </c>
      <c r="BN307" s="71">
        <f t="shared" si="3746"/>
        <v>0</v>
      </c>
      <c r="BO307" s="71">
        <f t="shared" si="3747"/>
        <v>0</v>
      </c>
      <c r="BP307" s="71">
        <f t="shared" si="3748"/>
        <v>0</v>
      </c>
      <c r="BQ307" s="71">
        <f t="shared" si="3749"/>
        <v>0</v>
      </c>
      <c r="BR307" s="71">
        <f t="shared" si="3750"/>
        <v>0</v>
      </c>
      <c r="BS307" s="71">
        <f t="shared" si="3751"/>
        <v>0</v>
      </c>
      <c r="BT307" s="71">
        <f t="shared" si="3752"/>
        <v>0</v>
      </c>
      <c r="BU307" s="71">
        <f t="shared" si="3753"/>
        <v>0</v>
      </c>
      <c r="BV307" s="71">
        <f t="shared" si="3754"/>
        <v>0</v>
      </c>
      <c r="BW307" s="71">
        <f t="shared" si="3755"/>
        <v>0</v>
      </c>
      <c r="BX307" s="71">
        <f t="shared" si="3756"/>
        <v>0</v>
      </c>
      <c r="BY307" s="71">
        <f t="shared" si="3757"/>
        <v>0</v>
      </c>
      <c r="BZ307" s="71">
        <f t="shared" si="3758"/>
        <v>0</v>
      </c>
      <c r="CA307" s="71">
        <f t="shared" si="3759"/>
        <v>0</v>
      </c>
      <c r="CB307" s="71">
        <f t="shared" si="3760"/>
        <v>0</v>
      </c>
      <c r="CC307" s="71">
        <f t="shared" si="3761"/>
        <v>0</v>
      </c>
      <c r="CD307" s="71">
        <f t="shared" si="3762"/>
        <v>0</v>
      </c>
      <c r="CE307" s="71">
        <f t="shared" si="3763"/>
        <v>0</v>
      </c>
      <c r="CF307" s="71">
        <f t="shared" si="3764"/>
        <v>0</v>
      </c>
      <c r="CG307" s="71">
        <f t="shared" si="3765"/>
        <v>0</v>
      </c>
      <c r="CH307" s="70">
        <f t="shared" si="3125"/>
        <v>240</v>
      </c>
      <c r="CI307" s="69">
        <f t="shared" ca="1" si="3126"/>
        <v>18.46153846153846</v>
      </c>
      <c r="GM307" s="2" t="s">
        <v>16</v>
      </c>
      <c r="GN307" s="98" t="str">
        <f t="shared" si="3053"/>
        <v>SGD01-FMCG-SPO-01</v>
      </c>
      <c r="GO307" s="4">
        <v>1</v>
      </c>
      <c r="GP307" s="3">
        <v>0</v>
      </c>
      <c r="GQ307" s="3">
        <v>1</v>
      </c>
      <c r="GR307" s="3">
        <v>1</v>
      </c>
      <c r="GS307" s="3">
        <v>1</v>
      </c>
      <c r="GT307" s="3">
        <v>1</v>
      </c>
      <c r="GU307" s="3">
        <v>1</v>
      </c>
      <c r="GV307" s="3">
        <v>1</v>
      </c>
      <c r="GW307" s="3">
        <v>0</v>
      </c>
      <c r="GX307" s="3">
        <v>1</v>
      </c>
      <c r="GY307" s="3">
        <v>1</v>
      </c>
      <c r="GZ307" s="3">
        <v>1</v>
      </c>
      <c r="HA307" s="3">
        <v>1</v>
      </c>
      <c r="HB307" s="3">
        <v>1</v>
      </c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6"/>
      <c r="HT307" s="4">
        <v>0</v>
      </c>
      <c r="HU307" s="3">
        <v>0</v>
      </c>
      <c r="HV307" s="3">
        <v>41</v>
      </c>
      <c r="HW307" s="3">
        <v>42</v>
      </c>
      <c r="HX307" s="3">
        <v>40</v>
      </c>
      <c r="HY307" s="3">
        <v>40</v>
      </c>
      <c r="HZ307" s="3">
        <v>40</v>
      </c>
      <c r="IA307" s="3">
        <v>37</v>
      </c>
      <c r="IB307" s="3">
        <v>0</v>
      </c>
      <c r="IC307" s="3">
        <v>0</v>
      </c>
      <c r="ID307" s="3">
        <v>0</v>
      </c>
      <c r="IE307" s="3">
        <v>0</v>
      </c>
      <c r="IF307" s="3">
        <v>0</v>
      </c>
      <c r="IG307" s="3">
        <v>0</v>
      </c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6"/>
    </row>
    <row r="308" spans="1:258" hidden="1">
      <c r="A308" s="97" t="s">
        <v>25</v>
      </c>
      <c r="B308" s="98" t="s">
        <v>90</v>
      </c>
      <c r="C308" s="98" t="s">
        <v>721</v>
      </c>
      <c r="D308" s="99" t="s">
        <v>1249</v>
      </c>
      <c r="E308" s="98" t="s">
        <v>1026</v>
      </c>
      <c r="F308" s="98" t="s">
        <v>1077</v>
      </c>
      <c r="G308" s="98" t="s">
        <v>735</v>
      </c>
      <c r="H308" s="98" t="s">
        <v>1696</v>
      </c>
      <c r="I308" s="98" t="s">
        <v>1689</v>
      </c>
      <c r="J308" s="98" t="s">
        <v>852</v>
      </c>
      <c r="K308" s="98" t="s">
        <v>1127</v>
      </c>
      <c r="L308" s="139" t="s">
        <v>1697</v>
      </c>
      <c r="M308" s="101" t="s">
        <v>1093</v>
      </c>
      <c r="N308" s="139">
        <v>46270</v>
      </c>
      <c r="O308" s="100">
        <v>1</v>
      </c>
      <c r="P308" s="69">
        <v>0</v>
      </c>
      <c r="Q308" s="69">
        <f t="shared" si="3699"/>
        <v>1</v>
      </c>
      <c r="R308" s="69">
        <f t="shared" si="3700"/>
        <v>1</v>
      </c>
      <c r="S308" s="69">
        <f t="shared" si="3701"/>
        <v>0</v>
      </c>
      <c r="T308" s="69">
        <f t="shared" si="3702"/>
        <v>1</v>
      </c>
      <c r="U308" s="69">
        <f t="shared" si="3703"/>
        <v>1</v>
      </c>
      <c r="V308" s="70">
        <f t="shared" si="3704"/>
        <v>1</v>
      </c>
      <c r="W308" s="71">
        <f t="shared" si="3705"/>
        <v>0</v>
      </c>
      <c r="X308" s="71">
        <f t="shared" si="3706"/>
        <v>1</v>
      </c>
      <c r="Y308" s="71">
        <f t="shared" si="3707"/>
        <v>1</v>
      </c>
      <c r="Z308" s="71">
        <f t="shared" si="3708"/>
        <v>1</v>
      </c>
      <c r="AA308" s="71">
        <f t="shared" si="3709"/>
        <v>1</v>
      </c>
      <c r="AB308" s="71">
        <f t="shared" si="3710"/>
        <v>1</v>
      </c>
      <c r="AC308" s="71">
        <f t="shared" si="3711"/>
        <v>1</v>
      </c>
      <c r="AD308" s="71">
        <f t="shared" si="3712"/>
        <v>0</v>
      </c>
      <c r="AE308" s="71">
        <f t="shared" si="3713"/>
        <v>1</v>
      </c>
      <c r="AF308" s="71">
        <f t="shared" si="3714"/>
        <v>1</v>
      </c>
      <c r="AG308" s="71">
        <f t="shared" si="3715"/>
        <v>1</v>
      </c>
      <c r="AH308" s="71">
        <f t="shared" si="3716"/>
        <v>1</v>
      </c>
      <c r="AI308" s="71">
        <f t="shared" si="3717"/>
        <v>1</v>
      </c>
      <c r="AJ308" s="71">
        <f t="shared" si="3718"/>
        <v>0</v>
      </c>
      <c r="AK308" s="71">
        <f t="shared" si="3719"/>
        <v>0</v>
      </c>
      <c r="AL308" s="71">
        <f t="shared" si="3720"/>
        <v>0</v>
      </c>
      <c r="AM308" s="71">
        <f t="shared" si="3721"/>
        <v>0</v>
      </c>
      <c r="AN308" s="71">
        <f t="shared" si="3722"/>
        <v>0</v>
      </c>
      <c r="AO308" s="71">
        <f t="shared" si="3723"/>
        <v>0</v>
      </c>
      <c r="AP308" s="71">
        <f t="shared" si="3724"/>
        <v>0</v>
      </c>
      <c r="AQ308" s="71">
        <f t="shared" si="3725"/>
        <v>0</v>
      </c>
      <c r="AR308" s="71">
        <f t="shared" si="3726"/>
        <v>0</v>
      </c>
      <c r="AS308" s="71">
        <f t="shared" si="3727"/>
        <v>0</v>
      </c>
      <c r="AT308" s="71">
        <f t="shared" si="3728"/>
        <v>0</v>
      </c>
      <c r="AU308" s="71">
        <f t="shared" si="3729"/>
        <v>0</v>
      </c>
      <c r="AV308" s="71">
        <f t="shared" si="3730"/>
        <v>0</v>
      </c>
      <c r="AW308" s="71">
        <f t="shared" si="3731"/>
        <v>0</v>
      </c>
      <c r="AX308" s="71">
        <f t="shared" si="3732"/>
        <v>0</v>
      </c>
      <c r="AY308" s="71">
        <f t="shared" si="3733"/>
        <v>0</v>
      </c>
      <c r="AZ308" s="72">
        <f t="shared" si="3734"/>
        <v>0</v>
      </c>
      <c r="BA308" s="70">
        <f t="shared" si="3123"/>
        <v>12</v>
      </c>
      <c r="BB308" s="69">
        <f t="shared" ca="1" si="3124"/>
        <v>0.92307692307692313</v>
      </c>
      <c r="BC308" s="70">
        <f t="shared" si="3735"/>
        <v>0</v>
      </c>
      <c r="BD308" s="71">
        <f t="shared" si="3736"/>
        <v>0</v>
      </c>
      <c r="BE308" s="71">
        <f t="shared" si="3737"/>
        <v>8</v>
      </c>
      <c r="BF308" s="71">
        <f t="shared" si="3738"/>
        <v>20</v>
      </c>
      <c r="BG308" s="71">
        <f t="shared" si="3739"/>
        <v>19</v>
      </c>
      <c r="BH308" s="71">
        <f t="shared" si="3740"/>
        <v>10</v>
      </c>
      <c r="BI308" s="71">
        <f t="shared" si="3741"/>
        <v>27</v>
      </c>
      <c r="BJ308" s="71">
        <f t="shared" si="3742"/>
        <v>4</v>
      </c>
      <c r="BK308" s="71">
        <f t="shared" si="3743"/>
        <v>0</v>
      </c>
      <c r="BL308" s="71">
        <f t="shared" si="3744"/>
        <v>29</v>
      </c>
      <c r="BM308" s="71">
        <f t="shared" si="3745"/>
        <v>23</v>
      </c>
      <c r="BN308" s="71">
        <f t="shared" si="3746"/>
        <v>0</v>
      </c>
      <c r="BO308" s="71">
        <f t="shared" si="3747"/>
        <v>21</v>
      </c>
      <c r="BP308" s="71">
        <f t="shared" si="3748"/>
        <v>0</v>
      </c>
      <c r="BQ308" s="71">
        <f t="shared" si="3749"/>
        <v>0</v>
      </c>
      <c r="BR308" s="71">
        <f t="shared" si="3750"/>
        <v>0</v>
      </c>
      <c r="BS308" s="71">
        <f t="shared" si="3751"/>
        <v>0</v>
      </c>
      <c r="BT308" s="71">
        <f t="shared" si="3752"/>
        <v>0</v>
      </c>
      <c r="BU308" s="71">
        <f t="shared" si="3753"/>
        <v>0</v>
      </c>
      <c r="BV308" s="71">
        <f t="shared" si="3754"/>
        <v>0</v>
      </c>
      <c r="BW308" s="71">
        <f t="shared" si="3755"/>
        <v>0</v>
      </c>
      <c r="BX308" s="71">
        <f t="shared" si="3756"/>
        <v>0</v>
      </c>
      <c r="BY308" s="71">
        <f t="shared" si="3757"/>
        <v>0</v>
      </c>
      <c r="BZ308" s="71">
        <f t="shared" si="3758"/>
        <v>0</v>
      </c>
      <c r="CA308" s="71">
        <f t="shared" si="3759"/>
        <v>0</v>
      </c>
      <c r="CB308" s="71">
        <f t="shared" si="3760"/>
        <v>0</v>
      </c>
      <c r="CC308" s="71">
        <f t="shared" si="3761"/>
        <v>0</v>
      </c>
      <c r="CD308" s="71">
        <f t="shared" si="3762"/>
        <v>0</v>
      </c>
      <c r="CE308" s="71">
        <f t="shared" si="3763"/>
        <v>0</v>
      </c>
      <c r="CF308" s="71">
        <f t="shared" si="3764"/>
        <v>0</v>
      </c>
      <c r="CG308" s="71">
        <f t="shared" si="3765"/>
        <v>0</v>
      </c>
      <c r="CH308" s="70">
        <f t="shared" si="3125"/>
        <v>161</v>
      </c>
      <c r="CI308" s="69">
        <f t="shared" ca="1" si="3126"/>
        <v>12.384615384615385</v>
      </c>
      <c r="GM308" s="2" t="s">
        <v>16</v>
      </c>
      <c r="GN308" s="98" t="str">
        <f t="shared" si="3053"/>
        <v>SGD01-FMCG03-SPO-01</v>
      </c>
      <c r="GO308" s="4">
        <v>1</v>
      </c>
      <c r="GP308" s="3">
        <v>0</v>
      </c>
      <c r="GQ308" s="3">
        <v>1</v>
      </c>
      <c r="GR308" s="3">
        <v>1</v>
      </c>
      <c r="GS308" s="3">
        <v>1</v>
      </c>
      <c r="GT308" s="3">
        <v>1</v>
      </c>
      <c r="GU308" s="3">
        <v>1</v>
      </c>
      <c r="GV308" s="3">
        <v>1</v>
      </c>
      <c r="GW308" s="3">
        <v>0</v>
      </c>
      <c r="GX308" s="3">
        <v>1</v>
      </c>
      <c r="GY308" s="3">
        <v>1</v>
      </c>
      <c r="GZ308" s="3">
        <v>1</v>
      </c>
      <c r="HA308" s="3">
        <v>1</v>
      </c>
      <c r="HB308" s="3">
        <v>1</v>
      </c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6"/>
      <c r="HT308" s="4">
        <v>0</v>
      </c>
      <c r="HU308" s="3">
        <v>0</v>
      </c>
      <c r="HV308" s="3">
        <v>8</v>
      </c>
      <c r="HW308" s="3">
        <v>20</v>
      </c>
      <c r="HX308" s="3">
        <v>19</v>
      </c>
      <c r="HY308" s="3">
        <v>10</v>
      </c>
      <c r="HZ308" s="3">
        <v>27</v>
      </c>
      <c r="IA308" s="3">
        <v>4</v>
      </c>
      <c r="IB308" s="3">
        <v>0</v>
      </c>
      <c r="IC308" s="3">
        <v>29</v>
      </c>
      <c r="ID308" s="3">
        <v>23</v>
      </c>
      <c r="IE308" s="3">
        <v>0</v>
      </c>
      <c r="IF308" s="3">
        <v>21</v>
      </c>
      <c r="IG308" s="3">
        <v>0</v>
      </c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6"/>
    </row>
    <row r="309" spans="1:258" hidden="1">
      <c r="A309" s="97" t="s">
        <v>1287</v>
      </c>
      <c r="B309" s="98" t="s">
        <v>20</v>
      </c>
      <c r="C309" s="98" t="s">
        <v>721</v>
      </c>
      <c r="D309" s="99" t="s">
        <v>1249</v>
      </c>
      <c r="E309" s="98" t="s">
        <v>1098</v>
      </c>
      <c r="F309" s="98" t="s">
        <v>736</v>
      </c>
      <c r="G309" s="98" t="s">
        <v>737</v>
      </c>
      <c r="H309" s="98" t="s">
        <v>1608</v>
      </c>
      <c r="I309" s="98" t="s">
        <v>1608</v>
      </c>
      <c r="J309" s="98" t="s">
        <v>852</v>
      </c>
      <c r="K309" s="98" t="s">
        <v>1099</v>
      </c>
      <c r="L309" s="98" t="s">
        <v>1099</v>
      </c>
      <c r="M309" s="98" t="s">
        <v>1099</v>
      </c>
      <c r="N309" s="108">
        <v>45474</v>
      </c>
      <c r="O309" s="100">
        <v>0</v>
      </c>
      <c r="P309" s="69">
        <v>0</v>
      </c>
      <c r="Q309" s="69">
        <f t="shared" si="3699"/>
        <v>0</v>
      </c>
      <c r="R309" s="69">
        <f t="shared" si="3700"/>
        <v>0</v>
      </c>
      <c r="S309" s="69">
        <f t="shared" si="3701"/>
        <v>0</v>
      </c>
      <c r="T309" s="69">
        <f t="shared" si="3702"/>
        <v>0</v>
      </c>
      <c r="U309" s="69">
        <f t="shared" si="3703"/>
        <v>0</v>
      </c>
      <c r="V309" s="70">
        <f t="shared" si="3704"/>
        <v>0</v>
      </c>
      <c r="W309" s="71">
        <f t="shared" si="3705"/>
        <v>0</v>
      </c>
      <c r="X309" s="71">
        <f t="shared" si="3706"/>
        <v>0</v>
      </c>
      <c r="Y309" s="71">
        <f t="shared" si="3707"/>
        <v>0</v>
      </c>
      <c r="Z309" s="71">
        <f t="shared" si="3708"/>
        <v>0</v>
      </c>
      <c r="AA309" s="71">
        <f t="shared" si="3709"/>
        <v>0</v>
      </c>
      <c r="AB309" s="71">
        <f t="shared" si="3710"/>
        <v>0</v>
      </c>
      <c r="AC309" s="71">
        <f t="shared" si="3711"/>
        <v>0</v>
      </c>
      <c r="AD309" s="71">
        <f t="shared" si="3712"/>
        <v>0</v>
      </c>
      <c r="AE309" s="71">
        <f t="shared" si="3713"/>
        <v>0</v>
      </c>
      <c r="AF309" s="71">
        <f t="shared" si="3714"/>
        <v>0</v>
      </c>
      <c r="AG309" s="71">
        <f t="shared" si="3715"/>
        <v>0</v>
      </c>
      <c r="AH309" s="71">
        <f t="shared" si="3716"/>
        <v>0</v>
      </c>
      <c r="AI309" s="71">
        <f t="shared" si="3717"/>
        <v>0</v>
      </c>
      <c r="AJ309" s="71">
        <f t="shared" si="3718"/>
        <v>0</v>
      </c>
      <c r="AK309" s="71">
        <f t="shared" si="3719"/>
        <v>0</v>
      </c>
      <c r="AL309" s="71">
        <f t="shared" si="3720"/>
        <v>0</v>
      </c>
      <c r="AM309" s="71">
        <f t="shared" si="3721"/>
        <v>0</v>
      </c>
      <c r="AN309" s="71">
        <f t="shared" si="3722"/>
        <v>0</v>
      </c>
      <c r="AO309" s="71">
        <f t="shared" si="3723"/>
        <v>0</v>
      </c>
      <c r="AP309" s="71">
        <f t="shared" si="3724"/>
        <v>0</v>
      </c>
      <c r="AQ309" s="71">
        <f t="shared" si="3725"/>
        <v>0</v>
      </c>
      <c r="AR309" s="71">
        <f t="shared" si="3726"/>
        <v>0</v>
      </c>
      <c r="AS309" s="71">
        <f t="shared" si="3727"/>
        <v>0</v>
      </c>
      <c r="AT309" s="71">
        <f t="shared" si="3728"/>
        <v>0</v>
      </c>
      <c r="AU309" s="71">
        <f t="shared" si="3729"/>
        <v>0</v>
      </c>
      <c r="AV309" s="71">
        <f t="shared" si="3730"/>
        <v>0</v>
      </c>
      <c r="AW309" s="71">
        <f t="shared" si="3731"/>
        <v>0</v>
      </c>
      <c r="AX309" s="71">
        <f t="shared" si="3732"/>
        <v>0</v>
      </c>
      <c r="AY309" s="71">
        <f t="shared" si="3733"/>
        <v>0</v>
      </c>
      <c r="AZ309" s="72">
        <f t="shared" si="3734"/>
        <v>0</v>
      </c>
      <c r="BA309" s="70">
        <f t="shared" si="3123"/>
        <v>0</v>
      </c>
      <c r="BB309" s="69">
        <f t="shared" ca="1" si="3124"/>
        <v>0</v>
      </c>
      <c r="BC309" s="70">
        <f t="shared" si="3735"/>
        <v>0</v>
      </c>
      <c r="BD309" s="71">
        <f t="shared" si="3736"/>
        <v>0</v>
      </c>
      <c r="BE309" s="71">
        <f t="shared" si="3737"/>
        <v>0</v>
      </c>
      <c r="BF309" s="71">
        <f t="shared" si="3738"/>
        <v>0</v>
      </c>
      <c r="BG309" s="71">
        <f t="shared" si="3739"/>
        <v>0</v>
      </c>
      <c r="BH309" s="71">
        <f t="shared" si="3740"/>
        <v>0</v>
      </c>
      <c r="BI309" s="71">
        <f t="shared" si="3741"/>
        <v>0</v>
      </c>
      <c r="BJ309" s="71">
        <f t="shared" si="3742"/>
        <v>0</v>
      </c>
      <c r="BK309" s="71">
        <f t="shared" si="3743"/>
        <v>0</v>
      </c>
      <c r="BL309" s="71">
        <f t="shared" si="3744"/>
        <v>0</v>
      </c>
      <c r="BM309" s="71">
        <f t="shared" si="3745"/>
        <v>0</v>
      </c>
      <c r="BN309" s="71">
        <f t="shared" si="3746"/>
        <v>0</v>
      </c>
      <c r="BO309" s="71">
        <f t="shared" si="3747"/>
        <v>0</v>
      </c>
      <c r="BP309" s="71">
        <f t="shared" si="3748"/>
        <v>0</v>
      </c>
      <c r="BQ309" s="71">
        <f t="shared" si="3749"/>
        <v>0</v>
      </c>
      <c r="BR309" s="71">
        <f t="shared" si="3750"/>
        <v>0</v>
      </c>
      <c r="BS309" s="71">
        <f t="shared" si="3751"/>
        <v>0</v>
      </c>
      <c r="BT309" s="71">
        <f t="shared" si="3752"/>
        <v>0</v>
      </c>
      <c r="BU309" s="71">
        <f t="shared" si="3753"/>
        <v>0</v>
      </c>
      <c r="BV309" s="71">
        <f t="shared" si="3754"/>
        <v>0</v>
      </c>
      <c r="BW309" s="71">
        <f t="shared" si="3755"/>
        <v>0</v>
      </c>
      <c r="BX309" s="71">
        <f t="shared" si="3756"/>
        <v>0</v>
      </c>
      <c r="BY309" s="71">
        <f t="shared" si="3757"/>
        <v>0</v>
      </c>
      <c r="BZ309" s="71">
        <f t="shared" si="3758"/>
        <v>0</v>
      </c>
      <c r="CA309" s="71">
        <f t="shared" si="3759"/>
        <v>0</v>
      </c>
      <c r="CB309" s="71">
        <f t="shared" si="3760"/>
        <v>0</v>
      </c>
      <c r="CC309" s="71">
        <f t="shared" si="3761"/>
        <v>0</v>
      </c>
      <c r="CD309" s="71">
        <f t="shared" si="3762"/>
        <v>0</v>
      </c>
      <c r="CE309" s="71">
        <f t="shared" si="3763"/>
        <v>0</v>
      </c>
      <c r="CF309" s="71">
        <f t="shared" si="3764"/>
        <v>0</v>
      </c>
      <c r="CG309" s="71">
        <f t="shared" si="3765"/>
        <v>0</v>
      </c>
      <c r="CH309" s="70">
        <f t="shared" si="3125"/>
        <v>0</v>
      </c>
      <c r="CI309" s="69">
        <f t="shared" ca="1" si="3126"/>
        <v>0</v>
      </c>
      <c r="GM309" s="2" t="s">
        <v>16</v>
      </c>
      <c r="GN309" s="98" t="str">
        <f t="shared" si="3053"/>
        <v>SGD01-FMCG-SPO-00</v>
      </c>
      <c r="GO309" s="4">
        <v>0</v>
      </c>
      <c r="GP309" s="3">
        <v>0</v>
      </c>
      <c r="GQ309" s="3">
        <v>0</v>
      </c>
      <c r="GR309" s="3">
        <v>0</v>
      </c>
      <c r="GS309" s="3">
        <v>0</v>
      </c>
      <c r="GT309" s="3">
        <v>0</v>
      </c>
      <c r="GU309" s="3">
        <v>0</v>
      </c>
      <c r="GV309" s="3">
        <v>0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6"/>
      <c r="HT309" s="4">
        <v>0</v>
      </c>
      <c r="HU309" s="3">
        <v>0</v>
      </c>
      <c r="HV309" s="3">
        <v>0</v>
      </c>
      <c r="HW309" s="3">
        <v>0</v>
      </c>
      <c r="HX309" s="3">
        <v>0</v>
      </c>
      <c r="HY309" s="3">
        <v>0</v>
      </c>
      <c r="HZ309" s="3">
        <v>0</v>
      </c>
      <c r="IA309" s="3">
        <v>0</v>
      </c>
      <c r="IB309" s="3">
        <v>0</v>
      </c>
      <c r="IC309" s="3">
        <v>0</v>
      </c>
      <c r="ID309" s="3">
        <v>0</v>
      </c>
      <c r="IE309" s="3">
        <v>0</v>
      </c>
      <c r="IF309" s="3">
        <v>0</v>
      </c>
      <c r="IG309" s="3">
        <v>0</v>
      </c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6"/>
    </row>
    <row r="310" spans="1:258" hidden="1">
      <c r="A310" s="97" t="s">
        <v>1380</v>
      </c>
      <c r="B310" s="98" t="s">
        <v>20</v>
      </c>
      <c r="C310" s="98" t="s">
        <v>721</v>
      </c>
      <c r="D310" s="99" t="s">
        <v>1249</v>
      </c>
      <c r="E310" s="98" t="s">
        <v>738</v>
      </c>
      <c r="F310" s="98" t="s">
        <v>739</v>
      </c>
      <c r="G310" s="98" t="s">
        <v>740</v>
      </c>
      <c r="H310" s="98" t="s">
        <v>1252</v>
      </c>
      <c r="I310" s="98" t="s">
        <v>1252</v>
      </c>
      <c r="J310" s="98" t="s">
        <v>852</v>
      </c>
      <c r="K310" s="98" t="s">
        <v>1127</v>
      </c>
      <c r="L310" s="98" t="s">
        <v>741</v>
      </c>
      <c r="M310" s="101" t="s">
        <v>52</v>
      </c>
      <c r="N310" s="108">
        <v>44522</v>
      </c>
      <c r="O310" s="100">
        <v>0</v>
      </c>
      <c r="P310" s="69">
        <v>0</v>
      </c>
      <c r="Q310" s="69">
        <f t="shared" si="3699"/>
        <v>0</v>
      </c>
      <c r="R310" s="69">
        <f t="shared" si="3700"/>
        <v>0</v>
      </c>
      <c r="S310" s="69">
        <f t="shared" si="3701"/>
        <v>0</v>
      </c>
      <c r="T310" s="69">
        <f t="shared" si="3702"/>
        <v>0</v>
      </c>
      <c r="U310" s="69">
        <f t="shared" si="3703"/>
        <v>0</v>
      </c>
      <c r="V310" s="70">
        <f t="shared" si="3704"/>
        <v>0</v>
      </c>
      <c r="W310" s="71">
        <f t="shared" si="3705"/>
        <v>0</v>
      </c>
      <c r="X310" s="71">
        <f t="shared" si="3706"/>
        <v>0</v>
      </c>
      <c r="Y310" s="71">
        <f t="shared" si="3707"/>
        <v>0</v>
      </c>
      <c r="Z310" s="71">
        <f t="shared" si="3708"/>
        <v>0</v>
      </c>
      <c r="AA310" s="71">
        <f t="shared" si="3709"/>
        <v>0</v>
      </c>
      <c r="AB310" s="71">
        <f t="shared" si="3710"/>
        <v>0</v>
      </c>
      <c r="AC310" s="71">
        <f t="shared" si="3711"/>
        <v>0</v>
      </c>
      <c r="AD310" s="71">
        <f t="shared" si="3712"/>
        <v>0</v>
      </c>
      <c r="AE310" s="71">
        <f t="shared" si="3713"/>
        <v>0</v>
      </c>
      <c r="AF310" s="71">
        <f t="shared" si="3714"/>
        <v>0</v>
      </c>
      <c r="AG310" s="71">
        <f t="shared" si="3715"/>
        <v>0</v>
      </c>
      <c r="AH310" s="71">
        <f t="shared" si="3716"/>
        <v>0</v>
      </c>
      <c r="AI310" s="71">
        <f t="shared" si="3717"/>
        <v>0</v>
      </c>
      <c r="AJ310" s="71">
        <f t="shared" si="3718"/>
        <v>0</v>
      </c>
      <c r="AK310" s="71">
        <f t="shared" si="3719"/>
        <v>0</v>
      </c>
      <c r="AL310" s="71">
        <f t="shared" si="3720"/>
        <v>0</v>
      </c>
      <c r="AM310" s="71">
        <f t="shared" si="3721"/>
        <v>0</v>
      </c>
      <c r="AN310" s="71">
        <f t="shared" si="3722"/>
        <v>0</v>
      </c>
      <c r="AO310" s="71">
        <f t="shared" si="3723"/>
        <v>0</v>
      </c>
      <c r="AP310" s="71">
        <f t="shared" si="3724"/>
        <v>0</v>
      </c>
      <c r="AQ310" s="71">
        <f t="shared" si="3725"/>
        <v>0</v>
      </c>
      <c r="AR310" s="71">
        <f t="shared" si="3726"/>
        <v>0</v>
      </c>
      <c r="AS310" s="71">
        <f t="shared" si="3727"/>
        <v>0</v>
      </c>
      <c r="AT310" s="71">
        <f t="shared" si="3728"/>
        <v>0</v>
      </c>
      <c r="AU310" s="71">
        <f t="shared" si="3729"/>
        <v>0</v>
      </c>
      <c r="AV310" s="71">
        <f t="shared" si="3730"/>
        <v>0</v>
      </c>
      <c r="AW310" s="71">
        <f t="shared" si="3731"/>
        <v>0</v>
      </c>
      <c r="AX310" s="71">
        <f t="shared" si="3732"/>
        <v>0</v>
      </c>
      <c r="AY310" s="71">
        <f t="shared" si="3733"/>
        <v>0</v>
      </c>
      <c r="AZ310" s="72">
        <f t="shared" si="3734"/>
        <v>0</v>
      </c>
      <c r="BA310" s="70">
        <f t="shared" si="3123"/>
        <v>0</v>
      </c>
      <c r="BB310" s="69">
        <f t="shared" ca="1" si="3124"/>
        <v>0</v>
      </c>
      <c r="BC310" s="70">
        <f t="shared" si="3735"/>
        <v>0</v>
      </c>
      <c r="BD310" s="71">
        <f t="shared" si="3736"/>
        <v>0</v>
      </c>
      <c r="BE310" s="71">
        <f t="shared" si="3737"/>
        <v>0</v>
      </c>
      <c r="BF310" s="71">
        <f t="shared" si="3738"/>
        <v>0</v>
      </c>
      <c r="BG310" s="71">
        <f t="shared" si="3739"/>
        <v>0</v>
      </c>
      <c r="BH310" s="71">
        <f t="shared" si="3740"/>
        <v>0</v>
      </c>
      <c r="BI310" s="71">
        <f t="shared" si="3741"/>
        <v>0</v>
      </c>
      <c r="BJ310" s="71">
        <f t="shared" si="3742"/>
        <v>0</v>
      </c>
      <c r="BK310" s="71">
        <f t="shared" si="3743"/>
        <v>0</v>
      </c>
      <c r="BL310" s="71">
        <f t="shared" si="3744"/>
        <v>0</v>
      </c>
      <c r="BM310" s="71">
        <f t="shared" si="3745"/>
        <v>0</v>
      </c>
      <c r="BN310" s="71">
        <f t="shared" si="3746"/>
        <v>0</v>
      </c>
      <c r="BO310" s="71">
        <f t="shared" si="3747"/>
        <v>0</v>
      </c>
      <c r="BP310" s="71">
        <f t="shared" si="3748"/>
        <v>0</v>
      </c>
      <c r="BQ310" s="71">
        <f t="shared" si="3749"/>
        <v>0</v>
      </c>
      <c r="BR310" s="71">
        <f t="shared" si="3750"/>
        <v>0</v>
      </c>
      <c r="BS310" s="71">
        <f t="shared" si="3751"/>
        <v>0</v>
      </c>
      <c r="BT310" s="71">
        <f t="shared" si="3752"/>
        <v>0</v>
      </c>
      <c r="BU310" s="71">
        <f t="shared" si="3753"/>
        <v>0</v>
      </c>
      <c r="BV310" s="71">
        <f t="shared" si="3754"/>
        <v>0</v>
      </c>
      <c r="BW310" s="71">
        <f t="shared" si="3755"/>
        <v>0</v>
      </c>
      <c r="BX310" s="71">
        <f t="shared" si="3756"/>
        <v>0</v>
      </c>
      <c r="BY310" s="71">
        <f t="shared" si="3757"/>
        <v>0</v>
      </c>
      <c r="BZ310" s="71">
        <f t="shared" si="3758"/>
        <v>0</v>
      </c>
      <c r="CA310" s="71">
        <f t="shared" si="3759"/>
        <v>0</v>
      </c>
      <c r="CB310" s="71">
        <f t="shared" si="3760"/>
        <v>0</v>
      </c>
      <c r="CC310" s="71">
        <f t="shared" si="3761"/>
        <v>0</v>
      </c>
      <c r="CD310" s="71">
        <f t="shared" si="3762"/>
        <v>0</v>
      </c>
      <c r="CE310" s="71">
        <f t="shared" si="3763"/>
        <v>0</v>
      </c>
      <c r="CF310" s="71">
        <f t="shared" si="3764"/>
        <v>0</v>
      </c>
      <c r="CG310" s="71">
        <f t="shared" si="3765"/>
        <v>0</v>
      </c>
      <c r="CH310" s="70">
        <f t="shared" si="3125"/>
        <v>0</v>
      </c>
      <c r="CI310" s="69">
        <f t="shared" ca="1" si="3126"/>
        <v>0</v>
      </c>
      <c r="GM310" s="2" t="s">
        <v>16</v>
      </c>
      <c r="GN310" s="98" t="str">
        <f t="shared" si="3053"/>
        <v>SGD01-FMCG-ASM-01</v>
      </c>
      <c r="GO310" s="4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6"/>
      <c r="HT310" s="4">
        <v>0</v>
      </c>
      <c r="HU310" s="3">
        <v>0</v>
      </c>
      <c r="HV310" s="3">
        <v>0</v>
      </c>
      <c r="HW310" s="3">
        <v>0</v>
      </c>
      <c r="HX310" s="3">
        <v>0</v>
      </c>
      <c r="HY310" s="3">
        <v>0</v>
      </c>
      <c r="HZ310" s="3">
        <v>0</v>
      </c>
      <c r="IA310" s="3">
        <v>0</v>
      </c>
      <c r="IB310" s="3">
        <v>0</v>
      </c>
      <c r="IC310" s="3">
        <v>0</v>
      </c>
      <c r="ID310" s="3">
        <v>0</v>
      </c>
      <c r="IE310" s="3">
        <v>0</v>
      </c>
      <c r="IF310" s="3">
        <v>0</v>
      </c>
      <c r="IG310" s="3">
        <v>0</v>
      </c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6"/>
    </row>
    <row r="311" spans="1:258" hidden="1">
      <c r="A311" s="102" t="s">
        <v>53</v>
      </c>
      <c r="B311" s="103" t="s">
        <v>20</v>
      </c>
      <c r="C311" s="103" t="s">
        <v>721</v>
      </c>
      <c r="D311" s="104" t="s">
        <v>1249</v>
      </c>
      <c r="E311" s="103" t="s">
        <v>738</v>
      </c>
      <c r="F311" s="103" t="s">
        <v>739</v>
      </c>
      <c r="G311" s="103" t="s">
        <v>740</v>
      </c>
      <c r="H311" s="103" t="s">
        <v>1252</v>
      </c>
      <c r="I311" s="103" t="s">
        <v>1252</v>
      </c>
      <c r="J311" s="103" t="s">
        <v>852</v>
      </c>
      <c r="K311" s="103" t="s">
        <v>1127</v>
      </c>
      <c r="L311" s="103" t="s">
        <v>741</v>
      </c>
      <c r="M311" s="103" t="s">
        <v>52</v>
      </c>
      <c r="N311" s="119">
        <v>44522</v>
      </c>
      <c r="O311" s="105">
        <f>SUM(O304:O308)</f>
        <v>5</v>
      </c>
      <c r="P311" s="73">
        <f t="shared" ref="P311:CA311" si="3766">SUM(P304:P308)</f>
        <v>0</v>
      </c>
      <c r="Q311" s="73">
        <f t="shared" si="3766"/>
        <v>5</v>
      </c>
      <c r="R311" s="73">
        <f t="shared" si="3766"/>
        <v>5</v>
      </c>
      <c r="S311" s="73">
        <f t="shared" si="3766"/>
        <v>2</v>
      </c>
      <c r="T311" s="73">
        <f t="shared" si="3766"/>
        <v>5</v>
      </c>
      <c r="U311" s="73">
        <f t="shared" si="3766"/>
        <v>5</v>
      </c>
      <c r="V311" s="74">
        <f t="shared" si="3766"/>
        <v>5</v>
      </c>
      <c r="W311" s="75">
        <f t="shared" si="3766"/>
        <v>0</v>
      </c>
      <c r="X311" s="75">
        <f t="shared" si="3766"/>
        <v>5</v>
      </c>
      <c r="Y311" s="75">
        <f t="shared" si="3766"/>
        <v>5</v>
      </c>
      <c r="Z311" s="75">
        <f t="shared" si="3766"/>
        <v>5</v>
      </c>
      <c r="AA311" s="75">
        <f t="shared" si="3766"/>
        <v>5</v>
      </c>
      <c r="AB311" s="75">
        <f t="shared" si="3766"/>
        <v>5</v>
      </c>
      <c r="AC311" s="75">
        <f t="shared" si="3766"/>
        <v>5</v>
      </c>
      <c r="AD311" s="75">
        <f t="shared" si="3766"/>
        <v>0</v>
      </c>
      <c r="AE311" s="75">
        <f t="shared" si="3766"/>
        <v>5</v>
      </c>
      <c r="AF311" s="75">
        <f t="shared" si="3766"/>
        <v>5</v>
      </c>
      <c r="AG311" s="75">
        <f t="shared" si="3766"/>
        <v>5</v>
      </c>
      <c r="AH311" s="75">
        <f t="shared" si="3766"/>
        <v>5</v>
      </c>
      <c r="AI311" s="75">
        <f t="shared" si="3766"/>
        <v>5</v>
      </c>
      <c r="AJ311" s="75">
        <f t="shared" si="3766"/>
        <v>0</v>
      </c>
      <c r="AK311" s="75">
        <f t="shared" si="3766"/>
        <v>0</v>
      </c>
      <c r="AL311" s="75">
        <f t="shared" si="3766"/>
        <v>0</v>
      </c>
      <c r="AM311" s="75">
        <f t="shared" si="3766"/>
        <v>0</v>
      </c>
      <c r="AN311" s="75">
        <f t="shared" si="3766"/>
        <v>0</v>
      </c>
      <c r="AO311" s="75">
        <f t="shared" si="3766"/>
        <v>0</v>
      </c>
      <c r="AP311" s="75">
        <f t="shared" si="3766"/>
        <v>0</v>
      </c>
      <c r="AQ311" s="75">
        <f t="shared" si="3766"/>
        <v>0</v>
      </c>
      <c r="AR311" s="75">
        <f t="shared" si="3766"/>
        <v>0</v>
      </c>
      <c r="AS311" s="75">
        <f t="shared" si="3766"/>
        <v>0</v>
      </c>
      <c r="AT311" s="75">
        <f t="shared" si="3766"/>
        <v>0</v>
      </c>
      <c r="AU311" s="75">
        <f t="shared" si="3766"/>
        <v>0</v>
      </c>
      <c r="AV311" s="75">
        <f t="shared" si="3766"/>
        <v>0</v>
      </c>
      <c r="AW311" s="75">
        <f t="shared" si="3766"/>
        <v>0</v>
      </c>
      <c r="AX311" s="75">
        <f t="shared" si="3766"/>
        <v>0</v>
      </c>
      <c r="AY311" s="75">
        <f t="shared" si="3766"/>
        <v>0</v>
      </c>
      <c r="AZ311" s="76">
        <f t="shared" si="3766"/>
        <v>0</v>
      </c>
      <c r="BA311" s="74">
        <f t="shared" si="3123"/>
        <v>60</v>
      </c>
      <c r="BB311" s="73">
        <f t="shared" ca="1" si="3124"/>
        <v>0.92307692307692302</v>
      </c>
      <c r="BC311" s="74">
        <f t="shared" si="3766"/>
        <v>18</v>
      </c>
      <c r="BD311" s="75">
        <f t="shared" si="3766"/>
        <v>0</v>
      </c>
      <c r="BE311" s="75">
        <f t="shared" si="3766"/>
        <v>120</v>
      </c>
      <c r="BF311" s="75">
        <f t="shared" si="3766"/>
        <v>129</v>
      </c>
      <c r="BG311" s="75">
        <f t="shared" si="3766"/>
        <v>59</v>
      </c>
      <c r="BH311" s="75">
        <f t="shared" si="3766"/>
        <v>136</v>
      </c>
      <c r="BI311" s="75">
        <f t="shared" si="3766"/>
        <v>107</v>
      </c>
      <c r="BJ311" s="75">
        <f t="shared" si="3766"/>
        <v>128</v>
      </c>
      <c r="BK311" s="75">
        <f t="shared" si="3766"/>
        <v>0</v>
      </c>
      <c r="BL311" s="75">
        <f t="shared" si="3766"/>
        <v>158</v>
      </c>
      <c r="BM311" s="75">
        <f t="shared" si="3766"/>
        <v>108</v>
      </c>
      <c r="BN311" s="75">
        <f t="shared" si="3766"/>
        <v>79</v>
      </c>
      <c r="BO311" s="75">
        <f t="shared" si="3766"/>
        <v>21</v>
      </c>
      <c r="BP311" s="75">
        <f t="shared" si="3766"/>
        <v>28</v>
      </c>
      <c r="BQ311" s="75">
        <f t="shared" si="3766"/>
        <v>0</v>
      </c>
      <c r="BR311" s="75">
        <f t="shared" si="3766"/>
        <v>0</v>
      </c>
      <c r="BS311" s="75">
        <f t="shared" si="3766"/>
        <v>0</v>
      </c>
      <c r="BT311" s="75">
        <f t="shared" si="3766"/>
        <v>0</v>
      </c>
      <c r="BU311" s="75">
        <f t="shared" si="3766"/>
        <v>0</v>
      </c>
      <c r="BV311" s="75">
        <f t="shared" si="3766"/>
        <v>0</v>
      </c>
      <c r="BW311" s="75">
        <f t="shared" si="3766"/>
        <v>0</v>
      </c>
      <c r="BX311" s="75">
        <f t="shared" si="3766"/>
        <v>0</v>
      </c>
      <c r="BY311" s="75">
        <f t="shared" si="3766"/>
        <v>0</v>
      </c>
      <c r="BZ311" s="75">
        <f t="shared" si="3766"/>
        <v>0</v>
      </c>
      <c r="CA311" s="75">
        <f t="shared" si="3766"/>
        <v>0</v>
      </c>
      <c r="CB311" s="75">
        <f t="shared" ref="CB311:CG311" si="3767">SUM(CB304:CB308)</f>
        <v>0</v>
      </c>
      <c r="CC311" s="75">
        <f t="shared" si="3767"/>
        <v>0</v>
      </c>
      <c r="CD311" s="75">
        <f t="shared" si="3767"/>
        <v>0</v>
      </c>
      <c r="CE311" s="75">
        <f t="shared" si="3767"/>
        <v>0</v>
      </c>
      <c r="CF311" s="75">
        <f t="shared" si="3767"/>
        <v>0</v>
      </c>
      <c r="CG311" s="75">
        <f t="shared" si="3767"/>
        <v>0</v>
      </c>
      <c r="CH311" s="74">
        <f t="shared" si="3125"/>
        <v>1091</v>
      </c>
      <c r="CI311" s="73">
        <f t="shared" ca="1" si="3126"/>
        <v>16.784615384615385</v>
      </c>
      <c r="GM311" s="2" t="s">
        <v>17</v>
      </c>
      <c r="GN311" s="103" t="str">
        <f t="shared" si="3053"/>
        <v>SGD01-FMCG-ASM-01</v>
      </c>
      <c r="GO311" s="4">
        <v>0</v>
      </c>
      <c r="GP311" s="3">
        <v>0</v>
      </c>
      <c r="GQ311" s="3">
        <v>0</v>
      </c>
      <c r="GR311" s="3">
        <v>0</v>
      </c>
      <c r="GS311" s="3">
        <v>0</v>
      </c>
      <c r="GT311" s="3">
        <v>0</v>
      </c>
      <c r="GU311" s="3">
        <v>0</v>
      </c>
      <c r="GV311" s="3">
        <v>0</v>
      </c>
      <c r="GW311" s="3">
        <v>0</v>
      </c>
      <c r="GX311" s="3">
        <v>0</v>
      </c>
      <c r="GY311" s="3">
        <v>0</v>
      </c>
      <c r="GZ311" s="3">
        <v>0</v>
      </c>
      <c r="HA311" s="3">
        <v>0</v>
      </c>
      <c r="HB311" s="3">
        <v>0</v>
      </c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6"/>
      <c r="HT311" s="4">
        <v>0</v>
      </c>
      <c r="HU311" s="3">
        <v>0</v>
      </c>
      <c r="HV311" s="3">
        <v>0</v>
      </c>
      <c r="HW311" s="3">
        <v>0</v>
      </c>
      <c r="HX311" s="3">
        <v>0</v>
      </c>
      <c r="HY311" s="3">
        <v>0</v>
      </c>
      <c r="HZ311" s="3">
        <v>0</v>
      </c>
      <c r="IA311" s="3">
        <v>0</v>
      </c>
      <c r="IB311" s="3">
        <v>0</v>
      </c>
      <c r="IC311" s="3">
        <v>0</v>
      </c>
      <c r="ID311" s="3">
        <v>0</v>
      </c>
      <c r="IE311" s="3">
        <v>0</v>
      </c>
      <c r="IF311" s="3">
        <v>0</v>
      </c>
      <c r="IG311" s="3">
        <v>0</v>
      </c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6"/>
    </row>
    <row r="312" spans="1:258" hidden="1">
      <c r="A312" s="97" t="s">
        <v>25</v>
      </c>
      <c r="B312" s="98" t="s">
        <v>26</v>
      </c>
      <c r="C312" s="98" t="s">
        <v>721</v>
      </c>
      <c r="D312" s="99" t="s">
        <v>1254</v>
      </c>
      <c r="E312" s="98" t="s">
        <v>742</v>
      </c>
      <c r="F312" s="98" t="s">
        <v>743</v>
      </c>
      <c r="G312" s="98" t="s">
        <v>744</v>
      </c>
      <c r="H312" s="98" t="s">
        <v>1609</v>
      </c>
      <c r="I312" s="98" t="s">
        <v>1609</v>
      </c>
      <c r="J312" s="98" t="s">
        <v>854</v>
      </c>
      <c r="K312" s="98" t="s">
        <v>1127</v>
      </c>
      <c r="L312" s="98" t="s">
        <v>745</v>
      </c>
      <c r="M312" s="101" t="s">
        <v>1093</v>
      </c>
      <c r="N312" s="139">
        <v>45569</v>
      </c>
      <c r="O312" s="100">
        <v>1</v>
      </c>
      <c r="P312" s="69">
        <v>0</v>
      </c>
      <c r="Q312" s="69">
        <f t="shared" ref="Q312:Q321" si="3768">IFERROR(IF(OR(AI312&gt;0),1,0),0)</f>
        <v>0</v>
      </c>
      <c r="R312" s="69">
        <f t="shared" ref="R312:R318" si="3769">IFERROR(IF(OR(BA312&gt;0),1,0),0)</f>
        <v>1</v>
      </c>
      <c r="S312" s="69">
        <f t="shared" ref="S312:S318" si="3770">IFERROR(IF(OR(BP312&gt;0),1,0),0)</f>
        <v>1</v>
      </c>
      <c r="T312" s="69">
        <f t="shared" ref="T312:T318" si="3771">IFERROR(IF(OR(CH312&gt;0),1,0),0)</f>
        <v>1</v>
      </c>
      <c r="U312" s="69">
        <f t="shared" ref="U312:U318" si="3772">IFERROR(IF(OR(BA312&gt;0,CH312&gt;0),1,0),0)</f>
        <v>1</v>
      </c>
      <c r="V312" s="70">
        <f t="shared" ref="V312:V318" si="3773">GO312</f>
        <v>1</v>
      </c>
      <c r="W312" s="71">
        <f t="shared" ref="W312:W318" si="3774">GP312</f>
        <v>1</v>
      </c>
      <c r="X312" s="71">
        <f t="shared" ref="X312:X318" si="3775">GQ312</f>
        <v>1</v>
      </c>
      <c r="Y312" s="71">
        <f t="shared" ref="Y312:Y318" si="3776">GR312</f>
        <v>0</v>
      </c>
      <c r="Z312" s="71">
        <f t="shared" ref="Z312:Z318" si="3777">GS312</f>
        <v>1</v>
      </c>
      <c r="AA312" s="71">
        <f t="shared" ref="AA312:AA318" si="3778">GT312</f>
        <v>1</v>
      </c>
      <c r="AB312" s="71">
        <f t="shared" ref="AB312:AB318" si="3779">GU312</f>
        <v>1</v>
      </c>
      <c r="AC312" s="71">
        <f t="shared" ref="AC312:AC318" si="3780">GV312</f>
        <v>1</v>
      </c>
      <c r="AD312" s="71">
        <f t="shared" ref="AD312:AD318" si="3781">GW312</f>
        <v>1</v>
      </c>
      <c r="AE312" s="71">
        <f t="shared" ref="AE312:AE318" si="3782">GX312</f>
        <v>1</v>
      </c>
      <c r="AF312" s="71">
        <f t="shared" ref="AF312:AF318" si="3783">GY312</f>
        <v>0</v>
      </c>
      <c r="AG312" s="71">
        <f t="shared" ref="AG312:AG318" si="3784">GZ312</f>
        <v>1</v>
      </c>
      <c r="AH312" s="71">
        <f t="shared" ref="AH312:AH318" si="3785">HA312</f>
        <v>1</v>
      </c>
      <c r="AI312" s="71">
        <f t="shared" ref="AI312:AI318" si="3786">HB312</f>
        <v>0</v>
      </c>
      <c r="AJ312" s="71">
        <f t="shared" ref="AJ312:AJ318" si="3787">HC312</f>
        <v>0</v>
      </c>
      <c r="AK312" s="71">
        <f t="shared" ref="AK312:AK318" si="3788">HD312</f>
        <v>0</v>
      </c>
      <c r="AL312" s="71">
        <f t="shared" ref="AL312:AL318" si="3789">HE312</f>
        <v>0</v>
      </c>
      <c r="AM312" s="71">
        <f t="shared" ref="AM312:AM318" si="3790">HF312</f>
        <v>0</v>
      </c>
      <c r="AN312" s="71">
        <f t="shared" ref="AN312:AN318" si="3791">HG312</f>
        <v>0</v>
      </c>
      <c r="AO312" s="71">
        <f t="shared" ref="AO312:AO318" si="3792">HH312</f>
        <v>0</v>
      </c>
      <c r="AP312" s="71">
        <f t="shared" ref="AP312:AP318" si="3793">HI312</f>
        <v>0</v>
      </c>
      <c r="AQ312" s="71">
        <f t="shared" ref="AQ312:AQ318" si="3794">HJ312</f>
        <v>0</v>
      </c>
      <c r="AR312" s="71">
        <f t="shared" ref="AR312:AR318" si="3795">HK312</f>
        <v>0</v>
      </c>
      <c r="AS312" s="71">
        <f t="shared" ref="AS312:AS318" si="3796">HL312</f>
        <v>0</v>
      </c>
      <c r="AT312" s="71">
        <f t="shared" ref="AT312:AT318" si="3797">HM312</f>
        <v>0</v>
      </c>
      <c r="AU312" s="71">
        <f t="shared" ref="AU312:AU318" si="3798">HN312</f>
        <v>0</v>
      </c>
      <c r="AV312" s="71">
        <f t="shared" ref="AV312:AV318" si="3799">HO312</f>
        <v>0</v>
      </c>
      <c r="AW312" s="71">
        <f t="shared" ref="AW312:AW318" si="3800">HP312</f>
        <v>0</v>
      </c>
      <c r="AX312" s="71">
        <f t="shared" ref="AX312:AX318" si="3801">HQ312</f>
        <v>0</v>
      </c>
      <c r="AY312" s="71">
        <f t="shared" ref="AY312:AY318" si="3802">HR312</f>
        <v>0</v>
      </c>
      <c r="AZ312" s="72">
        <f t="shared" ref="AZ312:AZ318" si="3803">HS312</f>
        <v>0</v>
      </c>
      <c r="BA312" s="70">
        <f t="shared" si="3123"/>
        <v>11</v>
      </c>
      <c r="BB312" s="69">
        <f t="shared" ca="1" si="3124"/>
        <v>0.84615384615384615</v>
      </c>
      <c r="BC312" s="70">
        <f t="shared" ref="BC312:BC318" si="3804">HT312</f>
        <v>42</v>
      </c>
      <c r="BD312" s="71">
        <f t="shared" ref="BD312:BD318" si="3805">HU312</f>
        <v>0</v>
      </c>
      <c r="BE312" s="71">
        <f t="shared" ref="BE312:BE318" si="3806">HV312</f>
        <v>27</v>
      </c>
      <c r="BF312" s="71">
        <f t="shared" ref="BF312:BF318" si="3807">HW312</f>
        <v>0</v>
      </c>
      <c r="BG312" s="71">
        <f t="shared" ref="BG312:BG318" si="3808">HX312</f>
        <v>47</v>
      </c>
      <c r="BH312" s="71">
        <f t="shared" ref="BH312:BH318" si="3809">HY312</f>
        <v>41</v>
      </c>
      <c r="BI312" s="71">
        <f t="shared" ref="BI312:BI318" si="3810">HZ312</f>
        <v>34</v>
      </c>
      <c r="BJ312" s="71">
        <f t="shared" ref="BJ312:BJ318" si="3811">IA312</f>
        <v>48</v>
      </c>
      <c r="BK312" s="71">
        <f t="shared" ref="BK312:BK318" si="3812">IB312</f>
        <v>0</v>
      </c>
      <c r="BL312" s="71">
        <f t="shared" ref="BL312:BL318" si="3813">IC312</f>
        <v>52</v>
      </c>
      <c r="BM312" s="71">
        <f t="shared" ref="BM312:BM318" si="3814">ID312</f>
        <v>0</v>
      </c>
      <c r="BN312" s="71">
        <f t="shared" ref="BN312:BN318" si="3815">IE312</f>
        <v>44</v>
      </c>
      <c r="BO312" s="71">
        <f t="shared" ref="BO312:BO318" si="3816">IF312</f>
        <v>49</v>
      </c>
      <c r="BP312" s="71">
        <f t="shared" ref="BP312:BP318" si="3817">IG312</f>
        <v>4</v>
      </c>
      <c r="BQ312" s="71">
        <f t="shared" ref="BQ312:BQ318" si="3818">IH312</f>
        <v>0</v>
      </c>
      <c r="BR312" s="71">
        <f t="shared" ref="BR312:BR318" si="3819">II312</f>
        <v>0</v>
      </c>
      <c r="BS312" s="71">
        <f t="shared" ref="BS312:BS318" si="3820">IJ312</f>
        <v>0</v>
      </c>
      <c r="BT312" s="71">
        <f t="shared" ref="BT312:BT318" si="3821">IK312</f>
        <v>0</v>
      </c>
      <c r="BU312" s="71">
        <f t="shared" ref="BU312:BU318" si="3822">IL312</f>
        <v>0</v>
      </c>
      <c r="BV312" s="71">
        <f t="shared" ref="BV312:BV318" si="3823">IM312</f>
        <v>0</v>
      </c>
      <c r="BW312" s="71">
        <f t="shared" ref="BW312:BW318" si="3824">IN312</f>
        <v>0</v>
      </c>
      <c r="BX312" s="71">
        <f t="shared" ref="BX312:BX318" si="3825">IO312</f>
        <v>0</v>
      </c>
      <c r="BY312" s="71">
        <f t="shared" ref="BY312:BY318" si="3826">IP312</f>
        <v>0</v>
      </c>
      <c r="BZ312" s="71">
        <f t="shared" ref="BZ312:BZ318" si="3827">IQ312</f>
        <v>0</v>
      </c>
      <c r="CA312" s="71">
        <f t="shared" ref="CA312:CA318" si="3828">IR312</f>
        <v>0</v>
      </c>
      <c r="CB312" s="71">
        <f t="shared" ref="CB312:CB318" si="3829">IS312</f>
        <v>0</v>
      </c>
      <c r="CC312" s="71">
        <f t="shared" ref="CC312:CC318" si="3830">IT312</f>
        <v>0</v>
      </c>
      <c r="CD312" s="71">
        <f t="shared" ref="CD312:CD318" si="3831">IU312</f>
        <v>0</v>
      </c>
      <c r="CE312" s="71">
        <f t="shared" ref="CE312:CE318" si="3832">IV312</f>
        <v>0</v>
      </c>
      <c r="CF312" s="71">
        <f t="shared" ref="CF312:CF318" si="3833">IW312</f>
        <v>0</v>
      </c>
      <c r="CG312" s="71">
        <f t="shared" ref="CG312:CG318" si="3834">IX312</f>
        <v>0</v>
      </c>
      <c r="CH312" s="70">
        <f t="shared" si="3125"/>
        <v>388</v>
      </c>
      <c r="CI312" s="69">
        <f t="shared" ca="1" si="3126"/>
        <v>29.846153846153847</v>
      </c>
      <c r="GM312" s="2" t="s">
        <v>16</v>
      </c>
      <c r="GN312" s="98" t="str">
        <f t="shared" si="3053"/>
        <v>PSH01-FMCG01-SPO-01</v>
      </c>
      <c r="GO312" s="4">
        <v>1</v>
      </c>
      <c r="GP312" s="3">
        <v>1</v>
      </c>
      <c r="GQ312" s="3">
        <v>1</v>
      </c>
      <c r="GR312" s="3">
        <v>0</v>
      </c>
      <c r="GS312" s="3">
        <v>1</v>
      </c>
      <c r="GT312" s="3">
        <v>1</v>
      </c>
      <c r="GU312" s="3">
        <v>1</v>
      </c>
      <c r="GV312" s="3">
        <v>1</v>
      </c>
      <c r="GW312" s="3">
        <v>1</v>
      </c>
      <c r="GX312" s="3">
        <v>1</v>
      </c>
      <c r="GY312" s="3">
        <v>0</v>
      </c>
      <c r="GZ312" s="3">
        <v>1</v>
      </c>
      <c r="HA312" s="3">
        <v>1</v>
      </c>
      <c r="HB312" s="3">
        <v>0</v>
      </c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6"/>
      <c r="HT312" s="4">
        <v>42</v>
      </c>
      <c r="HU312" s="3">
        <v>0</v>
      </c>
      <c r="HV312" s="3">
        <v>27</v>
      </c>
      <c r="HW312" s="3">
        <v>0</v>
      </c>
      <c r="HX312" s="3">
        <v>47</v>
      </c>
      <c r="HY312" s="3">
        <v>41</v>
      </c>
      <c r="HZ312" s="3">
        <v>34</v>
      </c>
      <c r="IA312" s="3">
        <v>48</v>
      </c>
      <c r="IB312" s="3">
        <v>0</v>
      </c>
      <c r="IC312" s="3">
        <v>52</v>
      </c>
      <c r="ID312" s="3">
        <v>0</v>
      </c>
      <c r="IE312" s="3">
        <v>44</v>
      </c>
      <c r="IF312" s="3">
        <v>49</v>
      </c>
      <c r="IG312" s="3">
        <v>4</v>
      </c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6"/>
    </row>
    <row r="313" spans="1:258" hidden="1">
      <c r="A313" s="106" t="s">
        <v>25</v>
      </c>
      <c r="B313" s="101" t="s">
        <v>26</v>
      </c>
      <c r="C313" s="98" t="s">
        <v>721</v>
      </c>
      <c r="D313" s="107" t="s">
        <v>1254</v>
      </c>
      <c r="E313" s="101" t="s">
        <v>746</v>
      </c>
      <c r="F313" s="101" t="s">
        <v>747</v>
      </c>
      <c r="G313" s="98" t="s">
        <v>748</v>
      </c>
      <c r="H313" s="101" t="s">
        <v>1704</v>
      </c>
      <c r="I313" s="101" t="s">
        <v>1610</v>
      </c>
      <c r="J313" s="101" t="s">
        <v>1255</v>
      </c>
      <c r="K313" s="101" t="s">
        <v>1127</v>
      </c>
      <c r="L313" s="101" t="s">
        <v>1705</v>
      </c>
      <c r="M313" s="101" t="s">
        <v>1093</v>
      </c>
      <c r="N313" s="139">
        <v>46283</v>
      </c>
      <c r="O313" s="100">
        <v>1</v>
      </c>
      <c r="P313" s="69">
        <v>0</v>
      </c>
      <c r="Q313" s="69">
        <f t="shared" si="3768"/>
        <v>1</v>
      </c>
      <c r="R313" s="69">
        <f t="shared" si="3769"/>
        <v>1</v>
      </c>
      <c r="S313" s="69">
        <f t="shared" si="3770"/>
        <v>0</v>
      </c>
      <c r="T313" s="69">
        <f t="shared" si="3771"/>
        <v>1</v>
      </c>
      <c r="U313" s="69">
        <f t="shared" si="3772"/>
        <v>1</v>
      </c>
      <c r="V313" s="70">
        <f t="shared" si="3773"/>
        <v>1</v>
      </c>
      <c r="W313" s="71">
        <f t="shared" si="3774"/>
        <v>1</v>
      </c>
      <c r="X313" s="71">
        <f t="shared" si="3775"/>
        <v>1</v>
      </c>
      <c r="Y313" s="71">
        <f t="shared" si="3776"/>
        <v>0</v>
      </c>
      <c r="Z313" s="71">
        <f t="shared" si="3777"/>
        <v>1</v>
      </c>
      <c r="AA313" s="71">
        <f t="shared" si="3778"/>
        <v>1</v>
      </c>
      <c r="AB313" s="71">
        <f t="shared" si="3779"/>
        <v>1</v>
      </c>
      <c r="AC313" s="71">
        <f t="shared" si="3780"/>
        <v>1</v>
      </c>
      <c r="AD313" s="71">
        <f t="shared" si="3781"/>
        <v>1</v>
      </c>
      <c r="AE313" s="71">
        <f t="shared" si="3782"/>
        <v>1</v>
      </c>
      <c r="AF313" s="71">
        <f t="shared" si="3783"/>
        <v>0</v>
      </c>
      <c r="AG313" s="71">
        <f t="shared" si="3784"/>
        <v>1</v>
      </c>
      <c r="AH313" s="71">
        <f t="shared" si="3785"/>
        <v>1</v>
      </c>
      <c r="AI313" s="71">
        <f t="shared" si="3786"/>
        <v>1</v>
      </c>
      <c r="AJ313" s="71">
        <f t="shared" si="3787"/>
        <v>0</v>
      </c>
      <c r="AK313" s="71">
        <f t="shared" si="3788"/>
        <v>0</v>
      </c>
      <c r="AL313" s="71">
        <f t="shared" si="3789"/>
        <v>0</v>
      </c>
      <c r="AM313" s="71">
        <f t="shared" si="3790"/>
        <v>0</v>
      </c>
      <c r="AN313" s="71">
        <f t="shared" si="3791"/>
        <v>0</v>
      </c>
      <c r="AO313" s="71">
        <f t="shared" si="3792"/>
        <v>0</v>
      </c>
      <c r="AP313" s="71">
        <f t="shared" si="3793"/>
        <v>0</v>
      </c>
      <c r="AQ313" s="71">
        <f t="shared" si="3794"/>
        <v>0</v>
      </c>
      <c r="AR313" s="71">
        <f t="shared" si="3795"/>
        <v>0</v>
      </c>
      <c r="AS313" s="71">
        <f t="shared" si="3796"/>
        <v>0</v>
      </c>
      <c r="AT313" s="71">
        <f t="shared" si="3797"/>
        <v>0</v>
      </c>
      <c r="AU313" s="71">
        <f t="shared" si="3798"/>
        <v>0</v>
      </c>
      <c r="AV313" s="71">
        <f t="shared" si="3799"/>
        <v>0</v>
      </c>
      <c r="AW313" s="71">
        <f t="shared" si="3800"/>
        <v>0</v>
      </c>
      <c r="AX313" s="71">
        <f t="shared" si="3801"/>
        <v>0</v>
      </c>
      <c r="AY313" s="71">
        <f t="shared" si="3802"/>
        <v>0</v>
      </c>
      <c r="AZ313" s="72">
        <f t="shared" si="3803"/>
        <v>0</v>
      </c>
      <c r="BA313" s="70">
        <f t="shared" si="3123"/>
        <v>12</v>
      </c>
      <c r="BB313" s="69">
        <f t="shared" ca="1" si="3124"/>
        <v>0.92307692307692313</v>
      </c>
      <c r="BC313" s="70">
        <f t="shared" si="3804"/>
        <v>17</v>
      </c>
      <c r="BD313" s="71">
        <f t="shared" si="3805"/>
        <v>0</v>
      </c>
      <c r="BE313" s="71">
        <f t="shared" si="3806"/>
        <v>65</v>
      </c>
      <c r="BF313" s="71">
        <f t="shared" si="3807"/>
        <v>0</v>
      </c>
      <c r="BG313" s="71">
        <f t="shared" si="3808"/>
        <v>39</v>
      </c>
      <c r="BH313" s="71">
        <f t="shared" si="3809"/>
        <v>0</v>
      </c>
      <c r="BI313" s="71">
        <f t="shared" si="3810"/>
        <v>18</v>
      </c>
      <c r="BJ313" s="71">
        <f t="shared" si="3811"/>
        <v>0</v>
      </c>
      <c r="BK313" s="71">
        <f t="shared" si="3812"/>
        <v>0</v>
      </c>
      <c r="BL313" s="71">
        <f t="shared" si="3813"/>
        <v>141</v>
      </c>
      <c r="BM313" s="71">
        <f t="shared" si="3814"/>
        <v>0</v>
      </c>
      <c r="BN313" s="71">
        <f t="shared" si="3815"/>
        <v>93</v>
      </c>
      <c r="BO313" s="71">
        <f t="shared" si="3816"/>
        <v>0</v>
      </c>
      <c r="BP313" s="71">
        <f t="shared" si="3817"/>
        <v>0</v>
      </c>
      <c r="BQ313" s="71">
        <f t="shared" si="3818"/>
        <v>0</v>
      </c>
      <c r="BR313" s="71">
        <f t="shared" si="3819"/>
        <v>0</v>
      </c>
      <c r="BS313" s="71">
        <f t="shared" si="3820"/>
        <v>0</v>
      </c>
      <c r="BT313" s="71">
        <f t="shared" si="3821"/>
        <v>0</v>
      </c>
      <c r="BU313" s="71">
        <f t="shared" si="3822"/>
        <v>0</v>
      </c>
      <c r="BV313" s="71">
        <f t="shared" si="3823"/>
        <v>0</v>
      </c>
      <c r="BW313" s="71">
        <f t="shared" si="3824"/>
        <v>0</v>
      </c>
      <c r="BX313" s="71">
        <f t="shared" si="3825"/>
        <v>0</v>
      </c>
      <c r="BY313" s="71">
        <f t="shared" si="3826"/>
        <v>0</v>
      </c>
      <c r="BZ313" s="71">
        <f t="shared" si="3827"/>
        <v>0</v>
      </c>
      <c r="CA313" s="71">
        <f t="shared" si="3828"/>
        <v>0</v>
      </c>
      <c r="CB313" s="71">
        <f t="shared" si="3829"/>
        <v>0</v>
      </c>
      <c r="CC313" s="71">
        <f t="shared" si="3830"/>
        <v>0</v>
      </c>
      <c r="CD313" s="71">
        <f t="shared" si="3831"/>
        <v>0</v>
      </c>
      <c r="CE313" s="71">
        <f t="shared" si="3832"/>
        <v>0</v>
      </c>
      <c r="CF313" s="71">
        <f t="shared" si="3833"/>
        <v>0</v>
      </c>
      <c r="CG313" s="71">
        <f t="shared" si="3834"/>
        <v>0</v>
      </c>
      <c r="CH313" s="70">
        <f t="shared" si="3125"/>
        <v>373</v>
      </c>
      <c r="CI313" s="69">
        <f t="shared" ca="1" si="3126"/>
        <v>28.692307692307693</v>
      </c>
      <c r="GM313" s="2" t="s">
        <v>16</v>
      </c>
      <c r="GN313" s="101" t="str">
        <f t="shared" si="3053"/>
        <v>PSH01-FMCG01-SPO-02</v>
      </c>
      <c r="GO313" s="4">
        <v>1</v>
      </c>
      <c r="GP313" s="3">
        <v>1</v>
      </c>
      <c r="GQ313" s="3">
        <v>1</v>
      </c>
      <c r="GR313" s="3">
        <v>0</v>
      </c>
      <c r="GS313" s="3">
        <v>1</v>
      </c>
      <c r="GT313" s="3">
        <v>1</v>
      </c>
      <c r="GU313" s="3">
        <v>1</v>
      </c>
      <c r="GV313" s="3">
        <v>1</v>
      </c>
      <c r="GW313" s="3">
        <v>1</v>
      </c>
      <c r="GX313" s="3">
        <v>1</v>
      </c>
      <c r="GY313" s="3">
        <v>0</v>
      </c>
      <c r="GZ313" s="3">
        <v>1</v>
      </c>
      <c r="HA313" s="3">
        <v>1</v>
      </c>
      <c r="HB313" s="3">
        <v>1</v>
      </c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6"/>
      <c r="HT313" s="4">
        <v>17</v>
      </c>
      <c r="HU313" s="3">
        <v>0</v>
      </c>
      <c r="HV313" s="3">
        <v>65</v>
      </c>
      <c r="HW313" s="3">
        <v>0</v>
      </c>
      <c r="HX313" s="3">
        <v>39</v>
      </c>
      <c r="HY313" s="3">
        <v>0</v>
      </c>
      <c r="HZ313" s="3">
        <v>18</v>
      </c>
      <c r="IA313" s="3">
        <v>0</v>
      </c>
      <c r="IB313" s="3">
        <v>0</v>
      </c>
      <c r="IC313" s="3">
        <v>141</v>
      </c>
      <c r="ID313" s="3">
        <v>0</v>
      </c>
      <c r="IE313" s="3">
        <v>93</v>
      </c>
      <c r="IF313" s="3">
        <v>0</v>
      </c>
      <c r="IG313" s="3">
        <v>0</v>
      </c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6"/>
    </row>
    <row r="314" spans="1:258" hidden="1">
      <c r="A314" s="106" t="s">
        <v>25</v>
      </c>
      <c r="B314" s="101" t="s">
        <v>26</v>
      </c>
      <c r="C314" s="101" t="s">
        <v>721</v>
      </c>
      <c r="D314" s="107" t="s">
        <v>1254</v>
      </c>
      <c r="E314" s="101" t="s">
        <v>750</v>
      </c>
      <c r="F314" s="101" t="s">
        <v>751</v>
      </c>
      <c r="G314" s="98" t="s">
        <v>752</v>
      </c>
      <c r="H314" s="101" t="s">
        <v>1611</v>
      </c>
      <c r="I314" s="101" t="s">
        <v>1611</v>
      </c>
      <c r="J314" s="101" t="s">
        <v>854</v>
      </c>
      <c r="K314" s="101" t="s">
        <v>1127</v>
      </c>
      <c r="L314" s="101" t="s">
        <v>753</v>
      </c>
      <c r="M314" s="101" t="s">
        <v>1093</v>
      </c>
      <c r="N314" s="139">
        <v>45931</v>
      </c>
      <c r="O314" s="100">
        <v>1</v>
      </c>
      <c r="P314" s="69">
        <v>0</v>
      </c>
      <c r="Q314" s="69">
        <f t="shared" si="3768"/>
        <v>1</v>
      </c>
      <c r="R314" s="69">
        <f t="shared" si="3769"/>
        <v>1</v>
      </c>
      <c r="S314" s="69">
        <f t="shared" si="3770"/>
        <v>1</v>
      </c>
      <c r="T314" s="69">
        <f t="shared" si="3771"/>
        <v>1</v>
      </c>
      <c r="U314" s="69">
        <f t="shared" si="3772"/>
        <v>1</v>
      </c>
      <c r="V314" s="70">
        <f t="shared" si="3773"/>
        <v>1</v>
      </c>
      <c r="W314" s="71">
        <f t="shared" si="3774"/>
        <v>1</v>
      </c>
      <c r="X314" s="71">
        <f t="shared" si="3775"/>
        <v>1</v>
      </c>
      <c r="Y314" s="71">
        <f t="shared" si="3776"/>
        <v>0</v>
      </c>
      <c r="Z314" s="71">
        <f t="shared" si="3777"/>
        <v>1</v>
      </c>
      <c r="AA314" s="71">
        <f t="shared" si="3778"/>
        <v>1</v>
      </c>
      <c r="AB314" s="71">
        <f t="shared" si="3779"/>
        <v>1</v>
      </c>
      <c r="AC314" s="71">
        <f t="shared" si="3780"/>
        <v>1</v>
      </c>
      <c r="AD314" s="71">
        <f t="shared" si="3781"/>
        <v>1</v>
      </c>
      <c r="AE314" s="71">
        <f t="shared" si="3782"/>
        <v>1</v>
      </c>
      <c r="AF314" s="71">
        <f t="shared" si="3783"/>
        <v>0</v>
      </c>
      <c r="AG314" s="71">
        <f t="shared" si="3784"/>
        <v>1</v>
      </c>
      <c r="AH314" s="71">
        <f t="shared" si="3785"/>
        <v>1</v>
      </c>
      <c r="AI314" s="71">
        <f t="shared" si="3786"/>
        <v>1</v>
      </c>
      <c r="AJ314" s="71">
        <f t="shared" si="3787"/>
        <v>0</v>
      </c>
      <c r="AK314" s="71">
        <f t="shared" si="3788"/>
        <v>0</v>
      </c>
      <c r="AL314" s="71">
        <f t="shared" si="3789"/>
        <v>0</v>
      </c>
      <c r="AM314" s="71">
        <f t="shared" si="3790"/>
        <v>0</v>
      </c>
      <c r="AN314" s="71">
        <f t="shared" si="3791"/>
        <v>0</v>
      </c>
      <c r="AO314" s="71">
        <f t="shared" si="3792"/>
        <v>0</v>
      </c>
      <c r="AP314" s="71">
        <f t="shared" si="3793"/>
        <v>0</v>
      </c>
      <c r="AQ314" s="71">
        <f t="shared" si="3794"/>
        <v>0</v>
      </c>
      <c r="AR314" s="71">
        <f t="shared" si="3795"/>
        <v>0</v>
      </c>
      <c r="AS314" s="71">
        <f t="shared" si="3796"/>
        <v>0</v>
      </c>
      <c r="AT314" s="71">
        <f t="shared" si="3797"/>
        <v>0</v>
      </c>
      <c r="AU314" s="71">
        <f t="shared" si="3798"/>
        <v>0</v>
      </c>
      <c r="AV314" s="71">
        <f t="shared" si="3799"/>
        <v>0</v>
      </c>
      <c r="AW314" s="71">
        <f t="shared" si="3800"/>
        <v>0</v>
      </c>
      <c r="AX314" s="71">
        <f t="shared" si="3801"/>
        <v>0</v>
      </c>
      <c r="AY314" s="71">
        <f t="shared" si="3802"/>
        <v>0</v>
      </c>
      <c r="AZ314" s="72">
        <f t="shared" si="3803"/>
        <v>0</v>
      </c>
      <c r="BA314" s="70">
        <f t="shared" si="3123"/>
        <v>12</v>
      </c>
      <c r="BB314" s="69">
        <f t="shared" ca="1" si="3124"/>
        <v>0.92307692307692313</v>
      </c>
      <c r="BC314" s="70">
        <f t="shared" si="3804"/>
        <v>39</v>
      </c>
      <c r="BD314" s="71">
        <f t="shared" si="3805"/>
        <v>0</v>
      </c>
      <c r="BE314" s="71">
        <f t="shared" si="3806"/>
        <v>39</v>
      </c>
      <c r="BF314" s="71">
        <f t="shared" si="3807"/>
        <v>0</v>
      </c>
      <c r="BG314" s="71">
        <f t="shared" si="3808"/>
        <v>37</v>
      </c>
      <c r="BH314" s="71">
        <f t="shared" si="3809"/>
        <v>41</v>
      </c>
      <c r="BI314" s="71">
        <f t="shared" si="3810"/>
        <v>31</v>
      </c>
      <c r="BJ314" s="71">
        <f t="shared" si="3811"/>
        <v>2</v>
      </c>
      <c r="BK314" s="71">
        <f t="shared" si="3812"/>
        <v>0</v>
      </c>
      <c r="BL314" s="71">
        <f t="shared" si="3813"/>
        <v>43</v>
      </c>
      <c r="BM314" s="71">
        <f t="shared" si="3814"/>
        <v>0</v>
      </c>
      <c r="BN314" s="71">
        <f t="shared" si="3815"/>
        <v>35</v>
      </c>
      <c r="BO314" s="71">
        <f t="shared" si="3816"/>
        <v>39</v>
      </c>
      <c r="BP314" s="71">
        <f t="shared" si="3817"/>
        <v>2</v>
      </c>
      <c r="BQ314" s="71">
        <f t="shared" si="3818"/>
        <v>0</v>
      </c>
      <c r="BR314" s="71">
        <f t="shared" si="3819"/>
        <v>0</v>
      </c>
      <c r="BS314" s="71">
        <f t="shared" si="3820"/>
        <v>0</v>
      </c>
      <c r="BT314" s="71">
        <f t="shared" si="3821"/>
        <v>0</v>
      </c>
      <c r="BU314" s="71">
        <f t="shared" si="3822"/>
        <v>0</v>
      </c>
      <c r="BV314" s="71">
        <f t="shared" si="3823"/>
        <v>0</v>
      </c>
      <c r="BW314" s="71">
        <f t="shared" si="3824"/>
        <v>0</v>
      </c>
      <c r="BX314" s="71">
        <f t="shared" si="3825"/>
        <v>0</v>
      </c>
      <c r="BY314" s="71">
        <f t="shared" si="3826"/>
        <v>0</v>
      </c>
      <c r="BZ314" s="71">
        <f t="shared" si="3827"/>
        <v>0</v>
      </c>
      <c r="CA314" s="71">
        <f t="shared" si="3828"/>
        <v>0</v>
      </c>
      <c r="CB314" s="71">
        <f t="shared" si="3829"/>
        <v>0</v>
      </c>
      <c r="CC314" s="71">
        <f t="shared" si="3830"/>
        <v>0</v>
      </c>
      <c r="CD314" s="71">
        <f t="shared" si="3831"/>
        <v>0</v>
      </c>
      <c r="CE314" s="71">
        <f t="shared" si="3832"/>
        <v>0</v>
      </c>
      <c r="CF314" s="71">
        <f t="shared" si="3833"/>
        <v>0</v>
      </c>
      <c r="CG314" s="71">
        <f t="shared" si="3834"/>
        <v>0</v>
      </c>
      <c r="CH314" s="70">
        <f t="shared" si="3125"/>
        <v>308</v>
      </c>
      <c r="CI314" s="69">
        <f t="shared" ca="1" si="3126"/>
        <v>23.692307692307693</v>
      </c>
      <c r="GM314" s="2" t="s">
        <v>16</v>
      </c>
      <c r="GN314" s="101" t="str">
        <f t="shared" si="3053"/>
        <v>PSH01-FMCG02-SPO-01</v>
      </c>
      <c r="GO314" s="4">
        <v>1</v>
      </c>
      <c r="GP314" s="3">
        <v>1</v>
      </c>
      <c r="GQ314" s="3">
        <v>1</v>
      </c>
      <c r="GR314" s="3">
        <v>0</v>
      </c>
      <c r="GS314" s="3">
        <v>1</v>
      </c>
      <c r="GT314" s="3">
        <v>1</v>
      </c>
      <c r="GU314" s="3">
        <v>1</v>
      </c>
      <c r="GV314" s="3">
        <v>1</v>
      </c>
      <c r="GW314" s="3">
        <v>1</v>
      </c>
      <c r="GX314" s="3">
        <v>1</v>
      </c>
      <c r="GY314" s="3">
        <v>0</v>
      </c>
      <c r="GZ314" s="3">
        <v>1</v>
      </c>
      <c r="HA314" s="3">
        <v>1</v>
      </c>
      <c r="HB314" s="3">
        <v>1</v>
      </c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6"/>
      <c r="HT314" s="4">
        <v>39</v>
      </c>
      <c r="HU314" s="3">
        <v>0</v>
      </c>
      <c r="HV314" s="3">
        <v>39</v>
      </c>
      <c r="HW314" s="3">
        <v>0</v>
      </c>
      <c r="HX314" s="3">
        <v>37</v>
      </c>
      <c r="HY314" s="3">
        <v>41</v>
      </c>
      <c r="HZ314" s="3">
        <v>31</v>
      </c>
      <c r="IA314" s="3">
        <v>2</v>
      </c>
      <c r="IB314" s="3">
        <v>0</v>
      </c>
      <c r="IC314" s="3">
        <v>43</v>
      </c>
      <c r="ID314" s="3">
        <v>0</v>
      </c>
      <c r="IE314" s="3">
        <v>35</v>
      </c>
      <c r="IF314" s="3">
        <v>39</v>
      </c>
      <c r="IG314" s="3">
        <v>2</v>
      </c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6"/>
    </row>
    <row r="315" spans="1:258" hidden="1">
      <c r="A315" s="97" t="s">
        <v>25</v>
      </c>
      <c r="B315" s="98" t="s">
        <v>90</v>
      </c>
      <c r="C315" s="98" t="s">
        <v>721</v>
      </c>
      <c r="D315" s="99" t="s">
        <v>1254</v>
      </c>
      <c r="E315" s="98" t="s">
        <v>754</v>
      </c>
      <c r="F315" s="98" t="s">
        <v>755</v>
      </c>
      <c r="G315" s="98" t="s">
        <v>756</v>
      </c>
      <c r="H315" s="98" t="s">
        <v>1711</v>
      </c>
      <c r="I315" s="98" t="s">
        <v>1612</v>
      </c>
      <c r="J315" s="98" t="s">
        <v>854</v>
      </c>
      <c r="K315" s="98" t="s">
        <v>1127</v>
      </c>
      <c r="L315" s="98" t="s">
        <v>1712</v>
      </c>
      <c r="M315" s="101" t="s">
        <v>1093</v>
      </c>
      <c r="N315" s="139">
        <v>46289</v>
      </c>
      <c r="O315" s="100">
        <v>1</v>
      </c>
      <c r="P315" s="69">
        <v>0</v>
      </c>
      <c r="Q315" s="69">
        <f t="shared" si="3768"/>
        <v>0</v>
      </c>
      <c r="R315" s="69">
        <f t="shared" si="3769"/>
        <v>1</v>
      </c>
      <c r="S315" s="69">
        <f t="shared" si="3770"/>
        <v>0</v>
      </c>
      <c r="T315" s="69">
        <f t="shared" si="3771"/>
        <v>0</v>
      </c>
      <c r="U315" s="69">
        <f t="shared" si="3772"/>
        <v>1</v>
      </c>
      <c r="V315" s="70">
        <f t="shared" si="3773"/>
        <v>1</v>
      </c>
      <c r="W315" s="71">
        <f t="shared" si="3774"/>
        <v>0</v>
      </c>
      <c r="X315" s="71">
        <f t="shared" si="3775"/>
        <v>0</v>
      </c>
      <c r="Y315" s="71">
        <f t="shared" si="3776"/>
        <v>0</v>
      </c>
      <c r="Z315" s="71">
        <f t="shared" si="3777"/>
        <v>0</v>
      </c>
      <c r="AA315" s="71">
        <f t="shared" si="3778"/>
        <v>0</v>
      </c>
      <c r="AB315" s="71">
        <f t="shared" si="3779"/>
        <v>0</v>
      </c>
      <c r="AC315" s="71">
        <f t="shared" si="3780"/>
        <v>0</v>
      </c>
      <c r="AD315" s="71">
        <f t="shared" si="3781"/>
        <v>0</v>
      </c>
      <c r="AE315" s="71">
        <f t="shared" si="3782"/>
        <v>0</v>
      </c>
      <c r="AF315" s="71">
        <f t="shared" si="3783"/>
        <v>0</v>
      </c>
      <c r="AG315" s="71">
        <f t="shared" si="3784"/>
        <v>0</v>
      </c>
      <c r="AH315" s="71">
        <f t="shared" si="3785"/>
        <v>0</v>
      </c>
      <c r="AI315" s="71">
        <f t="shared" si="3786"/>
        <v>0</v>
      </c>
      <c r="AJ315" s="71">
        <f t="shared" si="3787"/>
        <v>0</v>
      </c>
      <c r="AK315" s="71">
        <f t="shared" si="3788"/>
        <v>0</v>
      </c>
      <c r="AL315" s="71">
        <f t="shared" si="3789"/>
        <v>0</v>
      </c>
      <c r="AM315" s="71">
        <f t="shared" si="3790"/>
        <v>0</v>
      </c>
      <c r="AN315" s="71">
        <f t="shared" si="3791"/>
        <v>0</v>
      </c>
      <c r="AO315" s="71">
        <f t="shared" si="3792"/>
        <v>0</v>
      </c>
      <c r="AP315" s="71">
        <f t="shared" si="3793"/>
        <v>0</v>
      </c>
      <c r="AQ315" s="71">
        <f t="shared" si="3794"/>
        <v>0</v>
      </c>
      <c r="AR315" s="71">
        <f t="shared" si="3795"/>
        <v>0</v>
      </c>
      <c r="AS315" s="71">
        <f t="shared" si="3796"/>
        <v>0</v>
      </c>
      <c r="AT315" s="71">
        <f t="shared" si="3797"/>
        <v>0</v>
      </c>
      <c r="AU315" s="71">
        <f t="shared" si="3798"/>
        <v>0</v>
      </c>
      <c r="AV315" s="71">
        <f t="shared" si="3799"/>
        <v>0</v>
      </c>
      <c r="AW315" s="71">
        <f t="shared" si="3800"/>
        <v>0</v>
      </c>
      <c r="AX315" s="71">
        <f t="shared" si="3801"/>
        <v>0</v>
      </c>
      <c r="AY315" s="71">
        <f t="shared" si="3802"/>
        <v>0</v>
      </c>
      <c r="AZ315" s="72">
        <f t="shared" si="3803"/>
        <v>0</v>
      </c>
      <c r="BA315" s="70">
        <f t="shared" si="3123"/>
        <v>1</v>
      </c>
      <c r="BB315" s="69">
        <f t="shared" ca="1" si="3124"/>
        <v>7.6923076923076927E-2</v>
      </c>
      <c r="BC315" s="70">
        <f t="shared" si="3804"/>
        <v>0</v>
      </c>
      <c r="BD315" s="71">
        <f t="shared" si="3805"/>
        <v>0</v>
      </c>
      <c r="BE315" s="71">
        <f t="shared" si="3806"/>
        <v>0</v>
      </c>
      <c r="BF315" s="71">
        <f t="shared" si="3807"/>
        <v>0</v>
      </c>
      <c r="BG315" s="71">
        <f t="shared" si="3808"/>
        <v>0</v>
      </c>
      <c r="BH315" s="71">
        <f t="shared" si="3809"/>
        <v>0</v>
      </c>
      <c r="BI315" s="71">
        <f t="shared" si="3810"/>
        <v>0</v>
      </c>
      <c r="BJ315" s="71">
        <f t="shared" si="3811"/>
        <v>0</v>
      </c>
      <c r="BK315" s="71">
        <f t="shared" si="3812"/>
        <v>0</v>
      </c>
      <c r="BL315" s="71">
        <f t="shared" si="3813"/>
        <v>0</v>
      </c>
      <c r="BM315" s="71">
        <f t="shared" si="3814"/>
        <v>0</v>
      </c>
      <c r="BN315" s="71">
        <f t="shared" si="3815"/>
        <v>0</v>
      </c>
      <c r="BO315" s="71">
        <f t="shared" si="3816"/>
        <v>0</v>
      </c>
      <c r="BP315" s="71">
        <f t="shared" si="3817"/>
        <v>0</v>
      </c>
      <c r="BQ315" s="71">
        <f t="shared" si="3818"/>
        <v>0</v>
      </c>
      <c r="BR315" s="71">
        <f t="shared" si="3819"/>
        <v>0</v>
      </c>
      <c r="BS315" s="71">
        <f t="shared" si="3820"/>
        <v>0</v>
      </c>
      <c r="BT315" s="71">
        <f t="shared" si="3821"/>
        <v>0</v>
      </c>
      <c r="BU315" s="71">
        <f t="shared" si="3822"/>
        <v>0</v>
      </c>
      <c r="BV315" s="71">
        <f t="shared" si="3823"/>
        <v>0</v>
      </c>
      <c r="BW315" s="71">
        <f t="shared" si="3824"/>
        <v>0</v>
      </c>
      <c r="BX315" s="71">
        <f t="shared" si="3825"/>
        <v>0</v>
      </c>
      <c r="BY315" s="71">
        <f t="shared" si="3826"/>
        <v>0</v>
      </c>
      <c r="BZ315" s="71">
        <f t="shared" si="3827"/>
        <v>0</v>
      </c>
      <c r="CA315" s="71">
        <f t="shared" si="3828"/>
        <v>0</v>
      </c>
      <c r="CB315" s="71">
        <f t="shared" si="3829"/>
        <v>0</v>
      </c>
      <c r="CC315" s="71">
        <f t="shared" si="3830"/>
        <v>0</v>
      </c>
      <c r="CD315" s="71">
        <f t="shared" si="3831"/>
        <v>0</v>
      </c>
      <c r="CE315" s="71">
        <f t="shared" si="3832"/>
        <v>0</v>
      </c>
      <c r="CF315" s="71">
        <f t="shared" si="3833"/>
        <v>0</v>
      </c>
      <c r="CG315" s="71">
        <f t="shared" si="3834"/>
        <v>0</v>
      </c>
      <c r="CH315" s="70">
        <f t="shared" si="3125"/>
        <v>0</v>
      </c>
      <c r="CI315" s="69">
        <f t="shared" ca="1" si="3126"/>
        <v>0</v>
      </c>
      <c r="GM315" s="2" t="s">
        <v>16</v>
      </c>
      <c r="GN315" s="98" t="str">
        <f t="shared" si="3053"/>
        <v>PSH01-FMCG02-SPO-02</v>
      </c>
      <c r="GO315" s="4">
        <v>1</v>
      </c>
      <c r="GP315" s="3">
        <v>0</v>
      </c>
      <c r="GQ315" s="3">
        <v>0</v>
      </c>
      <c r="GR315" s="3">
        <v>0</v>
      </c>
      <c r="GS315" s="3">
        <v>0</v>
      </c>
      <c r="GT315" s="3">
        <v>0</v>
      </c>
      <c r="GU315" s="3">
        <v>0</v>
      </c>
      <c r="GV315" s="3">
        <v>0</v>
      </c>
      <c r="GW315" s="3">
        <v>0</v>
      </c>
      <c r="GX315" s="3">
        <v>0</v>
      </c>
      <c r="GY315" s="3">
        <v>0</v>
      </c>
      <c r="GZ315" s="3">
        <v>0</v>
      </c>
      <c r="HA315" s="3">
        <v>0</v>
      </c>
      <c r="HB315" s="3">
        <v>0</v>
      </c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6"/>
      <c r="HT315" s="4">
        <v>0</v>
      </c>
      <c r="HU315" s="3">
        <v>0</v>
      </c>
      <c r="HV315" s="3">
        <v>0</v>
      </c>
      <c r="HW315" s="3">
        <v>0</v>
      </c>
      <c r="HX315" s="3">
        <v>0</v>
      </c>
      <c r="HY315" s="3">
        <v>0</v>
      </c>
      <c r="HZ315" s="3">
        <v>0</v>
      </c>
      <c r="IA315" s="3">
        <v>0</v>
      </c>
      <c r="IB315" s="3">
        <v>0</v>
      </c>
      <c r="IC315" s="3">
        <v>0</v>
      </c>
      <c r="ID315" s="3">
        <v>0</v>
      </c>
      <c r="IE315" s="3">
        <v>0</v>
      </c>
      <c r="IF315" s="3">
        <v>0</v>
      </c>
      <c r="IG315" s="3">
        <v>0</v>
      </c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6"/>
    </row>
    <row r="316" spans="1:258" hidden="1">
      <c r="A316" s="97" t="s">
        <v>25</v>
      </c>
      <c r="B316" s="98" t="s">
        <v>90</v>
      </c>
      <c r="C316" s="98" t="s">
        <v>721</v>
      </c>
      <c r="D316" s="99" t="s">
        <v>1254</v>
      </c>
      <c r="E316" s="98" t="s">
        <v>1015</v>
      </c>
      <c r="F316" s="98" t="s">
        <v>1078</v>
      </c>
      <c r="G316" s="98" t="s">
        <v>749</v>
      </c>
      <c r="H316" s="98" t="s">
        <v>1613</v>
      </c>
      <c r="I316" s="98" t="s">
        <v>1613</v>
      </c>
      <c r="J316" s="98" t="s">
        <v>854</v>
      </c>
      <c r="K316" s="98" t="s">
        <v>1127</v>
      </c>
      <c r="L316" s="98" t="s">
        <v>920</v>
      </c>
      <c r="M316" s="101" t="s">
        <v>1093</v>
      </c>
      <c r="N316" s="139">
        <v>46210</v>
      </c>
      <c r="O316" s="100">
        <v>1</v>
      </c>
      <c r="P316" s="69">
        <v>0</v>
      </c>
      <c r="Q316" s="69">
        <f t="shared" si="3768"/>
        <v>1</v>
      </c>
      <c r="R316" s="69">
        <f t="shared" si="3769"/>
        <v>1</v>
      </c>
      <c r="S316" s="69">
        <f t="shared" si="3770"/>
        <v>0</v>
      </c>
      <c r="T316" s="69">
        <f t="shared" si="3771"/>
        <v>1</v>
      </c>
      <c r="U316" s="69">
        <f t="shared" si="3772"/>
        <v>1</v>
      </c>
      <c r="V316" s="70">
        <f t="shared" si="3773"/>
        <v>1</v>
      </c>
      <c r="W316" s="71">
        <f t="shared" si="3774"/>
        <v>1</v>
      </c>
      <c r="X316" s="71">
        <f t="shared" si="3775"/>
        <v>1</v>
      </c>
      <c r="Y316" s="71">
        <f t="shared" si="3776"/>
        <v>0</v>
      </c>
      <c r="Z316" s="71">
        <f t="shared" si="3777"/>
        <v>1</v>
      </c>
      <c r="AA316" s="71">
        <f t="shared" si="3778"/>
        <v>1</v>
      </c>
      <c r="AB316" s="71">
        <f t="shared" si="3779"/>
        <v>1</v>
      </c>
      <c r="AC316" s="71">
        <f t="shared" si="3780"/>
        <v>1</v>
      </c>
      <c r="AD316" s="71">
        <f t="shared" si="3781"/>
        <v>1</v>
      </c>
      <c r="AE316" s="71">
        <f t="shared" si="3782"/>
        <v>1</v>
      </c>
      <c r="AF316" s="71">
        <f t="shared" si="3783"/>
        <v>0</v>
      </c>
      <c r="AG316" s="71">
        <f t="shared" si="3784"/>
        <v>1</v>
      </c>
      <c r="AH316" s="71">
        <f t="shared" si="3785"/>
        <v>1</v>
      </c>
      <c r="AI316" s="71">
        <f t="shared" si="3786"/>
        <v>1</v>
      </c>
      <c r="AJ316" s="71">
        <f t="shared" si="3787"/>
        <v>0</v>
      </c>
      <c r="AK316" s="71">
        <f t="shared" si="3788"/>
        <v>0</v>
      </c>
      <c r="AL316" s="71">
        <f t="shared" si="3789"/>
        <v>0</v>
      </c>
      <c r="AM316" s="71">
        <f t="shared" si="3790"/>
        <v>0</v>
      </c>
      <c r="AN316" s="71">
        <f t="shared" si="3791"/>
        <v>0</v>
      </c>
      <c r="AO316" s="71">
        <f t="shared" si="3792"/>
        <v>0</v>
      </c>
      <c r="AP316" s="71">
        <f t="shared" si="3793"/>
        <v>0</v>
      </c>
      <c r="AQ316" s="71">
        <f t="shared" si="3794"/>
        <v>0</v>
      </c>
      <c r="AR316" s="71">
        <f t="shared" si="3795"/>
        <v>0</v>
      </c>
      <c r="AS316" s="71">
        <f t="shared" si="3796"/>
        <v>0</v>
      </c>
      <c r="AT316" s="71">
        <f t="shared" si="3797"/>
        <v>0</v>
      </c>
      <c r="AU316" s="71">
        <f t="shared" si="3798"/>
        <v>0</v>
      </c>
      <c r="AV316" s="71">
        <f t="shared" si="3799"/>
        <v>0</v>
      </c>
      <c r="AW316" s="71">
        <f t="shared" si="3800"/>
        <v>0</v>
      </c>
      <c r="AX316" s="71">
        <f t="shared" si="3801"/>
        <v>0</v>
      </c>
      <c r="AY316" s="71">
        <f t="shared" si="3802"/>
        <v>0</v>
      </c>
      <c r="AZ316" s="72">
        <f t="shared" si="3803"/>
        <v>0</v>
      </c>
      <c r="BA316" s="70">
        <f t="shared" si="3123"/>
        <v>12</v>
      </c>
      <c r="BB316" s="69">
        <f t="shared" ca="1" si="3124"/>
        <v>0.92307692307692313</v>
      </c>
      <c r="BC316" s="70">
        <f t="shared" si="3804"/>
        <v>29</v>
      </c>
      <c r="BD316" s="71">
        <f t="shared" si="3805"/>
        <v>0</v>
      </c>
      <c r="BE316" s="71">
        <f t="shared" si="3806"/>
        <v>34</v>
      </c>
      <c r="BF316" s="71">
        <f t="shared" si="3807"/>
        <v>0</v>
      </c>
      <c r="BG316" s="71">
        <f t="shared" si="3808"/>
        <v>20</v>
      </c>
      <c r="BH316" s="71">
        <f t="shared" si="3809"/>
        <v>0</v>
      </c>
      <c r="BI316" s="71">
        <f t="shared" si="3810"/>
        <v>23</v>
      </c>
      <c r="BJ316" s="71">
        <f t="shared" si="3811"/>
        <v>28</v>
      </c>
      <c r="BK316" s="71">
        <f t="shared" si="3812"/>
        <v>0</v>
      </c>
      <c r="BL316" s="71">
        <f t="shared" si="3813"/>
        <v>33</v>
      </c>
      <c r="BM316" s="71">
        <f t="shared" si="3814"/>
        <v>0</v>
      </c>
      <c r="BN316" s="71">
        <f t="shared" si="3815"/>
        <v>35</v>
      </c>
      <c r="BO316" s="71">
        <f t="shared" si="3816"/>
        <v>38</v>
      </c>
      <c r="BP316" s="71">
        <f t="shared" si="3817"/>
        <v>0</v>
      </c>
      <c r="BQ316" s="71">
        <f t="shared" si="3818"/>
        <v>0</v>
      </c>
      <c r="BR316" s="71">
        <f t="shared" si="3819"/>
        <v>0</v>
      </c>
      <c r="BS316" s="71">
        <f t="shared" si="3820"/>
        <v>0</v>
      </c>
      <c r="BT316" s="71">
        <f t="shared" si="3821"/>
        <v>0</v>
      </c>
      <c r="BU316" s="71">
        <f t="shared" si="3822"/>
        <v>0</v>
      </c>
      <c r="BV316" s="71">
        <f t="shared" si="3823"/>
        <v>0</v>
      </c>
      <c r="BW316" s="71">
        <f t="shared" si="3824"/>
        <v>0</v>
      </c>
      <c r="BX316" s="71">
        <f t="shared" si="3825"/>
        <v>0</v>
      </c>
      <c r="BY316" s="71">
        <f t="shared" si="3826"/>
        <v>0</v>
      </c>
      <c r="BZ316" s="71">
        <f t="shared" si="3827"/>
        <v>0</v>
      </c>
      <c r="CA316" s="71">
        <f t="shared" si="3828"/>
        <v>0</v>
      </c>
      <c r="CB316" s="71">
        <f t="shared" si="3829"/>
        <v>0</v>
      </c>
      <c r="CC316" s="71">
        <f t="shared" si="3830"/>
        <v>0</v>
      </c>
      <c r="CD316" s="71">
        <f t="shared" si="3831"/>
        <v>0</v>
      </c>
      <c r="CE316" s="71">
        <f t="shared" si="3832"/>
        <v>0</v>
      </c>
      <c r="CF316" s="71">
        <f t="shared" si="3833"/>
        <v>0</v>
      </c>
      <c r="CG316" s="71">
        <f t="shared" si="3834"/>
        <v>0</v>
      </c>
      <c r="CH316" s="70">
        <f t="shared" si="3125"/>
        <v>240</v>
      </c>
      <c r="CI316" s="69">
        <f t="shared" ca="1" si="3126"/>
        <v>18.46153846153846</v>
      </c>
      <c r="GM316" s="2" t="s">
        <v>16</v>
      </c>
      <c r="GN316" s="98" t="str">
        <f t="shared" si="3053"/>
        <v>PSH01-FMCG03-SPO-01</v>
      </c>
      <c r="GO316" s="4">
        <v>1</v>
      </c>
      <c r="GP316" s="3">
        <v>1</v>
      </c>
      <c r="GQ316" s="3">
        <v>1</v>
      </c>
      <c r="GR316" s="3">
        <v>0</v>
      </c>
      <c r="GS316" s="3">
        <v>1</v>
      </c>
      <c r="GT316" s="3">
        <v>1</v>
      </c>
      <c r="GU316" s="3">
        <v>1</v>
      </c>
      <c r="GV316" s="3">
        <v>1</v>
      </c>
      <c r="GW316" s="3">
        <v>1</v>
      </c>
      <c r="GX316" s="3">
        <v>1</v>
      </c>
      <c r="GY316" s="3">
        <v>0</v>
      </c>
      <c r="GZ316" s="3">
        <v>1</v>
      </c>
      <c r="HA316" s="3">
        <v>1</v>
      </c>
      <c r="HB316" s="3">
        <v>1</v>
      </c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6"/>
      <c r="HT316" s="4">
        <v>29</v>
      </c>
      <c r="HU316" s="3">
        <v>0</v>
      </c>
      <c r="HV316" s="3">
        <v>34</v>
      </c>
      <c r="HW316" s="3">
        <v>0</v>
      </c>
      <c r="HX316" s="3">
        <v>20</v>
      </c>
      <c r="HY316" s="3">
        <v>0</v>
      </c>
      <c r="HZ316" s="3">
        <v>23</v>
      </c>
      <c r="IA316" s="3">
        <v>28</v>
      </c>
      <c r="IB316" s="3">
        <v>0</v>
      </c>
      <c r="IC316" s="3">
        <v>33</v>
      </c>
      <c r="ID316" s="3">
        <v>0</v>
      </c>
      <c r="IE316" s="3">
        <v>35</v>
      </c>
      <c r="IF316" s="3">
        <v>38</v>
      </c>
      <c r="IG316" s="3">
        <v>0</v>
      </c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6"/>
    </row>
    <row r="317" spans="1:258" hidden="1">
      <c r="A317" s="97" t="s">
        <v>1287</v>
      </c>
      <c r="B317" s="98" t="s">
        <v>20</v>
      </c>
      <c r="C317" s="98" t="s">
        <v>721</v>
      </c>
      <c r="D317" s="99" t="s">
        <v>1254</v>
      </c>
      <c r="E317" s="98" t="s">
        <v>1098</v>
      </c>
      <c r="F317" s="98" t="s">
        <v>757</v>
      </c>
      <c r="G317" s="98" t="s">
        <v>758</v>
      </c>
      <c r="H317" s="98" t="s">
        <v>1614</v>
      </c>
      <c r="I317" s="98" t="s">
        <v>1614</v>
      </c>
      <c r="J317" s="98" t="s">
        <v>854</v>
      </c>
      <c r="K317" s="98" t="s">
        <v>1099</v>
      </c>
      <c r="L317" s="98" t="s">
        <v>1099</v>
      </c>
      <c r="M317" s="98" t="s">
        <v>1099</v>
      </c>
      <c r="N317" s="108">
        <v>45474</v>
      </c>
      <c r="O317" s="100">
        <v>0</v>
      </c>
      <c r="P317" s="69">
        <v>0</v>
      </c>
      <c r="Q317" s="69">
        <f t="shared" si="3768"/>
        <v>0</v>
      </c>
      <c r="R317" s="69">
        <f t="shared" si="3769"/>
        <v>0</v>
      </c>
      <c r="S317" s="69">
        <f t="shared" si="3770"/>
        <v>0</v>
      </c>
      <c r="T317" s="69">
        <f t="shared" si="3771"/>
        <v>0</v>
      </c>
      <c r="U317" s="69">
        <f t="shared" si="3772"/>
        <v>0</v>
      </c>
      <c r="V317" s="70">
        <f t="shared" si="3773"/>
        <v>0</v>
      </c>
      <c r="W317" s="71">
        <f t="shared" si="3774"/>
        <v>0</v>
      </c>
      <c r="X317" s="71">
        <f t="shared" si="3775"/>
        <v>0</v>
      </c>
      <c r="Y317" s="71">
        <f t="shared" si="3776"/>
        <v>0</v>
      </c>
      <c r="Z317" s="71">
        <f t="shared" si="3777"/>
        <v>0</v>
      </c>
      <c r="AA317" s="71">
        <f t="shared" si="3778"/>
        <v>0</v>
      </c>
      <c r="AB317" s="71">
        <f t="shared" si="3779"/>
        <v>0</v>
      </c>
      <c r="AC317" s="71">
        <f t="shared" si="3780"/>
        <v>0</v>
      </c>
      <c r="AD317" s="71">
        <f t="shared" si="3781"/>
        <v>0</v>
      </c>
      <c r="AE317" s="71">
        <f t="shared" si="3782"/>
        <v>0</v>
      </c>
      <c r="AF317" s="71">
        <f t="shared" si="3783"/>
        <v>0</v>
      </c>
      <c r="AG317" s="71">
        <f t="shared" si="3784"/>
        <v>0</v>
      </c>
      <c r="AH317" s="71">
        <f t="shared" si="3785"/>
        <v>0</v>
      </c>
      <c r="AI317" s="71">
        <f t="shared" si="3786"/>
        <v>0</v>
      </c>
      <c r="AJ317" s="71">
        <f t="shared" si="3787"/>
        <v>0</v>
      </c>
      <c r="AK317" s="71">
        <f t="shared" si="3788"/>
        <v>0</v>
      </c>
      <c r="AL317" s="71">
        <f t="shared" si="3789"/>
        <v>0</v>
      </c>
      <c r="AM317" s="71">
        <f t="shared" si="3790"/>
        <v>0</v>
      </c>
      <c r="AN317" s="71">
        <f t="shared" si="3791"/>
        <v>0</v>
      </c>
      <c r="AO317" s="71">
        <f t="shared" si="3792"/>
        <v>0</v>
      </c>
      <c r="AP317" s="71">
        <f t="shared" si="3793"/>
        <v>0</v>
      </c>
      <c r="AQ317" s="71">
        <f t="shared" si="3794"/>
        <v>0</v>
      </c>
      <c r="AR317" s="71">
        <f t="shared" si="3795"/>
        <v>0</v>
      </c>
      <c r="AS317" s="71">
        <f t="shared" si="3796"/>
        <v>0</v>
      </c>
      <c r="AT317" s="71">
        <f t="shared" si="3797"/>
        <v>0</v>
      </c>
      <c r="AU317" s="71">
        <f t="shared" si="3798"/>
        <v>0</v>
      </c>
      <c r="AV317" s="71">
        <f t="shared" si="3799"/>
        <v>0</v>
      </c>
      <c r="AW317" s="71">
        <f t="shared" si="3800"/>
        <v>0</v>
      </c>
      <c r="AX317" s="71">
        <f t="shared" si="3801"/>
        <v>0</v>
      </c>
      <c r="AY317" s="71">
        <f t="shared" si="3802"/>
        <v>0</v>
      </c>
      <c r="AZ317" s="72">
        <f t="shared" si="3803"/>
        <v>0</v>
      </c>
      <c r="BA317" s="70">
        <f t="shared" si="3123"/>
        <v>0</v>
      </c>
      <c r="BB317" s="69">
        <f t="shared" ca="1" si="3124"/>
        <v>0</v>
      </c>
      <c r="BC317" s="70">
        <f t="shared" si="3804"/>
        <v>0</v>
      </c>
      <c r="BD317" s="71">
        <f t="shared" si="3805"/>
        <v>0</v>
      </c>
      <c r="BE317" s="71">
        <f t="shared" si="3806"/>
        <v>0</v>
      </c>
      <c r="BF317" s="71">
        <f t="shared" si="3807"/>
        <v>0</v>
      </c>
      <c r="BG317" s="71">
        <f t="shared" si="3808"/>
        <v>0</v>
      </c>
      <c r="BH317" s="71">
        <f t="shared" si="3809"/>
        <v>0</v>
      </c>
      <c r="BI317" s="71">
        <f t="shared" si="3810"/>
        <v>0</v>
      </c>
      <c r="BJ317" s="71">
        <f t="shared" si="3811"/>
        <v>0</v>
      </c>
      <c r="BK317" s="71">
        <f t="shared" si="3812"/>
        <v>0</v>
      </c>
      <c r="BL317" s="71">
        <f t="shared" si="3813"/>
        <v>0</v>
      </c>
      <c r="BM317" s="71">
        <f t="shared" si="3814"/>
        <v>0</v>
      </c>
      <c r="BN317" s="71">
        <f t="shared" si="3815"/>
        <v>0</v>
      </c>
      <c r="BO317" s="71">
        <f t="shared" si="3816"/>
        <v>0</v>
      </c>
      <c r="BP317" s="71">
        <f t="shared" si="3817"/>
        <v>0</v>
      </c>
      <c r="BQ317" s="71">
        <f t="shared" si="3818"/>
        <v>0</v>
      </c>
      <c r="BR317" s="71">
        <f t="shared" si="3819"/>
        <v>0</v>
      </c>
      <c r="BS317" s="71">
        <f t="shared" si="3820"/>
        <v>0</v>
      </c>
      <c r="BT317" s="71">
        <f t="shared" si="3821"/>
        <v>0</v>
      </c>
      <c r="BU317" s="71">
        <f t="shared" si="3822"/>
        <v>0</v>
      </c>
      <c r="BV317" s="71">
        <f t="shared" si="3823"/>
        <v>0</v>
      </c>
      <c r="BW317" s="71">
        <f t="shared" si="3824"/>
        <v>0</v>
      </c>
      <c r="BX317" s="71">
        <f t="shared" si="3825"/>
        <v>0</v>
      </c>
      <c r="BY317" s="71">
        <f t="shared" si="3826"/>
        <v>0</v>
      </c>
      <c r="BZ317" s="71">
        <f t="shared" si="3827"/>
        <v>0</v>
      </c>
      <c r="CA317" s="71">
        <f t="shared" si="3828"/>
        <v>0</v>
      </c>
      <c r="CB317" s="71">
        <f t="shared" si="3829"/>
        <v>0</v>
      </c>
      <c r="CC317" s="71">
        <f t="shared" si="3830"/>
        <v>0</v>
      </c>
      <c r="CD317" s="71">
        <f t="shared" si="3831"/>
        <v>0</v>
      </c>
      <c r="CE317" s="71">
        <f t="shared" si="3832"/>
        <v>0</v>
      </c>
      <c r="CF317" s="71">
        <f t="shared" si="3833"/>
        <v>0</v>
      </c>
      <c r="CG317" s="71">
        <f t="shared" si="3834"/>
        <v>0</v>
      </c>
      <c r="CH317" s="70">
        <f t="shared" si="3125"/>
        <v>0</v>
      </c>
      <c r="CI317" s="69">
        <f t="shared" ca="1" si="3126"/>
        <v>0</v>
      </c>
      <c r="GM317" s="2" t="s">
        <v>16</v>
      </c>
      <c r="GN317" s="98" t="str">
        <f t="shared" si="3053"/>
        <v>PSH01-FMCG-SPO-00</v>
      </c>
      <c r="GO317" s="4">
        <v>0</v>
      </c>
      <c r="GP317" s="3">
        <v>0</v>
      </c>
      <c r="GQ317" s="3">
        <v>0</v>
      </c>
      <c r="GR317" s="3">
        <v>0</v>
      </c>
      <c r="GS317" s="3">
        <v>0</v>
      </c>
      <c r="GT317" s="3">
        <v>0</v>
      </c>
      <c r="GU317" s="3">
        <v>0</v>
      </c>
      <c r="GV317" s="3">
        <v>0</v>
      </c>
      <c r="GW317" s="3">
        <v>0</v>
      </c>
      <c r="GX317" s="3">
        <v>0</v>
      </c>
      <c r="GY317" s="3">
        <v>0</v>
      </c>
      <c r="GZ317" s="3">
        <v>0</v>
      </c>
      <c r="HA317" s="3">
        <v>0</v>
      </c>
      <c r="HB317" s="3">
        <v>0</v>
      </c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6"/>
      <c r="HT317" s="4">
        <v>0</v>
      </c>
      <c r="HU317" s="3">
        <v>0</v>
      </c>
      <c r="HV317" s="3">
        <v>0</v>
      </c>
      <c r="HW317" s="3">
        <v>0</v>
      </c>
      <c r="HX317" s="3">
        <v>0</v>
      </c>
      <c r="HY317" s="3">
        <v>0</v>
      </c>
      <c r="HZ317" s="3">
        <v>0</v>
      </c>
      <c r="IA317" s="3">
        <v>0</v>
      </c>
      <c r="IB317" s="3">
        <v>0</v>
      </c>
      <c r="IC317" s="3">
        <v>0</v>
      </c>
      <c r="ID317" s="3">
        <v>0</v>
      </c>
      <c r="IE317" s="3">
        <v>0</v>
      </c>
      <c r="IF317" s="3">
        <v>0</v>
      </c>
      <c r="IG317" s="3">
        <v>0</v>
      </c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6"/>
    </row>
    <row r="318" spans="1:258" hidden="1">
      <c r="A318" s="97" t="s">
        <v>1380</v>
      </c>
      <c r="B318" s="98" t="s">
        <v>20</v>
      </c>
      <c r="C318" s="98" t="s">
        <v>721</v>
      </c>
      <c r="D318" s="99" t="s">
        <v>1254</v>
      </c>
      <c r="E318" s="98" t="s">
        <v>759</v>
      </c>
      <c r="F318" s="98" t="s">
        <v>760</v>
      </c>
      <c r="G318" s="98" t="s">
        <v>761</v>
      </c>
      <c r="H318" s="98" t="s">
        <v>1256</v>
      </c>
      <c r="I318" s="98" t="s">
        <v>1256</v>
      </c>
      <c r="J318" s="98" t="s">
        <v>854</v>
      </c>
      <c r="K318" s="98" t="s">
        <v>1127</v>
      </c>
      <c r="L318" s="98" t="s">
        <v>783</v>
      </c>
      <c r="M318" s="98" t="s">
        <v>1093</v>
      </c>
      <c r="N318" s="108">
        <v>45903</v>
      </c>
      <c r="O318" s="100">
        <v>0</v>
      </c>
      <c r="P318" s="69">
        <v>0</v>
      </c>
      <c r="Q318" s="69">
        <f t="shared" si="3768"/>
        <v>0</v>
      </c>
      <c r="R318" s="69">
        <f t="shared" si="3769"/>
        <v>0</v>
      </c>
      <c r="S318" s="69">
        <f t="shared" si="3770"/>
        <v>0</v>
      </c>
      <c r="T318" s="69">
        <f t="shared" si="3771"/>
        <v>0</v>
      </c>
      <c r="U318" s="69">
        <f t="shared" si="3772"/>
        <v>0</v>
      </c>
      <c r="V318" s="70">
        <f t="shared" si="3773"/>
        <v>0</v>
      </c>
      <c r="W318" s="71">
        <f t="shared" si="3774"/>
        <v>0</v>
      </c>
      <c r="X318" s="71">
        <f t="shared" si="3775"/>
        <v>0</v>
      </c>
      <c r="Y318" s="71">
        <f t="shared" si="3776"/>
        <v>0</v>
      </c>
      <c r="Z318" s="71">
        <f t="shared" si="3777"/>
        <v>0</v>
      </c>
      <c r="AA318" s="71">
        <f t="shared" si="3778"/>
        <v>0</v>
      </c>
      <c r="AB318" s="71">
        <f t="shared" si="3779"/>
        <v>0</v>
      </c>
      <c r="AC318" s="71">
        <f t="shared" si="3780"/>
        <v>0</v>
      </c>
      <c r="AD318" s="71">
        <f t="shared" si="3781"/>
        <v>0</v>
      </c>
      <c r="AE318" s="71">
        <f t="shared" si="3782"/>
        <v>0</v>
      </c>
      <c r="AF318" s="71">
        <f t="shared" si="3783"/>
        <v>0</v>
      </c>
      <c r="AG318" s="71">
        <f t="shared" si="3784"/>
        <v>0</v>
      </c>
      <c r="AH318" s="71">
        <f t="shared" si="3785"/>
        <v>0</v>
      </c>
      <c r="AI318" s="71">
        <f t="shared" si="3786"/>
        <v>0</v>
      </c>
      <c r="AJ318" s="71">
        <f t="shared" si="3787"/>
        <v>0</v>
      </c>
      <c r="AK318" s="71">
        <f t="shared" si="3788"/>
        <v>0</v>
      </c>
      <c r="AL318" s="71">
        <f t="shared" si="3789"/>
        <v>0</v>
      </c>
      <c r="AM318" s="71">
        <f t="shared" si="3790"/>
        <v>0</v>
      </c>
      <c r="AN318" s="71">
        <f t="shared" si="3791"/>
        <v>0</v>
      </c>
      <c r="AO318" s="71">
        <f t="shared" si="3792"/>
        <v>0</v>
      </c>
      <c r="AP318" s="71">
        <f t="shared" si="3793"/>
        <v>0</v>
      </c>
      <c r="AQ318" s="71">
        <f t="shared" si="3794"/>
        <v>0</v>
      </c>
      <c r="AR318" s="71">
        <f t="shared" si="3795"/>
        <v>0</v>
      </c>
      <c r="AS318" s="71">
        <f t="shared" si="3796"/>
        <v>0</v>
      </c>
      <c r="AT318" s="71">
        <f t="shared" si="3797"/>
        <v>0</v>
      </c>
      <c r="AU318" s="71">
        <f t="shared" si="3798"/>
        <v>0</v>
      </c>
      <c r="AV318" s="71">
        <f t="shared" si="3799"/>
        <v>0</v>
      </c>
      <c r="AW318" s="71">
        <f t="shared" si="3800"/>
        <v>0</v>
      </c>
      <c r="AX318" s="71">
        <f t="shared" si="3801"/>
        <v>0</v>
      </c>
      <c r="AY318" s="71">
        <f t="shared" si="3802"/>
        <v>0</v>
      </c>
      <c r="AZ318" s="72">
        <f t="shared" si="3803"/>
        <v>0</v>
      </c>
      <c r="BA318" s="70">
        <f t="shared" si="3123"/>
        <v>0</v>
      </c>
      <c r="BB318" s="69">
        <f t="shared" ca="1" si="3124"/>
        <v>0</v>
      </c>
      <c r="BC318" s="70">
        <f t="shared" si="3804"/>
        <v>0</v>
      </c>
      <c r="BD318" s="71">
        <f t="shared" si="3805"/>
        <v>0</v>
      </c>
      <c r="BE318" s="71">
        <f t="shared" si="3806"/>
        <v>0</v>
      </c>
      <c r="BF318" s="71">
        <f t="shared" si="3807"/>
        <v>0</v>
      </c>
      <c r="BG318" s="71">
        <f t="shared" si="3808"/>
        <v>0</v>
      </c>
      <c r="BH318" s="71">
        <f t="shared" si="3809"/>
        <v>0</v>
      </c>
      <c r="BI318" s="71">
        <f t="shared" si="3810"/>
        <v>0</v>
      </c>
      <c r="BJ318" s="71">
        <f t="shared" si="3811"/>
        <v>0</v>
      </c>
      <c r="BK318" s="71">
        <f t="shared" si="3812"/>
        <v>0</v>
      </c>
      <c r="BL318" s="71">
        <f t="shared" si="3813"/>
        <v>0</v>
      </c>
      <c r="BM318" s="71">
        <f t="shared" si="3814"/>
        <v>0</v>
      </c>
      <c r="BN318" s="71">
        <f t="shared" si="3815"/>
        <v>0</v>
      </c>
      <c r="BO318" s="71">
        <f t="shared" si="3816"/>
        <v>0</v>
      </c>
      <c r="BP318" s="71">
        <f t="shared" si="3817"/>
        <v>0</v>
      </c>
      <c r="BQ318" s="71">
        <f t="shared" si="3818"/>
        <v>0</v>
      </c>
      <c r="BR318" s="71">
        <f t="shared" si="3819"/>
        <v>0</v>
      </c>
      <c r="BS318" s="71">
        <f t="shared" si="3820"/>
        <v>0</v>
      </c>
      <c r="BT318" s="71">
        <f t="shared" si="3821"/>
        <v>0</v>
      </c>
      <c r="BU318" s="71">
        <f t="shared" si="3822"/>
        <v>0</v>
      </c>
      <c r="BV318" s="71">
        <f t="shared" si="3823"/>
        <v>0</v>
      </c>
      <c r="BW318" s="71">
        <f t="shared" si="3824"/>
        <v>0</v>
      </c>
      <c r="BX318" s="71">
        <f t="shared" si="3825"/>
        <v>0</v>
      </c>
      <c r="BY318" s="71">
        <f t="shared" si="3826"/>
        <v>0</v>
      </c>
      <c r="BZ318" s="71">
        <f t="shared" si="3827"/>
        <v>0</v>
      </c>
      <c r="CA318" s="71">
        <f t="shared" si="3828"/>
        <v>0</v>
      </c>
      <c r="CB318" s="71">
        <f t="shared" si="3829"/>
        <v>0</v>
      </c>
      <c r="CC318" s="71">
        <f t="shared" si="3830"/>
        <v>0</v>
      </c>
      <c r="CD318" s="71">
        <f t="shared" si="3831"/>
        <v>0</v>
      </c>
      <c r="CE318" s="71">
        <f t="shared" si="3832"/>
        <v>0</v>
      </c>
      <c r="CF318" s="71">
        <f t="shared" si="3833"/>
        <v>0</v>
      </c>
      <c r="CG318" s="71">
        <f t="shared" si="3834"/>
        <v>0</v>
      </c>
      <c r="CH318" s="70">
        <f t="shared" si="3125"/>
        <v>0</v>
      </c>
      <c r="CI318" s="69">
        <f t="shared" ca="1" si="3126"/>
        <v>0</v>
      </c>
      <c r="GM318" s="2" t="s">
        <v>16</v>
      </c>
      <c r="GN318" s="98" t="str">
        <f t="shared" si="3053"/>
        <v>PSH01-FMCG-ASM-01</v>
      </c>
      <c r="GO318" s="4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6"/>
      <c r="HT318" s="4">
        <v>0</v>
      </c>
      <c r="HU318" s="3">
        <v>0</v>
      </c>
      <c r="HV318" s="3">
        <v>0</v>
      </c>
      <c r="HW318" s="3">
        <v>0</v>
      </c>
      <c r="HX318" s="3">
        <v>0</v>
      </c>
      <c r="HY318" s="3">
        <v>0</v>
      </c>
      <c r="HZ318" s="3">
        <v>0</v>
      </c>
      <c r="IA318" s="3">
        <v>0</v>
      </c>
      <c r="IB318" s="3">
        <v>0</v>
      </c>
      <c r="IC318" s="3">
        <v>0</v>
      </c>
      <c r="ID318" s="3">
        <v>0</v>
      </c>
      <c r="IE318" s="3">
        <v>0</v>
      </c>
      <c r="IF318" s="3">
        <v>0</v>
      </c>
      <c r="IG318" s="3">
        <v>0</v>
      </c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6"/>
    </row>
    <row r="319" spans="1:258" hidden="1">
      <c r="A319" s="102" t="s">
        <v>53</v>
      </c>
      <c r="B319" s="103" t="s">
        <v>20</v>
      </c>
      <c r="C319" s="103" t="s">
        <v>721</v>
      </c>
      <c r="D319" s="104" t="s">
        <v>1254</v>
      </c>
      <c r="E319" s="103" t="s">
        <v>759</v>
      </c>
      <c r="F319" s="103" t="s">
        <v>760</v>
      </c>
      <c r="G319" s="103" t="s">
        <v>761</v>
      </c>
      <c r="H319" s="103" t="s">
        <v>1256</v>
      </c>
      <c r="I319" s="103" t="s">
        <v>1256</v>
      </c>
      <c r="J319" s="103" t="s">
        <v>854</v>
      </c>
      <c r="K319" s="103" t="s">
        <v>1127</v>
      </c>
      <c r="L319" s="103" t="s">
        <v>783</v>
      </c>
      <c r="M319" s="103" t="s">
        <v>1093</v>
      </c>
      <c r="N319" s="119">
        <v>45903</v>
      </c>
      <c r="O319" s="105">
        <f>O317+O316+O315+O314+O313+O312</f>
        <v>5</v>
      </c>
      <c r="P319" s="73">
        <f>P317+P316+P315+P314+P313+P312</f>
        <v>0</v>
      </c>
      <c r="Q319" s="73">
        <f t="shared" si="3768"/>
        <v>1</v>
      </c>
      <c r="R319" s="73">
        <f t="shared" ref="R319:AZ319" si="3835">R317+R316+R315+R314+R313+R312</f>
        <v>5</v>
      </c>
      <c r="S319" s="73">
        <f t="shared" si="3835"/>
        <v>2</v>
      </c>
      <c r="T319" s="73">
        <f t="shared" si="3835"/>
        <v>4</v>
      </c>
      <c r="U319" s="73">
        <f t="shared" si="3835"/>
        <v>5</v>
      </c>
      <c r="V319" s="74">
        <f t="shared" si="3835"/>
        <v>5</v>
      </c>
      <c r="W319" s="75">
        <f t="shared" si="3835"/>
        <v>4</v>
      </c>
      <c r="X319" s="75">
        <f t="shared" si="3835"/>
        <v>4</v>
      </c>
      <c r="Y319" s="75">
        <f t="shared" si="3835"/>
        <v>0</v>
      </c>
      <c r="Z319" s="75">
        <f t="shared" si="3835"/>
        <v>4</v>
      </c>
      <c r="AA319" s="75">
        <f t="shared" si="3835"/>
        <v>4</v>
      </c>
      <c r="AB319" s="75">
        <f t="shared" si="3835"/>
        <v>4</v>
      </c>
      <c r="AC319" s="75">
        <f t="shared" si="3835"/>
        <v>4</v>
      </c>
      <c r="AD319" s="75">
        <f t="shared" si="3835"/>
        <v>4</v>
      </c>
      <c r="AE319" s="75">
        <f t="shared" si="3835"/>
        <v>4</v>
      </c>
      <c r="AF319" s="75">
        <f t="shared" si="3835"/>
        <v>0</v>
      </c>
      <c r="AG319" s="75">
        <f t="shared" si="3835"/>
        <v>4</v>
      </c>
      <c r="AH319" s="75">
        <f t="shared" si="3835"/>
        <v>4</v>
      </c>
      <c r="AI319" s="75">
        <f t="shared" si="3835"/>
        <v>3</v>
      </c>
      <c r="AJ319" s="75">
        <f t="shared" si="3835"/>
        <v>0</v>
      </c>
      <c r="AK319" s="75">
        <f t="shared" si="3835"/>
        <v>0</v>
      </c>
      <c r="AL319" s="75">
        <f t="shared" si="3835"/>
        <v>0</v>
      </c>
      <c r="AM319" s="75">
        <f t="shared" si="3835"/>
        <v>0</v>
      </c>
      <c r="AN319" s="75">
        <f t="shared" si="3835"/>
        <v>0</v>
      </c>
      <c r="AO319" s="75">
        <f t="shared" si="3835"/>
        <v>0</v>
      </c>
      <c r="AP319" s="75">
        <f t="shared" si="3835"/>
        <v>0</v>
      </c>
      <c r="AQ319" s="75">
        <f t="shared" si="3835"/>
        <v>0</v>
      </c>
      <c r="AR319" s="75">
        <f t="shared" si="3835"/>
        <v>0</v>
      </c>
      <c r="AS319" s="75">
        <f t="shared" si="3835"/>
        <v>0</v>
      </c>
      <c r="AT319" s="75">
        <f t="shared" si="3835"/>
        <v>0</v>
      </c>
      <c r="AU319" s="75">
        <f t="shared" si="3835"/>
        <v>0</v>
      </c>
      <c r="AV319" s="75">
        <f t="shared" si="3835"/>
        <v>0</v>
      </c>
      <c r="AW319" s="75">
        <f t="shared" si="3835"/>
        <v>0</v>
      </c>
      <c r="AX319" s="75">
        <f t="shared" si="3835"/>
        <v>0</v>
      </c>
      <c r="AY319" s="75">
        <f t="shared" si="3835"/>
        <v>0</v>
      </c>
      <c r="AZ319" s="76">
        <f t="shared" si="3835"/>
        <v>0</v>
      </c>
      <c r="BA319" s="74">
        <f t="shared" si="3123"/>
        <v>48</v>
      </c>
      <c r="BB319" s="73">
        <f t="shared" ca="1" si="3124"/>
        <v>0.7384615384615385</v>
      </c>
      <c r="BC319" s="74">
        <f>BC317+BC316+BC315+BC314+BC313+BC312</f>
        <v>127</v>
      </c>
      <c r="BD319" s="75">
        <f>BD317+BD316+BD315+BD314+BD313+BD312</f>
        <v>0</v>
      </c>
      <c r="BE319" s="75">
        <f t="shared" ref="BE319:CG319" si="3836">BE317+BE316+BE315+BE314+BE313+BE312</f>
        <v>165</v>
      </c>
      <c r="BF319" s="75">
        <f t="shared" si="3836"/>
        <v>0</v>
      </c>
      <c r="BG319" s="75">
        <f t="shared" si="3836"/>
        <v>143</v>
      </c>
      <c r="BH319" s="75">
        <f t="shared" si="3836"/>
        <v>82</v>
      </c>
      <c r="BI319" s="75">
        <f t="shared" si="3836"/>
        <v>106</v>
      </c>
      <c r="BJ319" s="75">
        <f t="shared" si="3836"/>
        <v>78</v>
      </c>
      <c r="BK319" s="75">
        <f t="shared" si="3836"/>
        <v>0</v>
      </c>
      <c r="BL319" s="75">
        <f t="shared" si="3836"/>
        <v>269</v>
      </c>
      <c r="BM319" s="75">
        <f t="shared" si="3836"/>
        <v>0</v>
      </c>
      <c r="BN319" s="75">
        <f t="shared" si="3836"/>
        <v>207</v>
      </c>
      <c r="BO319" s="75">
        <f t="shared" si="3836"/>
        <v>126</v>
      </c>
      <c r="BP319" s="75">
        <f t="shared" si="3836"/>
        <v>6</v>
      </c>
      <c r="BQ319" s="75">
        <f t="shared" si="3836"/>
        <v>0</v>
      </c>
      <c r="BR319" s="75">
        <f t="shared" si="3836"/>
        <v>0</v>
      </c>
      <c r="BS319" s="75">
        <f t="shared" si="3836"/>
        <v>0</v>
      </c>
      <c r="BT319" s="75">
        <f t="shared" si="3836"/>
        <v>0</v>
      </c>
      <c r="BU319" s="75">
        <f t="shared" si="3836"/>
        <v>0</v>
      </c>
      <c r="BV319" s="75">
        <f t="shared" si="3836"/>
        <v>0</v>
      </c>
      <c r="BW319" s="75">
        <f t="shared" si="3836"/>
        <v>0</v>
      </c>
      <c r="BX319" s="75">
        <f t="shared" si="3836"/>
        <v>0</v>
      </c>
      <c r="BY319" s="75">
        <f t="shared" si="3836"/>
        <v>0</v>
      </c>
      <c r="BZ319" s="75">
        <f t="shared" si="3836"/>
        <v>0</v>
      </c>
      <c r="CA319" s="75">
        <f t="shared" si="3836"/>
        <v>0</v>
      </c>
      <c r="CB319" s="75">
        <f t="shared" si="3836"/>
        <v>0</v>
      </c>
      <c r="CC319" s="75">
        <f t="shared" si="3836"/>
        <v>0</v>
      </c>
      <c r="CD319" s="75">
        <f t="shared" si="3836"/>
        <v>0</v>
      </c>
      <c r="CE319" s="75">
        <f t="shared" si="3836"/>
        <v>0</v>
      </c>
      <c r="CF319" s="75">
        <f t="shared" si="3836"/>
        <v>0</v>
      </c>
      <c r="CG319" s="75">
        <f t="shared" si="3836"/>
        <v>0</v>
      </c>
      <c r="CH319" s="74">
        <f t="shared" si="3125"/>
        <v>1309</v>
      </c>
      <c r="CI319" s="73">
        <f t="shared" ca="1" si="3126"/>
        <v>20.138461538461538</v>
      </c>
      <c r="GM319" s="2" t="s">
        <v>17</v>
      </c>
      <c r="GN319" s="103" t="str">
        <f t="shared" si="3053"/>
        <v>PSH01-FMCG-ASM-01</v>
      </c>
      <c r="GO319" s="4">
        <v>0</v>
      </c>
      <c r="GP319" s="3">
        <v>0</v>
      </c>
      <c r="GQ319" s="3">
        <v>0</v>
      </c>
      <c r="GR319" s="3">
        <v>0</v>
      </c>
      <c r="GS319" s="3">
        <v>0</v>
      </c>
      <c r="GT319" s="3">
        <v>0</v>
      </c>
      <c r="GU319" s="3">
        <v>0</v>
      </c>
      <c r="GV319" s="3">
        <v>0</v>
      </c>
      <c r="GW319" s="3">
        <v>0</v>
      </c>
      <c r="GX319" s="3">
        <v>0</v>
      </c>
      <c r="GY319" s="3">
        <v>0</v>
      </c>
      <c r="GZ319" s="3">
        <v>0</v>
      </c>
      <c r="HA319" s="3">
        <v>0</v>
      </c>
      <c r="HB319" s="3">
        <v>0</v>
      </c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6"/>
      <c r="HT319" s="4">
        <v>0</v>
      </c>
      <c r="HU319" s="3">
        <v>0</v>
      </c>
      <c r="HV319" s="3">
        <v>0</v>
      </c>
      <c r="HW319" s="3">
        <v>0</v>
      </c>
      <c r="HX319" s="3">
        <v>0</v>
      </c>
      <c r="HY319" s="3">
        <v>0</v>
      </c>
      <c r="HZ319" s="3">
        <v>0</v>
      </c>
      <c r="IA319" s="3">
        <v>0</v>
      </c>
      <c r="IB319" s="3">
        <v>0</v>
      </c>
      <c r="IC319" s="3">
        <v>0</v>
      </c>
      <c r="ID319" s="3">
        <v>0</v>
      </c>
      <c r="IE319" s="3">
        <v>0</v>
      </c>
      <c r="IF319" s="3">
        <v>0</v>
      </c>
      <c r="IG319" s="3">
        <v>0</v>
      </c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6"/>
    </row>
    <row r="320" spans="1:258" hidden="1">
      <c r="A320" s="97" t="s">
        <v>500</v>
      </c>
      <c r="B320" s="98" t="s">
        <v>20</v>
      </c>
      <c r="C320" s="98" t="s">
        <v>721</v>
      </c>
      <c r="D320" s="99" t="s">
        <v>1257</v>
      </c>
      <c r="E320" s="98" t="s">
        <v>1258</v>
      </c>
      <c r="F320" s="98" t="s">
        <v>1259</v>
      </c>
      <c r="G320" s="98" t="s">
        <v>855</v>
      </c>
      <c r="H320" s="98" t="s">
        <v>1615</v>
      </c>
      <c r="I320" s="98" t="s">
        <v>1615</v>
      </c>
      <c r="J320" s="98" t="s">
        <v>1260</v>
      </c>
      <c r="K320" s="98" t="s">
        <v>1156</v>
      </c>
      <c r="L320" s="98" t="s">
        <v>856</v>
      </c>
      <c r="M320" s="101" t="s">
        <v>1093</v>
      </c>
      <c r="N320" s="108">
        <v>46220</v>
      </c>
      <c r="O320" s="100">
        <v>1</v>
      </c>
      <c r="P320" s="69">
        <v>0</v>
      </c>
      <c r="Q320" s="69">
        <f t="shared" si="3768"/>
        <v>0</v>
      </c>
      <c r="R320" s="69">
        <f>IFERROR(IF(OR(BA320&gt;0),1,0),0)</f>
        <v>1</v>
      </c>
      <c r="S320" s="69">
        <f>IFERROR(IF(OR(BP320&gt;0),1,0),0)</f>
        <v>0</v>
      </c>
      <c r="T320" s="69">
        <f>IFERROR(IF(OR(CH320&gt;0),1,0),0)</f>
        <v>1</v>
      </c>
      <c r="U320" s="69">
        <f>IFERROR(IF(OR(BA320&gt;0,CH320&gt;0),1,0),0)</f>
        <v>1</v>
      </c>
      <c r="V320" s="70">
        <f t="shared" ref="V320" si="3837">GO320</f>
        <v>1</v>
      </c>
      <c r="W320" s="71">
        <f t="shared" ref="W320" si="3838">GP320</f>
        <v>1</v>
      </c>
      <c r="X320" s="71">
        <f t="shared" ref="X320" si="3839">GQ320</f>
        <v>1</v>
      </c>
      <c r="Y320" s="71">
        <f t="shared" ref="Y320" si="3840">GR320</f>
        <v>0</v>
      </c>
      <c r="Z320" s="71">
        <f t="shared" ref="Z320" si="3841">GS320</f>
        <v>1</v>
      </c>
      <c r="AA320" s="71">
        <f t="shared" ref="AA320" si="3842">GT320</f>
        <v>1</v>
      </c>
      <c r="AB320" s="71">
        <f t="shared" ref="AB320" si="3843">GU320</f>
        <v>1</v>
      </c>
      <c r="AC320" s="71">
        <f t="shared" ref="AC320" si="3844">GV320</f>
        <v>1</v>
      </c>
      <c r="AD320" s="71">
        <f t="shared" ref="AD320" si="3845">GW320</f>
        <v>1</v>
      </c>
      <c r="AE320" s="71">
        <f t="shared" ref="AE320" si="3846">GX320</f>
        <v>1</v>
      </c>
      <c r="AF320" s="71">
        <f t="shared" ref="AF320" si="3847">GY320</f>
        <v>1</v>
      </c>
      <c r="AG320" s="71">
        <f t="shared" ref="AG320" si="3848">GZ320</f>
        <v>1</v>
      </c>
      <c r="AH320" s="71">
        <f t="shared" ref="AH320" si="3849">HA320</f>
        <v>1</v>
      </c>
      <c r="AI320" s="71">
        <f t="shared" ref="AI320" si="3850">HB320</f>
        <v>0</v>
      </c>
      <c r="AJ320" s="71">
        <f t="shared" ref="AJ320" si="3851">HC320</f>
        <v>0</v>
      </c>
      <c r="AK320" s="71">
        <f t="shared" ref="AK320" si="3852">HD320</f>
        <v>0</v>
      </c>
      <c r="AL320" s="71">
        <f t="shared" ref="AL320" si="3853">HE320</f>
        <v>0</v>
      </c>
      <c r="AM320" s="71">
        <f t="shared" ref="AM320" si="3854">HF320</f>
        <v>0</v>
      </c>
      <c r="AN320" s="71">
        <f t="shared" ref="AN320" si="3855">HG320</f>
        <v>0</v>
      </c>
      <c r="AO320" s="71">
        <f t="shared" ref="AO320" si="3856">HH320</f>
        <v>0</v>
      </c>
      <c r="AP320" s="71">
        <f t="shared" ref="AP320" si="3857">HI320</f>
        <v>0</v>
      </c>
      <c r="AQ320" s="71">
        <f t="shared" ref="AQ320" si="3858">HJ320</f>
        <v>0</v>
      </c>
      <c r="AR320" s="71">
        <f t="shared" ref="AR320" si="3859">HK320</f>
        <v>0</v>
      </c>
      <c r="AS320" s="71">
        <f t="shared" ref="AS320" si="3860">HL320</f>
        <v>0</v>
      </c>
      <c r="AT320" s="71">
        <f t="shared" ref="AT320" si="3861">HM320</f>
        <v>0</v>
      </c>
      <c r="AU320" s="71">
        <f t="shared" ref="AU320" si="3862">HN320</f>
        <v>0</v>
      </c>
      <c r="AV320" s="71">
        <f t="shared" ref="AV320" si="3863">HO320</f>
        <v>0</v>
      </c>
      <c r="AW320" s="71">
        <f t="shared" ref="AW320" si="3864">HP320</f>
        <v>0</v>
      </c>
      <c r="AX320" s="71">
        <f t="shared" ref="AX320" si="3865">HQ320</f>
        <v>0</v>
      </c>
      <c r="AY320" s="71">
        <f t="shared" ref="AY320" si="3866">HR320</f>
        <v>0</v>
      </c>
      <c r="AZ320" s="72">
        <f t="shared" ref="AZ320" si="3867">HS320</f>
        <v>0</v>
      </c>
      <c r="BA320" s="70">
        <f t="shared" si="3123"/>
        <v>12</v>
      </c>
      <c r="BB320" s="69">
        <f t="shared" ca="1" si="3124"/>
        <v>0.92307692307692313</v>
      </c>
      <c r="BC320" s="70">
        <f t="shared" ref="BC320" si="3868">HT320</f>
        <v>15</v>
      </c>
      <c r="BD320" s="71">
        <f t="shared" ref="BD320" si="3869">HU320</f>
        <v>0</v>
      </c>
      <c r="BE320" s="71">
        <f t="shared" ref="BE320" si="3870">HV320</f>
        <v>2</v>
      </c>
      <c r="BF320" s="71">
        <f t="shared" ref="BF320" si="3871">HW320</f>
        <v>0</v>
      </c>
      <c r="BG320" s="71">
        <f t="shared" ref="BG320" si="3872">HX320</f>
        <v>3</v>
      </c>
      <c r="BH320" s="71">
        <f t="shared" ref="BH320" si="3873">HY320</f>
        <v>0</v>
      </c>
      <c r="BI320" s="71">
        <f t="shared" ref="BI320" si="3874">HZ320</f>
        <v>9</v>
      </c>
      <c r="BJ320" s="71">
        <f t="shared" ref="BJ320" si="3875">IA320</f>
        <v>7</v>
      </c>
      <c r="BK320" s="71">
        <f t="shared" ref="BK320" si="3876">IB320</f>
        <v>6</v>
      </c>
      <c r="BL320" s="71">
        <f t="shared" ref="BL320" si="3877">IC320</f>
        <v>26</v>
      </c>
      <c r="BM320" s="71">
        <f t="shared" ref="BM320" si="3878">ID320</f>
        <v>0</v>
      </c>
      <c r="BN320" s="71">
        <f t="shared" ref="BN320" si="3879">IE320</f>
        <v>21</v>
      </c>
      <c r="BO320" s="71">
        <f t="shared" ref="BO320" si="3880">IF320</f>
        <v>18</v>
      </c>
      <c r="BP320" s="71">
        <f t="shared" ref="BP320" si="3881">IG320</f>
        <v>0</v>
      </c>
      <c r="BQ320" s="71">
        <f t="shared" ref="BQ320" si="3882">IH320</f>
        <v>0</v>
      </c>
      <c r="BR320" s="71">
        <f t="shared" ref="BR320" si="3883">II320</f>
        <v>0</v>
      </c>
      <c r="BS320" s="71">
        <f t="shared" ref="BS320" si="3884">IJ320</f>
        <v>0</v>
      </c>
      <c r="BT320" s="71">
        <f t="shared" ref="BT320" si="3885">IK320</f>
        <v>0</v>
      </c>
      <c r="BU320" s="71">
        <f t="shared" ref="BU320" si="3886">IL320</f>
        <v>0</v>
      </c>
      <c r="BV320" s="71">
        <f t="shared" ref="BV320" si="3887">IM320</f>
        <v>0</v>
      </c>
      <c r="BW320" s="71">
        <f t="shared" ref="BW320" si="3888">IN320</f>
        <v>0</v>
      </c>
      <c r="BX320" s="71">
        <f t="shared" ref="BX320" si="3889">IO320</f>
        <v>0</v>
      </c>
      <c r="BY320" s="71">
        <f t="shared" ref="BY320" si="3890">IP320</f>
        <v>0</v>
      </c>
      <c r="BZ320" s="71">
        <f t="shared" ref="BZ320" si="3891">IQ320</f>
        <v>0</v>
      </c>
      <c r="CA320" s="71">
        <f t="shared" ref="CA320" si="3892">IR320</f>
        <v>0</v>
      </c>
      <c r="CB320" s="71">
        <f t="shared" ref="CB320" si="3893">IS320</f>
        <v>0</v>
      </c>
      <c r="CC320" s="71">
        <f t="shared" ref="CC320" si="3894">IT320</f>
        <v>0</v>
      </c>
      <c r="CD320" s="71">
        <f t="shared" ref="CD320" si="3895">IU320</f>
        <v>0</v>
      </c>
      <c r="CE320" s="71">
        <f t="shared" ref="CE320" si="3896">IV320</f>
        <v>0</v>
      </c>
      <c r="CF320" s="71">
        <f t="shared" ref="CF320" si="3897">IW320</f>
        <v>0</v>
      </c>
      <c r="CG320" s="71">
        <f t="shared" ref="CG320" si="3898">IX320</f>
        <v>0</v>
      </c>
      <c r="CH320" s="70">
        <f t="shared" si="3125"/>
        <v>107</v>
      </c>
      <c r="CI320" s="69">
        <f t="shared" ca="1" si="3126"/>
        <v>8.2307692307692299</v>
      </c>
      <c r="GM320" s="2" t="s">
        <v>16</v>
      </c>
      <c r="GN320" s="98" t="str">
        <f t="shared" ref="GN320" si="3899">F320</f>
        <v>NTH-E-FMCG02-SPOWS-01</v>
      </c>
      <c r="GO320" s="4">
        <v>1</v>
      </c>
      <c r="GP320" s="3">
        <v>1</v>
      </c>
      <c r="GQ320" s="3">
        <v>1</v>
      </c>
      <c r="GR320" s="3">
        <v>0</v>
      </c>
      <c r="GS320" s="3">
        <v>1</v>
      </c>
      <c r="GT320" s="3">
        <v>1</v>
      </c>
      <c r="GU320" s="3">
        <v>1</v>
      </c>
      <c r="GV320" s="3">
        <v>1</v>
      </c>
      <c r="GW320" s="3">
        <v>1</v>
      </c>
      <c r="GX320" s="3">
        <v>1</v>
      </c>
      <c r="GY320" s="3">
        <v>1</v>
      </c>
      <c r="GZ320" s="3">
        <v>1</v>
      </c>
      <c r="HA320" s="3">
        <v>1</v>
      </c>
      <c r="HB320" s="3">
        <v>0</v>
      </c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6"/>
      <c r="HT320" s="4">
        <v>15</v>
      </c>
      <c r="HU320" s="3">
        <v>0</v>
      </c>
      <c r="HV320" s="3">
        <v>2</v>
      </c>
      <c r="HW320" s="3">
        <v>0</v>
      </c>
      <c r="HX320" s="3">
        <v>3</v>
      </c>
      <c r="HY320" s="3">
        <v>0</v>
      </c>
      <c r="HZ320" s="3">
        <v>9</v>
      </c>
      <c r="IA320" s="3">
        <v>7</v>
      </c>
      <c r="IB320" s="3">
        <v>6</v>
      </c>
      <c r="IC320" s="3">
        <v>26</v>
      </c>
      <c r="ID320" s="3">
        <v>0</v>
      </c>
      <c r="IE320" s="3">
        <v>21</v>
      </c>
      <c r="IF320" s="3">
        <v>18</v>
      </c>
      <c r="IG320" s="3">
        <v>0</v>
      </c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6"/>
    </row>
    <row r="321" spans="1:258" hidden="1">
      <c r="A321" s="97" t="s">
        <v>1401</v>
      </c>
      <c r="B321" s="98" t="s">
        <v>20</v>
      </c>
      <c r="C321" s="98" t="s">
        <v>721</v>
      </c>
      <c r="D321" s="99" t="s">
        <v>1257</v>
      </c>
      <c r="E321" s="98" t="s">
        <v>1261</v>
      </c>
      <c r="F321" s="98" t="s">
        <v>1405</v>
      </c>
      <c r="G321" s="113" t="s">
        <v>762</v>
      </c>
      <c r="H321" s="98" t="s">
        <v>1616</v>
      </c>
      <c r="I321" s="98" t="s">
        <v>1616</v>
      </c>
      <c r="J321" s="98" t="s">
        <v>1260</v>
      </c>
      <c r="K321" s="98" t="s">
        <v>1156</v>
      </c>
      <c r="L321" s="98" t="s">
        <v>763</v>
      </c>
      <c r="M321" s="101" t="s">
        <v>52</v>
      </c>
      <c r="N321" s="108">
        <v>45139</v>
      </c>
      <c r="O321" s="100">
        <v>1</v>
      </c>
      <c r="P321" s="69">
        <v>0</v>
      </c>
      <c r="Q321" s="69">
        <f t="shared" si="3768"/>
        <v>1</v>
      </c>
      <c r="R321" s="69">
        <f>IFERROR(IF(OR(BA321&gt;0),1,0),0)</f>
        <v>1</v>
      </c>
      <c r="S321" s="69">
        <f>IFERROR(IF(OR(BP321&gt;0),1,0),0)</f>
        <v>0</v>
      </c>
      <c r="T321" s="69">
        <f>IFERROR(IF(OR(CH321&gt;0),1,0),0)</f>
        <v>1</v>
      </c>
      <c r="U321" s="69">
        <f>IFERROR(IF(OR(BA321&gt;0,CH321&gt;0),1,0),0)</f>
        <v>1</v>
      </c>
      <c r="V321" s="70">
        <f t="shared" ref="V321" si="3900">GO321</f>
        <v>1</v>
      </c>
      <c r="W321" s="71">
        <f t="shared" ref="W321" si="3901">GP321</f>
        <v>1</v>
      </c>
      <c r="X321" s="71">
        <f t="shared" ref="X321" si="3902">GQ321</f>
        <v>1</v>
      </c>
      <c r="Y321" s="71">
        <f t="shared" ref="Y321" si="3903">GR321</f>
        <v>0</v>
      </c>
      <c r="Z321" s="71">
        <f t="shared" ref="Z321" si="3904">GS321</f>
        <v>1</v>
      </c>
      <c r="AA321" s="71">
        <f t="shared" ref="AA321" si="3905">GT321</f>
        <v>1</v>
      </c>
      <c r="AB321" s="71">
        <f t="shared" ref="AB321" si="3906">GU321</f>
        <v>1</v>
      </c>
      <c r="AC321" s="71">
        <f t="shared" ref="AC321" si="3907">GV321</f>
        <v>1</v>
      </c>
      <c r="AD321" s="71">
        <f t="shared" ref="AD321" si="3908">GW321</f>
        <v>1</v>
      </c>
      <c r="AE321" s="71">
        <f t="shared" ref="AE321" si="3909">GX321</f>
        <v>1</v>
      </c>
      <c r="AF321" s="71">
        <f t="shared" ref="AF321" si="3910">GY321</f>
        <v>0</v>
      </c>
      <c r="AG321" s="71">
        <f t="shared" ref="AG321" si="3911">GZ321</f>
        <v>1</v>
      </c>
      <c r="AH321" s="71">
        <f t="shared" ref="AH321" si="3912">HA321</f>
        <v>1</v>
      </c>
      <c r="AI321" s="71">
        <f t="shared" ref="AI321" si="3913">HB321</f>
        <v>1</v>
      </c>
      <c r="AJ321" s="71">
        <f t="shared" ref="AJ321" si="3914">HC321</f>
        <v>0</v>
      </c>
      <c r="AK321" s="71">
        <f t="shared" ref="AK321" si="3915">HD321</f>
        <v>0</v>
      </c>
      <c r="AL321" s="71">
        <f t="shared" ref="AL321" si="3916">HE321</f>
        <v>0</v>
      </c>
      <c r="AM321" s="71">
        <f t="shared" ref="AM321" si="3917">HF321</f>
        <v>0</v>
      </c>
      <c r="AN321" s="71">
        <f t="shared" ref="AN321" si="3918">HG321</f>
        <v>0</v>
      </c>
      <c r="AO321" s="71">
        <f t="shared" ref="AO321" si="3919">HH321</f>
        <v>0</v>
      </c>
      <c r="AP321" s="71">
        <f t="shared" ref="AP321" si="3920">HI321</f>
        <v>0</v>
      </c>
      <c r="AQ321" s="71">
        <f t="shared" ref="AQ321" si="3921">HJ321</f>
        <v>0</v>
      </c>
      <c r="AR321" s="71">
        <f t="shared" ref="AR321" si="3922">HK321</f>
        <v>0</v>
      </c>
      <c r="AS321" s="71">
        <f t="shared" ref="AS321" si="3923">HL321</f>
        <v>0</v>
      </c>
      <c r="AT321" s="71">
        <f t="shared" ref="AT321" si="3924">HM321</f>
        <v>0</v>
      </c>
      <c r="AU321" s="71">
        <f t="shared" ref="AU321" si="3925">HN321</f>
        <v>0</v>
      </c>
      <c r="AV321" s="71">
        <f t="shared" ref="AV321" si="3926">HO321</f>
        <v>0</v>
      </c>
      <c r="AW321" s="71">
        <f t="shared" ref="AW321" si="3927">HP321</f>
        <v>0</v>
      </c>
      <c r="AX321" s="71">
        <f t="shared" ref="AX321" si="3928">HQ321</f>
        <v>0</v>
      </c>
      <c r="AY321" s="71">
        <f t="shared" ref="AY321" si="3929">HR321</f>
        <v>0</v>
      </c>
      <c r="AZ321" s="72">
        <f t="shared" ref="AZ321" si="3930">HS321</f>
        <v>0</v>
      </c>
      <c r="BA321" s="70">
        <f t="shared" si="3123"/>
        <v>12</v>
      </c>
      <c r="BB321" s="69">
        <f t="shared" ca="1" si="3124"/>
        <v>0.92307692307692313</v>
      </c>
      <c r="BC321" s="70">
        <f t="shared" ref="BC321" si="3931">HT321</f>
        <v>1</v>
      </c>
      <c r="BD321" s="71">
        <f t="shared" ref="BD321" si="3932">HU321</f>
        <v>0</v>
      </c>
      <c r="BE321" s="71">
        <f t="shared" ref="BE321" si="3933">HV321</f>
        <v>5</v>
      </c>
      <c r="BF321" s="71">
        <f t="shared" ref="BF321" si="3934">HW321</f>
        <v>0</v>
      </c>
      <c r="BG321" s="71">
        <f t="shared" ref="BG321" si="3935">HX321</f>
        <v>1</v>
      </c>
      <c r="BH321" s="71">
        <f t="shared" ref="BH321" si="3936">HY321</f>
        <v>3</v>
      </c>
      <c r="BI321" s="71">
        <f t="shared" ref="BI321" si="3937">HZ321</f>
        <v>7</v>
      </c>
      <c r="BJ321" s="71">
        <f t="shared" ref="BJ321" si="3938">IA321</f>
        <v>8</v>
      </c>
      <c r="BK321" s="71">
        <f t="shared" ref="BK321" si="3939">IB321</f>
        <v>0</v>
      </c>
      <c r="BL321" s="71">
        <f t="shared" ref="BL321" si="3940">IC321</f>
        <v>7</v>
      </c>
      <c r="BM321" s="71">
        <f t="shared" ref="BM321" si="3941">ID321</f>
        <v>0</v>
      </c>
      <c r="BN321" s="71">
        <f t="shared" ref="BN321" si="3942">IE321</f>
        <v>0</v>
      </c>
      <c r="BO321" s="71">
        <f t="shared" ref="BO321" si="3943">IF321</f>
        <v>6</v>
      </c>
      <c r="BP321" s="71">
        <f t="shared" ref="BP321" si="3944">IG321</f>
        <v>0</v>
      </c>
      <c r="BQ321" s="71">
        <f t="shared" ref="BQ321" si="3945">IH321</f>
        <v>0</v>
      </c>
      <c r="BR321" s="71">
        <f t="shared" ref="BR321" si="3946">II321</f>
        <v>0</v>
      </c>
      <c r="BS321" s="71">
        <f t="shared" ref="BS321" si="3947">IJ321</f>
        <v>0</v>
      </c>
      <c r="BT321" s="71">
        <f t="shared" ref="BT321" si="3948">IK321</f>
        <v>0</v>
      </c>
      <c r="BU321" s="71">
        <f t="shared" ref="BU321" si="3949">IL321</f>
        <v>0</v>
      </c>
      <c r="BV321" s="71">
        <f t="shared" ref="BV321" si="3950">IM321</f>
        <v>0</v>
      </c>
      <c r="BW321" s="71">
        <f t="shared" ref="BW321" si="3951">IN321</f>
        <v>0</v>
      </c>
      <c r="BX321" s="71">
        <f t="shared" ref="BX321" si="3952">IO321</f>
        <v>0</v>
      </c>
      <c r="BY321" s="71">
        <f t="shared" ref="BY321" si="3953">IP321</f>
        <v>0</v>
      </c>
      <c r="BZ321" s="71">
        <f t="shared" ref="BZ321" si="3954">IQ321</f>
        <v>0</v>
      </c>
      <c r="CA321" s="71">
        <f t="shared" ref="CA321" si="3955">IR321</f>
        <v>0</v>
      </c>
      <c r="CB321" s="71">
        <f t="shared" ref="CB321" si="3956">IS321</f>
        <v>0</v>
      </c>
      <c r="CC321" s="71">
        <f t="shared" ref="CC321" si="3957">IT321</f>
        <v>0</v>
      </c>
      <c r="CD321" s="71">
        <f t="shared" ref="CD321" si="3958">IU321</f>
        <v>0</v>
      </c>
      <c r="CE321" s="71">
        <f t="shared" ref="CE321" si="3959">IV321</f>
        <v>0</v>
      </c>
      <c r="CF321" s="71">
        <f t="shared" ref="CF321" si="3960">IW321</f>
        <v>0</v>
      </c>
      <c r="CG321" s="71">
        <f t="shared" ref="CG321" si="3961">IX321</f>
        <v>0</v>
      </c>
      <c r="CH321" s="70">
        <f t="shared" si="3125"/>
        <v>38</v>
      </c>
      <c r="CI321" s="69">
        <f t="shared" ca="1" si="3126"/>
        <v>2.9230769230769229</v>
      </c>
      <c r="GM321" s="2" t="s">
        <v>17</v>
      </c>
      <c r="GN321" s="98" t="s">
        <v>1262</v>
      </c>
      <c r="GO321" s="4">
        <v>1</v>
      </c>
      <c r="GP321" s="3">
        <v>1</v>
      </c>
      <c r="GQ321" s="3">
        <v>1</v>
      </c>
      <c r="GR321" s="3">
        <v>0</v>
      </c>
      <c r="GS321" s="3">
        <v>1</v>
      </c>
      <c r="GT321" s="3">
        <v>1</v>
      </c>
      <c r="GU321" s="3">
        <v>1</v>
      </c>
      <c r="GV321" s="3">
        <v>1</v>
      </c>
      <c r="GW321" s="3">
        <v>1</v>
      </c>
      <c r="GX321" s="3">
        <v>1</v>
      </c>
      <c r="GY321" s="3">
        <v>0</v>
      </c>
      <c r="GZ321" s="3">
        <v>1</v>
      </c>
      <c r="HA321" s="3">
        <v>1</v>
      </c>
      <c r="HB321" s="3">
        <v>1</v>
      </c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6"/>
      <c r="HT321" s="4">
        <v>1</v>
      </c>
      <c r="HU321" s="3">
        <v>0</v>
      </c>
      <c r="HV321" s="3">
        <v>5</v>
      </c>
      <c r="HW321" s="3">
        <v>0</v>
      </c>
      <c r="HX321" s="3">
        <v>1</v>
      </c>
      <c r="HY321" s="3">
        <v>3</v>
      </c>
      <c r="HZ321" s="3">
        <v>7</v>
      </c>
      <c r="IA321" s="3">
        <v>8</v>
      </c>
      <c r="IB321" s="3">
        <v>0</v>
      </c>
      <c r="IC321" s="3">
        <v>7</v>
      </c>
      <c r="ID321" s="3">
        <v>0</v>
      </c>
      <c r="IE321" s="3">
        <v>0</v>
      </c>
      <c r="IF321" s="3">
        <v>6</v>
      </c>
      <c r="IG321" s="3">
        <v>0</v>
      </c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6"/>
    </row>
    <row r="322" spans="1:258" hidden="1">
      <c r="A322" s="102" t="s">
        <v>19</v>
      </c>
      <c r="B322" s="103" t="s">
        <v>20</v>
      </c>
      <c r="C322" s="103" t="s">
        <v>721</v>
      </c>
      <c r="D322" s="104" t="s">
        <v>1257</v>
      </c>
      <c r="E322" s="103" t="s">
        <v>1261</v>
      </c>
      <c r="F322" s="103" t="s">
        <v>1262</v>
      </c>
      <c r="G322" s="120" t="s">
        <v>1403</v>
      </c>
      <c r="H322" s="103" t="s">
        <v>1617</v>
      </c>
      <c r="I322" s="103" t="s">
        <v>1617</v>
      </c>
      <c r="J322" s="103" t="s">
        <v>1260</v>
      </c>
      <c r="K322" s="103" t="s">
        <v>1156</v>
      </c>
      <c r="L322" s="103" t="s">
        <v>763</v>
      </c>
      <c r="M322" s="103" t="s">
        <v>52</v>
      </c>
      <c r="N322" s="119">
        <v>45139</v>
      </c>
      <c r="O322" s="105">
        <f>SUM(O320:O321)</f>
        <v>2</v>
      </c>
      <c r="P322" s="73">
        <f t="shared" ref="P322:CA322" si="3962">SUM(P320:P321)</f>
        <v>0</v>
      </c>
      <c r="Q322" s="73">
        <f t="shared" si="3962"/>
        <v>1</v>
      </c>
      <c r="R322" s="73">
        <f t="shared" si="3962"/>
        <v>2</v>
      </c>
      <c r="S322" s="73">
        <f t="shared" si="3962"/>
        <v>0</v>
      </c>
      <c r="T322" s="73">
        <f t="shared" si="3962"/>
        <v>2</v>
      </c>
      <c r="U322" s="73">
        <f t="shared" si="3962"/>
        <v>2</v>
      </c>
      <c r="V322" s="74">
        <f t="shared" si="3962"/>
        <v>2</v>
      </c>
      <c r="W322" s="75">
        <f t="shared" si="3962"/>
        <v>2</v>
      </c>
      <c r="X322" s="75">
        <f t="shared" si="3962"/>
        <v>2</v>
      </c>
      <c r="Y322" s="75">
        <f t="shared" si="3962"/>
        <v>0</v>
      </c>
      <c r="Z322" s="75">
        <f t="shared" si="3962"/>
        <v>2</v>
      </c>
      <c r="AA322" s="75">
        <f t="shared" si="3962"/>
        <v>2</v>
      </c>
      <c r="AB322" s="75">
        <f t="shared" si="3962"/>
        <v>2</v>
      </c>
      <c r="AC322" s="75">
        <f t="shared" si="3962"/>
        <v>2</v>
      </c>
      <c r="AD322" s="75">
        <f t="shared" si="3962"/>
        <v>2</v>
      </c>
      <c r="AE322" s="75">
        <f t="shared" si="3962"/>
        <v>2</v>
      </c>
      <c r="AF322" s="75">
        <f t="shared" si="3962"/>
        <v>1</v>
      </c>
      <c r="AG322" s="75">
        <f t="shared" si="3962"/>
        <v>2</v>
      </c>
      <c r="AH322" s="75">
        <f t="shared" si="3962"/>
        <v>2</v>
      </c>
      <c r="AI322" s="75">
        <f t="shared" si="3962"/>
        <v>1</v>
      </c>
      <c r="AJ322" s="75">
        <f t="shared" si="3962"/>
        <v>0</v>
      </c>
      <c r="AK322" s="75">
        <f t="shared" si="3962"/>
        <v>0</v>
      </c>
      <c r="AL322" s="75">
        <f t="shared" si="3962"/>
        <v>0</v>
      </c>
      <c r="AM322" s="75">
        <f t="shared" si="3962"/>
        <v>0</v>
      </c>
      <c r="AN322" s="75">
        <f t="shared" si="3962"/>
        <v>0</v>
      </c>
      <c r="AO322" s="75">
        <f t="shared" si="3962"/>
        <v>0</v>
      </c>
      <c r="AP322" s="75">
        <f t="shared" si="3962"/>
        <v>0</v>
      </c>
      <c r="AQ322" s="75">
        <f t="shared" si="3962"/>
        <v>0</v>
      </c>
      <c r="AR322" s="75">
        <f t="shared" si="3962"/>
        <v>0</v>
      </c>
      <c r="AS322" s="75">
        <f t="shared" si="3962"/>
        <v>0</v>
      </c>
      <c r="AT322" s="75">
        <f t="shared" si="3962"/>
        <v>0</v>
      </c>
      <c r="AU322" s="75">
        <f t="shared" si="3962"/>
        <v>0</v>
      </c>
      <c r="AV322" s="75">
        <f t="shared" si="3962"/>
        <v>0</v>
      </c>
      <c r="AW322" s="75">
        <f t="shared" si="3962"/>
        <v>0</v>
      </c>
      <c r="AX322" s="75">
        <f t="shared" si="3962"/>
        <v>0</v>
      </c>
      <c r="AY322" s="75">
        <f t="shared" si="3962"/>
        <v>0</v>
      </c>
      <c r="AZ322" s="76">
        <f t="shared" si="3962"/>
        <v>0</v>
      </c>
      <c r="BA322" s="74">
        <f t="shared" si="3123"/>
        <v>24</v>
      </c>
      <c r="BB322" s="73">
        <f t="shared" ca="1" si="3124"/>
        <v>0.92307692307692313</v>
      </c>
      <c r="BC322" s="74">
        <f t="shared" si="3962"/>
        <v>16</v>
      </c>
      <c r="BD322" s="75">
        <f t="shared" si="3962"/>
        <v>0</v>
      </c>
      <c r="BE322" s="75">
        <f t="shared" si="3962"/>
        <v>7</v>
      </c>
      <c r="BF322" s="75">
        <f t="shared" si="3962"/>
        <v>0</v>
      </c>
      <c r="BG322" s="75">
        <f t="shared" si="3962"/>
        <v>4</v>
      </c>
      <c r="BH322" s="75">
        <f t="shared" si="3962"/>
        <v>3</v>
      </c>
      <c r="BI322" s="75">
        <f t="shared" si="3962"/>
        <v>16</v>
      </c>
      <c r="BJ322" s="75">
        <f t="shared" si="3962"/>
        <v>15</v>
      </c>
      <c r="BK322" s="75">
        <f t="shared" si="3962"/>
        <v>6</v>
      </c>
      <c r="BL322" s="75">
        <f t="shared" si="3962"/>
        <v>33</v>
      </c>
      <c r="BM322" s="75">
        <f t="shared" si="3962"/>
        <v>0</v>
      </c>
      <c r="BN322" s="75">
        <f t="shared" si="3962"/>
        <v>21</v>
      </c>
      <c r="BO322" s="75">
        <f t="shared" si="3962"/>
        <v>24</v>
      </c>
      <c r="BP322" s="75">
        <f t="shared" si="3962"/>
        <v>0</v>
      </c>
      <c r="BQ322" s="75">
        <f t="shared" si="3962"/>
        <v>0</v>
      </c>
      <c r="BR322" s="75">
        <f t="shared" si="3962"/>
        <v>0</v>
      </c>
      <c r="BS322" s="75">
        <f t="shared" si="3962"/>
        <v>0</v>
      </c>
      <c r="BT322" s="75">
        <f t="shared" si="3962"/>
        <v>0</v>
      </c>
      <c r="BU322" s="75">
        <f t="shared" si="3962"/>
        <v>0</v>
      </c>
      <c r="BV322" s="75">
        <f t="shared" si="3962"/>
        <v>0</v>
      </c>
      <c r="BW322" s="75">
        <f t="shared" si="3962"/>
        <v>0</v>
      </c>
      <c r="BX322" s="75">
        <f t="shared" si="3962"/>
        <v>0</v>
      </c>
      <c r="BY322" s="75">
        <f t="shared" si="3962"/>
        <v>0</v>
      </c>
      <c r="BZ322" s="75">
        <f t="shared" si="3962"/>
        <v>0</v>
      </c>
      <c r="CA322" s="75">
        <f t="shared" si="3962"/>
        <v>0</v>
      </c>
      <c r="CB322" s="75">
        <f t="shared" ref="CB322:CG322" si="3963">SUM(CB320:CB321)</f>
        <v>0</v>
      </c>
      <c r="CC322" s="75">
        <f t="shared" si="3963"/>
        <v>0</v>
      </c>
      <c r="CD322" s="75">
        <f t="shared" si="3963"/>
        <v>0</v>
      </c>
      <c r="CE322" s="75">
        <f t="shared" si="3963"/>
        <v>0</v>
      </c>
      <c r="CF322" s="75">
        <f t="shared" si="3963"/>
        <v>0</v>
      </c>
      <c r="CG322" s="75">
        <f t="shared" si="3963"/>
        <v>0</v>
      </c>
      <c r="CH322" s="74">
        <f t="shared" si="3125"/>
        <v>145</v>
      </c>
      <c r="CI322" s="73">
        <f t="shared" ca="1" si="3126"/>
        <v>5.5769230769230766</v>
      </c>
      <c r="GM322" s="2" t="s">
        <v>17</v>
      </c>
      <c r="GN322" s="103" t="str">
        <f t="shared" si="3053"/>
        <v>NTH-E-FMCG-CM-01</v>
      </c>
      <c r="GO322" s="4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0</v>
      </c>
      <c r="GV322" s="3">
        <v>0</v>
      </c>
      <c r="GW322" s="3">
        <v>0</v>
      </c>
      <c r="GX322" s="3">
        <v>0</v>
      </c>
      <c r="GY322" s="3">
        <v>0</v>
      </c>
      <c r="GZ322" s="3">
        <v>0</v>
      </c>
      <c r="HA322" s="3">
        <v>0</v>
      </c>
      <c r="HB322" s="3">
        <v>0</v>
      </c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6"/>
      <c r="HT322" s="4">
        <v>0</v>
      </c>
      <c r="HU322" s="3">
        <v>0</v>
      </c>
      <c r="HV322" s="3">
        <v>0</v>
      </c>
      <c r="HW322" s="3">
        <v>0</v>
      </c>
      <c r="HX322" s="3">
        <v>0</v>
      </c>
      <c r="HY322" s="3">
        <v>0</v>
      </c>
      <c r="HZ322" s="3">
        <v>0</v>
      </c>
      <c r="IA322" s="3">
        <v>0</v>
      </c>
      <c r="IB322" s="3">
        <v>0</v>
      </c>
      <c r="IC322" s="3">
        <v>0</v>
      </c>
      <c r="ID322" s="3">
        <v>0</v>
      </c>
      <c r="IE322" s="3">
        <v>0</v>
      </c>
      <c r="IF322" s="3">
        <v>0</v>
      </c>
      <c r="IG322" s="3">
        <v>0</v>
      </c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6"/>
    </row>
    <row r="323" spans="1:258" hidden="1">
      <c r="A323" s="97" t="s">
        <v>25</v>
      </c>
      <c r="B323" s="98" t="s">
        <v>26</v>
      </c>
      <c r="C323" s="101" t="s">
        <v>721</v>
      </c>
      <c r="D323" s="99" t="s">
        <v>1344</v>
      </c>
      <c r="E323" s="98" t="s">
        <v>1345</v>
      </c>
      <c r="F323" s="98" t="s">
        <v>1373</v>
      </c>
      <c r="G323" s="98" t="s">
        <v>1349</v>
      </c>
      <c r="H323" s="98" t="s">
        <v>1618</v>
      </c>
      <c r="I323" s="98" t="s">
        <v>1618</v>
      </c>
      <c r="J323" s="98" t="s">
        <v>1344</v>
      </c>
      <c r="K323" s="98" t="s">
        <v>1127</v>
      </c>
      <c r="L323" s="98" t="s">
        <v>1354</v>
      </c>
      <c r="M323" s="101" t="s">
        <v>1093</v>
      </c>
      <c r="N323" s="108">
        <v>44205</v>
      </c>
      <c r="O323" s="100">
        <v>1</v>
      </c>
      <c r="P323" s="69">
        <v>0</v>
      </c>
      <c r="Q323" s="69">
        <f>IFERROR(IF(OR(AI323&gt;0),1,0),0)</f>
        <v>1</v>
      </c>
      <c r="R323" s="69">
        <f t="shared" ref="R323:R327" si="3964">IFERROR(IF(OR(BA323&gt;0),1,0),0)</f>
        <v>1</v>
      </c>
      <c r="S323" s="69">
        <f>IFERROR(IF(OR(BP323&gt;0),1,0),0)</f>
        <v>1</v>
      </c>
      <c r="T323" s="69">
        <f t="shared" ref="T323:T327" si="3965">IFERROR(IF(OR(CH323&gt;0),1,0),0)</f>
        <v>1</v>
      </c>
      <c r="U323" s="69">
        <f t="shared" ref="U323:U327" si="3966">IFERROR(IF(OR(BA323&gt;0,CH323&gt;0),1,0),0)</f>
        <v>1</v>
      </c>
      <c r="V323" s="70">
        <f t="shared" ref="V323:V327" si="3967">GO323</f>
        <v>1</v>
      </c>
      <c r="W323" s="71">
        <f t="shared" ref="W323:W327" si="3968">GP323</f>
        <v>1</v>
      </c>
      <c r="X323" s="71">
        <f t="shared" ref="X323:X327" si="3969">GQ323</f>
        <v>1</v>
      </c>
      <c r="Y323" s="71">
        <f t="shared" ref="Y323:Y327" si="3970">GR323</f>
        <v>0</v>
      </c>
      <c r="Z323" s="71">
        <f t="shared" ref="Z323:Z327" si="3971">GS323</f>
        <v>1</v>
      </c>
      <c r="AA323" s="71">
        <f t="shared" ref="AA323:AA327" si="3972">GT323</f>
        <v>1</v>
      </c>
      <c r="AB323" s="71">
        <f t="shared" ref="AB323:AB327" si="3973">GU323</f>
        <v>1</v>
      </c>
      <c r="AC323" s="71">
        <f t="shared" ref="AC323:AC327" si="3974">GV323</f>
        <v>1</v>
      </c>
      <c r="AD323" s="71">
        <f t="shared" ref="AD323:AD327" si="3975">GW323</f>
        <v>1</v>
      </c>
      <c r="AE323" s="71">
        <f t="shared" ref="AE323:AE327" si="3976">GX323</f>
        <v>1</v>
      </c>
      <c r="AF323" s="71">
        <f t="shared" ref="AF323:AF327" si="3977">GY323</f>
        <v>0</v>
      </c>
      <c r="AG323" s="71">
        <f t="shared" ref="AG323:AG327" si="3978">GZ323</f>
        <v>1</v>
      </c>
      <c r="AH323" s="71">
        <f t="shared" ref="AH323:AH327" si="3979">HA323</f>
        <v>1</v>
      </c>
      <c r="AI323" s="71">
        <f t="shared" ref="AI323:AI327" si="3980">HB323</f>
        <v>1</v>
      </c>
      <c r="AJ323" s="71">
        <f t="shared" ref="AJ323:AJ327" si="3981">HC323</f>
        <v>0</v>
      </c>
      <c r="AK323" s="71">
        <f t="shared" ref="AK323:AK327" si="3982">HD323</f>
        <v>0</v>
      </c>
      <c r="AL323" s="71">
        <f t="shared" ref="AL323:AL327" si="3983">HE323</f>
        <v>0</v>
      </c>
      <c r="AM323" s="71">
        <f t="shared" ref="AM323:AM327" si="3984">HF323</f>
        <v>0</v>
      </c>
      <c r="AN323" s="71">
        <f t="shared" ref="AN323:AN327" si="3985">HG323</f>
        <v>0</v>
      </c>
      <c r="AO323" s="71">
        <f t="shared" ref="AO323:AO327" si="3986">HH323</f>
        <v>0</v>
      </c>
      <c r="AP323" s="71">
        <f t="shared" ref="AP323:AP327" si="3987">HI323</f>
        <v>0</v>
      </c>
      <c r="AQ323" s="71">
        <f t="shared" ref="AQ323:AQ327" si="3988">HJ323</f>
        <v>0</v>
      </c>
      <c r="AR323" s="71">
        <f t="shared" ref="AR323:AR327" si="3989">HK323</f>
        <v>0</v>
      </c>
      <c r="AS323" s="71">
        <f t="shared" ref="AS323:AS327" si="3990">HL323</f>
        <v>0</v>
      </c>
      <c r="AT323" s="71">
        <f t="shared" ref="AT323:AT327" si="3991">HM323</f>
        <v>0</v>
      </c>
      <c r="AU323" s="71">
        <f t="shared" ref="AU323:AU327" si="3992">HN323</f>
        <v>0</v>
      </c>
      <c r="AV323" s="71">
        <f t="shared" ref="AV323:AV327" si="3993">HO323</f>
        <v>0</v>
      </c>
      <c r="AW323" s="71">
        <f t="shared" ref="AW323:AW327" si="3994">HP323</f>
        <v>0</v>
      </c>
      <c r="AX323" s="71">
        <f t="shared" ref="AX323:AX327" si="3995">HQ323</f>
        <v>0</v>
      </c>
      <c r="AY323" s="71">
        <f t="shared" ref="AY323:AY327" si="3996">HR323</f>
        <v>0</v>
      </c>
      <c r="AZ323" s="72">
        <f t="shared" ref="AZ323:AZ327" si="3997">HS323</f>
        <v>0</v>
      </c>
      <c r="BA323" s="70">
        <f t="shared" si="3123"/>
        <v>12</v>
      </c>
      <c r="BB323" s="69">
        <f t="shared" ca="1" si="3124"/>
        <v>0.92307692307692313</v>
      </c>
      <c r="BC323" s="70">
        <f t="shared" ref="BC323:BC327" si="3998">HT323</f>
        <v>13</v>
      </c>
      <c r="BD323" s="71">
        <f t="shared" ref="BD323:BD327" si="3999">HU323</f>
        <v>1</v>
      </c>
      <c r="BE323" s="71">
        <f t="shared" ref="BE323:BE327" si="4000">HV323</f>
        <v>41</v>
      </c>
      <c r="BF323" s="71">
        <f t="shared" ref="BF323:BF327" si="4001">HW323</f>
        <v>0</v>
      </c>
      <c r="BG323" s="71">
        <f t="shared" ref="BG323:BG327" si="4002">HX323</f>
        <v>0</v>
      </c>
      <c r="BH323" s="71">
        <f t="shared" ref="BH323:BH327" si="4003">HY323</f>
        <v>10</v>
      </c>
      <c r="BI323" s="71">
        <f t="shared" ref="BI323:BI327" si="4004">HZ323</f>
        <v>29</v>
      </c>
      <c r="BJ323" s="71">
        <f t="shared" ref="BJ323:BJ327" si="4005">IA323</f>
        <v>39</v>
      </c>
      <c r="BK323" s="71">
        <f t="shared" ref="BK323:BK327" si="4006">IB323</f>
        <v>38</v>
      </c>
      <c r="BL323" s="71">
        <f t="shared" ref="BL323:BL327" si="4007">IC323</f>
        <v>24</v>
      </c>
      <c r="BM323" s="71">
        <f t="shared" ref="BM323:BM327" si="4008">ID323</f>
        <v>0</v>
      </c>
      <c r="BN323" s="71">
        <f t="shared" ref="BN323:BN327" si="4009">IE323</f>
        <v>0</v>
      </c>
      <c r="BO323" s="71">
        <f t="shared" ref="BO323:BO327" si="4010">IF323</f>
        <v>32</v>
      </c>
      <c r="BP323" s="71">
        <f t="shared" ref="BP323:BP327" si="4011">IG323</f>
        <v>1</v>
      </c>
      <c r="BQ323" s="71">
        <f t="shared" ref="BQ323:BQ327" si="4012">IH323</f>
        <v>0</v>
      </c>
      <c r="BR323" s="71">
        <f t="shared" ref="BR323:BR327" si="4013">II323</f>
        <v>0</v>
      </c>
      <c r="BS323" s="71">
        <f t="shared" ref="BS323:BS327" si="4014">IJ323</f>
        <v>0</v>
      </c>
      <c r="BT323" s="71">
        <f t="shared" ref="BT323:BT327" si="4015">IK323</f>
        <v>0</v>
      </c>
      <c r="BU323" s="71">
        <f t="shared" ref="BU323:BU327" si="4016">IL323</f>
        <v>0</v>
      </c>
      <c r="BV323" s="71">
        <f t="shared" ref="BV323:BV327" si="4017">IM323</f>
        <v>0</v>
      </c>
      <c r="BW323" s="71">
        <f t="shared" ref="BW323:BW327" si="4018">IN323</f>
        <v>0</v>
      </c>
      <c r="BX323" s="71">
        <f t="shared" ref="BX323:BX327" si="4019">IO323</f>
        <v>0</v>
      </c>
      <c r="BY323" s="71">
        <f t="shared" ref="BY323:BY327" si="4020">IP323</f>
        <v>0</v>
      </c>
      <c r="BZ323" s="71">
        <f t="shared" ref="BZ323:BZ327" si="4021">IQ323</f>
        <v>0</v>
      </c>
      <c r="CA323" s="71">
        <f t="shared" ref="CA323:CA327" si="4022">IR323</f>
        <v>0</v>
      </c>
      <c r="CB323" s="71">
        <f t="shared" ref="CB323:CB327" si="4023">IS323</f>
        <v>0</v>
      </c>
      <c r="CC323" s="71">
        <f t="shared" ref="CC323:CC327" si="4024">IT323</f>
        <v>0</v>
      </c>
      <c r="CD323" s="71">
        <f t="shared" ref="CD323:CD327" si="4025">IU323</f>
        <v>0</v>
      </c>
      <c r="CE323" s="71">
        <f t="shared" ref="CE323:CE327" si="4026">IV323</f>
        <v>0</v>
      </c>
      <c r="CF323" s="71">
        <f t="shared" ref="CF323:CF327" si="4027">IW323</f>
        <v>0</v>
      </c>
      <c r="CG323" s="71">
        <f t="shared" ref="CG323:CG327" si="4028">IX323</f>
        <v>0</v>
      </c>
      <c r="CH323" s="70">
        <f t="shared" si="3125"/>
        <v>228</v>
      </c>
      <c r="CI323" s="69">
        <f t="shared" ca="1" si="3126"/>
        <v>17.53846153846154</v>
      </c>
      <c r="GM323" s="2" t="s">
        <v>16</v>
      </c>
      <c r="GN323" s="98" t="str">
        <f t="shared" si="3053"/>
        <v>DIK01-FMCG01-SPO-01</v>
      </c>
      <c r="GO323" s="4">
        <v>1</v>
      </c>
      <c r="GP323" s="3">
        <v>1</v>
      </c>
      <c r="GQ323" s="3">
        <v>1</v>
      </c>
      <c r="GR323" s="3">
        <v>0</v>
      </c>
      <c r="GS323" s="3">
        <v>1</v>
      </c>
      <c r="GT323" s="3">
        <v>1</v>
      </c>
      <c r="GU323" s="3">
        <v>1</v>
      </c>
      <c r="GV323" s="3">
        <v>1</v>
      </c>
      <c r="GW323" s="3">
        <v>1</v>
      </c>
      <c r="GX323" s="3">
        <v>1</v>
      </c>
      <c r="GY323" s="3">
        <v>0</v>
      </c>
      <c r="GZ323" s="3">
        <v>1</v>
      </c>
      <c r="HA323" s="3">
        <v>1</v>
      </c>
      <c r="HB323" s="3">
        <v>1</v>
      </c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6"/>
      <c r="HT323" s="4">
        <v>13</v>
      </c>
      <c r="HU323" s="3">
        <v>1</v>
      </c>
      <c r="HV323" s="3">
        <v>41</v>
      </c>
      <c r="HW323" s="3">
        <v>0</v>
      </c>
      <c r="HX323" s="3">
        <v>0</v>
      </c>
      <c r="HY323" s="3">
        <v>10</v>
      </c>
      <c r="HZ323" s="3">
        <v>29</v>
      </c>
      <c r="IA323" s="3">
        <v>39</v>
      </c>
      <c r="IB323" s="3">
        <v>38</v>
      </c>
      <c r="IC323" s="3">
        <v>24</v>
      </c>
      <c r="ID323" s="3">
        <v>0</v>
      </c>
      <c r="IE323" s="3">
        <v>0</v>
      </c>
      <c r="IF323" s="3">
        <v>32</v>
      </c>
      <c r="IG323" s="3">
        <v>1</v>
      </c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6"/>
    </row>
    <row r="324" spans="1:258" hidden="1">
      <c r="A324" s="97" t="s">
        <v>25</v>
      </c>
      <c r="B324" s="98" t="s">
        <v>26</v>
      </c>
      <c r="C324" s="101" t="s">
        <v>721</v>
      </c>
      <c r="D324" s="99" t="s">
        <v>1344</v>
      </c>
      <c r="E324" s="98" t="s">
        <v>1346</v>
      </c>
      <c r="F324" s="98" t="s">
        <v>1374</v>
      </c>
      <c r="G324" s="98" t="s">
        <v>1350</v>
      </c>
      <c r="H324" s="98" t="s">
        <v>1619</v>
      </c>
      <c r="I324" s="98" t="s">
        <v>1619</v>
      </c>
      <c r="J324" s="98" t="s">
        <v>1353</v>
      </c>
      <c r="K324" s="98" t="s">
        <v>179</v>
      </c>
      <c r="L324" s="98" t="s">
        <v>1355</v>
      </c>
      <c r="M324" s="101" t="s">
        <v>1093</v>
      </c>
      <c r="N324" s="108">
        <v>45540</v>
      </c>
      <c r="O324" s="100">
        <v>1</v>
      </c>
      <c r="P324" s="69">
        <v>0</v>
      </c>
      <c r="Q324" s="69">
        <f>IFERROR(IF(OR(AI324&gt;0),1,0),0)</f>
        <v>1</v>
      </c>
      <c r="R324" s="69">
        <f t="shared" si="3964"/>
        <v>1</v>
      </c>
      <c r="S324" s="69">
        <f>IFERROR(IF(OR(BP324&gt;0),1,0),0)</f>
        <v>1</v>
      </c>
      <c r="T324" s="69">
        <f t="shared" si="3965"/>
        <v>1</v>
      </c>
      <c r="U324" s="69">
        <f t="shared" si="3966"/>
        <v>1</v>
      </c>
      <c r="V324" s="70">
        <f t="shared" si="3967"/>
        <v>1</v>
      </c>
      <c r="W324" s="71">
        <f t="shared" si="3968"/>
        <v>1</v>
      </c>
      <c r="X324" s="71">
        <f t="shared" si="3969"/>
        <v>1</v>
      </c>
      <c r="Y324" s="71">
        <f t="shared" si="3970"/>
        <v>0</v>
      </c>
      <c r="Z324" s="71">
        <f t="shared" si="3971"/>
        <v>1</v>
      </c>
      <c r="AA324" s="71">
        <f t="shared" si="3972"/>
        <v>1</v>
      </c>
      <c r="AB324" s="71">
        <f t="shared" si="3973"/>
        <v>1</v>
      </c>
      <c r="AC324" s="71">
        <f t="shared" si="3974"/>
        <v>1</v>
      </c>
      <c r="AD324" s="71">
        <f t="shared" si="3975"/>
        <v>1</v>
      </c>
      <c r="AE324" s="71">
        <f t="shared" si="3976"/>
        <v>1</v>
      </c>
      <c r="AF324" s="71">
        <f t="shared" si="3977"/>
        <v>0</v>
      </c>
      <c r="AG324" s="71">
        <f t="shared" si="3978"/>
        <v>1</v>
      </c>
      <c r="AH324" s="71">
        <f t="shared" si="3979"/>
        <v>1</v>
      </c>
      <c r="AI324" s="71">
        <f t="shared" si="3980"/>
        <v>1</v>
      </c>
      <c r="AJ324" s="71">
        <f t="shared" si="3981"/>
        <v>0</v>
      </c>
      <c r="AK324" s="71">
        <f t="shared" si="3982"/>
        <v>0</v>
      </c>
      <c r="AL324" s="71">
        <f t="shared" si="3983"/>
        <v>0</v>
      </c>
      <c r="AM324" s="71">
        <f t="shared" si="3984"/>
        <v>0</v>
      </c>
      <c r="AN324" s="71">
        <f t="shared" si="3985"/>
        <v>0</v>
      </c>
      <c r="AO324" s="71">
        <f t="shared" si="3986"/>
        <v>0</v>
      </c>
      <c r="AP324" s="71">
        <f t="shared" si="3987"/>
        <v>0</v>
      </c>
      <c r="AQ324" s="71">
        <f t="shared" si="3988"/>
        <v>0</v>
      </c>
      <c r="AR324" s="71">
        <f t="shared" si="3989"/>
        <v>0</v>
      </c>
      <c r="AS324" s="71">
        <f t="shared" si="3990"/>
        <v>0</v>
      </c>
      <c r="AT324" s="71">
        <f t="shared" si="3991"/>
        <v>0</v>
      </c>
      <c r="AU324" s="71">
        <f t="shared" si="3992"/>
        <v>0</v>
      </c>
      <c r="AV324" s="71">
        <f t="shared" si="3993"/>
        <v>0</v>
      </c>
      <c r="AW324" s="71">
        <f t="shared" si="3994"/>
        <v>0</v>
      </c>
      <c r="AX324" s="71">
        <f t="shared" si="3995"/>
        <v>0</v>
      </c>
      <c r="AY324" s="71">
        <f t="shared" si="3996"/>
        <v>0</v>
      </c>
      <c r="AZ324" s="72">
        <f t="shared" si="3997"/>
        <v>0</v>
      </c>
      <c r="BA324" s="70">
        <f t="shared" si="3123"/>
        <v>12</v>
      </c>
      <c r="BB324" s="69">
        <f t="shared" ca="1" si="3124"/>
        <v>0.92307692307692313</v>
      </c>
      <c r="BC324" s="70">
        <f t="shared" si="3998"/>
        <v>39</v>
      </c>
      <c r="BD324" s="71">
        <f t="shared" si="3999"/>
        <v>43</v>
      </c>
      <c r="BE324" s="71">
        <f t="shared" si="4000"/>
        <v>39</v>
      </c>
      <c r="BF324" s="71">
        <f t="shared" si="4001"/>
        <v>0</v>
      </c>
      <c r="BG324" s="71">
        <f t="shared" si="4002"/>
        <v>45</v>
      </c>
      <c r="BH324" s="71">
        <f t="shared" si="4003"/>
        <v>37</v>
      </c>
      <c r="BI324" s="71">
        <f t="shared" si="4004"/>
        <v>40</v>
      </c>
      <c r="BJ324" s="71">
        <f t="shared" si="4005"/>
        <v>39</v>
      </c>
      <c r="BK324" s="71">
        <f t="shared" si="4006"/>
        <v>41</v>
      </c>
      <c r="BL324" s="71">
        <f t="shared" si="4007"/>
        <v>43</v>
      </c>
      <c r="BM324" s="71">
        <f t="shared" si="4008"/>
        <v>0</v>
      </c>
      <c r="BN324" s="71">
        <f t="shared" si="4009"/>
        <v>40</v>
      </c>
      <c r="BO324" s="71">
        <f t="shared" si="4010"/>
        <v>39</v>
      </c>
      <c r="BP324" s="71">
        <f t="shared" si="4011"/>
        <v>6</v>
      </c>
      <c r="BQ324" s="71">
        <f t="shared" si="4012"/>
        <v>0</v>
      </c>
      <c r="BR324" s="71">
        <f t="shared" si="4013"/>
        <v>0</v>
      </c>
      <c r="BS324" s="71">
        <f t="shared" si="4014"/>
        <v>0</v>
      </c>
      <c r="BT324" s="71">
        <f t="shared" si="4015"/>
        <v>0</v>
      </c>
      <c r="BU324" s="71">
        <f t="shared" si="4016"/>
        <v>0</v>
      </c>
      <c r="BV324" s="71">
        <f t="shared" si="4017"/>
        <v>0</v>
      </c>
      <c r="BW324" s="71">
        <f t="shared" si="4018"/>
        <v>0</v>
      </c>
      <c r="BX324" s="71">
        <f t="shared" si="4019"/>
        <v>0</v>
      </c>
      <c r="BY324" s="71">
        <f t="shared" si="4020"/>
        <v>0</v>
      </c>
      <c r="BZ324" s="71">
        <f t="shared" si="4021"/>
        <v>0</v>
      </c>
      <c r="CA324" s="71">
        <f t="shared" si="4022"/>
        <v>0</v>
      </c>
      <c r="CB324" s="71">
        <f t="shared" si="4023"/>
        <v>0</v>
      </c>
      <c r="CC324" s="71">
        <f t="shared" si="4024"/>
        <v>0</v>
      </c>
      <c r="CD324" s="71">
        <f t="shared" si="4025"/>
        <v>0</v>
      </c>
      <c r="CE324" s="71">
        <f t="shared" si="4026"/>
        <v>0</v>
      </c>
      <c r="CF324" s="71">
        <f t="shared" si="4027"/>
        <v>0</v>
      </c>
      <c r="CG324" s="71">
        <f t="shared" si="4028"/>
        <v>0</v>
      </c>
      <c r="CH324" s="70">
        <f t="shared" si="3125"/>
        <v>451</v>
      </c>
      <c r="CI324" s="69">
        <f t="shared" ca="1" si="3126"/>
        <v>34.692307692307693</v>
      </c>
      <c r="GM324" s="2" t="s">
        <v>16</v>
      </c>
      <c r="GN324" s="98" t="str">
        <f t="shared" ref="GN324:GN363" si="4029">F324</f>
        <v>DIK01-FMCG-SPO-01</v>
      </c>
      <c r="GO324" s="4">
        <v>1</v>
      </c>
      <c r="GP324" s="3">
        <v>1</v>
      </c>
      <c r="GQ324" s="3">
        <v>1</v>
      </c>
      <c r="GR324" s="3">
        <v>0</v>
      </c>
      <c r="GS324" s="3">
        <v>1</v>
      </c>
      <c r="GT324" s="3">
        <v>1</v>
      </c>
      <c r="GU324" s="3">
        <v>1</v>
      </c>
      <c r="GV324" s="3">
        <v>1</v>
      </c>
      <c r="GW324" s="3">
        <v>1</v>
      </c>
      <c r="GX324" s="3">
        <v>1</v>
      </c>
      <c r="GY324" s="3">
        <v>0</v>
      </c>
      <c r="GZ324" s="3">
        <v>1</v>
      </c>
      <c r="HA324" s="3">
        <v>1</v>
      </c>
      <c r="HB324" s="3">
        <v>1</v>
      </c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6"/>
      <c r="HT324" s="4">
        <v>39</v>
      </c>
      <c r="HU324" s="3">
        <v>43</v>
      </c>
      <c r="HV324" s="3">
        <v>39</v>
      </c>
      <c r="HW324" s="3">
        <v>0</v>
      </c>
      <c r="HX324" s="3">
        <v>45</v>
      </c>
      <c r="HY324" s="3">
        <v>37</v>
      </c>
      <c r="HZ324" s="3">
        <v>40</v>
      </c>
      <c r="IA324" s="3">
        <v>39</v>
      </c>
      <c r="IB324" s="3">
        <v>41</v>
      </c>
      <c r="IC324" s="3">
        <v>43</v>
      </c>
      <c r="ID324" s="3">
        <v>0</v>
      </c>
      <c r="IE324" s="3">
        <v>40</v>
      </c>
      <c r="IF324" s="3">
        <v>39</v>
      </c>
      <c r="IG324" s="3">
        <v>6</v>
      </c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6"/>
    </row>
    <row r="325" spans="1:258" hidden="1">
      <c r="A325" s="97" t="s">
        <v>25</v>
      </c>
      <c r="B325" s="98" t="s">
        <v>26</v>
      </c>
      <c r="C325" s="101" t="s">
        <v>721</v>
      </c>
      <c r="D325" s="99" t="s">
        <v>1344</v>
      </c>
      <c r="E325" s="98" t="s">
        <v>1347</v>
      </c>
      <c r="F325" s="98" t="s">
        <v>1375</v>
      </c>
      <c r="G325" s="98" t="s">
        <v>1351</v>
      </c>
      <c r="H325" s="98" t="s">
        <v>1620</v>
      </c>
      <c r="I325" s="98" t="s">
        <v>1620</v>
      </c>
      <c r="J325" s="98" t="s">
        <v>1344</v>
      </c>
      <c r="K325" s="98" t="s">
        <v>1127</v>
      </c>
      <c r="L325" s="98" t="s">
        <v>1356</v>
      </c>
      <c r="M325" s="101" t="s">
        <v>1093</v>
      </c>
      <c r="N325" s="108">
        <v>45933</v>
      </c>
      <c r="O325" s="100">
        <v>1</v>
      </c>
      <c r="P325" s="69">
        <v>0</v>
      </c>
      <c r="Q325" s="69">
        <f>IFERROR(IF(OR(AI325&gt;0),1,0),0)</f>
        <v>1</v>
      </c>
      <c r="R325" s="69">
        <f t="shared" si="3964"/>
        <v>1</v>
      </c>
      <c r="S325" s="69">
        <f>IFERROR(IF(OR(BP325&gt;0),1,0),0)</f>
        <v>0</v>
      </c>
      <c r="T325" s="69">
        <f t="shared" si="3965"/>
        <v>1</v>
      </c>
      <c r="U325" s="69">
        <f t="shared" si="3966"/>
        <v>1</v>
      </c>
      <c r="V325" s="70">
        <f t="shared" si="3967"/>
        <v>1</v>
      </c>
      <c r="W325" s="71">
        <f t="shared" si="3968"/>
        <v>1</v>
      </c>
      <c r="X325" s="71">
        <f t="shared" si="3969"/>
        <v>1</v>
      </c>
      <c r="Y325" s="71">
        <f t="shared" si="3970"/>
        <v>0</v>
      </c>
      <c r="Z325" s="71">
        <f t="shared" si="3971"/>
        <v>1</v>
      </c>
      <c r="AA325" s="71">
        <f t="shared" si="3972"/>
        <v>1</v>
      </c>
      <c r="AB325" s="71">
        <f t="shared" si="3973"/>
        <v>1</v>
      </c>
      <c r="AC325" s="71">
        <f t="shared" si="3974"/>
        <v>1</v>
      </c>
      <c r="AD325" s="71">
        <f t="shared" si="3975"/>
        <v>1</v>
      </c>
      <c r="AE325" s="71">
        <f t="shared" si="3976"/>
        <v>1</v>
      </c>
      <c r="AF325" s="71">
        <f t="shared" si="3977"/>
        <v>0</v>
      </c>
      <c r="AG325" s="71">
        <f t="shared" si="3978"/>
        <v>1</v>
      </c>
      <c r="AH325" s="71">
        <f t="shared" si="3979"/>
        <v>1</v>
      </c>
      <c r="AI325" s="71">
        <f t="shared" si="3980"/>
        <v>1</v>
      </c>
      <c r="AJ325" s="71">
        <f t="shared" si="3981"/>
        <v>0</v>
      </c>
      <c r="AK325" s="71">
        <f t="shared" si="3982"/>
        <v>0</v>
      </c>
      <c r="AL325" s="71">
        <f t="shared" si="3983"/>
        <v>0</v>
      </c>
      <c r="AM325" s="71">
        <f t="shared" si="3984"/>
        <v>0</v>
      </c>
      <c r="AN325" s="71">
        <f t="shared" si="3985"/>
        <v>0</v>
      </c>
      <c r="AO325" s="71">
        <f t="shared" si="3986"/>
        <v>0</v>
      </c>
      <c r="AP325" s="71">
        <f t="shared" si="3987"/>
        <v>0</v>
      </c>
      <c r="AQ325" s="71">
        <f t="shared" si="3988"/>
        <v>0</v>
      </c>
      <c r="AR325" s="71">
        <f t="shared" si="3989"/>
        <v>0</v>
      </c>
      <c r="AS325" s="71">
        <f t="shared" si="3990"/>
        <v>0</v>
      </c>
      <c r="AT325" s="71">
        <f t="shared" si="3991"/>
        <v>0</v>
      </c>
      <c r="AU325" s="71">
        <f t="shared" si="3992"/>
        <v>0</v>
      </c>
      <c r="AV325" s="71">
        <f t="shared" si="3993"/>
        <v>0</v>
      </c>
      <c r="AW325" s="71">
        <f t="shared" si="3994"/>
        <v>0</v>
      </c>
      <c r="AX325" s="71">
        <f t="shared" si="3995"/>
        <v>0</v>
      </c>
      <c r="AY325" s="71">
        <f t="shared" si="3996"/>
        <v>0</v>
      </c>
      <c r="AZ325" s="72">
        <f t="shared" si="3997"/>
        <v>0</v>
      </c>
      <c r="BA325" s="70">
        <f t="shared" ref="BA325:BA363" si="4030">SUM(V325:AZ325)</f>
        <v>12</v>
      </c>
      <c r="BB325" s="69">
        <f t="shared" ref="BB325:BB363" ca="1" si="4031">IFERROR(BA325/$CK$3/(O325-P325),0)</f>
        <v>0.92307692307692313</v>
      </c>
      <c r="BC325" s="70">
        <f t="shared" si="3998"/>
        <v>45</v>
      </c>
      <c r="BD325" s="71">
        <f t="shared" si="3999"/>
        <v>18</v>
      </c>
      <c r="BE325" s="71">
        <f t="shared" si="4000"/>
        <v>25</v>
      </c>
      <c r="BF325" s="71">
        <f t="shared" si="4001"/>
        <v>0</v>
      </c>
      <c r="BG325" s="71">
        <f t="shared" si="4002"/>
        <v>37</v>
      </c>
      <c r="BH325" s="71">
        <f t="shared" si="4003"/>
        <v>40</v>
      </c>
      <c r="BI325" s="71">
        <f t="shared" si="4004"/>
        <v>44</v>
      </c>
      <c r="BJ325" s="71">
        <f t="shared" si="4005"/>
        <v>39</v>
      </c>
      <c r="BK325" s="71">
        <f t="shared" si="4006"/>
        <v>40</v>
      </c>
      <c r="BL325" s="71">
        <f t="shared" si="4007"/>
        <v>41</v>
      </c>
      <c r="BM325" s="71">
        <f t="shared" si="4008"/>
        <v>0</v>
      </c>
      <c r="BN325" s="71">
        <f t="shared" si="4009"/>
        <v>0</v>
      </c>
      <c r="BO325" s="71">
        <f t="shared" si="4010"/>
        <v>43</v>
      </c>
      <c r="BP325" s="71">
        <f t="shared" si="4011"/>
        <v>0</v>
      </c>
      <c r="BQ325" s="71">
        <f t="shared" si="4012"/>
        <v>0</v>
      </c>
      <c r="BR325" s="71">
        <f t="shared" si="4013"/>
        <v>0</v>
      </c>
      <c r="BS325" s="71">
        <f t="shared" si="4014"/>
        <v>0</v>
      </c>
      <c r="BT325" s="71">
        <f t="shared" si="4015"/>
        <v>0</v>
      </c>
      <c r="BU325" s="71">
        <f t="shared" si="4016"/>
        <v>0</v>
      </c>
      <c r="BV325" s="71">
        <f t="shared" si="4017"/>
        <v>0</v>
      </c>
      <c r="BW325" s="71">
        <f t="shared" si="4018"/>
        <v>0</v>
      </c>
      <c r="BX325" s="71">
        <f t="shared" si="4019"/>
        <v>0</v>
      </c>
      <c r="BY325" s="71">
        <f t="shared" si="4020"/>
        <v>0</v>
      </c>
      <c r="BZ325" s="71">
        <f t="shared" si="4021"/>
        <v>0</v>
      </c>
      <c r="CA325" s="71">
        <f t="shared" si="4022"/>
        <v>0</v>
      </c>
      <c r="CB325" s="71">
        <f t="shared" si="4023"/>
        <v>0</v>
      </c>
      <c r="CC325" s="71">
        <f t="shared" si="4024"/>
        <v>0</v>
      </c>
      <c r="CD325" s="71">
        <f t="shared" si="4025"/>
        <v>0</v>
      </c>
      <c r="CE325" s="71">
        <f t="shared" si="4026"/>
        <v>0</v>
      </c>
      <c r="CF325" s="71">
        <f t="shared" si="4027"/>
        <v>0</v>
      </c>
      <c r="CG325" s="71">
        <f t="shared" si="4028"/>
        <v>0</v>
      </c>
      <c r="CH325" s="70">
        <f t="shared" ref="CH325:CH363" si="4032">SUM(BC325:CG325)</f>
        <v>372</v>
      </c>
      <c r="CI325" s="69">
        <f t="shared" ref="CI325:CI363" ca="1" si="4033">IFERROR(CH325/$CK$3/(O325-P325),0)</f>
        <v>28.615384615384617</v>
      </c>
      <c r="GM325" s="2" t="s">
        <v>16</v>
      </c>
      <c r="GN325" s="98" t="str">
        <f t="shared" si="4029"/>
        <v>DIK01-FMCG02-SPO-01</v>
      </c>
      <c r="GO325" s="4">
        <v>1</v>
      </c>
      <c r="GP325" s="3">
        <v>1</v>
      </c>
      <c r="GQ325" s="3">
        <v>1</v>
      </c>
      <c r="GR325" s="3">
        <v>0</v>
      </c>
      <c r="GS325" s="3">
        <v>1</v>
      </c>
      <c r="GT325" s="3">
        <v>1</v>
      </c>
      <c r="GU325" s="3">
        <v>1</v>
      </c>
      <c r="GV325" s="3">
        <v>1</v>
      </c>
      <c r="GW325" s="3">
        <v>1</v>
      </c>
      <c r="GX325" s="3">
        <v>1</v>
      </c>
      <c r="GY325" s="3">
        <v>0</v>
      </c>
      <c r="GZ325" s="3">
        <v>1</v>
      </c>
      <c r="HA325" s="3">
        <v>1</v>
      </c>
      <c r="HB325" s="3">
        <v>1</v>
      </c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6"/>
      <c r="HT325" s="4">
        <v>45</v>
      </c>
      <c r="HU325" s="3">
        <v>18</v>
      </c>
      <c r="HV325" s="3">
        <v>25</v>
      </c>
      <c r="HW325" s="3">
        <v>0</v>
      </c>
      <c r="HX325" s="3">
        <v>37</v>
      </c>
      <c r="HY325" s="3">
        <v>40</v>
      </c>
      <c r="HZ325" s="3">
        <v>44</v>
      </c>
      <c r="IA325" s="3">
        <v>39</v>
      </c>
      <c r="IB325" s="3">
        <v>40</v>
      </c>
      <c r="IC325" s="3">
        <v>41</v>
      </c>
      <c r="ID325" s="3">
        <v>0</v>
      </c>
      <c r="IE325" s="3">
        <v>0</v>
      </c>
      <c r="IF325" s="3">
        <v>43</v>
      </c>
      <c r="IG325" s="3">
        <v>0</v>
      </c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6"/>
    </row>
    <row r="326" spans="1:258" hidden="1">
      <c r="A326" s="97" t="s">
        <v>25</v>
      </c>
      <c r="B326" s="98" t="s">
        <v>26</v>
      </c>
      <c r="C326" s="101" t="s">
        <v>721</v>
      </c>
      <c r="D326" s="99" t="s">
        <v>1344</v>
      </c>
      <c r="E326" s="98" t="s">
        <v>1348</v>
      </c>
      <c r="F326" s="98" t="s">
        <v>1376</v>
      </c>
      <c r="G326" s="98" t="s">
        <v>1352</v>
      </c>
      <c r="H326" s="98" t="s">
        <v>1621</v>
      </c>
      <c r="I326" s="98" t="s">
        <v>1621</v>
      </c>
      <c r="J326" s="98" t="s">
        <v>1353</v>
      </c>
      <c r="K326" s="98" t="s">
        <v>179</v>
      </c>
      <c r="L326" s="98" t="s">
        <v>1357</v>
      </c>
      <c r="M326" s="101" t="s">
        <v>1093</v>
      </c>
      <c r="N326" s="108">
        <v>45919</v>
      </c>
      <c r="O326" s="100">
        <v>1</v>
      </c>
      <c r="P326" s="69">
        <v>0</v>
      </c>
      <c r="Q326" s="69">
        <f>IFERROR(IF(OR(AI326&gt;0),1,0),0)</f>
        <v>1</v>
      </c>
      <c r="R326" s="69">
        <f t="shared" si="3964"/>
        <v>1</v>
      </c>
      <c r="S326" s="69">
        <f>IFERROR(IF(OR(BP326&gt;0),1,0),0)</f>
        <v>0</v>
      </c>
      <c r="T326" s="69">
        <f t="shared" si="3965"/>
        <v>1</v>
      </c>
      <c r="U326" s="69">
        <f t="shared" si="3966"/>
        <v>1</v>
      </c>
      <c r="V326" s="70">
        <f t="shared" si="3967"/>
        <v>1</v>
      </c>
      <c r="W326" s="71">
        <f t="shared" si="3968"/>
        <v>1</v>
      </c>
      <c r="X326" s="71">
        <f t="shared" si="3969"/>
        <v>1</v>
      </c>
      <c r="Y326" s="71">
        <f t="shared" si="3970"/>
        <v>0</v>
      </c>
      <c r="Z326" s="71">
        <f t="shared" si="3971"/>
        <v>1</v>
      </c>
      <c r="AA326" s="71">
        <f t="shared" si="3972"/>
        <v>1</v>
      </c>
      <c r="AB326" s="71">
        <f t="shared" si="3973"/>
        <v>1</v>
      </c>
      <c r="AC326" s="71">
        <f t="shared" si="3974"/>
        <v>1</v>
      </c>
      <c r="AD326" s="71">
        <f t="shared" si="3975"/>
        <v>1</v>
      </c>
      <c r="AE326" s="71">
        <f t="shared" si="3976"/>
        <v>1</v>
      </c>
      <c r="AF326" s="71">
        <f t="shared" si="3977"/>
        <v>0</v>
      </c>
      <c r="AG326" s="71">
        <f t="shared" si="3978"/>
        <v>1</v>
      </c>
      <c r="AH326" s="71">
        <f t="shared" si="3979"/>
        <v>1</v>
      </c>
      <c r="AI326" s="71">
        <f t="shared" si="3980"/>
        <v>1</v>
      </c>
      <c r="AJ326" s="71">
        <f t="shared" si="3981"/>
        <v>0</v>
      </c>
      <c r="AK326" s="71">
        <f t="shared" si="3982"/>
        <v>0</v>
      </c>
      <c r="AL326" s="71">
        <f t="shared" si="3983"/>
        <v>0</v>
      </c>
      <c r="AM326" s="71">
        <f t="shared" si="3984"/>
        <v>0</v>
      </c>
      <c r="AN326" s="71">
        <f t="shared" si="3985"/>
        <v>0</v>
      </c>
      <c r="AO326" s="71">
        <f t="shared" si="3986"/>
        <v>0</v>
      </c>
      <c r="AP326" s="71">
        <f t="shared" si="3987"/>
        <v>0</v>
      </c>
      <c r="AQ326" s="71">
        <f t="shared" si="3988"/>
        <v>0</v>
      </c>
      <c r="AR326" s="71">
        <f t="shared" si="3989"/>
        <v>0</v>
      </c>
      <c r="AS326" s="71">
        <f t="shared" si="3990"/>
        <v>0</v>
      </c>
      <c r="AT326" s="71">
        <f t="shared" si="3991"/>
        <v>0</v>
      </c>
      <c r="AU326" s="71">
        <f t="shared" si="3992"/>
        <v>0</v>
      </c>
      <c r="AV326" s="71">
        <f t="shared" si="3993"/>
        <v>0</v>
      </c>
      <c r="AW326" s="71">
        <f t="shared" si="3994"/>
        <v>0</v>
      </c>
      <c r="AX326" s="71">
        <f t="shared" si="3995"/>
        <v>0</v>
      </c>
      <c r="AY326" s="71">
        <f t="shared" si="3996"/>
        <v>0</v>
      </c>
      <c r="AZ326" s="72">
        <f t="shared" si="3997"/>
        <v>0</v>
      </c>
      <c r="BA326" s="70">
        <f t="shared" si="4030"/>
        <v>12</v>
      </c>
      <c r="BB326" s="69">
        <f t="shared" ca="1" si="4031"/>
        <v>0.92307692307692313</v>
      </c>
      <c r="BC326" s="70">
        <f t="shared" si="3998"/>
        <v>43</v>
      </c>
      <c r="BD326" s="71">
        <f t="shared" si="3999"/>
        <v>20</v>
      </c>
      <c r="BE326" s="71">
        <f t="shared" si="4000"/>
        <v>43</v>
      </c>
      <c r="BF326" s="71">
        <f t="shared" si="4001"/>
        <v>0</v>
      </c>
      <c r="BG326" s="71">
        <f t="shared" si="4002"/>
        <v>43</v>
      </c>
      <c r="BH326" s="71">
        <f t="shared" si="4003"/>
        <v>44</v>
      </c>
      <c r="BI326" s="71">
        <f t="shared" si="4004"/>
        <v>42</v>
      </c>
      <c r="BJ326" s="71">
        <f t="shared" si="4005"/>
        <v>43</v>
      </c>
      <c r="BK326" s="71">
        <f t="shared" si="4006"/>
        <v>42</v>
      </c>
      <c r="BL326" s="71">
        <f t="shared" si="4007"/>
        <v>47</v>
      </c>
      <c r="BM326" s="71">
        <f t="shared" si="4008"/>
        <v>0</v>
      </c>
      <c r="BN326" s="71">
        <f t="shared" si="4009"/>
        <v>11</v>
      </c>
      <c r="BO326" s="71">
        <f t="shared" si="4010"/>
        <v>42</v>
      </c>
      <c r="BP326" s="71">
        <f t="shared" si="4011"/>
        <v>0</v>
      </c>
      <c r="BQ326" s="71">
        <f t="shared" si="4012"/>
        <v>0</v>
      </c>
      <c r="BR326" s="71">
        <f t="shared" si="4013"/>
        <v>0</v>
      </c>
      <c r="BS326" s="71">
        <f t="shared" si="4014"/>
        <v>0</v>
      </c>
      <c r="BT326" s="71">
        <f t="shared" si="4015"/>
        <v>0</v>
      </c>
      <c r="BU326" s="71">
        <f t="shared" si="4016"/>
        <v>0</v>
      </c>
      <c r="BV326" s="71">
        <f t="shared" si="4017"/>
        <v>0</v>
      </c>
      <c r="BW326" s="71">
        <f t="shared" si="4018"/>
        <v>0</v>
      </c>
      <c r="BX326" s="71">
        <f t="shared" si="4019"/>
        <v>0</v>
      </c>
      <c r="BY326" s="71">
        <f t="shared" si="4020"/>
        <v>0</v>
      </c>
      <c r="BZ326" s="71">
        <f t="shared" si="4021"/>
        <v>0</v>
      </c>
      <c r="CA326" s="71">
        <f t="shared" si="4022"/>
        <v>0</v>
      </c>
      <c r="CB326" s="71">
        <f t="shared" si="4023"/>
        <v>0</v>
      </c>
      <c r="CC326" s="71">
        <f t="shared" si="4024"/>
        <v>0</v>
      </c>
      <c r="CD326" s="71">
        <f t="shared" si="4025"/>
        <v>0</v>
      </c>
      <c r="CE326" s="71">
        <f t="shared" si="4026"/>
        <v>0</v>
      </c>
      <c r="CF326" s="71">
        <f t="shared" si="4027"/>
        <v>0</v>
      </c>
      <c r="CG326" s="71">
        <f t="shared" si="4028"/>
        <v>0</v>
      </c>
      <c r="CH326" s="70">
        <f t="shared" si="4032"/>
        <v>420</v>
      </c>
      <c r="CI326" s="69">
        <f t="shared" ca="1" si="4033"/>
        <v>32.307692307692307</v>
      </c>
      <c r="GM326" s="2" t="s">
        <v>16</v>
      </c>
      <c r="GN326" s="98" t="str">
        <f t="shared" si="4029"/>
        <v>DIK01-FMCG03-SPO-01</v>
      </c>
      <c r="GO326" s="4">
        <v>1</v>
      </c>
      <c r="GP326" s="3">
        <v>1</v>
      </c>
      <c r="GQ326" s="3">
        <v>1</v>
      </c>
      <c r="GR326" s="3">
        <v>0</v>
      </c>
      <c r="GS326" s="3">
        <v>1</v>
      </c>
      <c r="GT326" s="3">
        <v>1</v>
      </c>
      <c r="GU326" s="3">
        <v>1</v>
      </c>
      <c r="GV326" s="3">
        <v>1</v>
      </c>
      <c r="GW326" s="3">
        <v>1</v>
      </c>
      <c r="GX326" s="3">
        <v>1</v>
      </c>
      <c r="GY326" s="3">
        <v>0</v>
      </c>
      <c r="GZ326" s="3">
        <v>1</v>
      </c>
      <c r="HA326" s="3">
        <v>1</v>
      </c>
      <c r="HB326" s="3">
        <v>1</v>
      </c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6"/>
      <c r="HT326" s="4">
        <v>43</v>
      </c>
      <c r="HU326" s="3">
        <v>20</v>
      </c>
      <c r="HV326" s="3">
        <v>43</v>
      </c>
      <c r="HW326" s="3">
        <v>0</v>
      </c>
      <c r="HX326" s="3">
        <v>43</v>
      </c>
      <c r="HY326" s="3">
        <v>44</v>
      </c>
      <c r="HZ326" s="3">
        <v>42</v>
      </c>
      <c r="IA326" s="3">
        <v>43</v>
      </c>
      <c r="IB326" s="3">
        <v>42</v>
      </c>
      <c r="IC326" s="3">
        <v>47</v>
      </c>
      <c r="ID326" s="3">
        <v>0</v>
      </c>
      <c r="IE326" s="3">
        <v>11</v>
      </c>
      <c r="IF326" s="3">
        <v>42</v>
      </c>
      <c r="IG326" s="3">
        <v>0</v>
      </c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6"/>
    </row>
    <row r="327" spans="1:258" hidden="1">
      <c r="A327" s="97" t="s">
        <v>1380</v>
      </c>
      <c r="B327" s="98" t="s">
        <v>26</v>
      </c>
      <c r="C327" s="101" t="s">
        <v>721</v>
      </c>
      <c r="D327" s="99" t="s">
        <v>1344</v>
      </c>
      <c r="E327" s="98" t="s">
        <v>1358</v>
      </c>
      <c r="F327" s="98" t="s">
        <v>1377</v>
      </c>
      <c r="G327" s="98" t="s">
        <v>1359</v>
      </c>
      <c r="H327" s="98" t="s">
        <v>1622</v>
      </c>
      <c r="I327" s="98" t="s">
        <v>1622</v>
      </c>
      <c r="J327" s="98" t="s">
        <v>1344</v>
      </c>
      <c r="K327" s="98" t="s">
        <v>31</v>
      </c>
      <c r="L327" s="98" t="s">
        <v>1360</v>
      </c>
      <c r="M327" s="101" t="s">
        <v>52</v>
      </c>
      <c r="N327" s="108">
        <v>45436</v>
      </c>
      <c r="O327" s="100">
        <v>0</v>
      </c>
      <c r="P327" s="69">
        <v>0</v>
      </c>
      <c r="Q327" s="69">
        <f>IFERROR(IF(OR(AI327&gt;0),1,0),0)</f>
        <v>0</v>
      </c>
      <c r="R327" s="69">
        <f t="shared" si="3964"/>
        <v>0</v>
      </c>
      <c r="S327" s="69">
        <f>IFERROR(IF(OR(BP327&gt;0),1,0),0)</f>
        <v>0</v>
      </c>
      <c r="T327" s="69">
        <f t="shared" si="3965"/>
        <v>0</v>
      </c>
      <c r="U327" s="69">
        <f t="shared" si="3966"/>
        <v>0</v>
      </c>
      <c r="V327" s="70">
        <f t="shared" si="3967"/>
        <v>0</v>
      </c>
      <c r="W327" s="71">
        <f t="shared" si="3968"/>
        <v>0</v>
      </c>
      <c r="X327" s="71">
        <f t="shared" si="3969"/>
        <v>0</v>
      </c>
      <c r="Y327" s="71">
        <f t="shared" si="3970"/>
        <v>0</v>
      </c>
      <c r="Z327" s="71">
        <f t="shared" si="3971"/>
        <v>0</v>
      </c>
      <c r="AA327" s="71">
        <f t="shared" si="3972"/>
        <v>0</v>
      </c>
      <c r="AB327" s="71">
        <f t="shared" si="3973"/>
        <v>0</v>
      </c>
      <c r="AC327" s="71">
        <f t="shared" si="3974"/>
        <v>0</v>
      </c>
      <c r="AD327" s="71">
        <f t="shared" si="3975"/>
        <v>0</v>
      </c>
      <c r="AE327" s="71">
        <f t="shared" si="3976"/>
        <v>0</v>
      </c>
      <c r="AF327" s="71">
        <f t="shared" si="3977"/>
        <v>0</v>
      </c>
      <c r="AG327" s="71">
        <f t="shared" si="3978"/>
        <v>0</v>
      </c>
      <c r="AH327" s="71">
        <f t="shared" si="3979"/>
        <v>0</v>
      </c>
      <c r="AI327" s="71">
        <f t="shared" si="3980"/>
        <v>0</v>
      </c>
      <c r="AJ327" s="71">
        <f t="shared" si="3981"/>
        <v>0</v>
      </c>
      <c r="AK327" s="71">
        <f t="shared" si="3982"/>
        <v>0</v>
      </c>
      <c r="AL327" s="71">
        <f t="shared" si="3983"/>
        <v>0</v>
      </c>
      <c r="AM327" s="71">
        <f t="shared" si="3984"/>
        <v>0</v>
      </c>
      <c r="AN327" s="71">
        <f t="shared" si="3985"/>
        <v>0</v>
      </c>
      <c r="AO327" s="71">
        <f t="shared" si="3986"/>
        <v>0</v>
      </c>
      <c r="AP327" s="71">
        <f t="shared" si="3987"/>
        <v>0</v>
      </c>
      <c r="AQ327" s="71">
        <f t="shared" si="3988"/>
        <v>0</v>
      </c>
      <c r="AR327" s="71">
        <f t="shared" si="3989"/>
        <v>0</v>
      </c>
      <c r="AS327" s="71">
        <f t="shared" si="3990"/>
        <v>0</v>
      </c>
      <c r="AT327" s="71">
        <f t="shared" si="3991"/>
        <v>0</v>
      </c>
      <c r="AU327" s="71">
        <f t="shared" si="3992"/>
        <v>0</v>
      </c>
      <c r="AV327" s="71">
        <f t="shared" si="3993"/>
        <v>0</v>
      </c>
      <c r="AW327" s="71">
        <f t="shared" si="3994"/>
        <v>0</v>
      </c>
      <c r="AX327" s="71">
        <f t="shared" si="3995"/>
        <v>0</v>
      </c>
      <c r="AY327" s="71">
        <f t="shared" si="3996"/>
        <v>0</v>
      </c>
      <c r="AZ327" s="72">
        <f t="shared" si="3997"/>
        <v>0</v>
      </c>
      <c r="BA327" s="70">
        <f t="shared" si="4030"/>
        <v>0</v>
      </c>
      <c r="BB327" s="69">
        <f t="shared" ca="1" si="4031"/>
        <v>0</v>
      </c>
      <c r="BC327" s="70">
        <f t="shared" si="3998"/>
        <v>0</v>
      </c>
      <c r="BD327" s="71">
        <f t="shared" si="3999"/>
        <v>0</v>
      </c>
      <c r="BE327" s="71">
        <f t="shared" si="4000"/>
        <v>0</v>
      </c>
      <c r="BF327" s="71">
        <f t="shared" si="4001"/>
        <v>0</v>
      </c>
      <c r="BG327" s="71">
        <f t="shared" si="4002"/>
        <v>0</v>
      </c>
      <c r="BH327" s="71">
        <f t="shared" si="4003"/>
        <v>0</v>
      </c>
      <c r="BI327" s="71">
        <f t="shared" si="4004"/>
        <v>0</v>
      </c>
      <c r="BJ327" s="71">
        <f t="shared" si="4005"/>
        <v>0</v>
      </c>
      <c r="BK327" s="71">
        <f t="shared" si="4006"/>
        <v>0</v>
      </c>
      <c r="BL327" s="71">
        <f t="shared" si="4007"/>
        <v>0</v>
      </c>
      <c r="BM327" s="71">
        <f t="shared" si="4008"/>
        <v>0</v>
      </c>
      <c r="BN327" s="71">
        <f t="shared" si="4009"/>
        <v>0</v>
      </c>
      <c r="BO327" s="71">
        <f t="shared" si="4010"/>
        <v>0</v>
      </c>
      <c r="BP327" s="71">
        <f t="shared" si="4011"/>
        <v>0</v>
      </c>
      <c r="BQ327" s="71">
        <f t="shared" si="4012"/>
        <v>0</v>
      </c>
      <c r="BR327" s="71">
        <f t="shared" si="4013"/>
        <v>0</v>
      </c>
      <c r="BS327" s="71">
        <f t="shared" si="4014"/>
        <v>0</v>
      </c>
      <c r="BT327" s="71">
        <f t="shared" si="4015"/>
        <v>0</v>
      </c>
      <c r="BU327" s="71">
        <f t="shared" si="4016"/>
        <v>0</v>
      </c>
      <c r="BV327" s="71">
        <f t="shared" si="4017"/>
        <v>0</v>
      </c>
      <c r="BW327" s="71">
        <f t="shared" si="4018"/>
        <v>0</v>
      </c>
      <c r="BX327" s="71">
        <f t="shared" si="4019"/>
        <v>0</v>
      </c>
      <c r="BY327" s="71">
        <f t="shared" si="4020"/>
        <v>0</v>
      </c>
      <c r="BZ327" s="71">
        <f t="shared" si="4021"/>
        <v>0</v>
      </c>
      <c r="CA327" s="71">
        <f t="shared" si="4022"/>
        <v>0</v>
      </c>
      <c r="CB327" s="71">
        <f t="shared" si="4023"/>
        <v>0</v>
      </c>
      <c r="CC327" s="71">
        <f t="shared" si="4024"/>
        <v>0</v>
      </c>
      <c r="CD327" s="71">
        <f t="shared" si="4025"/>
        <v>0</v>
      </c>
      <c r="CE327" s="71">
        <f t="shared" si="4026"/>
        <v>0</v>
      </c>
      <c r="CF327" s="71">
        <f t="shared" si="4027"/>
        <v>0</v>
      </c>
      <c r="CG327" s="71">
        <f t="shared" si="4028"/>
        <v>0</v>
      </c>
      <c r="CH327" s="70">
        <f t="shared" si="4032"/>
        <v>0</v>
      </c>
      <c r="CI327" s="69">
        <f t="shared" ca="1" si="4033"/>
        <v>0</v>
      </c>
      <c r="GM327" s="2" t="s">
        <v>16</v>
      </c>
      <c r="GN327" s="98" t="str">
        <f t="shared" si="4029"/>
        <v>DIK01-FMCG-ASM-01</v>
      </c>
      <c r="GO327" s="4">
        <v>0</v>
      </c>
      <c r="GP327" s="3">
        <v>0</v>
      </c>
      <c r="GQ327" s="3">
        <v>0</v>
      </c>
      <c r="GR327" s="3">
        <v>0</v>
      </c>
      <c r="GS327" s="3">
        <v>0</v>
      </c>
      <c r="GT327" s="3">
        <v>0</v>
      </c>
      <c r="GU327" s="3">
        <v>0</v>
      </c>
      <c r="GV327" s="3">
        <v>0</v>
      </c>
      <c r="GW327" s="3">
        <v>0</v>
      </c>
      <c r="GX327" s="3">
        <v>0</v>
      </c>
      <c r="GY327" s="3">
        <v>0</v>
      </c>
      <c r="GZ327" s="3">
        <v>0</v>
      </c>
      <c r="HA327" s="3">
        <v>0</v>
      </c>
      <c r="HB327" s="3">
        <v>0</v>
      </c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6"/>
      <c r="HT327" s="4">
        <v>0</v>
      </c>
      <c r="HU327" s="3">
        <v>0</v>
      </c>
      <c r="HV327" s="3">
        <v>0</v>
      </c>
      <c r="HW327" s="3">
        <v>0</v>
      </c>
      <c r="HX327" s="3">
        <v>0</v>
      </c>
      <c r="HY327" s="3">
        <v>0</v>
      </c>
      <c r="HZ327" s="3">
        <v>0</v>
      </c>
      <c r="IA327" s="3">
        <v>0</v>
      </c>
      <c r="IB327" s="3">
        <v>0</v>
      </c>
      <c r="IC327" s="3">
        <v>0</v>
      </c>
      <c r="ID327" s="3">
        <v>0</v>
      </c>
      <c r="IE327" s="3">
        <v>0</v>
      </c>
      <c r="IF327" s="3">
        <v>0</v>
      </c>
      <c r="IG327" s="3">
        <v>0</v>
      </c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6"/>
    </row>
    <row r="328" spans="1:258" hidden="1">
      <c r="A328" s="102" t="s">
        <v>53</v>
      </c>
      <c r="B328" s="103" t="s">
        <v>26</v>
      </c>
      <c r="C328" s="103" t="s">
        <v>721</v>
      </c>
      <c r="D328" s="104" t="s">
        <v>1344</v>
      </c>
      <c r="E328" s="103" t="s">
        <v>1358</v>
      </c>
      <c r="F328" s="103" t="s">
        <v>1377</v>
      </c>
      <c r="G328" s="103" t="s">
        <v>1359</v>
      </c>
      <c r="H328" s="103" t="s">
        <v>1622</v>
      </c>
      <c r="I328" s="103" t="s">
        <v>1622</v>
      </c>
      <c r="J328" s="103" t="s">
        <v>1344</v>
      </c>
      <c r="K328" s="103" t="s">
        <v>31</v>
      </c>
      <c r="L328" s="103" t="s">
        <v>1360</v>
      </c>
      <c r="M328" s="103" t="s">
        <v>52</v>
      </c>
      <c r="N328" s="119">
        <v>45436</v>
      </c>
      <c r="O328" s="105">
        <f>SUM(O323:O326)</f>
        <v>4</v>
      </c>
      <c r="P328" s="73">
        <f t="shared" ref="P328:CA328" si="4034">SUM(P323:P326)</f>
        <v>0</v>
      </c>
      <c r="Q328" s="73">
        <f t="shared" si="4034"/>
        <v>4</v>
      </c>
      <c r="R328" s="73">
        <f t="shared" si="4034"/>
        <v>4</v>
      </c>
      <c r="S328" s="73">
        <f t="shared" si="4034"/>
        <v>2</v>
      </c>
      <c r="T328" s="73">
        <f t="shared" si="4034"/>
        <v>4</v>
      </c>
      <c r="U328" s="73">
        <f t="shared" si="4034"/>
        <v>4</v>
      </c>
      <c r="V328" s="74">
        <f t="shared" si="4034"/>
        <v>4</v>
      </c>
      <c r="W328" s="75">
        <f t="shared" si="4034"/>
        <v>4</v>
      </c>
      <c r="X328" s="75">
        <f t="shared" si="4034"/>
        <v>4</v>
      </c>
      <c r="Y328" s="75">
        <f t="shared" si="4034"/>
        <v>0</v>
      </c>
      <c r="Z328" s="75">
        <f t="shared" si="4034"/>
        <v>4</v>
      </c>
      <c r="AA328" s="75">
        <f t="shared" si="4034"/>
        <v>4</v>
      </c>
      <c r="AB328" s="75">
        <f t="shared" si="4034"/>
        <v>4</v>
      </c>
      <c r="AC328" s="75">
        <f t="shared" si="4034"/>
        <v>4</v>
      </c>
      <c r="AD328" s="75">
        <f t="shared" si="4034"/>
        <v>4</v>
      </c>
      <c r="AE328" s="75">
        <f t="shared" si="4034"/>
        <v>4</v>
      </c>
      <c r="AF328" s="75">
        <f t="shared" si="4034"/>
        <v>0</v>
      </c>
      <c r="AG328" s="75">
        <f t="shared" si="4034"/>
        <v>4</v>
      </c>
      <c r="AH328" s="75">
        <f t="shared" si="4034"/>
        <v>4</v>
      </c>
      <c r="AI328" s="75">
        <f t="shared" si="4034"/>
        <v>4</v>
      </c>
      <c r="AJ328" s="75">
        <f t="shared" si="4034"/>
        <v>0</v>
      </c>
      <c r="AK328" s="75">
        <f t="shared" si="4034"/>
        <v>0</v>
      </c>
      <c r="AL328" s="75">
        <f t="shared" si="4034"/>
        <v>0</v>
      </c>
      <c r="AM328" s="75">
        <f t="shared" si="4034"/>
        <v>0</v>
      </c>
      <c r="AN328" s="75">
        <f t="shared" si="4034"/>
        <v>0</v>
      </c>
      <c r="AO328" s="75">
        <f t="shared" si="4034"/>
        <v>0</v>
      </c>
      <c r="AP328" s="75">
        <f t="shared" si="4034"/>
        <v>0</v>
      </c>
      <c r="AQ328" s="75">
        <f t="shared" si="4034"/>
        <v>0</v>
      </c>
      <c r="AR328" s="75">
        <f t="shared" si="4034"/>
        <v>0</v>
      </c>
      <c r="AS328" s="75">
        <f t="shared" si="4034"/>
        <v>0</v>
      </c>
      <c r="AT328" s="75">
        <f t="shared" si="4034"/>
        <v>0</v>
      </c>
      <c r="AU328" s="75">
        <f t="shared" si="4034"/>
        <v>0</v>
      </c>
      <c r="AV328" s="75">
        <f t="shared" si="4034"/>
        <v>0</v>
      </c>
      <c r="AW328" s="75">
        <f t="shared" si="4034"/>
        <v>0</v>
      </c>
      <c r="AX328" s="75">
        <f t="shared" si="4034"/>
        <v>0</v>
      </c>
      <c r="AY328" s="75">
        <f t="shared" si="4034"/>
        <v>0</v>
      </c>
      <c r="AZ328" s="76">
        <f t="shared" si="4034"/>
        <v>0</v>
      </c>
      <c r="BA328" s="74">
        <f t="shared" si="4030"/>
        <v>48</v>
      </c>
      <c r="BB328" s="73">
        <f t="shared" ca="1" si="4031"/>
        <v>0.92307692307692313</v>
      </c>
      <c r="BC328" s="74">
        <f t="shared" si="4034"/>
        <v>140</v>
      </c>
      <c r="BD328" s="75">
        <f t="shared" si="4034"/>
        <v>82</v>
      </c>
      <c r="BE328" s="75">
        <f t="shared" si="4034"/>
        <v>148</v>
      </c>
      <c r="BF328" s="75">
        <f t="shared" si="4034"/>
        <v>0</v>
      </c>
      <c r="BG328" s="75">
        <f t="shared" si="4034"/>
        <v>125</v>
      </c>
      <c r="BH328" s="75">
        <f t="shared" si="4034"/>
        <v>131</v>
      </c>
      <c r="BI328" s="75">
        <f t="shared" si="4034"/>
        <v>155</v>
      </c>
      <c r="BJ328" s="75">
        <f t="shared" si="4034"/>
        <v>160</v>
      </c>
      <c r="BK328" s="75">
        <f t="shared" si="4034"/>
        <v>161</v>
      </c>
      <c r="BL328" s="75">
        <f t="shared" si="4034"/>
        <v>155</v>
      </c>
      <c r="BM328" s="75">
        <f t="shared" si="4034"/>
        <v>0</v>
      </c>
      <c r="BN328" s="75">
        <f t="shared" si="4034"/>
        <v>51</v>
      </c>
      <c r="BO328" s="75">
        <f t="shared" si="4034"/>
        <v>156</v>
      </c>
      <c r="BP328" s="75">
        <f t="shared" si="4034"/>
        <v>7</v>
      </c>
      <c r="BQ328" s="75">
        <f t="shared" si="4034"/>
        <v>0</v>
      </c>
      <c r="BR328" s="75">
        <f t="shared" si="4034"/>
        <v>0</v>
      </c>
      <c r="BS328" s="75">
        <f t="shared" si="4034"/>
        <v>0</v>
      </c>
      <c r="BT328" s="75">
        <f t="shared" si="4034"/>
        <v>0</v>
      </c>
      <c r="BU328" s="75">
        <f t="shared" si="4034"/>
        <v>0</v>
      </c>
      <c r="BV328" s="75">
        <f t="shared" si="4034"/>
        <v>0</v>
      </c>
      <c r="BW328" s="75">
        <f t="shared" si="4034"/>
        <v>0</v>
      </c>
      <c r="BX328" s="75">
        <f t="shared" si="4034"/>
        <v>0</v>
      </c>
      <c r="BY328" s="75">
        <f t="shared" si="4034"/>
        <v>0</v>
      </c>
      <c r="BZ328" s="75">
        <f t="shared" si="4034"/>
        <v>0</v>
      </c>
      <c r="CA328" s="75">
        <f t="shared" si="4034"/>
        <v>0</v>
      </c>
      <c r="CB328" s="75">
        <f t="shared" ref="CB328:CG328" si="4035">SUM(CB323:CB326)</f>
        <v>0</v>
      </c>
      <c r="CC328" s="75">
        <f t="shared" si="4035"/>
        <v>0</v>
      </c>
      <c r="CD328" s="75">
        <f t="shared" si="4035"/>
        <v>0</v>
      </c>
      <c r="CE328" s="75">
        <f t="shared" si="4035"/>
        <v>0</v>
      </c>
      <c r="CF328" s="75">
        <f t="shared" si="4035"/>
        <v>0</v>
      </c>
      <c r="CG328" s="75">
        <f t="shared" si="4035"/>
        <v>0</v>
      </c>
      <c r="CH328" s="74">
        <f t="shared" si="4032"/>
        <v>1471</v>
      </c>
      <c r="CI328" s="73">
        <f t="shared" ca="1" si="4033"/>
        <v>28.28846153846154</v>
      </c>
      <c r="GM328" s="2" t="s">
        <v>17</v>
      </c>
      <c r="GN328" s="103" t="str">
        <f t="shared" si="4029"/>
        <v>DIK01-FMCG-ASM-01</v>
      </c>
      <c r="GO328" s="4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6"/>
      <c r="HT328" s="4">
        <v>0</v>
      </c>
      <c r="HU328" s="3">
        <v>0</v>
      </c>
      <c r="HV328" s="3">
        <v>0</v>
      </c>
      <c r="HW328" s="3">
        <v>0</v>
      </c>
      <c r="HX328" s="3">
        <v>0</v>
      </c>
      <c r="HY328" s="3">
        <v>0</v>
      </c>
      <c r="HZ328" s="3">
        <v>0</v>
      </c>
      <c r="IA328" s="3">
        <v>0</v>
      </c>
      <c r="IB328" s="3">
        <v>0</v>
      </c>
      <c r="IC328" s="3">
        <v>0</v>
      </c>
      <c r="ID328" s="3">
        <v>0</v>
      </c>
      <c r="IE328" s="3">
        <v>0</v>
      </c>
      <c r="IF328" s="3">
        <v>0</v>
      </c>
      <c r="IG328" s="3">
        <v>0</v>
      </c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6"/>
    </row>
    <row r="329" spans="1:258" hidden="1">
      <c r="A329" s="97" t="s">
        <v>1381</v>
      </c>
      <c r="B329" s="98" t="s">
        <v>20</v>
      </c>
      <c r="C329" s="98" t="s">
        <v>721</v>
      </c>
      <c r="D329" s="99" t="s">
        <v>1249</v>
      </c>
      <c r="E329" s="98" t="s">
        <v>1250</v>
      </c>
      <c r="F329" s="98" t="s">
        <v>1251</v>
      </c>
      <c r="G329" s="98" t="s">
        <v>907</v>
      </c>
      <c r="H329" s="98" t="s">
        <v>1623</v>
      </c>
      <c r="I329" s="98" t="s">
        <v>1623</v>
      </c>
      <c r="J329" s="98" t="s">
        <v>1253</v>
      </c>
      <c r="K329" s="98" t="s">
        <v>1127</v>
      </c>
      <c r="L329" s="98" t="s">
        <v>741</v>
      </c>
      <c r="M329" s="101" t="s">
        <v>52</v>
      </c>
      <c r="N329" s="108">
        <v>44522</v>
      </c>
      <c r="O329" s="100">
        <v>0</v>
      </c>
      <c r="P329" s="69">
        <v>0</v>
      </c>
      <c r="Q329" s="69">
        <f>IFERROR(IF(OR(AI329&gt;0),1,0),0)</f>
        <v>0</v>
      </c>
      <c r="R329" s="69">
        <f t="shared" ref="R329:R331" si="4036">IFERROR(IF(OR(BA329&gt;0),1,0),0)</f>
        <v>0</v>
      </c>
      <c r="S329" s="69">
        <f>IFERROR(IF(OR(BP329&gt;0),1,0),0)</f>
        <v>0</v>
      </c>
      <c r="T329" s="69">
        <f t="shared" ref="T329:T331" si="4037">IFERROR(IF(OR(CH329&gt;0),1,0),0)</f>
        <v>0</v>
      </c>
      <c r="U329" s="69">
        <f>IFERROR(IF(OR(BA329&gt;0,CH329&gt;0),1,0),0)</f>
        <v>0</v>
      </c>
      <c r="V329" s="70">
        <f t="shared" ref="V329:AZ329" si="4038">GO329</f>
        <v>0</v>
      </c>
      <c r="W329" s="71">
        <f t="shared" si="4038"/>
        <v>0</v>
      </c>
      <c r="X329" s="71">
        <f t="shared" si="4038"/>
        <v>0</v>
      </c>
      <c r="Y329" s="71">
        <f t="shared" si="4038"/>
        <v>0</v>
      </c>
      <c r="Z329" s="71">
        <f t="shared" si="4038"/>
        <v>0</v>
      </c>
      <c r="AA329" s="71">
        <f t="shared" si="4038"/>
        <v>0</v>
      </c>
      <c r="AB329" s="71">
        <f t="shared" si="4038"/>
        <v>0</v>
      </c>
      <c r="AC329" s="71">
        <f t="shared" si="4038"/>
        <v>0</v>
      </c>
      <c r="AD329" s="71">
        <f t="shared" si="4038"/>
        <v>0</v>
      </c>
      <c r="AE329" s="71">
        <f t="shared" si="4038"/>
        <v>0</v>
      </c>
      <c r="AF329" s="71">
        <f t="shared" si="4038"/>
        <v>0</v>
      </c>
      <c r="AG329" s="71">
        <f t="shared" si="4038"/>
        <v>0</v>
      </c>
      <c r="AH329" s="71">
        <f t="shared" si="4038"/>
        <v>0</v>
      </c>
      <c r="AI329" s="71">
        <f t="shared" si="4038"/>
        <v>0</v>
      </c>
      <c r="AJ329" s="71">
        <f t="shared" si="4038"/>
        <v>0</v>
      </c>
      <c r="AK329" s="71">
        <f t="shared" si="4038"/>
        <v>0</v>
      </c>
      <c r="AL329" s="71">
        <f t="shared" si="4038"/>
        <v>0</v>
      </c>
      <c r="AM329" s="71">
        <f t="shared" si="4038"/>
        <v>0</v>
      </c>
      <c r="AN329" s="71">
        <f t="shared" si="4038"/>
        <v>0</v>
      </c>
      <c r="AO329" s="71">
        <f t="shared" si="4038"/>
        <v>0</v>
      </c>
      <c r="AP329" s="71">
        <f t="shared" si="4038"/>
        <v>0</v>
      </c>
      <c r="AQ329" s="71">
        <f t="shared" si="4038"/>
        <v>0</v>
      </c>
      <c r="AR329" s="71">
        <f t="shared" si="4038"/>
        <v>0</v>
      </c>
      <c r="AS329" s="71">
        <f t="shared" si="4038"/>
        <v>0</v>
      </c>
      <c r="AT329" s="71">
        <f t="shared" si="4038"/>
        <v>0</v>
      </c>
      <c r="AU329" s="71">
        <f t="shared" si="4038"/>
        <v>0</v>
      </c>
      <c r="AV329" s="71">
        <f t="shared" si="4038"/>
        <v>0</v>
      </c>
      <c r="AW329" s="71">
        <f t="shared" si="4038"/>
        <v>0</v>
      </c>
      <c r="AX329" s="71">
        <f t="shared" si="4038"/>
        <v>0</v>
      </c>
      <c r="AY329" s="71">
        <f t="shared" si="4038"/>
        <v>0</v>
      </c>
      <c r="AZ329" s="72">
        <f t="shared" si="4038"/>
        <v>0</v>
      </c>
      <c r="BA329" s="70">
        <f t="shared" si="4030"/>
        <v>0</v>
      </c>
      <c r="BB329" s="69">
        <f t="shared" ca="1" si="4031"/>
        <v>0</v>
      </c>
      <c r="BC329" s="70">
        <f t="shared" ref="BC329:CG329" si="4039">HT329</f>
        <v>0</v>
      </c>
      <c r="BD329" s="71">
        <f t="shared" si="4039"/>
        <v>0</v>
      </c>
      <c r="BE329" s="71">
        <f t="shared" si="4039"/>
        <v>0</v>
      </c>
      <c r="BF329" s="71">
        <f t="shared" si="4039"/>
        <v>0</v>
      </c>
      <c r="BG329" s="71">
        <f t="shared" si="4039"/>
        <v>0</v>
      </c>
      <c r="BH329" s="71">
        <f t="shared" si="4039"/>
        <v>0</v>
      </c>
      <c r="BI329" s="71">
        <f t="shared" si="4039"/>
        <v>0</v>
      </c>
      <c r="BJ329" s="71">
        <f t="shared" si="4039"/>
        <v>0</v>
      </c>
      <c r="BK329" s="71">
        <f t="shared" si="4039"/>
        <v>0</v>
      </c>
      <c r="BL329" s="71">
        <f t="shared" si="4039"/>
        <v>0</v>
      </c>
      <c r="BM329" s="71">
        <f t="shared" si="4039"/>
        <v>0</v>
      </c>
      <c r="BN329" s="71">
        <f t="shared" si="4039"/>
        <v>0</v>
      </c>
      <c r="BO329" s="71">
        <f t="shared" si="4039"/>
        <v>0</v>
      </c>
      <c r="BP329" s="71">
        <f t="shared" si="4039"/>
        <v>0</v>
      </c>
      <c r="BQ329" s="71">
        <f t="shared" si="4039"/>
        <v>0</v>
      </c>
      <c r="BR329" s="71">
        <f t="shared" si="4039"/>
        <v>0</v>
      </c>
      <c r="BS329" s="71">
        <f t="shared" si="4039"/>
        <v>0</v>
      </c>
      <c r="BT329" s="71">
        <f t="shared" si="4039"/>
        <v>0</v>
      </c>
      <c r="BU329" s="71">
        <f t="shared" si="4039"/>
        <v>0</v>
      </c>
      <c r="BV329" s="71">
        <f t="shared" si="4039"/>
        <v>0</v>
      </c>
      <c r="BW329" s="71">
        <f t="shared" si="4039"/>
        <v>0</v>
      </c>
      <c r="BX329" s="71">
        <f t="shared" si="4039"/>
        <v>0</v>
      </c>
      <c r="BY329" s="71">
        <f t="shared" si="4039"/>
        <v>0</v>
      </c>
      <c r="BZ329" s="71">
        <f t="shared" si="4039"/>
        <v>0</v>
      </c>
      <c r="CA329" s="71">
        <f t="shared" si="4039"/>
        <v>0</v>
      </c>
      <c r="CB329" s="71">
        <f t="shared" si="4039"/>
        <v>0</v>
      </c>
      <c r="CC329" s="71">
        <f t="shared" si="4039"/>
        <v>0</v>
      </c>
      <c r="CD329" s="71">
        <f t="shared" si="4039"/>
        <v>0</v>
      </c>
      <c r="CE329" s="71">
        <f t="shared" si="4039"/>
        <v>0</v>
      </c>
      <c r="CF329" s="71">
        <f t="shared" si="4039"/>
        <v>0</v>
      </c>
      <c r="CG329" s="71">
        <f t="shared" si="4039"/>
        <v>0</v>
      </c>
      <c r="CH329" s="70">
        <f t="shared" si="4032"/>
        <v>0</v>
      </c>
      <c r="CI329" s="69">
        <f t="shared" ca="1" si="4033"/>
        <v>0</v>
      </c>
      <c r="GM329" s="2" t="s">
        <v>16</v>
      </c>
      <c r="GN329" s="98" t="str">
        <f>F329</f>
        <v>SGD01-FMCG01-ASMTE-01</v>
      </c>
      <c r="GO329" s="4">
        <v>0</v>
      </c>
      <c r="GP329" s="3">
        <v>0</v>
      </c>
      <c r="GQ329" s="3">
        <v>0</v>
      </c>
      <c r="GR329" s="3">
        <v>0</v>
      </c>
      <c r="GS329" s="3">
        <v>0</v>
      </c>
      <c r="GT329" s="3">
        <v>0</v>
      </c>
      <c r="GU329" s="3">
        <v>0</v>
      </c>
      <c r="GV329" s="3">
        <v>0</v>
      </c>
      <c r="GW329" s="3">
        <v>0</v>
      </c>
      <c r="GX329" s="3">
        <v>0</v>
      </c>
      <c r="GY329" s="3">
        <v>0</v>
      </c>
      <c r="GZ329" s="3">
        <v>0</v>
      </c>
      <c r="HA329" s="3">
        <v>0</v>
      </c>
      <c r="HB329" s="3">
        <v>0</v>
      </c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6"/>
      <c r="HT329" s="4">
        <v>0</v>
      </c>
      <c r="HU329" s="3">
        <v>0</v>
      </c>
      <c r="HV329" s="3">
        <v>0</v>
      </c>
      <c r="HW329" s="3">
        <v>0</v>
      </c>
      <c r="HX329" s="3">
        <v>0</v>
      </c>
      <c r="HY329" s="3">
        <v>0</v>
      </c>
      <c r="HZ329" s="3">
        <v>0</v>
      </c>
      <c r="IA329" s="3">
        <v>0</v>
      </c>
      <c r="IB329" s="3">
        <v>0</v>
      </c>
      <c r="IC329" s="3">
        <v>0</v>
      </c>
      <c r="ID329" s="3">
        <v>0</v>
      </c>
      <c r="IE329" s="3">
        <v>0</v>
      </c>
      <c r="IF329" s="3">
        <v>0</v>
      </c>
      <c r="IG329" s="3">
        <v>0</v>
      </c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6"/>
    </row>
    <row r="330" spans="1:258" hidden="1">
      <c r="A330" s="97" t="s">
        <v>149</v>
      </c>
      <c r="B330" s="98" t="s">
        <v>26</v>
      </c>
      <c r="C330" s="101" t="s">
        <v>721</v>
      </c>
      <c r="D330" s="99" t="s">
        <v>1257</v>
      </c>
      <c r="E330" s="98" t="s">
        <v>1263</v>
      </c>
      <c r="F330" s="98" t="s">
        <v>1264</v>
      </c>
      <c r="G330" s="98" t="s">
        <v>764</v>
      </c>
      <c r="H330" s="98" t="s">
        <v>1624</v>
      </c>
      <c r="I330" s="98" t="s">
        <v>1624</v>
      </c>
      <c r="J330" s="98" t="s">
        <v>1265</v>
      </c>
      <c r="K330" s="98" t="s">
        <v>1156</v>
      </c>
      <c r="L330" s="98" t="s">
        <v>765</v>
      </c>
      <c r="M330" s="101" t="s">
        <v>52</v>
      </c>
      <c r="N330" s="108">
        <v>45139</v>
      </c>
      <c r="O330" s="100">
        <v>1</v>
      </c>
      <c r="P330" s="69">
        <v>0</v>
      </c>
      <c r="Q330" s="69">
        <f>IFERROR(IF(OR(AI330&gt;0),1,0),0)</f>
        <v>1</v>
      </c>
      <c r="R330" s="69">
        <f t="shared" si="4036"/>
        <v>1</v>
      </c>
      <c r="S330" s="69">
        <f>IFERROR(IF(OR(BP330&gt;0),1,0),0)</f>
        <v>0</v>
      </c>
      <c r="T330" s="69">
        <f t="shared" si="4037"/>
        <v>1</v>
      </c>
      <c r="U330" s="69">
        <f>IFERROR(IF(OR(BA330&gt;0,CH330&gt;0),1,0),0)</f>
        <v>1</v>
      </c>
      <c r="V330" s="70">
        <f t="shared" ref="V330:AZ330" si="4040">GO330</f>
        <v>1</v>
      </c>
      <c r="W330" s="71">
        <f t="shared" si="4040"/>
        <v>1</v>
      </c>
      <c r="X330" s="71">
        <f t="shared" si="4040"/>
        <v>1</v>
      </c>
      <c r="Y330" s="71">
        <f t="shared" si="4040"/>
        <v>0</v>
      </c>
      <c r="Z330" s="71">
        <f t="shared" si="4040"/>
        <v>1</v>
      </c>
      <c r="AA330" s="71">
        <f t="shared" si="4040"/>
        <v>1</v>
      </c>
      <c r="AB330" s="71">
        <f t="shared" si="4040"/>
        <v>1</v>
      </c>
      <c r="AC330" s="71">
        <f t="shared" si="4040"/>
        <v>1</v>
      </c>
      <c r="AD330" s="71">
        <f t="shared" si="4040"/>
        <v>1</v>
      </c>
      <c r="AE330" s="71">
        <f t="shared" si="4040"/>
        <v>1</v>
      </c>
      <c r="AF330" s="71">
        <f t="shared" si="4040"/>
        <v>0</v>
      </c>
      <c r="AG330" s="71">
        <f t="shared" si="4040"/>
        <v>1</v>
      </c>
      <c r="AH330" s="71">
        <f t="shared" si="4040"/>
        <v>1</v>
      </c>
      <c r="AI330" s="71">
        <f t="shared" si="4040"/>
        <v>1</v>
      </c>
      <c r="AJ330" s="71">
        <f t="shared" si="4040"/>
        <v>0</v>
      </c>
      <c r="AK330" s="71">
        <f t="shared" si="4040"/>
        <v>0</v>
      </c>
      <c r="AL330" s="71">
        <f t="shared" si="4040"/>
        <v>0</v>
      </c>
      <c r="AM330" s="71">
        <f t="shared" si="4040"/>
        <v>0</v>
      </c>
      <c r="AN330" s="71">
        <f t="shared" si="4040"/>
        <v>0</v>
      </c>
      <c r="AO330" s="71">
        <f t="shared" si="4040"/>
        <v>0</v>
      </c>
      <c r="AP330" s="71">
        <f t="shared" si="4040"/>
        <v>0</v>
      </c>
      <c r="AQ330" s="71">
        <f t="shared" si="4040"/>
        <v>0</v>
      </c>
      <c r="AR330" s="71">
        <f t="shared" si="4040"/>
        <v>0</v>
      </c>
      <c r="AS330" s="71">
        <f t="shared" si="4040"/>
        <v>0</v>
      </c>
      <c r="AT330" s="71">
        <f t="shared" si="4040"/>
        <v>0</v>
      </c>
      <c r="AU330" s="71">
        <f t="shared" si="4040"/>
        <v>0</v>
      </c>
      <c r="AV330" s="71">
        <f t="shared" si="4040"/>
        <v>0</v>
      </c>
      <c r="AW330" s="71">
        <f t="shared" si="4040"/>
        <v>0</v>
      </c>
      <c r="AX330" s="71">
        <f t="shared" si="4040"/>
        <v>0</v>
      </c>
      <c r="AY330" s="71">
        <f t="shared" si="4040"/>
        <v>0</v>
      </c>
      <c r="AZ330" s="72">
        <f t="shared" si="4040"/>
        <v>0</v>
      </c>
      <c r="BA330" s="70">
        <f t="shared" si="4030"/>
        <v>12</v>
      </c>
      <c r="BB330" s="69">
        <f t="shared" ca="1" si="4031"/>
        <v>0.92307692307692313</v>
      </c>
      <c r="BC330" s="70">
        <f t="shared" ref="BC330:CG330" si="4041">HT330</f>
        <v>0</v>
      </c>
      <c r="BD330" s="71">
        <f t="shared" si="4041"/>
        <v>0</v>
      </c>
      <c r="BE330" s="71">
        <f t="shared" si="4041"/>
        <v>0</v>
      </c>
      <c r="BF330" s="71">
        <f t="shared" si="4041"/>
        <v>0</v>
      </c>
      <c r="BG330" s="71">
        <f t="shared" si="4041"/>
        <v>7</v>
      </c>
      <c r="BH330" s="71">
        <f t="shared" si="4041"/>
        <v>1</v>
      </c>
      <c r="BI330" s="71">
        <f t="shared" si="4041"/>
        <v>5</v>
      </c>
      <c r="BJ330" s="71">
        <f t="shared" si="4041"/>
        <v>0</v>
      </c>
      <c r="BK330" s="71">
        <f t="shared" si="4041"/>
        <v>0</v>
      </c>
      <c r="BL330" s="71">
        <f t="shared" si="4041"/>
        <v>10</v>
      </c>
      <c r="BM330" s="71">
        <f t="shared" si="4041"/>
        <v>0</v>
      </c>
      <c r="BN330" s="71">
        <f t="shared" si="4041"/>
        <v>4</v>
      </c>
      <c r="BO330" s="71">
        <f t="shared" si="4041"/>
        <v>0</v>
      </c>
      <c r="BP330" s="71">
        <f t="shared" si="4041"/>
        <v>0</v>
      </c>
      <c r="BQ330" s="71">
        <f t="shared" si="4041"/>
        <v>0</v>
      </c>
      <c r="BR330" s="71">
        <f t="shared" si="4041"/>
        <v>0</v>
      </c>
      <c r="BS330" s="71">
        <f t="shared" si="4041"/>
        <v>0</v>
      </c>
      <c r="BT330" s="71">
        <f t="shared" si="4041"/>
        <v>0</v>
      </c>
      <c r="BU330" s="71">
        <f t="shared" si="4041"/>
        <v>0</v>
      </c>
      <c r="BV330" s="71">
        <f t="shared" si="4041"/>
        <v>0</v>
      </c>
      <c r="BW330" s="71">
        <f t="shared" si="4041"/>
        <v>0</v>
      </c>
      <c r="BX330" s="71">
        <f t="shared" si="4041"/>
        <v>0</v>
      </c>
      <c r="BY330" s="71">
        <f t="shared" si="4041"/>
        <v>0</v>
      </c>
      <c r="BZ330" s="71">
        <f t="shared" si="4041"/>
        <v>0</v>
      </c>
      <c r="CA330" s="71">
        <f t="shared" si="4041"/>
        <v>0</v>
      </c>
      <c r="CB330" s="71">
        <f t="shared" si="4041"/>
        <v>0</v>
      </c>
      <c r="CC330" s="71">
        <f t="shared" si="4041"/>
        <v>0</v>
      </c>
      <c r="CD330" s="71">
        <f t="shared" si="4041"/>
        <v>0</v>
      </c>
      <c r="CE330" s="71">
        <f t="shared" si="4041"/>
        <v>0</v>
      </c>
      <c r="CF330" s="71">
        <f t="shared" si="4041"/>
        <v>0</v>
      </c>
      <c r="CG330" s="71">
        <f t="shared" si="4041"/>
        <v>0</v>
      </c>
      <c r="CH330" s="70">
        <f t="shared" si="4032"/>
        <v>27</v>
      </c>
      <c r="CI330" s="69">
        <f t="shared" ca="1" si="4033"/>
        <v>2.0769230769230771</v>
      </c>
      <c r="GM330" s="2" t="s">
        <v>16</v>
      </c>
      <c r="GN330" s="98" t="str">
        <f>F330</f>
        <v>NTH-E-FMCG01-TE-01</v>
      </c>
      <c r="GO330" s="4">
        <v>1</v>
      </c>
      <c r="GP330" s="3">
        <v>1</v>
      </c>
      <c r="GQ330" s="3">
        <v>1</v>
      </c>
      <c r="GR330" s="3">
        <v>0</v>
      </c>
      <c r="GS330" s="3">
        <v>1</v>
      </c>
      <c r="GT330" s="3">
        <v>1</v>
      </c>
      <c r="GU330" s="3">
        <v>1</v>
      </c>
      <c r="GV330" s="3">
        <v>1</v>
      </c>
      <c r="GW330" s="3">
        <v>1</v>
      </c>
      <c r="GX330" s="3">
        <v>1</v>
      </c>
      <c r="GY330" s="3">
        <v>0</v>
      </c>
      <c r="GZ330" s="3">
        <v>1</v>
      </c>
      <c r="HA330" s="3">
        <v>1</v>
      </c>
      <c r="HB330" s="3">
        <v>1</v>
      </c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6"/>
      <c r="HT330" s="4">
        <v>0</v>
      </c>
      <c r="HU330" s="3">
        <v>0</v>
      </c>
      <c r="HV330" s="3">
        <v>0</v>
      </c>
      <c r="HW330" s="3">
        <v>0</v>
      </c>
      <c r="HX330" s="3">
        <v>7</v>
      </c>
      <c r="HY330" s="3">
        <v>1</v>
      </c>
      <c r="HZ330" s="3">
        <v>5</v>
      </c>
      <c r="IA330" s="3">
        <v>0</v>
      </c>
      <c r="IB330" s="3">
        <v>0</v>
      </c>
      <c r="IC330" s="3">
        <v>10</v>
      </c>
      <c r="ID330" s="3">
        <v>0</v>
      </c>
      <c r="IE330" s="3">
        <v>4</v>
      </c>
      <c r="IF330" s="3">
        <v>0</v>
      </c>
      <c r="IG330" s="3">
        <v>0</v>
      </c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6"/>
    </row>
    <row r="331" spans="1:258" hidden="1">
      <c r="A331" s="97" t="s">
        <v>1397</v>
      </c>
      <c r="B331" s="98" t="s">
        <v>20</v>
      </c>
      <c r="C331" s="98" t="s">
        <v>721</v>
      </c>
      <c r="D331" s="99" t="s">
        <v>766</v>
      </c>
      <c r="E331" s="98" t="s">
        <v>767</v>
      </c>
      <c r="F331" s="98" t="s">
        <v>768</v>
      </c>
      <c r="G331" s="98" t="s">
        <v>769</v>
      </c>
      <c r="H331" s="98" t="s">
        <v>770</v>
      </c>
      <c r="I331" s="98" t="s">
        <v>770</v>
      </c>
      <c r="J331" s="98" t="s">
        <v>664</v>
      </c>
      <c r="K331" s="98" t="s">
        <v>31</v>
      </c>
      <c r="L331" s="98" t="s">
        <v>771</v>
      </c>
      <c r="M331" s="98" t="s">
        <v>52</v>
      </c>
      <c r="N331" s="108">
        <v>43879</v>
      </c>
      <c r="O331" s="100">
        <v>0</v>
      </c>
      <c r="P331" s="69">
        <v>0</v>
      </c>
      <c r="Q331" s="69">
        <f>IFERROR(IF(OR(AI331&gt;0),1,0),0)</f>
        <v>0</v>
      </c>
      <c r="R331" s="69">
        <f t="shared" si="4036"/>
        <v>0</v>
      </c>
      <c r="S331" s="69">
        <f>IFERROR(IF(OR(BP331&gt;0),1,0),0)</f>
        <v>0</v>
      </c>
      <c r="T331" s="69">
        <f t="shared" si="4037"/>
        <v>0</v>
      </c>
      <c r="U331" s="69">
        <f>IFERROR(IF(OR(BA331&gt;0,CH331&gt;0),1,0),0)</f>
        <v>0</v>
      </c>
      <c r="V331" s="70">
        <f t="shared" ref="V331" si="4042">GO331</f>
        <v>0</v>
      </c>
      <c r="W331" s="71">
        <f t="shared" ref="W331" si="4043">GP331</f>
        <v>0</v>
      </c>
      <c r="X331" s="71">
        <f t="shared" ref="X331" si="4044">GQ331</f>
        <v>0</v>
      </c>
      <c r="Y331" s="71">
        <f t="shared" ref="Y331" si="4045">GR331</f>
        <v>0</v>
      </c>
      <c r="Z331" s="71">
        <f t="shared" ref="Z331" si="4046">GS331</f>
        <v>0</v>
      </c>
      <c r="AA331" s="71">
        <f t="shared" ref="AA331" si="4047">GT331</f>
        <v>0</v>
      </c>
      <c r="AB331" s="71">
        <f t="shared" ref="AB331" si="4048">GU331</f>
        <v>0</v>
      </c>
      <c r="AC331" s="71">
        <f t="shared" ref="AC331" si="4049">GV331</f>
        <v>0</v>
      </c>
      <c r="AD331" s="71">
        <f t="shared" ref="AD331" si="4050">GW331</f>
        <v>0</v>
      </c>
      <c r="AE331" s="71">
        <f t="shared" ref="AE331" si="4051">GX331</f>
        <v>0</v>
      </c>
      <c r="AF331" s="71">
        <f t="shared" ref="AF331" si="4052">GY331</f>
        <v>0</v>
      </c>
      <c r="AG331" s="71">
        <f t="shared" ref="AG331" si="4053">GZ331</f>
        <v>0</v>
      </c>
      <c r="AH331" s="71">
        <f t="shared" ref="AH331" si="4054">HA331</f>
        <v>0</v>
      </c>
      <c r="AI331" s="71">
        <f t="shared" ref="AI331" si="4055">HB331</f>
        <v>0</v>
      </c>
      <c r="AJ331" s="71">
        <f t="shared" ref="AJ331" si="4056">HC331</f>
        <v>0</v>
      </c>
      <c r="AK331" s="71">
        <f t="shared" ref="AK331" si="4057">HD331</f>
        <v>0</v>
      </c>
      <c r="AL331" s="71">
        <f t="shared" ref="AL331" si="4058">HE331</f>
        <v>0</v>
      </c>
      <c r="AM331" s="71">
        <f t="shared" ref="AM331" si="4059">HF331</f>
        <v>0</v>
      </c>
      <c r="AN331" s="71">
        <f t="shared" ref="AN331" si="4060">HG331</f>
        <v>0</v>
      </c>
      <c r="AO331" s="71">
        <f t="shared" ref="AO331" si="4061">HH331</f>
        <v>0</v>
      </c>
      <c r="AP331" s="71">
        <f t="shared" ref="AP331" si="4062">HI331</f>
        <v>0</v>
      </c>
      <c r="AQ331" s="71">
        <f t="shared" ref="AQ331" si="4063">HJ331</f>
        <v>0</v>
      </c>
      <c r="AR331" s="71">
        <f t="shared" ref="AR331" si="4064">HK331</f>
        <v>0</v>
      </c>
      <c r="AS331" s="71">
        <f t="shared" ref="AS331" si="4065">HL331</f>
        <v>0</v>
      </c>
      <c r="AT331" s="71">
        <f t="shared" ref="AT331" si="4066">HM331</f>
        <v>0</v>
      </c>
      <c r="AU331" s="71">
        <f t="shared" ref="AU331" si="4067">HN331</f>
        <v>0</v>
      </c>
      <c r="AV331" s="71">
        <f t="shared" ref="AV331" si="4068">HO331</f>
        <v>0</v>
      </c>
      <c r="AW331" s="71">
        <f t="shared" ref="AW331" si="4069">HP331</f>
        <v>0</v>
      </c>
      <c r="AX331" s="71">
        <f t="shared" ref="AX331" si="4070">HQ331</f>
        <v>0</v>
      </c>
      <c r="AY331" s="71">
        <f t="shared" ref="AY331" si="4071">HR331</f>
        <v>0</v>
      </c>
      <c r="AZ331" s="72">
        <f t="shared" ref="AZ331" si="4072">HS331</f>
        <v>0</v>
      </c>
      <c r="BA331" s="70">
        <f t="shared" si="4030"/>
        <v>0</v>
      </c>
      <c r="BB331" s="69">
        <f t="shared" ca="1" si="4031"/>
        <v>0</v>
      </c>
      <c r="BC331" s="70">
        <f t="shared" ref="BC331" si="4073">HT331</f>
        <v>0</v>
      </c>
      <c r="BD331" s="71">
        <f t="shared" ref="BD331" si="4074">HU331</f>
        <v>0</v>
      </c>
      <c r="BE331" s="71">
        <f t="shared" ref="BE331" si="4075">HV331</f>
        <v>0</v>
      </c>
      <c r="BF331" s="71">
        <f t="shared" ref="BF331" si="4076">HW331</f>
        <v>0</v>
      </c>
      <c r="BG331" s="71">
        <f t="shared" ref="BG331" si="4077">HX331</f>
        <v>0</v>
      </c>
      <c r="BH331" s="71">
        <f t="shared" ref="BH331" si="4078">HY331</f>
        <v>0</v>
      </c>
      <c r="BI331" s="71">
        <f t="shared" ref="BI331" si="4079">HZ331</f>
        <v>0</v>
      </c>
      <c r="BJ331" s="71">
        <f t="shared" ref="BJ331" si="4080">IA331</f>
        <v>0</v>
      </c>
      <c r="BK331" s="71">
        <f t="shared" ref="BK331" si="4081">IB331</f>
        <v>0</v>
      </c>
      <c r="BL331" s="71">
        <f t="shared" ref="BL331" si="4082">IC331</f>
        <v>0</v>
      </c>
      <c r="BM331" s="71">
        <f t="shared" ref="BM331" si="4083">ID331</f>
        <v>0</v>
      </c>
      <c r="BN331" s="71">
        <f t="shared" ref="BN331" si="4084">IE331</f>
        <v>0</v>
      </c>
      <c r="BO331" s="71">
        <f t="shared" ref="BO331" si="4085">IF331</f>
        <v>0</v>
      </c>
      <c r="BP331" s="71">
        <f t="shared" ref="BP331" si="4086">IG331</f>
        <v>0</v>
      </c>
      <c r="BQ331" s="71">
        <f t="shared" ref="BQ331" si="4087">IH331</f>
        <v>0</v>
      </c>
      <c r="BR331" s="71">
        <f t="shared" ref="BR331" si="4088">II331</f>
        <v>0</v>
      </c>
      <c r="BS331" s="71">
        <f t="shared" ref="BS331" si="4089">IJ331</f>
        <v>0</v>
      </c>
      <c r="BT331" s="71">
        <f t="shared" ref="BT331" si="4090">IK331</f>
        <v>0</v>
      </c>
      <c r="BU331" s="71">
        <f t="shared" ref="BU331" si="4091">IL331</f>
        <v>0</v>
      </c>
      <c r="BV331" s="71">
        <f t="shared" ref="BV331" si="4092">IM331</f>
        <v>0</v>
      </c>
      <c r="BW331" s="71">
        <f t="shared" ref="BW331" si="4093">IN331</f>
        <v>0</v>
      </c>
      <c r="BX331" s="71">
        <f t="shared" ref="BX331" si="4094">IO331</f>
        <v>0</v>
      </c>
      <c r="BY331" s="71">
        <f t="shared" ref="BY331" si="4095">IP331</f>
        <v>0</v>
      </c>
      <c r="BZ331" s="71">
        <f t="shared" ref="BZ331" si="4096">IQ331</f>
        <v>0</v>
      </c>
      <c r="CA331" s="71">
        <f t="shared" ref="CA331" si="4097">IR331</f>
        <v>0</v>
      </c>
      <c r="CB331" s="71">
        <f t="shared" ref="CB331" si="4098">IS331</f>
        <v>0</v>
      </c>
      <c r="CC331" s="71">
        <f t="shared" ref="CC331" si="4099">IT331</f>
        <v>0</v>
      </c>
      <c r="CD331" s="71">
        <f t="shared" ref="CD331" si="4100">IU331</f>
        <v>0</v>
      </c>
      <c r="CE331" s="71">
        <f t="shared" ref="CE331" si="4101">IV331</f>
        <v>0</v>
      </c>
      <c r="CF331" s="71">
        <f t="shared" ref="CF331" si="4102">IW331</f>
        <v>0</v>
      </c>
      <c r="CG331" s="71">
        <f t="shared" ref="CG331" si="4103">IX331</f>
        <v>0</v>
      </c>
      <c r="CH331" s="70">
        <f t="shared" si="4032"/>
        <v>0</v>
      </c>
      <c r="CI331" s="69">
        <f t="shared" ca="1" si="4033"/>
        <v>0</v>
      </c>
      <c r="GM331" s="2" t="s">
        <v>16</v>
      </c>
      <c r="GN331" s="98" t="str">
        <f t="shared" si="4029"/>
        <v>NTH-E-FMCG-RSM-01</v>
      </c>
      <c r="GO331" s="4">
        <v>0</v>
      </c>
      <c r="GP331" s="3">
        <v>0</v>
      </c>
      <c r="GQ331" s="3">
        <v>0</v>
      </c>
      <c r="GR331" s="3">
        <v>0</v>
      </c>
      <c r="GS331" s="3">
        <v>0</v>
      </c>
      <c r="GT331" s="3">
        <v>0</v>
      </c>
      <c r="GU331" s="3">
        <v>0</v>
      </c>
      <c r="GV331" s="3">
        <v>0</v>
      </c>
      <c r="GW331" s="3">
        <v>0</v>
      </c>
      <c r="GX331" s="3">
        <v>0</v>
      </c>
      <c r="GY331" s="3">
        <v>0</v>
      </c>
      <c r="GZ331" s="3">
        <v>0</v>
      </c>
      <c r="HA331" s="3">
        <v>0</v>
      </c>
      <c r="HB331" s="3">
        <v>0</v>
      </c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6"/>
      <c r="HT331" s="4">
        <v>0</v>
      </c>
      <c r="HU331" s="3">
        <v>0</v>
      </c>
      <c r="HV331" s="3">
        <v>0</v>
      </c>
      <c r="HW331" s="3">
        <v>0</v>
      </c>
      <c r="HX331" s="3">
        <v>0</v>
      </c>
      <c r="HY331" s="3">
        <v>0</v>
      </c>
      <c r="HZ331" s="3">
        <v>0</v>
      </c>
      <c r="IA331" s="3">
        <v>0</v>
      </c>
      <c r="IB331" s="3">
        <v>0</v>
      </c>
      <c r="IC331" s="3">
        <v>0</v>
      </c>
      <c r="ID331" s="3">
        <v>0</v>
      </c>
      <c r="IE331" s="3">
        <v>0</v>
      </c>
      <c r="IF331" s="3">
        <v>0</v>
      </c>
      <c r="IG331" s="3">
        <v>0</v>
      </c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6"/>
    </row>
    <row r="332" spans="1:258" hidden="1">
      <c r="A332" s="109" t="s">
        <v>158</v>
      </c>
      <c r="B332" s="110" t="s">
        <v>20</v>
      </c>
      <c r="C332" s="110" t="s">
        <v>721</v>
      </c>
      <c r="D332" s="111" t="s">
        <v>766</v>
      </c>
      <c r="E332" s="110" t="s">
        <v>767</v>
      </c>
      <c r="F332" s="110" t="s">
        <v>768</v>
      </c>
      <c r="G332" s="110" t="s">
        <v>769</v>
      </c>
      <c r="H332" s="110" t="s">
        <v>770</v>
      </c>
      <c r="I332" s="110" t="s">
        <v>770</v>
      </c>
      <c r="J332" s="110" t="s">
        <v>664</v>
      </c>
      <c r="K332" s="110" t="s">
        <v>31</v>
      </c>
      <c r="L332" s="110" t="s">
        <v>771</v>
      </c>
      <c r="M332" s="110" t="s">
        <v>52</v>
      </c>
      <c r="N332" s="140">
        <v>43879</v>
      </c>
      <c r="O332" s="112">
        <f>O331+O330+O311+O328+O319+O322+O329</f>
        <v>17</v>
      </c>
      <c r="P332" s="77">
        <f t="shared" ref="P332:CA332" si="4104">P331+P330+P311+P328+P319+P322+P329</f>
        <v>0</v>
      </c>
      <c r="Q332" s="77">
        <f t="shared" si="4104"/>
        <v>12</v>
      </c>
      <c r="R332" s="77">
        <f t="shared" si="4104"/>
        <v>17</v>
      </c>
      <c r="S332" s="77">
        <f t="shared" si="4104"/>
        <v>6</v>
      </c>
      <c r="T332" s="77">
        <f t="shared" si="4104"/>
        <v>16</v>
      </c>
      <c r="U332" s="77">
        <f t="shared" si="4104"/>
        <v>17</v>
      </c>
      <c r="V332" s="78">
        <f t="shared" si="4104"/>
        <v>17</v>
      </c>
      <c r="W332" s="79">
        <f t="shared" si="4104"/>
        <v>11</v>
      </c>
      <c r="X332" s="79">
        <f t="shared" si="4104"/>
        <v>16</v>
      </c>
      <c r="Y332" s="79">
        <f t="shared" si="4104"/>
        <v>5</v>
      </c>
      <c r="Z332" s="79">
        <f t="shared" si="4104"/>
        <v>16</v>
      </c>
      <c r="AA332" s="79">
        <f t="shared" si="4104"/>
        <v>16</v>
      </c>
      <c r="AB332" s="79">
        <f t="shared" si="4104"/>
        <v>16</v>
      </c>
      <c r="AC332" s="79">
        <f t="shared" si="4104"/>
        <v>16</v>
      </c>
      <c r="AD332" s="79">
        <f t="shared" si="4104"/>
        <v>11</v>
      </c>
      <c r="AE332" s="79">
        <f t="shared" si="4104"/>
        <v>16</v>
      </c>
      <c r="AF332" s="79">
        <f t="shared" si="4104"/>
        <v>6</v>
      </c>
      <c r="AG332" s="79">
        <f t="shared" si="4104"/>
        <v>16</v>
      </c>
      <c r="AH332" s="79">
        <f t="shared" si="4104"/>
        <v>16</v>
      </c>
      <c r="AI332" s="79">
        <f t="shared" si="4104"/>
        <v>14</v>
      </c>
      <c r="AJ332" s="79">
        <f t="shared" si="4104"/>
        <v>0</v>
      </c>
      <c r="AK332" s="79">
        <f t="shared" si="4104"/>
        <v>0</v>
      </c>
      <c r="AL332" s="79">
        <f t="shared" si="4104"/>
        <v>0</v>
      </c>
      <c r="AM332" s="79">
        <f t="shared" si="4104"/>
        <v>0</v>
      </c>
      <c r="AN332" s="79">
        <f t="shared" si="4104"/>
        <v>0</v>
      </c>
      <c r="AO332" s="79">
        <f t="shared" si="4104"/>
        <v>0</v>
      </c>
      <c r="AP332" s="79">
        <f t="shared" si="4104"/>
        <v>0</v>
      </c>
      <c r="AQ332" s="79">
        <f t="shared" si="4104"/>
        <v>0</v>
      </c>
      <c r="AR332" s="79">
        <f t="shared" si="4104"/>
        <v>0</v>
      </c>
      <c r="AS332" s="79">
        <f t="shared" si="4104"/>
        <v>0</v>
      </c>
      <c r="AT332" s="79">
        <f t="shared" si="4104"/>
        <v>0</v>
      </c>
      <c r="AU332" s="79">
        <f t="shared" si="4104"/>
        <v>0</v>
      </c>
      <c r="AV332" s="79">
        <f t="shared" si="4104"/>
        <v>0</v>
      </c>
      <c r="AW332" s="79">
        <f t="shared" si="4104"/>
        <v>0</v>
      </c>
      <c r="AX332" s="79">
        <f t="shared" si="4104"/>
        <v>0</v>
      </c>
      <c r="AY332" s="79">
        <f t="shared" si="4104"/>
        <v>0</v>
      </c>
      <c r="AZ332" s="80">
        <f t="shared" si="4104"/>
        <v>0</v>
      </c>
      <c r="BA332" s="78">
        <f t="shared" si="4030"/>
        <v>192</v>
      </c>
      <c r="BB332" s="77">
        <f t="shared" ca="1" si="4031"/>
        <v>0.86877828054298645</v>
      </c>
      <c r="BC332" s="78">
        <f t="shared" si="4104"/>
        <v>301</v>
      </c>
      <c r="BD332" s="79">
        <f t="shared" si="4104"/>
        <v>82</v>
      </c>
      <c r="BE332" s="79">
        <f t="shared" si="4104"/>
        <v>440</v>
      </c>
      <c r="BF332" s="79">
        <f t="shared" si="4104"/>
        <v>129</v>
      </c>
      <c r="BG332" s="79">
        <f t="shared" si="4104"/>
        <v>338</v>
      </c>
      <c r="BH332" s="79">
        <f t="shared" si="4104"/>
        <v>353</v>
      </c>
      <c r="BI332" s="79">
        <f t="shared" si="4104"/>
        <v>389</v>
      </c>
      <c r="BJ332" s="79">
        <f t="shared" si="4104"/>
        <v>381</v>
      </c>
      <c r="BK332" s="79">
        <f t="shared" si="4104"/>
        <v>167</v>
      </c>
      <c r="BL332" s="79">
        <f t="shared" si="4104"/>
        <v>625</v>
      </c>
      <c r="BM332" s="79">
        <f t="shared" si="4104"/>
        <v>108</v>
      </c>
      <c r="BN332" s="79">
        <f t="shared" si="4104"/>
        <v>362</v>
      </c>
      <c r="BO332" s="79">
        <f t="shared" si="4104"/>
        <v>327</v>
      </c>
      <c r="BP332" s="79">
        <f t="shared" si="4104"/>
        <v>41</v>
      </c>
      <c r="BQ332" s="79">
        <f t="shared" si="4104"/>
        <v>0</v>
      </c>
      <c r="BR332" s="79">
        <f t="shared" si="4104"/>
        <v>0</v>
      </c>
      <c r="BS332" s="79">
        <f t="shared" si="4104"/>
        <v>0</v>
      </c>
      <c r="BT332" s="79">
        <f t="shared" si="4104"/>
        <v>0</v>
      </c>
      <c r="BU332" s="79">
        <f t="shared" si="4104"/>
        <v>0</v>
      </c>
      <c r="BV332" s="79">
        <f t="shared" si="4104"/>
        <v>0</v>
      </c>
      <c r="BW332" s="79">
        <f t="shared" si="4104"/>
        <v>0</v>
      </c>
      <c r="BX332" s="79">
        <f t="shared" si="4104"/>
        <v>0</v>
      </c>
      <c r="BY332" s="79">
        <f t="shared" si="4104"/>
        <v>0</v>
      </c>
      <c r="BZ332" s="79">
        <f t="shared" si="4104"/>
        <v>0</v>
      </c>
      <c r="CA332" s="79">
        <f t="shared" si="4104"/>
        <v>0</v>
      </c>
      <c r="CB332" s="79">
        <f t="shared" ref="CB332:CG332" si="4105">CB331+CB330+CB311+CB328+CB319+CB322+CB329</f>
        <v>0</v>
      </c>
      <c r="CC332" s="79">
        <f t="shared" si="4105"/>
        <v>0</v>
      </c>
      <c r="CD332" s="79">
        <f t="shared" si="4105"/>
        <v>0</v>
      </c>
      <c r="CE332" s="79">
        <f t="shared" si="4105"/>
        <v>0</v>
      </c>
      <c r="CF332" s="79">
        <f t="shared" si="4105"/>
        <v>0</v>
      </c>
      <c r="CG332" s="79">
        <f t="shared" si="4105"/>
        <v>0</v>
      </c>
      <c r="CH332" s="78">
        <f t="shared" si="4032"/>
        <v>4043</v>
      </c>
      <c r="CI332" s="77">
        <f t="shared" ca="1" si="4033"/>
        <v>18.294117647058822</v>
      </c>
      <c r="GM332" s="2" t="s">
        <v>17</v>
      </c>
      <c r="GN332" s="110" t="str">
        <f t="shared" si="4029"/>
        <v>NTH-E-FMCG-RSM-01</v>
      </c>
      <c r="GO332" s="4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0</v>
      </c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6"/>
      <c r="HT332" s="4">
        <v>0</v>
      </c>
      <c r="HU332" s="3">
        <v>0</v>
      </c>
      <c r="HV332" s="3">
        <v>0</v>
      </c>
      <c r="HW332" s="3">
        <v>0</v>
      </c>
      <c r="HX332" s="3">
        <v>0</v>
      </c>
      <c r="HY332" s="3">
        <v>0</v>
      </c>
      <c r="HZ332" s="3">
        <v>0</v>
      </c>
      <c r="IA332" s="3">
        <v>0</v>
      </c>
      <c r="IB332" s="3">
        <v>0</v>
      </c>
      <c r="IC332" s="3">
        <v>0</v>
      </c>
      <c r="ID332" s="3">
        <v>0</v>
      </c>
      <c r="IE332" s="3">
        <v>0</v>
      </c>
      <c r="IF332" s="3">
        <v>0</v>
      </c>
      <c r="IG332" s="3">
        <v>0</v>
      </c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6"/>
    </row>
    <row r="333" spans="1:258" hidden="1">
      <c r="A333" s="97" t="s">
        <v>25</v>
      </c>
      <c r="B333" s="98" t="s">
        <v>26</v>
      </c>
      <c r="C333" s="98" t="s">
        <v>772</v>
      </c>
      <c r="D333" s="99" t="s">
        <v>1266</v>
      </c>
      <c r="E333" s="98" t="s">
        <v>971</v>
      </c>
      <c r="F333" s="98" t="s">
        <v>916</v>
      </c>
      <c r="G333" s="98" t="s">
        <v>773</v>
      </c>
      <c r="H333" s="98" t="s">
        <v>1701</v>
      </c>
      <c r="I333" s="98" t="s">
        <v>1625</v>
      </c>
      <c r="J333" s="98" t="s">
        <v>1267</v>
      </c>
      <c r="K333" s="98" t="s">
        <v>1127</v>
      </c>
      <c r="L333" s="98" t="s">
        <v>950</v>
      </c>
      <c r="M333" s="101" t="s">
        <v>1093</v>
      </c>
      <c r="N333" s="139" t="s">
        <v>1708</v>
      </c>
      <c r="O333" s="100">
        <v>1</v>
      </c>
      <c r="P333" s="69">
        <v>0</v>
      </c>
      <c r="Q333" s="69">
        <f t="shared" ref="Q333:Q354" si="4106">IFERROR(IF(OR(AI333&gt;0),1,0),0)</f>
        <v>1</v>
      </c>
      <c r="R333" s="69">
        <f t="shared" ref="R333:R338" si="4107">IFERROR(IF(OR(BA333&gt;0),1,0),0)</f>
        <v>1</v>
      </c>
      <c r="S333" s="69">
        <f t="shared" ref="S333:S338" si="4108">IFERROR(IF(OR(BP333&gt;0),1,0),0)</f>
        <v>0</v>
      </c>
      <c r="T333" s="69">
        <f t="shared" ref="T333:T338" si="4109">IFERROR(IF(OR(CH333&gt;0),1,0),0)</f>
        <v>1</v>
      </c>
      <c r="U333" s="69">
        <f t="shared" ref="U333:U338" si="4110">IFERROR(IF(OR(BA333&gt;0,CH333&gt;0),1,0),0)</f>
        <v>1</v>
      </c>
      <c r="V333" s="70">
        <f t="shared" ref="V333:V338" si="4111">GO333</f>
        <v>1</v>
      </c>
      <c r="W333" s="71">
        <f t="shared" ref="W333:W338" si="4112">GP333</f>
        <v>1</v>
      </c>
      <c r="X333" s="71">
        <f t="shared" ref="X333:X338" si="4113">GQ333</f>
        <v>1</v>
      </c>
      <c r="Y333" s="71">
        <f t="shared" ref="Y333:Y338" si="4114">GR333</f>
        <v>0</v>
      </c>
      <c r="Z333" s="71">
        <f t="shared" ref="Z333:Z338" si="4115">GS333</f>
        <v>1</v>
      </c>
      <c r="AA333" s="71">
        <f t="shared" ref="AA333:AA338" si="4116">GT333</f>
        <v>1</v>
      </c>
      <c r="AB333" s="71">
        <f t="shared" ref="AB333:AB338" si="4117">GU333</f>
        <v>1</v>
      </c>
      <c r="AC333" s="71">
        <f t="shared" ref="AC333:AC338" si="4118">GV333</f>
        <v>1</v>
      </c>
      <c r="AD333" s="71">
        <f t="shared" ref="AD333:AD338" si="4119">GW333</f>
        <v>1</v>
      </c>
      <c r="AE333" s="71">
        <f t="shared" ref="AE333:AE338" si="4120">GX333</f>
        <v>1</v>
      </c>
      <c r="AF333" s="71">
        <f t="shared" ref="AF333:AF338" si="4121">GY333</f>
        <v>0</v>
      </c>
      <c r="AG333" s="71">
        <f t="shared" ref="AG333:AG338" si="4122">GZ333</f>
        <v>1</v>
      </c>
      <c r="AH333" s="71">
        <f t="shared" ref="AH333:AH338" si="4123">HA333</f>
        <v>1</v>
      </c>
      <c r="AI333" s="71">
        <f t="shared" ref="AI333:AI338" si="4124">HB333</f>
        <v>1</v>
      </c>
      <c r="AJ333" s="71">
        <f t="shared" ref="AJ333:AJ338" si="4125">HC333</f>
        <v>0</v>
      </c>
      <c r="AK333" s="71">
        <f t="shared" ref="AK333:AK338" si="4126">HD333</f>
        <v>0</v>
      </c>
      <c r="AL333" s="71">
        <f t="shared" ref="AL333:AL338" si="4127">HE333</f>
        <v>0</v>
      </c>
      <c r="AM333" s="71">
        <f t="shared" ref="AM333:AM338" si="4128">HF333</f>
        <v>0</v>
      </c>
      <c r="AN333" s="71">
        <f t="shared" ref="AN333:AN338" si="4129">HG333</f>
        <v>0</v>
      </c>
      <c r="AO333" s="71">
        <f t="shared" ref="AO333:AO338" si="4130">HH333</f>
        <v>0</v>
      </c>
      <c r="AP333" s="71">
        <f t="shared" ref="AP333:AP338" si="4131">HI333</f>
        <v>0</v>
      </c>
      <c r="AQ333" s="71">
        <f t="shared" ref="AQ333:AQ338" si="4132">HJ333</f>
        <v>0</v>
      </c>
      <c r="AR333" s="71">
        <f t="shared" ref="AR333:AR338" si="4133">HK333</f>
        <v>0</v>
      </c>
      <c r="AS333" s="71">
        <f t="shared" ref="AS333:AS338" si="4134">HL333</f>
        <v>0</v>
      </c>
      <c r="AT333" s="71">
        <f t="shared" ref="AT333:AT338" si="4135">HM333</f>
        <v>0</v>
      </c>
      <c r="AU333" s="71">
        <f t="shared" ref="AU333:AU338" si="4136">HN333</f>
        <v>0</v>
      </c>
      <c r="AV333" s="71">
        <f t="shared" ref="AV333:AV338" si="4137">HO333</f>
        <v>0</v>
      </c>
      <c r="AW333" s="71">
        <f t="shared" ref="AW333:AW338" si="4138">HP333</f>
        <v>0</v>
      </c>
      <c r="AX333" s="71">
        <f t="shared" ref="AX333:AX338" si="4139">HQ333</f>
        <v>0</v>
      </c>
      <c r="AY333" s="71">
        <f t="shared" ref="AY333:AY338" si="4140">HR333</f>
        <v>0</v>
      </c>
      <c r="AZ333" s="72">
        <f t="shared" ref="AZ333:AZ338" si="4141">HS333</f>
        <v>0</v>
      </c>
      <c r="BA333" s="70">
        <f t="shared" si="4030"/>
        <v>12</v>
      </c>
      <c r="BB333" s="69">
        <f t="shared" ca="1" si="4031"/>
        <v>0.92307692307692313</v>
      </c>
      <c r="BC333" s="70">
        <f t="shared" ref="BC333:BC338" si="4142">HT333</f>
        <v>31</v>
      </c>
      <c r="BD333" s="71">
        <f t="shared" ref="BD333:BD338" si="4143">HU333</f>
        <v>0</v>
      </c>
      <c r="BE333" s="71">
        <f t="shared" ref="BE333:BE338" si="4144">HV333</f>
        <v>0</v>
      </c>
      <c r="BF333" s="71">
        <f t="shared" ref="BF333:BF338" si="4145">HW333</f>
        <v>0</v>
      </c>
      <c r="BG333" s="71">
        <f t="shared" ref="BG333:BG338" si="4146">HX333</f>
        <v>35</v>
      </c>
      <c r="BH333" s="71">
        <f t="shared" ref="BH333:BH338" si="4147">HY333</f>
        <v>37</v>
      </c>
      <c r="BI333" s="71">
        <f t="shared" ref="BI333:BI338" si="4148">HZ333</f>
        <v>32</v>
      </c>
      <c r="BJ333" s="71">
        <f t="shared" ref="BJ333:BJ338" si="4149">IA333</f>
        <v>0</v>
      </c>
      <c r="BK333" s="71">
        <f t="shared" ref="BK333:BK338" si="4150">IB333</f>
        <v>41</v>
      </c>
      <c r="BL333" s="71">
        <f t="shared" ref="BL333:BL338" si="4151">IC333</f>
        <v>0</v>
      </c>
      <c r="BM333" s="71">
        <f t="shared" ref="BM333:BM338" si="4152">ID333</f>
        <v>0</v>
      </c>
      <c r="BN333" s="71">
        <f t="shared" ref="BN333:BN338" si="4153">IE333</f>
        <v>39</v>
      </c>
      <c r="BO333" s="71">
        <f t="shared" ref="BO333:BO338" si="4154">IF333</f>
        <v>16</v>
      </c>
      <c r="BP333" s="71">
        <f t="shared" ref="BP333:BP338" si="4155">IG333</f>
        <v>0</v>
      </c>
      <c r="BQ333" s="71">
        <f t="shared" ref="BQ333:BQ338" si="4156">IH333</f>
        <v>0</v>
      </c>
      <c r="BR333" s="71">
        <f t="shared" ref="BR333:BR338" si="4157">II333</f>
        <v>0</v>
      </c>
      <c r="BS333" s="71">
        <f t="shared" ref="BS333:BS338" si="4158">IJ333</f>
        <v>0</v>
      </c>
      <c r="BT333" s="71">
        <f t="shared" ref="BT333:BT338" si="4159">IK333</f>
        <v>0</v>
      </c>
      <c r="BU333" s="71">
        <f t="shared" ref="BU333:BU338" si="4160">IL333</f>
        <v>0</v>
      </c>
      <c r="BV333" s="71">
        <f t="shared" ref="BV333:BV338" si="4161">IM333</f>
        <v>0</v>
      </c>
      <c r="BW333" s="71">
        <f t="shared" ref="BW333:BW338" si="4162">IN333</f>
        <v>0</v>
      </c>
      <c r="BX333" s="71">
        <f t="shared" ref="BX333:BX338" si="4163">IO333</f>
        <v>0</v>
      </c>
      <c r="BY333" s="71">
        <f t="shared" ref="BY333:BY338" si="4164">IP333</f>
        <v>0</v>
      </c>
      <c r="BZ333" s="71">
        <f t="shared" ref="BZ333:BZ338" si="4165">IQ333</f>
        <v>0</v>
      </c>
      <c r="CA333" s="71">
        <f t="shared" ref="CA333:CA338" si="4166">IR333</f>
        <v>0</v>
      </c>
      <c r="CB333" s="71">
        <f t="shared" ref="CB333:CB338" si="4167">IS333</f>
        <v>0</v>
      </c>
      <c r="CC333" s="71">
        <f t="shared" ref="CC333:CC338" si="4168">IT333</f>
        <v>0</v>
      </c>
      <c r="CD333" s="71">
        <f t="shared" ref="CD333:CD338" si="4169">IU333</f>
        <v>0</v>
      </c>
      <c r="CE333" s="71">
        <f t="shared" ref="CE333:CE338" si="4170">IV333</f>
        <v>0</v>
      </c>
      <c r="CF333" s="71">
        <f t="shared" ref="CF333:CF338" si="4171">IW333</f>
        <v>0</v>
      </c>
      <c r="CG333" s="71">
        <f t="shared" ref="CG333:CG338" si="4172">IX333</f>
        <v>0</v>
      </c>
      <c r="CH333" s="70">
        <f t="shared" si="4032"/>
        <v>231</v>
      </c>
      <c r="CI333" s="69">
        <f t="shared" ca="1" si="4033"/>
        <v>17.76923076923077</v>
      </c>
      <c r="GM333" s="2" t="s">
        <v>16</v>
      </c>
      <c r="GN333" s="98" t="str">
        <f t="shared" si="4029"/>
        <v>ABT01-FMCG01-SPO-01</v>
      </c>
      <c r="GO333" s="4">
        <v>1</v>
      </c>
      <c r="GP333" s="3">
        <v>1</v>
      </c>
      <c r="GQ333" s="3">
        <v>1</v>
      </c>
      <c r="GR333" s="3">
        <v>0</v>
      </c>
      <c r="GS333" s="3">
        <v>1</v>
      </c>
      <c r="GT333" s="3">
        <v>1</v>
      </c>
      <c r="GU333" s="3">
        <v>1</v>
      </c>
      <c r="GV333" s="3">
        <v>1</v>
      </c>
      <c r="GW333" s="3">
        <v>1</v>
      </c>
      <c r="GX333" s="3">
        <v>1</v>
      </c>
      <c r="GY333" s="3">
        <v>0</v>
      </c>
      <c r="GZ333" s="3">
        <v>1</v>
      </c>
      <c r="HA333" s="3">
        <v>1</v>
      </c>
      <c r="HB333" s="3">
        <v>1</v>
      </c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6"/>
      <c r="HT333" s="4">
        <v>31</v>
      </c>
      <c r="HU333" s="3">
        <v>0</v>
      </c>
      <c r="HV333" s="3">
        <v>0</v>
      </c>
      <c r="HW333" s="3">
        <v>0</v>
      </c>
      <c r="HX333" s="3">
        <v>35</v>
      </c>
      <c r="HY333" s="3">
        <v>37</v>
      </c>
      <c r="HZ333" s="3">
        <v>32</v>
      </c>
      <c r="IA333" s="3">
        <v>0</v>
      </c>
      <c r="IB333" s="3">
        <v>41</v>
      </c>
      <c r="IC333" s="3">
        <v>0</v>
      </c>
      <c r="ID333" s="3">
        <v>0</v>
      </c>
      <c r="IE333" s="3">
        <v>39</v>
      </c>
      <c r="IF333" s="3">
        <v>16</v>
      </c>
      <c r="IG333" s="3">
        <v>0</v>
      </c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6"/>
    </row>
    <row r="334" spans="1:258" hidden="1">
      <c r="A334" s="106" t="s">
        <v>25</v>
      </c>
      <c r="B334" s="101" t="s">
        <v>26</v>
      </c>
      <c r="C334" s="98" t="s">
        <v>772</v>
      </c>
      <c r="D334" s="107" t="s">
        <v>1266</v>
      </c>
      <c r="E334" s="101" t="s">
        <v>972</v>
      </c>
      <c r="F334" s="101" t="s">
        <v>1080</v>
      </c>
      <c r="G334" s="98" t="s">
        <v>776</v>
      </c>
      <c r="H334" s="101" t="s">
        <v>1626</v>
      </c>
      <c r="I334" s="101" t="s">
        <v>1626</v>
      </c>
      <c r="J334" s="101" t="s">
        <v>1267</v>
      </c>
      <c r="K334" s="101" t="s">
        <v>1156</v>
      </c>
      <c r="L334" s="101" t="s">
        <v>777</v>
      </c>
      <c r="M334" s="101" t="s">
        <v>1093</v>
      </c>
      <c r="N334" s="139">
        <v>45709</v>
      </c>
      <c r="O334" s="100">
        <v>1</v>
      </c>
      <c r="P334" s="69">
        <v>0</v>
      </c>
      <c r="Q334" s="69">
        <f t="shared" si="4106"/>
        <v>1</v>
      </c>
      <c r="R334" s="69">
        <f t="shared" si="4107"/>
        <v>1</v>
      </c>
      <c r="S334" s="69">
        <f t="shared" si="4108"/>
        <v>0</v>
      </c>
      <c r="T334" s="69">
        <f t="shared" si="4109"/>
        <v>0</v>
      </c>
      <c r="U334" s="69">
        <f t="shared" si="4110"/>
        <v>1</v>
      </c>
      <c r="V334" s="70">
        <f t="shared" si="4111"/>
        <v>1</v>
      </c>
      <c r="W334" s="71">
        <f t="shared" si="4112"/>
        <v>1</v>
      </c>
      <c r="X334" s="71">
        <f t="shared" si="4113"/>
        <v>0</v>
      </c>
      <c r="Y334" s="71">
        <f t="shared" si="4114"/>
        <v>0</v>
      </c>
      <c r="Z334" s="71">
        <f t="shared" si="4115"/>
        <v>1</v>
      </c>
      <c r="AA334" s="71">
        <f t="shared" si="4116"/>
        <v>1</v>
      </c>
      <c r="AB334" s="71">
        <f t="shared" si="4117"/>
        <v>1</v>
      </c>
      <c r="AC334" s="71">
        <f t="shared" si="4118"/>
        <v>1</v>
      </c>
      <c r="AD334" s="71">
        <f t="shared" si="4119"/>
        <v>1</v>
      </c>
      <c r="AE334" s="71">
        <f t="shared" si="4120"/>
        <v>1</v>
      </c>
      <c r="AF334" s="71">
        <f t="shared" si="4121"/>
        <v>0</v>
      </c>
      <c r="AG334" s="71">
        <f t="shared" si="4122"/>
        <v>1</v>
      </c>
      <c r="AH334" s="71">
        <f t="shared" si="4123"/>
        <v>1</v>
      </c>
      <c r="AI334" s="71">
        <f t="shared" si="4124"/>
        <v>1</v>
      </c>
      <c r="AJ334" s="71">
        <f t="shared" si="4125"/>
        <v>0</v>
      </c>
      <c r="AK334" s="71">
        <f t="shared" si="4126"/>
        <v>0</v>
      </c>
      <c r="AL334" s="71">
        <f t="shared" si="4127"/>
        <v>0</v>
      </c>
      <c r="AM334" s="71">
        <f t="shared" si="4128"/>
        <v>0</v>
      </c>
      <c r="AN334" s="71">
        <f t="shared" si="4129"/>
        <v>0</v>
      </c>
      <c r="AO334" s="71">
        <f t="shared" si="4130"/>
        <v>0</v>
      </c>
      <c r="AP334" s="71">
        <f t="shared" si="4131"/>
        <v>0</v>
      </c>
      <c r="AQ334" s="71">
        <f t="shared" si="4132"/>
        <v>0</v>
      </c>
      <c r="AR334" s="71">
        <f t="shared" si="4133"/>
        <v>0</v>
      </c>
      <c r="AS334" s="71">
        <f t="shared" si="4134"/>
        <v>0</v>
      </c>
      <c r="AT334" s="71">
        <f t="shared" si="4135"/>
        <v>0</v>
      </c>
      <c r="AU334" s="71">
        <f t="shared" si="4136"/>
        <v>0</v>
      </c>
      <c r="AV334" s="71">
        <f t="shared" si="4137"/>
        <v>0</v>
      </c>
      <c r="AW334" s="71">
        <f t="shared" si="4138"/>
        <v>0</v>
      </c>
      <c r="AX334" s="71">
        <f t="shared" si="4139"/>
        <v>0</v>
      </c>
      <c r="AY334" s="71">
        <f t="shared" si="4140"/>
        <v>0</v>
      </c>
      <c r="AZ334" s="72">
        <f t="shared" si="4141"/>
        <v>0</v>
      </c>
      <c r="BA334" s="70">
        <f t="shared" si="4030"/>
        <v>11</v>
      </c>
      <c r="BB334" s="69">
        <f t="shared" ca="1" si="4031"/>
        <v>0.84615384615384615</v>
      </c>
      <c r="BC334" s="70">
        <f t="shared" si="4142"/>
        <v>0</v>
      </c>
      <c r="BD334" s="71">
        <f t="shared" si="4143"/>
        <v>0</v>
      </c>
      <c r="BE334" s="71">
        <f t="shared" si="4144"/>
        <v>0</v>
      </c>
      <c r="BF334" s="71">
        <f t="shared" si="4145"/>
        <v>0</v>
      </c>
      <c r="BG334" s="71">
        <f t="shared" si="4146"/>
        <v>0</v>
      </c>
      <c r="BH334" s="71">
        <f t="shared" si="4147"/>
        <v>0</v>
      </c>
      <c r="BI334" s="71">
        <f t="shared" si="4148"/>
        <v>0</v>
      </c>
      <c r="BJ334" s="71">
        <f t="shared" si="4149"/>
        <v>0</v>
      </c>
      <c r="BK334" s="71">
        <f t="shared" si="4150"/>
        <v>0</v>
      </c>
      <c r="BL334" s="71">
        <f t="shared" si="4151"/>
        <v>0</v>
      </c>
      <c r="BM334" s="71">
        <f t="shared" si="4152"/>
        <v>0</v>
      </c>
      <c r="BN334" s="71">
        <f t="shared" si="4153"/>
        <v>0</v>
      </c>
      <c r="BO334" s="71">
        <f t="shared" si="4154"/>
        <v>0</v>
      </c>
      <c r="BP334" s="71">
        <f t="shared" si="4155"/>
        <v>0</v>
      </c>
      <c r="BQ334" s="71">
        <f t="shared" si="4156"/>
        <v>0</v>
      </c>
      <c r="BR334" s="71">
        <f t="shared" si="4157"/>
        <v>0</v>
      </c>
      <c r="BS334" s="71">
        <f t="shared" si="4158"/>
        <v>0</v>
      </c>
      <c r="BT334" s="71">
        <f t="shared" si="4159"/>
        <v>0</v>
      </c>
      <c r="BU334" s="71">
        <f t="shared" si="4160"/>
        <v>0</v>
      </c>
      <c r="BV334" s="71">
        <f t="shared" si="4161"/>
        <v>0</v>
      </c>
      <c r="BW334" s="71">
        <f t="shared" si="4162"/>
        <v>0</v>
      </c>
      <c r="BX334" s="71">
        <f t="shared" si="4163"/>
        <v>0</v>
      </c>
      <c r="BY334" s="71">
        <f t="shared" si="4164"/>
        <v>0</v>
      </c>
      <c r="BZ334" s="71">
        <f t="shared" si="4165"/>
        <v>0</v>
      </c>
      <c r="CA334" s="71">
        <f t="shared" si="4166"/>
        <v>0</v>
      </c>
      <c r="CB334" s="71">
        <f t="shared" si="4167"/>
        <v>0</v>
      </c>
      <c r="CC334" s="71">
        <f t="shared" si="4168"/>
        <v>0</v>
      </c>
      <c r="CD334" s="71">
        <f t="shared" si="4169"/>
        <v>0</v>
      </c>
      <c r="CE334" s="71">
        <f t="shared" si="4170"/>
        <v>0</v>
      </c>
      <c r="CF334" s="71">
        <f t="shared" si="4171"/>
        <v>0</v>
      </c>
      <c r="CG334" s="71">
        <f t="shared" si="4172"/>
        <v>0</v>
      </c>
      <c r="CH334" s="70">
        <f t="shared" si="4032"/>
        <v>0</v>
      </c>
      <c r="CI334" s="69">
        <f t="shared" ca="1" si="4033"/>
        <v>0</v>
      </c>
      <c r="GM334" s="2" t="s">
        <v>16</v>
      </c>
      <c r="GN334" s="101" t="str">
        <f t="shared" si="4029"/>
        <v>ABT01-FMCG02-SPO-01</v>
      </c>
      <c r="GO334" s="4">
        <v>1</v>
      </c>
      <c r="GP334" s="3">
        <v>1</v>
      </c>
      <c r="GQ334" s="3">
        <v>0</v>
      </c>
      <c r="GR334" s="3">
        <v>0</v>
      </c>
      <c r="GS334" s="3">
        <v>1</v>
      </c>
      <c r="GT334" s="3">
        <v>1</v>
      </c>
      <c r="GU334" s="3">
        <v>1</v>
      </c>
      <c r="GV334" s="3">
        <v>1</v>
      </c>
      <c r="GW334" s="3">
        <v>1</v>
      </c>
      <c r="GX334" s="3">
        <v>1</v>
      </c>
      <c r="GY334" s="3">
        <v>0</v>
      </c>
      <c r="GZ334" s="3">
        <v>1</v>
      </c>
      <c r="HA334" s="3">
        <v>1</v>
      </c>
      <c r="HB334" s="3">
        <v>1</v>
      </c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6"/>
      <c r="HT334" s="4">
        <v>0</v>
      </c>
      <c r="HU334" s="3">
        <v>0</v>
      </c>
      <c r="HV334" s="3">
        <v>0</v>
      </c>
      <c r="HW334" s="3">
        <v>0</v>
      </c>
      <c r="HX334" s="3">
        <v>0</v>
      </c>
      <c r="HY334" s="3">
        <v>0</v>
      </c>
      <c r="HZ334" s="3">
        <v>0</v>
      </c>
      <c r="IA334" s="3">
        <v>0</v>
      </c>
      <c r="IB334" s="3">
        <v>0</v>
      </c>
      <c r="IC334" s="3">
        <v>0</v>
      </c>
      <c r="ID334" s="3">
        <v>0</v>
      </c>
      <c r="IE334" s="3">
        <v>0</v>
      </c>
      <c r="IF334" s="3">
        <v>0</v>
      </c>
      <c r="IG334" s="3">
        <v>0</v>
      </c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6"/>
    </row>
    <row r="335" spans="1:258" hidden="1">
      <c r="A335" s="97" t="s">
        <v>25</v>
      </c>
      <c r="B335" s="98" t="s">
        <v>90</v>
      </c>
      <c r="C335" s="98" t="s">
        <v>772</v>
      </c>
      <c r="D335" s="99" t="s">
        <v>1266</v>
      </c>
      <c r="E335" s="98" t="s">
        <v>973</v>
      </c>
      <c r="F335" s="98" t="s">
        <v>1081</v>
      </c>
      <c r="G335" s="98" t="s">
        <v>778</v>
      </c>
      <c r="H335" s="98" t="s">
        <v>1627</v>
      </c>
      <c r="I335" s="98" t="s">
        <v>1627</v>
      </c>
      <c r="J335" s="98" t="s">
        <v>903</v>
      </c>
      <c r="K335" s="98" t="s">
        <v>1127</v>
      </c>
      <c r="L335" s="98" t="s">
        <v>779</v>
      </c>
      <c r="M335" s="101" t="s">
        <v>1093</v>
      </c>
      <c r="N335" s="139">
        <v>43906</v>
      </c>
      <c r="O335" s="100">
        <v>1</v>
      </c>
      <c r="P335" s="69">
        <v>0</v>
      </c>
      <c r="Q335" s="69">
        <f t="shared" si="4106"/>
        <v>1</v>
      </c>
      <c r="R335" s="69">
        <f t="shared" si="4107"/>
        <v>1</v>
      </c>
      <c r="S335" s="69">
        <f t="shared" si="4108"/>
        <v>0</v>
      </c>
      <c r="T335" s="69">
        <f t="shared" si="4109"/>
        <v>1</v>
      </c>
      <c r="U335" s="69">
        <f t="shared" si="4110"/>
        <v>1</v>
      </c>
      <c r="V335" s="70">
        <f t="shared" si="4111"/>
        <v>1</v>
      </c>
      <c r="W335" s="71">
        <f t="shared" si="4112"/>
        <v>1</v>
      </c>
      <c r="X335" s="71">
        <f t="shared" si="4113"/>
        <v>1</v>
      </c>
      <c r="Y335" s="71">
        <f t="shared" si="4114"/>
        <v>0</v>
      </c>
      <c r="Z335" s="71">
        <f t="shared" si="4115"/>
        <v>1</v>
      </c>
      <c r="AA335" s="71">
        <f t="shared" si="4116"/>
        <v>1</v>
      </c>
      <c r="AB335" s="71">
        <f t="shared" si="4117"/>
        <v>1</v>
      </c>
      <c r="AC335" s="71">
        <f t="shared" si="4118"/>
        <v>1</v>
      </c>
      <c r="AD335" s="71">
        <f t="shared" si="4119"/>
        <v>1</v>
      </c>
      <c r="AE335" s="71">
        <f t="shared" si="4120"/>
        <v>1</v>
      </c>
      <c r="AF335" s="71">
        <f t="shared" si="4121"/>
        <v>0</v>
      </c>
      <c r="AG335" s="71">
        <f t="shared" si="4122"/>
        <v>1</v>
      </c>
      <c r="AH335" s="71">
        <f t="shared" si="4123"/>
        <v>1</v>
      </c>
      <c r="AI335" s="71">
        <f t="shared" si="4124"/>
        <v>1</v>
      </c>
      <c r="AJ335" s="71">
        <f t="shared" si="4125"/>
        <v>0</v>
      </c>
      <c r="AK335" s="71">
        <f t="shared" si="4126"/>
        <v>0</v>
      </c>
      <c r="AL335" s="71">
        <f t="shared" si="4127"/>
        <v>0</v>
      </c>
      <c r="AM335" s="71">
        <f t="shared" si="4128"/>
        <v>0</v>
      </c>
      <c r="AN335" s="71">
        <f t="shared" si="4129"/>
        <v>0</v>
      </c>
      <c r="AO335" s="71">
        <f t="shared" si="4130"/>
        <v>0</v>
      </c>
      <c r="AP335" s="71">
        <f t="shared" si="4131"/>
        <v>0</v>
      </c>
      <c r="AQ335" s="71">
        <f t="shared" si="4132"/>
        <v>0</v>
      </c>
      <c r="AR335" s="71">
        <f t="shared" si="4133"/>
        <v>0</v>
      </c>
      <c r="AS335" s="71">
        <f t="shared" si="4134"/>
        <v>0</v>
      </c>
      <c r="AT335" s="71">
        <f t="shared" si="4135"/>
        <v>0</v>
      </c>
      <c r="AU335" s="71">
        <f t="shared" si="4136"/>
        <v>0</v>
      </c>
      <c r="AV335" s="71">
        <f t="shared" si="4137"/>
        <v>0</v>
      </c>
      <c r="AW335" s="71">
        <f t="shared" si="4138"/>
        <v>0</v>
      </c>
      <c r="AX335" s="71">
        <f t="shared" si="4139"/>
        <v>0</v>
      </c>
      <c r="AY335" s="71">
        <f t="shared" si="4140"/>
        <v>0</v>
      </c>
      <c r="AZ335" s="72">
        <f t="shared" si="4141"/>
        <v>0</v>
      </c>
      <c r="BA335" s="70">
        <f t="shared" si="4030"/>
        <v>12</v>
      </c>
      <c r="BB335" s="69">
        <f t="shared" ca="1" si="4031"/>
        <v>0.92307692307692313</v>
      </c>
      <c r="BC335" s="70">
        <f t="shared" si="4142"/>
        <v>41</v>
      </c>
      <c r="BD335" s="71">
        <f t="shared" si="4143"/>
        <v>0</v>
      </c>
      <c r="BE335" s="71">
        <f t="shared" si="4144"/>
        <v>45</v>
      </c>
      <c r="BF335" s="71">
        <f t="shared" si="4145"/>
        <v>0</v>
      </c>
      <c r="BG335" s="71">
        <f t="shared" si="4146"/>
        <v>44</v>
      </c>
      <c r="BH335" s="71">
        <f t="shared" si="4147"/>
        <v>46</v>
      </c>
      <c r="BI335" s="71">
        <f t="shared" si="4148"/>
        <v>43</v>
      </c>
      <c r="BJ335" s="71">
        <f t="shared" si="4149"/>
        <v>45</v>
      </c>
      <c r="BK335" s="71">
        <f t="shared" si="4150"/>
        <v>41</v>
      </c>
      <c r="BL335" s="71">
        <f t="shared" si="4151"/>
        <v>43</v>
      </c>
      <c r="BM335" s="71">
        <f t="shared" si="4152"/>
        <v>0</v>
      </c>
      <c r="BN335" s="71">
        <f t="shared" si="4153"/>
        <v>0</v>
      </c>
      <c r="BO335" s="71">
        <f t="shared" si="4154"/>
        <v>41</v>
      </c>
      <c r="BP335" s="71">
        <f t="shared" si="4155"/>
        <v>0</v>
      </c>
      <c r="BQ335" s="71">
        <f t="shared" si="4156"/>
        <v>0</v>
      </c>
      <c r="BR335" s="71">
        <f t="shared" si="4157"/>
        <v>0</v>
      </c>
      <c r="BS335" s="71">
        <f t="shared" si="4158"/>
        <v>0</v>
      </c>
      <c r="BT335" s="71">
        <f t="shared" si="4159"/>
        <v>0</v>
      </c>
      <c r="BU335" s="71">
        <f t="shared" si="4160"/>
        <v>0</v>
      </c>
      <c r="BV335" s="71">
        <f t="shared" si="4161"/>
        <v>0</v>
      </c>
      <c r="BW335" s="71">
        <f t="shared" si="4162"/>
        <v>0</v>
      </c>
      <c r="BX335" s="71">
        <f t="shared" si="4163"/>
        <v>0</v>
      </c>
      <c r="BY335" s="71">
        <f t="shared" si="4164"/>
        <v>0</v>
      </c>
      <c r="BZ335" s="71">
        <f t="shared" si="4165"/>
        <v>0</v>
      </c>
      <c r="CA335" s="71">
        <f t="shared" si="4166"/>
        <v>0</v>
      </c>
      <c r="CB335" s="71">
        <f t="shared" si="4167"/>
        <v>0</v>
      </c>
      <c r="CC335" s="71">
        <f t="shared" si="4168"/>
        <v>0</v>
      </c>
      <c r="CD335" s="71">
        <f t="shared" si="4169"/>
        <v>0</v>
      </c>
      <c r="CE335" s="71">
        <f t="shared" si="4170"/>
        <v>0</v>
      </c>
      <c r="CF335" s="71">
        <f t="shared" si="4171"/>
        <v>0</v>
      </c>
      <c r="CG335" s="71">
        <f t="shared" si="4172"/>
        <v>0</v>
      </c>
      <c r="CH335" s="70">
        <f t="shared" si="4032"/>
        <v>389</v>
      </c>
      <c r="CI335" s="69">
        <f t="shared" ca="1" si="4033"/>
        <v>29.923076923076923</v>
      </c>
      <c r="GM335" s="2" t="s">
        <v>16</v>
      </c>
      <c r="GN335" s="98" t="str">
        <f t="shared" si="4029"/>
        <v>ABT01-FMCG-SPO-01</v>
      </c>
      <c r="GO335" s="4">
        <v>1</v>
      </c>
      <c r="GP335" s="3">
        <v>1</v>
      </c>
      <c r="GQ335" s="3">
        <v>1</v>
      </c>
      <c r="GR335" s="3">
        <v>0</v>
      </c>
      <c r="GS335" s="3">
        <v>1</v>
      </c>
      <c r="GT335" s="3">
        <v>1</v>
      </c>
      <c r="GU335" s="3">
        <v>1</v>
      </c>
      <c r="GV335" s="3">
        <v>1</v>
      </c>
      <c r="GW335" s="3">
        <v>1</v>
      </c>
      <c r="GX335" s="3">
        <v>1</v>
      </c>
      <c r="GY335" s="3">
        <v>0</v>
      </c>
      <c r="GZ335" s="3">
        <v>1</v>
      </c>
      <c r="HA335" s="3">
        <v>1</v>
      </c>
      <c r="HB335" s="3">
        <v>1</v>
      </c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6"/>
      <c r="HT335" s="4">
        <v>41</v>
      </c>
      <c r="HU335" s="3">
        <v>0</v>
      </c>
      <c r="HV335" s="3">
        <v>45</v>
      </c>
      <c r="HW335" s="3">
        <v>0</v>
      </c>
      <c r="HX335" s="3">
        <v>44</v>
      </c>
      <c r="HY335" s="3">
        <v>46</v>
      </c>
      <c r="HZ335" s="3">
        <v>43</v>
      </c>
      <c r="IA335" s="3">
        <v>45</v>
      </c>
      <c r="IB335" s="3">
        <v>41</v>
      </c>
      <c r="IC335" s="3">
        <v>43</v>
      </c>
      <c r="ID335" s="3">
        <v>0</v>
      </c>
      <c r="IE335" s="3">
        <v>0</v>
      </c>
      <c r="IF335" s="3">
        <v>41</v>
      </c>
      <c r="IG335" s="3">
        <v>0</v>
      </c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6"/>
    </row>
    <row r="336" spans="1:258" hidden="1">
      <c r="A336" s="97" t="s">
        <v>25</v>
      </c>
      <c r="B336" s="98" t="s">
        <v>90</v>
      </c>
      <c r="C336" s="98" t="s">
        <v>772</v>
      </c>
      <c r="D336" s="99" t="s">
        <v>1266</v>
      </c>
      <c r="E336" s="98" t="s">
        <v>970</v>
      </c>
      <c r="F336" s="98" t="s">
        <v>1079</v>
      </c>
      <c r="G336" s="98" t="s">
        <v>774</v>
      </c>
      <c r="H336" s="98" t="s">
        <v>1628</v>
      </c>
      <c r="I336" s="98" t="s">
        <v>1628</v>
      </c>
      <c r="J336" s="98" t="s">
        <v>900</v>
      </c>
      <c r="K336" s="98" t="s">
        <v>1127</v>
      </c>
      <c r="L336" s="98" t="s">
        <v>775</v>
      </c>
      <c r="M336" s="101" t="s">
        <v>1093</v>
      </c>
      <c r="N336" s="139">
        <v>45965</v>
      </c>
      <c r="O336" s="100">
        <v>1</v>
      </c>
      <c r="P336" s="69">
        <v>0</v>
      </c>
      <c r="Q336" s="69">
        <f t="shared" si="4106"/>
        <v>1</v>
      </c>
      <c r="R336" s="69">
        <f t="shared" si="4107"/>
        <v>1</v>
      </c>
      <c r="S336" s="69">
        <f t="shared" si="4108"/>
        <v>0</v>
      </c>
      <c r="T336" s="69">
        <f t="shared" si="4109"/>
        <v>1</v>
      </c>
      <c r="U336" s="69">
        <f t="shared" si="4110"/>
        <v>1</v>
      </c>
      <c r="V336" s="70">
        <f t="shared" si="4111"/>
        <v>1</v>
      </c>
      <c r="W336" s="71">
        <f t="shared" si="4112"/>
        <v>1</v>
      </c>
      <c r="X336" s="71">
        <f t="shared" si="4113"/>
        <v>1</v>
      </c>
      <c r="Y336" s="71">
        <f t="shared" si="4114"/>
        <v>0</v>
      </c>
      <c r="Z336" s="71">
        <f t="shared" si="4115"/>
        <v>1</v>
      </c>
      <c r="AA336" s="71">
        <f t="shared" si="4116"/>
        <v>1</v>
      </c>
      <c r="AB336" s="71">
        <f t="shared" si="4117"/>
        <v>1</v>
      </c>
      <c r="AC336" s="71">
        <f t="shared" si="4118"/>
        <v>1</v>
      </c>
      <c r="AD336" s="71">
        <f t="shared" si="4119"/>
        <v>1</v>
      </c>
      <c r="AE336" s="71">
        <f t="shared" si="4120"/>
        <v>1</v>
      </c>
      <c r="AF336" s="71">
        <f t="shared" si="4121"/>
        <v>0</v>
      </c>
      <c r="AG336" s="71">
        <f t="shared" si="4122"/>
        <v>1</v>
      </c>
      <c r="AH336" s="71">
        <f t="shared" si="4123"/>
        <v>1</v>
      </c>
      <c r="AI336" s="71">
        <f t="shared" si="4124"/>
        <v>1</v>
      </c>
      <c r="AJ336" s="71">
        <f t="shared" si="4125"/>
        <v>0</v>
      </c>
      <c r="AK336" s="71">
        <f t="shared" si="4126"/>
        <v>0</v>
      </c>
      <c r="AL336" s="71">
        <f t="shared" si="4127"/>
        <v>0</v>
      </c>
      <c r="AM336" s="71">
        <f t="shared" si="4128"/>
        <v>0</v>
      </c>
      <c r="AN336" s="71">
        <f t="shared" si="4129"/>
        <v>0</v>
      </c>
      <c r="AO336" s="71">
        <f t="shared" si="4130"/>
        <v>0</v>
      </c>
      <c r="AP336" s="71">
        <f t="shared" si="4131"/>
        <v>0</v>
      </c>
      <c r="AQ336" s="71">
        <f t="shared" si="4132"/>
        <v>0</v>
      </c>
      <c r="AR336" s="71">
        <f t="shared" si="4133"/>
        <v>0</v>
      </c>
      <c r="AS336" s="71">
        <f t="shared" si="4134"/>
        <v>0</v>
      </c>
      <c r="AT336" s="71">
        <f t="shared" si="4135"/>
        <v>0</v>
      </c>
      <c r="AU336" s="71">
        <f t="shared" si="4136"/>
        <v>0</v>
      </c>
      <c r="AV336" s="71">
        <f t="shared" si="4137"/>
        <v>0</v>
      </c>
      <c r="AW336" s="71">
        <f t="shared" si="4138"/>
        <v>0</v>
      </c>
      <c r="AX336" s="71">
        <f t="shared" si="4139"/>
        <v>0</v>
      </c>
      <c r="AY336" s="71">
        <f t="shared" si="4140"/>
        <v>0</v>
      </c>
      <c r="AZ336" s="72">
        <f t="shared" si="4141"/>
        <v>0</v>
      </c>
      <c r="BA336" s="70">
        <f t="shared" si="4030"/>
        <v>12</v>
      </c>
      <c r="BB336" s="69">
        <f t="shared" ca="1" si="4031"/>
        <v>0.92307692307692313</v>
      </c>
      <c r="BC336" s="70">
        <f t="shared" si="4142"/>
        <v>0</v>
      </c>
      <c r="BD336" s="71">
        <f t="shared" si="4143"/>
        <v>13</v>
      </c>
      <c r="BE336" s="71">
        <f t="shared" si="4144"/>
        <v>39</v>
      </c>
      <c r="BF336" s="71">
        <f t="shared" si="4145"/>
        <v>0</v>
      </c>
      <c r="BG336" s="71">
        <f t="shared" si="4146"/>
        <v>32</v>
      </c>
      <c r="BH336" s="71">
        <f t="shared" si="4147"/>
        <v>42</v>
      </c>
      <c r="BI336" s="71">
        <f t="shared" si="4148"/>
        <v>25</v>
      </c>
      <c r="BJ336" s="71">
        <f t="shared" si="4149"/>
        <v>44</v>
      </c>
      <c r="BK336" s="71">
        <f t="shared" si="4150"/>
        <v>47</v>
      </c>
      <c r="BL336" s="71">
        <f t="shared" si="4151"/>
        <v>43</v>
      </c>
      <c r="BM336" s="71">
        <f t="shared" si="4152"/>
        <v>0</v>
      </c>
      <c r="BN336" s="71">
        <f t="shared" si="4153"/>
        <v>52</v>
      </c>
      <c r="BO336" s="71">
        <f t="shared" si="4154"/>
        <v>0</v>
      </c>
      <c r="BP336" s="71">
        <f t="shared" si="4155"/>
        <v>0</v>
      </c>
      <c r="BQ336" s="71">
        <f t="shared" si="4156"/>
        <v>0</v>
      </c>
      <c r="BR336" s="71">
        <f t="shared" si="4157"/>
        <v>0</v>
      </c>
      <c r="BS336" s="71">
        <f t="shared" si="4158"/>
        <v>0</v>
      </c>
      <c r="BT336" s="71">
        <f t="shared" si="4159"/>
        <v>0</v>
      </c>
      <c r="BU336" s="71">
        <f t="shared" si="4160"/>
        <v>0</v>
      </c>
      <c r="BV336" s="71">
        <f t="shared" si="4161"/>
        <v>0</v>
      </c>
      <c r="BW336" s="71">
        <f t="shared" si="4162"/>
        <v>0</v>
      </c>
      <c r="BX336" s="71">
        <f t="shared" si="4163"/>
        <v>0</v>
      </c>
      <c r="BY336" s="71">
        <f t="shared" si="4164"/>
        <v>0</v>
      </c>
      <c r="BZ336" s="71">
        <f t="shared" si="4165"/>
        <v>0</v>
      </c>
      <c r="CA336" s="71">
        <f t="shared" si="4166"/>
        <v>0</v>
      </c>
      <c r="CB336" s="71">
        <f t="shared" si="4167"/>
        <v>0</v>
      </c>
      <c r="CC336" s="71">
        <f t="shared" si="4168"/>
        <v>0</v>
      </c>
      <c r="CD336" s="71">
        <f t="shared" si="4169"/>
        <v>0</v>
      </c>
      <c r="CE336" s="71">
        <f t="shared" si="4170"/>
        <v>0</v>
      </c>
      <c r="CF336" s="71">
        <f t="shared" si="4171"/>
        <v>0</v>
      </c>
      <c r="CG336" s="71">
        <f t="shared" si="4172"/>
        <v>0</v>
      </c>
      <c r="CH336" s="70">
        <f t="shared" si="4032"/>
        <v>337</v>
      </c>
      <c r="CI336" s="69">
        <f t="shared" ca="1" si="4033"/>
        <v>25.923076923076923</v>
      </c>
      <c r="GM336" s="2" t="s">
        <v>16</v>
      </c>
      <c r="GN336" s="98" t="str">
        <f t="shared" si="4029"/>
        <v>ABT01-FMCG03-SPO-01</v>
      </c>
      <c r="GO336" s="4">
        <v>1</v>
      </c>
      <c r="GP336" s="3">
        <v>1</v>
      </c>
      <c r="GQ336" s="3">
        <v>1</v>
      </c>
      <c r="GR336" s="3">
        <v>0</v>
      </c>
      <c r="GS336" s="3">
        <v>1</v>
      </c>
      <c r="GT336" s="3">
        <v>1</v>
      </c>
      <c r="GU336" s="3">
        <v>1</v>
      </c>
      <c r="GV336" s="3">
        <v>1</v>
      </c>
      <c r="GW336" s="3">
        <v>1</v>
      </c>
      <c r="GX336" s="3">
        <v>1</v>
      </c>
      <c r="GY336" s="3">
        <v>0</v>
      </c>
      <c r="GZ336" s="3">
        <v>1</v>
      </c>
      <c r="HA336" s="3">
        <v>1</v>
      </c>
      <c r="HB336" s="3">
        <v>1</v>
      </c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6"/>
      <c r="HT336" s="4">
        <v>0</v>
      </c>
      <c r="HU336" s="3">
        <v>13</v>
      </c>
      <c r="HV336" s="3">
        <v>39</v>
      </c>
      <c r="HW336" s="3">
        <v>0</v>
      </c>
      <c r="HX336" s="3">
        <v>32</v>
      </c>
      <c r="HY336" s="3">
        <v>42</v>
      </c>
      <c r="HZ336" s="3">
        <v>25</v>
      </c>
      <c r="IA336" s="3">
        <v>44</v>
      </c>
      <c r="IB336" s="3">
        <v>47</v>
      </c>
      <c r="IC336" s="3">
        <v>43</v>
      </c>
      <c r="ID336" s="3">
        <v>0</v>
      </c>
      <c r="IE336" s="3">
        <v>52</v>
      </c>
      <c r="IF336" s="3">
        <v>0</v>
      </c>
      <c r="IG336" s="3">
        <v>0</v>
      </c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6"/>
    </row>
    <row r="337" spans="1:258" hidden="1">
      <c r="A337" s="97" t="s">
        <v>1287</v>
      </c>
      <c r="B337" s="98" t="s">
        <v>20</v>
      </c>
      <c r="C337" s="98" t="s">
        <v>772</v>
      </c>
      <c r="D337" s="99" t="s">
        <v>1266</v>
      </c>
      <c r="E337" s="98" t="s">
        <v>1098</v>
      </c>
      <c r="F337" s="98" t="s">
        <v>902</v>
      </c>
      <c r="G337" s="98" t="s">
        <v>901</v>
      </c>
      <c r="H337" s="98" t="s">
        <v>1629</v>
      </c>
      <c r="I337" s="98" t="s">
        <v>1629</v>
      </c>
      <c r="J337" s="98" t="s">
        <v>859</v>
      </c>
      <c r="K337" s="98" t="s">
        <v>1099</v>
      </c>
      <c r="L337" s="98" t="s">
        <v>1099</v>
      </c>
      <c r="M337" s="101" t="s">
        <v>1099</v>
      </c>
      <c r="N337" s="108">
        <v>45474</v>
      </c>
      <c r="O337" s="100">
        <v>0</v>
      </c>
      <c r="P337" s="69">
        <v>0</v>
      </c>
      <c r="Q337" s="69">
        <f t="shared" si="4106"/>
        <v>0</v>
      </c>
      <c r="R337" s="69">
        <f t="shared" si="4107"/>
        <v>0</v>
      </c>
      <c r="S337" s="69">
        <f t="shared" si="4108"/>
        <v>0</v>
      </c>
      <c r="T337" s="69">
        <f t="shared" si="4109"/>
        <v>0</v>
      </c>
      <c r="U337" s="69">
        <f t="shared" si="4110"/>
        <v>0</v>
      </c>
      <c r="V337" s="70">
        <f t="shared" si="4111"/>
        <v>0</v>
      </c>
      <c r="W337" s="71">
        <f t="shared" si="4112"/>
        <v>0</v>
      </c>
      <c r="X337" s="71">
        <f t="shared" si="4113"/>
        <v>0</v>
      </c>
      <c r="Y337" s="71">
        <f t="shared" si="4114"/>
        <v>0</v>
      </c>
      <c r="Z337" s="71">
        <f t="shared" si="4115"/>
        <v>0</v>
      </c>
      <c r="AA337" s="71">
        <f t="shared" si="4116"/>
        <v>0</v>
      </c>
      <c r="AB337" s="71">
        <f t="shared" si="4117"/>
        <v>0</v>
      </c>
      <c r="AC337" s="71">
        <f t="shared" si="4118"/>
        <v>0</v>
      </c>
      <c r="AD337" s="71">
        <f t="shared" si="4119"/>
        <v>0</v>
      </c>
      <c r="AE337" s="71">
        <f t="shared" si="4120"/>
        <v>0</v>
      </c>
      <c r="AF337" s="71">
        <f t="shared" si="4121"/>
        <v>0</v>
      </c>
      <c r="AG337" s="71">
        <f t="shared" si="4122"/>
        <v>0</v>
      </c>
      <c r="AH337" s="71">
        <f t="shared" si="4123"/>
        <v>0</v>
      </c>
      <c r="AI337" s="71">
        <f t="shared" si="4124"/>
        <v>0</v>
      </c>
      <c r="AJ337" s="71">
        <f t="shared" si="4125"/>
        <v>0</v>
      </c>
      <c r="AK337" s="71">
        <f t="shared" si="4126"/>
        <v>0</v>
      </c>
      <c r="AL337" s="71">
        <f t="shared" si="4127"/>
        <v>0</v>
      </c>
      <c r="AM337" s="71">
        <f t="shared" si="4128"/>
        <v>0</v>
      </c>
      <c r="AN337" s="71">
        <f t="shared" si="4129"/>
        <v>0</v>
      </c>
      <c r="AO337" s="71">
        <f t="shared" si="4130"/>
        <v>0</v>
      </c>
      <c r="AP337" s="71">
        <f t="shared" si="4131"/>
        <v>0</v>
      </c>
      <c r="AQ337" s="71">
        <f t="shared" si="4132"/>
        <v>0</v>
      </c>
      <c r="AR337" s="71">
        <f t="shared" si="4133"/>
        <v>0</v>
      </c>
      <c r="AS337" s="71">
        <f t="shared" si="4134"/>
        <v>0</v>
      </c>
      <c r="AT337" s="71">
        <f t="shared" si="4135"/>
        <v>0</v>
      </c>
      <c r="AU337" s="71">
        <f t="shared" si="4136"/>
        <v>0</v>
      </c>
      <c r="AV337" s="71">
        <f t="shared" si="4137"/>
        <v>0</v>
      </c>
      <c r="AW337" s="71">
        <f t="shared" si="4138"/>
        <v>0</v>
      </c>
      <c r="AX337" s="71">
        <f t="shared" si="4139"/>
        <v>0</v>
      </c>
      <c r="AY337" s="71">
        <f t="shared" si="4140"/>
        <v>0</v>
      </c>
      <c r="AZ337" s="72">
        <f t="shared" si="4141"/>
        <v>0</v>
      </c>
      <c r="BA337" s="70">
        <f t="shared" si="4030"/>
        <v>0</v>
      </c>
      <c r="BB337" s="69">
        <f t="shared" ca="1" si="4031"/>
        <v>0</v>
      </c>
      <c r="BC337" s="70">
        <f t="shared" si="4142"/>
        <v>0</v>
      </c>
      <c r="BD337" s="71">
        <f t="shared" si="4143"/>
        <v>0</v>
      </c>
      <c r="BE337" s="71">
        <f t="shared" si="4144"/>
        <v>0</v>
      </c>
      <c r="BF337" s="71">
        <f t="shared" si="4145"/>
        <v>0</v>
      </c>
      <c r="BG337" s="71">
        <f t="shared" si="4146"/>
        <v>0</v>
      </c>
      <c r="BH337" s="71">
        <f t="shared" si="4147"/>
        <v>0</v>
      </c>
      <c r="BI337" s="71">
        <f t="shared" si="4148"/>
        <v>0</v>
      </c>
      <c r="BJ337" s="71">
        <f t="shared" si="4149"/>
        <v>0</v>
      </c>
      <c r="BK337" s="71">
        <f t="shared" si="4150"/>
        <v>0</v>
      </c>
      <c r="BL337" s="71">
        <f t="shared" si="4151"/>
        <v>0</v>
      </c>
      <c r="BM337" s="71">
        <f t="shared" si="4152"/>
        <v>0</v>
      </c>
      <c r="BN337" s="71">
        <f t="shared" si="4153"/>
        <v>0</v>
      </c>
      <c r="BO337" s="71">
        <f t="shared" si="4154"/>
        <v>0</v>
      </c>
      <c r="BP337" s="71">
        <f t="shared" si="4155"/>
        <v>0</v>
      </c>
      <c r="BQ337" s="71">
        <f t="shared" si="4156"/>
        <v>0</v>
      </c>
      <c r="BR337" s="71">
        <f t="shared" si="4157"/>
        <v>0</v>
      </c>
      <c r="BS337" s="71">
        <f t="shared" si="4158"/>
        <v>0</v>
      </c>
      <c r="BT337" s="71">
        <f t="shared" si="4159"/>
        <v>0</v>
      </c>
      <c r="BU337" s="71">
        <f t="shared" si="4160"/>
        <v>0</v>
      </c>
      <c r="BV337" s="71">
        <f t="shared" si="4161"/>
        <v>0</v>
      </c>
      <c r="BW337" s="71">
        <f t="shared" si="4162"/>
        <v>0</v>
      </c>
      <c r="BX337" s="71">
        <f t="shared" si="4163"/>
        <v>0</v>
      </c>
      <c r="BY337" s="71">
        <f t="shared" si="4164"/>
        <v>0</v>
      </c>
      <c r="BZ337" s="71">
        <f t="shared" si="4165"/>
        <v>0</v>
      </c>
      <c r="CA337" s="71">
        <f t="shared" si="4166"/>
        <v>0</v>
      </c>
      <c r="CB337" s="71">
        <f t="shared" si="4167"/>
        <v>0</v>
      </c>
      <c r="CC337" s="71">
        <f t="shared" si="4168"/>
        <v>0</v>
      </c>
      <c r="CD337" s="71">
        <f t="shared" si="4169"/>
        <v>0</v>
      </c>
      <c r="CE337" s="71">
        <f t="shared" si="4170"/>
        <v>0</v>
      </c>
      <c r="CF337" s="71">
        <f t="shared" si="4171"/>
        <v>0</v>
      </c>
      <c r="CG337" s="71">
        <f t="shared" si="4172"/>
        <v>0</v>
      </c>
      <c r="CH337" s="70">
        <f t="shared" si="4032"/>
        <v>0</v>
      </c>
      <c r="CI337" s="69">
        <f t="shared" ca="1" si="4033"/>
        <v>0</v>
      </c>
      <c r="GM337" s="2" t="s">
        <v>16</v>
      </c>
      <c r="GN337" s="98" t="str">
        <f t="shared" si="4029"/>
        <v>ABT01-FMCG-SPO-00</v>
      </c>
      <c r="GO337" s="4">
        <v>0</v>
      </c>
      <c r="GP337" s="3">
        <v>0</v>
      </c>
      <c r="GQ337" s="3">
        <v>0</v>
      </c>
      <c r="GR337" s="3">
        <v>0</v>
      </c>
      <c r="GS337" s="3">
        <v>0</v>
      </c>
      <c r="GT337" s="3">
        <v>0</v>
      </c>
      <c r="GU337" s="3">
        <v>0</v>
      </c>
      <c r="GV337" s="3">
        <v>0</v>
      </c>
      <c r="GW337" s="3">
        <v>0</v>
      </c>
      <c r="GX337" s="3">
        <v>0</v>
      </c>
      <c r="GY337" s="3">
        <v>0</v>
      </c>
      <c r="GZ337" s="3">
        <v>0</v>
      </c>
      <c r="HA337" s="3">
        <v>0</v>
      </c>
      <c r="HB337" s="3">
        <v>0</v>
      </c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6"/>
      <c r="HT337" s="4">
        <v>0</v>
      </c>
      <c r="HU337" s="3">
        <v>0</v>
      </c>
      <c r="HV337" s="3">
        <v>0</v>
      </c>
      <c r="HW337" s="3">
        <v>0</v>
      </c>
      <c r="HX337" s="3">
        <v>0</v>
      </c>
      <c r="HY337" s="3">
        <v>0</v>
      </c>
      <c r="HZ337" s="3">
        <v>0</v>
      </c>
      <c r="IA337" s="3">
        <v>0</v>
      </c>
      <c r="IB337" s="3">
        <v>0</v>
      </c>
      <c r="IC337" s="3">
        <v>0</v>
      </c>
      <c r="ID337" s="3">
        <v>0</v>
      </c>
      <c r="IE337" s="3">
        <v>0</v>
      </c>
      <c r="IF337" s="3">
        <v>0</v>
      </c>
      <c r="IG337" s="3">
        <v>0</v>
      </c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6"/>
    </row>
    <row r="338" spans="1:258" hidden="1">
      <c r="A338" s="97" t="s">
        <v>1380</v>
      </c>
      <c r="B338" s="98" t="s">
        <v>20</v>
      </c>
      <c r="C338" s="98" t="s">
        <v>772</v>
      </c>
      <c r="D338" s="99" t="s">
        <v>1266</v>
      </c>
      <c r="E338" s="98" t="s">
        <v>780</v>
      </c>
      <c r="F338" s="98" t="s">
        <v>781</v>
      </c>
      <c r="G338" s="98" t="s">
        <v>782</v>
      </c>
      <c r="H338" s="98" t="s">
        <v>1268</v>
      </c>
      <c r="I338" s="98" t="s">
        <v>1268</v>
      </c>
      <c r="J338" s="98" t="s">
        <v>859</v>
      </c>
      <c r="K338" s="98" t="s">
        <v>1127</v>
      </c>
      <c r="L338" s="98" t="s">
        <v>665</v>
      </c>
      <c r="M338" s="101" t="s">
        <v>52</v>
      </c>
      <c r="N338" s="108">
        <v>45231</v>
      </c>
      <c r="O338" s="100">
        <v>0</v>
      </c>
      <c r="P338" s="69">
        <v>0</v>
      </c>
      <c r="Q338" s="69">
        <f t="shared" si="4106"/>
        <v>0</v>
      </c>
      <c r="R338" s="69">
        <f t="shared" si="4107"/>
        <v>0</v>
      </c>
      <c r="S338" s="69">
        <f t="shared" si="4108"/>
        <v>0</v>
      </c>
      <c r="T338" s="69">
        <f t="shared" si="4109"/>
        <v>0</v>
      </c>
      <c r="U338" s="69">
        <f t="shared" si="4110"/>
        <v>0</v>
      </c>
      <c r="V338" s="70">
        <f t="shared" si="4111"/>
        <v>0</v>
      </c>
      <c r="W338" s="71">
        <f t="shared" si="4112"/>
        <v>0</v>
      </c>
      <c r="X338" s="71">
        <f t="shared" si="4113"/>
        <v>0</v>
      </c>
      <c r="Y338" s="71">
        <f t="shared" si="4114"/>
        <v>0</v>
      </c>
      <c r="Z338" s="71">
        <f t="shared" si="4115"/>
        <v>0</v>
      </c>
      <c r="AA338" s="71">
        <f t="shared" si="4116"/>
        <v>0</v>
      </c>
      <c r="AB338" s="71">
        <f t="shared" si="4117"/>
        <v>0</v>
      </c>
      <c r="AC338" s="71">
        <f t="shared" si="4118"/>
        <v>0</v>
      </c>
      <c r="AD338" s="71">
        <f t="shared" si="4119"/>
        <v>0</v>
      </c>
      <c r="AE338" s="71">
        <f t="shared" si="4120"/>
        <v>0</v>
      </c>
      <c r="AF338" s="71">
        <f t="shared" si="4121"/>
        <v>0</v>
      </c>
      <c r="AG338" s="71">
        <f t="shared" si="4122"/>
        <v>0</v>
      </c>
      <c r="AH338" s="71">
        <f t="shared" si="4123"/>
        <v>0</v>
      </c>
      <c r="AI338" s="71">
        <f t="shared" si="4124"/>
        <v>0</v>
      </c>
      <c r="AJ338" s="71">
        <f t="shared" si="4125"/>
        <v>0</v>
      </c>
      <c r="AK338" s="71">
        <f t="shared" si="4126"/>
        <v>0</v>
      </c>
      <c r="AL338" s="71">
        <f t="shared" si="4127"/>
        <v>0</v>
      </c>
      <c r="AM338" s="71">
        <f t="shared" si="4128"/>
        <v>0</v>
      </c>
      <c r="AN338" s="71">
        <f t="shared" si="4129"/>
        <v>0</v>
      </c>
      <c r="AO338" s="71">
        <f t="shared" si="4130"/>
        <v>0</v>
      </c>
      <c r="AP338" s="71">
        <f t="shared" si="4131"/>
        <v>0</v>
      </c>
      <c r="AQ338" s="71">
        <f t="shared" si="4132"/>
        <v>0</v>
      </c>
      <c r="AR338" s="71">
        <f t="shared" si="4133"/>
        <v>0</v>
      </c>
      <c r="AS338" s="71">
        <f t="shared" si="4134"/>
        <v>0</v>
      </c>
      <c r="AT338" s="71">
        <f t="shared" si="4135"/>
        <v>0</v>
      </c>
      <c r="AU338" s="71">
        <f t="shared" si="4136"/>
        <v>0</v>
      </c>
      <c r="AV338" s="71">
        <f t="shared" si="4137"/>
        <v>0</v>
      </c>
      <c r="AW338" s="71">
        <f t="shared" si="4138"/>
        <v>0</v>
      </c>
      <c r="AX338" s="71">
        <f t="shared" si="4139"/>
        <v>0</v>
      </c>
      <c r="AY338" s="71">
        <f t="shared" si="4140"/>
        <v>0</v>
      </c>
      <c r="AZ338" s="72">
        <f t="shared" si="4141"/>
        <v>0</v>
      </c>
      <c r="BA338" s="70">
        <f t="shared" si="4030"/>
        <v>0</v>
      </c>
      <c r="BB338" s="69">
        <f t="shared" ca="1" si="4031"/>
        <v>0</v>
      </c>
      <c r="BC338" s="70">
        <f t="shared" si="4142"/>
        <v>0</v>
      </c>
      <c r="BD338" s="71">
        <f t="shared" si="4143"/>
        <v>0</v>
      </c>
      <c r="BE338" s="71">
        <f t="shared" si="4144"/>
        <v>0</v>
      </c>
      <c r="BF338" s="71">
        <f t="shared" si="4145"/>
        <v>0</v>
      </c>
      <c r="BG338" s="71">
        <f t="shared" si="4146"/>
        <v>0</v>
      </c>
      <c r="BH338" s="71">
        <f t="shared" si="4147"/>
        <v>0</v>
      </c>
      <c r="BI338" s="71">
        <f t="shared" si="4148"/>
        <v>0</v>
      </c>
      <c r="BJ338" s="71">
        <f t="shared" si="4149"/>
        <v>0</v>
      </c>
      <c r="BK338" s="71">
        <f t="shared" si="4150"/>
        <v>0</v>
      </c>
      <c r="BL338" s="71">
        <f t="shared" si="4151"/>
        <v>0</v>
      </c>
      <c r="BM338" s="71">
        <f t="shared" si="4152"/>
        <v>0</v>
      </c>
      <c r="BN338" s="71">
        <f t="shared" si="4153"/>
        <v>0</v>
      </c>
      <c r="BO338" s="71">
        <f t="shared" si="4154"/>
        <v>0</v>
      </c>
      <c r="BP338" s="71">
        <f t="shared" si="4155"/>
        <v>0</v>
      </c>
      <c r="BQ338" s="71">
        <f t="shared" si="4156"/>
        <v>0</v>
      </c>
      <c r="BR338" s="71">
        <f t="shared" si="4157"/>
        <v>0</v>
      </c>
      <c r="BS338" s="71">
        <f t="shared" si="4158"/>
        <v>0</v>
      </c>
      <c r="BT338" s="71">
        <f t="shared" si="4159"/>
        <v>0</v>
      </c>
      <c r="BU338" s="71">
        <f t="shared" si="4160"/>
        <v>0</v>
      </c>
      <c r="BV338" s="71">
        <f t="shared" si="4161"/>
        <v>0</v>
      </c>
      <c r="BW338" s="71">
        <f t="shared" si="4162"/>
        <v>0</v>
      </c>
      <c r="BX338" s="71">
        <f t="shared" si="4163"/>
        <v>0</v>
      </c>
      <c r="BY338" s="71">
        <f t="shared" si="4164"/>
        <v>0</v>
      </c>
      <c r="BZ338" s="71">
        <f t="shared" si="4165"/>
        <v>0</v>
      </c>
      <c r="CA338" s="71">
        <f t="shared" si="4166"/>
        <v>0</v>
      </c>
      <c r="CB338" s="71">
        <f t="shared" si="4167"/>
        <v>0</v>
      </c>
      <c r="CC338" s="71">
        <f t="shared" si="4168"/>
        <v>0</v>
      </c>
      <c r="CD338" s="71">
        <f t="shared" si="4169"/>
        <v>0</v>
      </c>
      <c r="CE338" s="71">
        <f t="shared" si="4170"/>
        <v>0</v>
      </c>
      <c r="CF338" s="71">
        <f t="shared" si="4171"/>
        <v>0</v>
      </c>
      <c r="CG338" s="71">
        <f t="shared" si="4172"/>
        <v>0</v>
      </c>
      <c r="CH338" s="70">
        <f t="shared" si="4032"/>
        <v>0</v>
      </c>
      <c r="CI338" s="69">
        <f t="shared" ca="1" si="4033"/>
        <v>0</v>
      </c>
      <c r="GM338" s="2" t="s">
        <v>16</v>
      </c>
      <c r="GN338" s="98" t="str">
        <f t="shared" si="4029"/>
        <v>ABT01-FMCG-ASM-01</v>
      </c>
      <c r="GO338" s="4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6"/>
      <c r="HT338" s="4">
        <v>0</v>
      </c>
      <c r="HU338" s="3">
        <v>0</v>
      </c>
      <c r="HV338" s="3">
        <v>0</v>
      </c>
      <c r="HW338" s="3">
        <v>0</v>
      </c>
      <c r="HX338" s="3">
        <v>0</v>
      </c>
      <c r="HY338" s="3">
        <v>0</v>
      </c>
      <c r="HZ338" s="3">
        <v>0</v>
      </c>
      <c r="IA338" s="3">
        <v>0</v>
      </c>
      <c r="IB338" s="3">
        <v>0</v>
      </c>
      <c r="IC338" s="3">
        <v>0</v>
      </c>
      <c r="ID338" s="3">
        <v>0</v>
      </c>
      <c r="IE338" s="3">
        <v>0</v>
      </c>
      <c r="IF338" s="3">
        <v>0</v>
      </c>
      <c r="IG338" s="3">
        <v>0</v>
      </c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6"/>
    </row>
    <row r="339" spans="1:258" hidden="1">
      <c r="A339" s="102" t="s">
        <v>53</v>
      </c>
      <c r="B339" s="103" t="s">
        <v>20</v>
      </c>
      <c r="C339" s="103" t="s">
        <v>772</v>
      </c>
      <c r="D339" s="104" t="s">
        <v>1266</v>
      </c>
      <c r="E339" s="103" t="s">
        <v>780</v>
      </c>
      <c r="F339" s="103" t="s">
        <v>781</v>
      </c>
      <c r="G339" s="103" t="s">
        <v>782</v>
      </c>
      <c r="H339" s="103" t="s">
        <v>1268</v>
      </c>
      <c r="I339" s="103" t="s">
        <v>1268</v>
      </c>
      <c r="J339" s="103" t="s">
        <v>859</v>
      </c>
      <c r="K339" s="103" t="s">
        <v>1127</v>
      </c>
      <c r="L339" s="103" t="s">
        <v>665</v>
      </c>
      <c r="M339" s="103" t="s">
        <v>52</v>
      </c>
      <c r="N339" s="119">
        <v>45231</v>
      </c>
      <c r="O339" s="105">
        <f>O337+O336+O335+O334+O333</f>
        <v>4</v>
      </c>
      <c r="P339" s="73">
        <f>P337+P336+P335+P334+P333</f>
        <v>0</v>
      </c>
      <c r="Q339" s="73">
        <f t="shared" si="4106"/>
        <v>1</v>
      </c>
      <c r="R339" s="73">
        <f t="shared" ref="R339:AZ339" si="4173">R337+R336+R335+R334+R333</f>
        <v>4</v>
      </c>
      <c r="S339" s="73">
        <f t="shared" si="4173"/>
        <v>0</v>
      </c>
      <c r="T339" s="73">
        <f t="shared" si="4173"/>
        <v>3</v>
      </c>
      <c r="U339" s="73">
        <f t="shared" si="4173"/>
        <v>4</v>
      </c>
      <c r="V339" s="74">
        <f t="shared" si="4173"/>
        <v>4</v>
      </c>
      <c r="W339" s="75">
        <f t="shared" si="4173"/>
        <v>4</v>
      </c>
      <c r="X339" s="75">
        <f t="shared" si="4173"/>
        <v>3</v>
      </c>
      <c r="Y339" s="75">
        <f t="shared" si="4173"/>
        <v>0</v>
      </c>
      <c r="Z339" s="75">
        <f t="shared" si="4173"/>
        <v>4</v>
      </c>
      <c r="AA339" s="75">
        <f t="shared" si="4173"/>
        <v>4</v>
      </c>
      <c r="AB339" s="75">
        <f t="shared" si="4173"/>
        <v>4</v>
      </c>
      <c r="AC339" s="75">
        <f t="shared" si="4173"/>
        <v>4</v>
      </c>
      <c r="AD339" s="75">
        <f t="shared" si="4173"/>
        <v>4</v>
      </c>
      <c r="AE339" s="75">
        <f t="shared" si="4173"/>
        <v>4</v>
      </c>
      <c r="AF339" s="75">
        <f t="shared" si="4173"/>
        <v>0</v>
      </c>
      <c r="AG339" s="75">
        <f t="shared" si="4173"/>
        <v>4</v>
      </c>
      <c r="AH339" s="75">
        <f t="shared" si="4173"/>
        <v>4</v>
      </c>
      <c r="AI339" s="75">
        <f t="shared" si="4173"/>
        <v>4</v>
      </c>
      <c r="AJ339" s="75">
        <f t="shared" si="4173"/>
        <v>0</v>
      </c>
      <c r="AK339" s="75">
        <f t="shared" si="4173"/>
        <v>0</v>
      </c>
      <c r="AL339" s="75">
        <f t="shared" si="4173"/>
        <v>0</v>
      </c>
      <c r="AM339" s="75">
        <f t="shared" si="4173"/>
        <v>0</v>
      </c>
      <c r="AN339" s="75">
        <f t="shared" si="4173"/>
        <v>0</v>
      </c>
      <c r="AO339" s="75">
        <f t="shared" si="4173"/>
        <v>0</v>
      </c>
      <c r="AP339" s="75">
        <f t="shared" si="4173"/>
        <v>0</v>
      </c>
      <c r="AQ339" s="75">
        <f t="shared" si="4173"/>
        <v>0</v>
      </c>
      <c r="AR339" s="75">
        <f t="shared" si="4173"/>
        <v>0</v>
      </c>
      <c r="AS339" s="75">
        <f t="shared" si="4173"/>
        <v>0</v>
      </c>
      <c r="AT339" s="75">
        <f t="shared" si="4173"/>
        <v>0</v>
      </c>
      <c r="AU339" s="75">
        <f t="shared" si="4173"/>
        <v>0</v>
      </c>
      <c r="AV339" s="75">
        <f t="shared" si="4173"/>
        <v>0</v>
      </c>
      <c r="AW339" s="75">
        <f t="shared" si="4173"/>
        <v>0</v>
      </c>
      <c r="AX339" s="75">
        <f t="shared" si="4173"/>
        <v>0</v>
      </c>
      <c r="AY339" s="75">
        <f t="shared" si="4173"/>
        <v>0</v>
      </c>
      <c r="AZ339" s="76">
        <f t="shared" si="4173"/>
        <v>0</v>
      </c>
      <c r="BA339" s="74">
        <f t="shared" si="4030"/>
        <v>47</v>
      </c>
      <c r="BB339" s="73">
        <f t="shared" ca="1" si="4031"/>
        <v>0.90384615384615385</v>
      </c>
      <c r="BC339" s="74">
        <f>BC337+BC336+BC335+BC334+BC333</f>
        <v>72</v>
      </c>
      <c r="BD339" s="75">
        <f>BD337+BD336+BD335+BD334+BD333</f>
        <v>13</v>
      </c>
      <c r="BE339" s="75">
        <f t="shared" ref="BE339:CG339" si="4174">BE337+BE336+BE335+BE334+BE333</f>
        <v>84</v>
      </c>
      <c r="BF339" s="75">
        <f t="shared" si="4174"/>
        <v>0</v>
      </c>
      <c r="BG339" s="75">
        <f t="shared" si="4174"/>
        <v>111</v>
      </c>
      <c r="BH339" s="75">
        <f t="shared" si="4174"/>
        <v>125</v>
      </c>
      <c r="BI339" s="75">
        <f t="shared" si="4174"/>
        <v>100</v>
      </c>
      <c r="BJ339" s="75">
        <f t="shared" si="4174"/>
        <v>89</v>
      </c>
      <c r="BK339" s="75">
        <f t="shared" si="4174"/>
        <v>129</v>
      </c>
      <c r="BL339" s="75">
        <f t="shared" si="4174"/>
        <v>86</v>
      </c>
      <c r="BM339" s="75">
        <f t="shared" si="4174"/>
        <v>0</v>
      </c>
      <c r="BN339" s="75">
        <f t="shared" si="4174"/>
        <v>91</v>
      </c>
      <c r="BO339" s="75">
        <f t="shared" si="4174"/>
        <v>57</v>
      </c>
      <c r="BP339" s="75">
        <f t="shared" si="4174"/>
        <v>0</v>
      </c>
      <c r="BQ339" s="75">
        <f t="shared" si="4174"/>
        <v>0</v>
      </c>
      <c r="BR339" s="75">
        <f t="shared" si="4174"/>
        <v>0</v>
      </c>
      <c r="BS339" s="75">
        <f t="shared" si="4174"/>
        <v>0</v>
      </c>
      <c r="BT339" s="75">
        <f t="shared" si="4174"/>
        <v>0</v>
      </c>
      <c r="BU339" s="75">
        <f t="shared" si="4174"/>
        <v>0</v>
      </c>
      <c r="BV339" s="75">
        <f t="shared" si="4174"/>
        <v>0</v>
      </c>
      <c r="BW339" s="75">
        <f t="shared" si="4174"/>
        <v>0</v>
      </c>
      <c r="BX339" s="75">
        <f t="shared" si="4174"/>
        <v>0</v>
      </c>
      <c r="BY339" s="75">
        <f t="shared" si="4174"/>
        <v>0</v>
      </c>
      <c r="BZ339" s="75">
        <f t="shared" si="4174"/>
        <v>0</v>
      </c>
      <c r="CA339" s="75">
        <f t="shared" si="4174"/>
        <v>0</v>
      </c>
      <c r="CB339" s="75">
        <f t="shared" si="4174"/>
        <v>0</v>
      </c>
      <c r="CC339" s="75">
        <f t="shared" si="4174"/>
        <v>0</v>
      </c>
      <c r="CD339" s="75">
        <f t="shared" si="4174"/>
        <v>0</v>
      </c>
      <c r="CE339" s="75">
        <f t="shared" si="4174"/>
        <v>0</v>
      </c>
      <c r="CF339" s="75">
        <f t="shared" si="4174"/>
        <v>0</v>
      </c>
      <c r="CG339" s="75">
        <f t="shared" si="4174"/>
        <v>0</v>
      </c>
      <c r="CH339" s="74">
        <f t="shared" si="4032"/>
        <v>957</v>
      </c>
      <c r="CI339" s="73">
        <f t="shared" ca="1" si="4033"/>
        <v>18.403846153846153</v>
      </c>
      <c r="GM339" s="2" t="s">
        <v>17</v>
      </c>
      <c r="GN339" s="103" t="str">
        <f t="shared" si="4029"/>
        <v>ABT01-FMCG-ASM-01</v>
      </c>
      <c r="GO339" s="4">
        <v>0</v>
      </c>
      <c r="GP339" s="3">
        <v>0</v>
      </c>
      <c r="GQ339" s="3">
        <v>0</v>
      </c>
      <c r="GR339" s="3">
        <v>0</v>
      </c>
      <c r="GS339" s="3">
        <v>0</v>
      </c>
      <c r="GT339" s="3">
        <v>0</v>
      </c>
      <c r="GU339" s="3">
        <v>0</v>
      </c>
      <c r="GV339" s="3">
        <v>0</v>
      </c>
      <c r="GW339" s="3">
        <v>0</v>
      </c>
      <c r="GX339" s="3">
        <v>0</v>
      </c>
      <c r="GY339" s="3">
        <v>0</v>
      </c>
      <c r="GZ339" s="3">
        <v>0</v>
      </c>
      <c r="HA339" s="3">
        <v>0</v>
      </c>
      <c r="HB339" s="3">
        <v>0</v>
      </c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6"/>
      <c r="HT339" s="4">
        <v>0</v>
      </c>
      <c r="HU339" s="3">
        <v>0</v>
      </c>
      <c r="HV339" s="3">
        <v>0</v>
      </c>
      <c r="HW339" s="3">
        <v>0</v>
      </c>
      <c r="HX339" s="3">
        <v>0</v>
      </c>
      <c r="HY339" s="3">
        <v>0</v>
      </c>
      <c r="HZ339" s="3">
        <v>0</v>
      </c>
      <c r="IA339" s="3">
        <v>0</v>
      </c>
      <c r="IB339" s="3">
        <v>0</v>
      </c>
      <c r="IC339" s="3">
        <v>0</v>
      </c>
      <c r="ID339" s="3">
        <v>0</v>
      </c>
      <c r="IE339" s="3">
        <v>0</v>
      </c>
      <c r="IF339" s="3">
        <v>0</v>
      </c>
      <c r="IG339" s="3">
        <v>0</v>
      </c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6"/>
    </row>
    <row r="340" spans="1:258" hidden="1">
      <c r="A340" s="97" t="s">
        <v>149</v>
      </c>
      <c r="B340" s="98" t="s">
        <v>26</v>
      </c>
      <c r="C340" s="98" t="s">
        <v>772</v>
      </c>
      <c r="D340" s="99" t="s">
        <v>1269</v>
      </c>
      <c r="E340" s="98" t="s">
        <v>1270</v>
      </c>
      <c r="F340" s="98" t="s">
        <v>1271</v>
      </c>
      <c r="G340" s="98" t="s">
        <v>792</v>
      </c>
      <c r="H340" s="98" t="s">
        <v>1630</v>
      </c>
      <c r="I340" s="98" t="s">
        <v>1630</v>
      </c>
      <c r="J340" s="98" t="s">
        <v>1272</v>
      </c>
      <c r="K340" s="98" t="s">
        <v>1156</v>
      </c>
      <c r="L340" s="98" t="s">
        <v>793</v>
      </c>
      <c r="M340" s="101" t="s">
        <v>1093</v>
      </c>
      <c r="N340" s="139">
        <v>45397</v>
      </c>
      <c r="O340" s="100">
        <v>1</v>
      </c>
      <c r="P340" s="69">
        <v>0</v>
      </c>
      <c r="Q340" s="69">
        <f t="shared" si="4106"/>
        <v>1</v>
      </c>
      <c r="R340" s="69">
        <f t="shared" ref="R340:R347" si="4175">IFERROR(IF(OR(BA340&gt;0),1,0),0)</f>
        <v>1</v>
      </c>
      <c r="S340" s="69">
        <f t="shared" ref="S340:S347" si="4176">IFERROR(IF(OR(BP340&gt;0),1,0),0)</f>
        <v>1</v>
      </c>
      <c r="T340" s="69">
        <f t="shared" ref="T340:T347" si="4177">IFERROR(IF(OR(CH340&gt;0),1,0),0)</f>
        <v>1</v>
      </c>
      <c r="U340" s="69">
        <f t="shared" ref="U340:U347" si="4178">IFERROR(IF(OR(BA340&gt;0,CH340&gt;0),1,0),0)</f>
        <v>1</v>
      </c>
      <c r="V340" s="70">
        <f t="shared" ref="V340:V347" si="4179">GO340</f>
        <v>1</v>
      </c>
      <c r="W340" s="71">
        <f t="shared" ref="W340:W347" si="4180">GP340</f>
        <v>0</v>
      </c>
      <c r="X340" s="71">
        <f t="shared" ref="X340:X347" si="4181">GQ340</f>
        <v>1</v>
      </c>
      <c r="Y340" s="71">
        <f t="shared" ref="Y340:Y347" si="4182">GR340</f>
        <v>1</v>
      </c>
      <c r="Z340" s="71">
        <f t="shared" ref="Z340:Z347" si="4183">GS340</f>
        <v>1</v>
      </c>
      <c r="AA340" s="71">
        <f t="shared" ref="AA340:AA347" si="4184">GT340</f>
        <v>1</v>
      </c>
      <c r="AB340" s="71">
        <f t="shared" ref="AB340:AB347" si="4185">GU340</f>
        <v>1</v>
      </c>
      <c r="AC340" s="71">
        <f t="shared" ref="AC340:AC347" si="4186">GV340</f>
        <v>1</v>
      </c>
      <c r="AD340" s="71">
        <f t="shared" ref="AD340:AD347" si="4187">GW340</f>
        <v>0</v>
      </c>
      <c r="AE340" s="71">
        <f t="shared" ref="AE340:AE347" si="4188">GX340</f>
        <v>1</v>
      </c>
      <c r="AF340" s="71">
        <f t="shared" ref="AF340:AF347" si="4189">GY340</f>
        <v>1</v>
      </c>
      <c r="AG340" s="71">
        <f t="shared" ref="AG340:AG347" si="4190">GZ340</f>
        <v>1</v>
      </c>
      <c r="AH340" s="71">
        <f t="shared" ref="AH340:AH347" si="4191">HA340</f>
        <v>1</v>
      </c>
      <c r="AI340" s="71">
        <f t="shared" ref="AI340:AI347" si="4192">HB340</f>
        <v>1</v>
      </c>
      <c r="AJ340" s="71">
        <f t="shared" ref="AJ340:AJ347" si="4193">HC340</f>
        <v>0</v>
      </c>
      <c r="AK340" s="71">
        <f t="shared" ref="AK340:AK347" si="4194">HD340</f>
        <v>0</v>
      </c>
      <c r="AL340" s="71">
        <f t="shared" ref="AL340:AL347" si="4195">HE340</f>
        <v>0</v>
      </c>
      <c r="AM340" s="71">
        <f t="shared" ref="AM340:AM347" si="4196">HF340</f>
        <v>0</v>
      </c>
      <c r="AN340" s="71">
        <f t="shared" ref="AN340:AN347" si="4197">HG340</f>
        <v>0</v>
      </c>
      <c r="AO340" s="71">
        <f t="shared" ref="AO340:AO347" si="4198">HH340</f>
        <v>0</v>
      </c>
      <c r="AP340" s="71">
        <f t="shared" ref="AP340:AP347" si="4199">HI340</f>
        <v>0</v>
      </c>
      <c r="AQ340" s="71">
        <f t="shared" ref="AQ340:AQ347" si="4200">HJ340</f>
        <v>0</v>
      </c>
      <c r="AR340" s="71">
        <f t="shared" ref="AR340:AR347" si="4201">HK340</f>
        <v>0</v>
      </c>
      <c r="AS340" s="71">
        <f t="shared" ref="AS340:AS347" si="4202">HL340</f>
        <v>0</v>
      </c>
      <c r="AT340" s="71">
        <f t="shared" ref="AT340:AT347" si="4203">HM340</f>
        <v>0</v>
      </c>
      <c r="AU340" s="71">
        <f t="shared" ref="AU340:AU347" si="4204">HN340</f>
        <v>0</v>
      </c>
      <c r="AV340" s="71">
        <f t="shared" ref="AV340:AV347" si="4205">HO340</f>
        <v>0</v>
      </c>
      <c r="AW340" s="71">
        <f t="shared" ref="AW340:AW347" si="4206">HP340</f>
        <v>0</v>
      </c>
      <c r="AX340" s="71">
        <f t="shared" ref="AX340:AX347" si="4207">HQ340</f>
        <v>0</v>
      </c>
      <c r="AY340" s="71">
        <f t="shared" ref="AY340:AY347" si="4208">HR340</f>
        <v>0</v>
      </c>
      <c r="AZ340" s="72">
        <f t="shared" ref="AZ340:AZ347" si="4209">HS340</f>
        <v>0</v>
      </c>
      <c r="BA340" s="70">
        <f t="shared" si="4030"/>
        <v>12</v>
      </c>
      <c r="BB340" s="69">
        <f t="shared" ca="1" si="4031"/>
        <v>0.92307692307692313</v>
      </c>
      <c r="BC340" s="70">
        <f t="shared" ref="BC340:BC347" si="4210">HT340</f>
        <v>24</v>
      </c>
      <c r="BD340" s="71">
        <f t="shared" ref="BD340:BD347" si="4211">HU340</f>
        <v>0</v>
      </c>
      <c r="BE340" s="71">
        <f t="shared" ref="BE340:BE347" si="4212">HV340</f>
        <v>0</v>
      </c>
      <c r="BF340" s="71">
        <f t="shared" ref="BF340:BF347" si="4213">HW340</f>
        <v>0</v>
      </c>
      <c r="BG340" s="71">
        <f t="shared" ref="BG340:BG347" si="4214">HX340</f>
        <v>42</v>
      </c>
      <c r="BH340" s="71">
        <f t="shared" ref="BH340:BH347" si="4215">HY340</f>
        <v>29</v>
      </c>
      <c r="BI340" s="71">
        <f t="shared" ref="BI340:BI347" si="4216">HZ340</f>
        <v>34</v>
      </c>
      <c r="BJ340" s="71">
        <f t="shared" ref="BJ340:BJ347" si="4217">IA340</f>
        <v>17</v>
      </c>
      <c r="BK340" s="71">
        <f t="shared" ref="BK340:BK347" si="4218">IB340</f>
        <v>0</v>
      </c>
      <c r="BL340" s="71">
        <f t="shared" ref="BL340:BL347" si="4219">IC340</f>
        <v>36</v>
      </c>
      <c r="BM340" s="71">
        <f t="shared" ref="BM340:BM347" si="4220">ID340</f>
        <v>23</v>
      </c>
      <c r="BN340" s="71">
        <f t="shared" ref="BN340:BN347" si="4221">IE340</f>
        <v>22</v>
      </c>
      <c r="BO340" s="71">
        <f t="shared" ref="BO340:BO347" si="4222">IF340</f>
        <v>17</v>
      </c>
      <c r="BP340" s="71">
        <f t="shared" ref="BP340:BP347" si="4223">IG340</f>
        <v>3</v>
      </c>
      <c r="BQ340" s="71">
        <f t="shared" ref="BQ340:BQ347" si="4224">IH340</f>
        <v>0</v>
      </c>
      <c r="BR340" s="71">
        <f t="shared" ref="BR340:BR347" si="4225">II340</f>
        <v>0</v>
      </c>
      <c r="BS340" s="71">
        <f t="shared" ref="BS340:BS347" si="4226">IJ340</f>
        <v>0</v>
      </c>
      <c r="BT340" s="71">
        <f t="shared" ref="BT340:BT347" si="4227">IK340</f>
        <v>0</v>
      </c>
      <c r="BU340" s="71">
        <f t="shared" ref="BU340:BU347" si="4228">IL340</f>
        <v>0</v>
      </c>
      <c r="BV340" s="71">
        <f t="shared" ref="BV340:BV347" si="4229">IM340</f>
        <v>0</v>
      </c>
      <c r="BW340" s="71">
        <f t="shared" ref="BW340:BW347" si="4230">IN340</f>
        <v>0</v>
      </c>
      <c r="BX340" s="71">
        <f t="shared" ref="BX340:BX347" si="4231">IO340</f>
        <v>0</v>
      </c>
      <c r="BY340" s="71">
        <f t="shared" ref="BY340:BY347" si="4232">IP340</f>
        <v>0</v>
      </c>
      <c r="BZ340" s="71">
        <f t="shared" ref="BZ340:BZ347" si="4233">IQ340</f>
        <v>0</v>
      </c>
      <c r="CA340" s="71">
        <f t="shared" ref="CA340:CA347" si="4234">IR340</f>
        <v>0</v>
      </c>
      <c r="CB340" s="71">
        <f t="shared" ref="CB340:CB347" si="4235">IS340</f>
        <v>0</v>
      </c>
      <c r="CC340" s="71">
        <f t="shared" ref="CC340:CC347" si="4236">IT340</f>
        <v>0</v>
      </c>
      <c r="CD340" s="71">
        <f t="shared" ref="CD340:CD347" si="4237">IU340</f>
        <v>0</v>
      </c>
      <c r="CE340" s="71">
        <f t="shared" ref="CE340:CE347" si="4238">IV340</f>
        <v>0</v>
      </c>
      <c r="CF340" s="71">
        <f t="shared" ref="CF340:CF347" si="4239">IW340</f>
        <v>0</v>
      </c>
      <c r="CG340" s="71">
        <f t="shared" ref="CG340:CG347" si="4240">IX340</f>
        <v>0</v>
      </c>
      <c r="CH340" s="70">
        <f t="shared" si="4032"/>
        <v>247</v>
      </c>
      <c r="CI340" s="69">
        <f t="shared" ca="1" si="4033"/>
        <v>19</v>
      </c>
      <c r="GM340" s="2" t="s">
        <v>16</v>
      </c>
      <c r="GN340" s="98" t="str">
        <f t="shared" si="4029"/>
        <v>NTH-F-FMCG01-TE-01</v>
      </c>
      <c r="GO340" s="4">
        <v>1</v>
      </c>
      <c r="GP340" s="3">
        <v>0</v>
      </c>
      <c r="GQ340" s="3">
        <v>1</v>
      </c>
      <c r="GR340" s="3">
        <v>1</v>
      </c>
      <c r="GS340" s="3">
        <v>1</v>
      </c>
      <c r="GT340" s="3">
        <v>1</v>
      </c>
      <c r="GU340" s="3">
        <v>1</v>
      </c>
      <c r="GV340" s="3">
        <v>1</v>
      </c>
      <c r="GW340" s="3">
        <v>0</v>
      </c>
      <c r="GX340" s="3">
        <v>1</v>
      </c>
      <c r="GY340" s="3">
        <v>1</v>
      </c>
      <c r="GZ340" s="3">
        <v>1</v>
      </c>
      <c r="HA340" s="3">
        <v>1</v>
      </c>
      <c r="HB340" s="3">
        <v>1</v>
      </c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6"/>
      <c r="HT340" s="4">
        <v>24</v>
      </c>
      <c r="HU340" s="3">
        <v>0</v>
      </c>
      <c r="HV340" s="3">
        <v>0</v>
      </c>
      <c r="HW340" s="3">
        <v>0</v>
      </c>
      <c r="HX340" s="3">
        <v>42</v>
      </c>
      <c r="HY340" s="3">
        <v>29</v>
      </c>
      <c r="HZ340" s="3">
        <v>34</v>
      </c>
      <c r="IA340" s="3">
        <v>17</v>
      </c>
      <c r="IB340" s="3">
        <v>0</v>
      </c>
      <c r="IC340" s="3">
        <v>36</v>
      </c>
      <c r="ID340" s="3">
        <v>23</v>
      </c>
      <c r="IE340" s="3">
        <v>22</v>
      </c>
      <c r="IF340" s="3">
        <v>17</v>
      </c>
      <c r="IG340" s="3">
        <v>3</v>
      </c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6"/>
    </row>
    <row r="341" spans="1:258" hidden="1">
      <c r="A341" s="97" t="s">
        <v>25</v>
      </c>
      <c r="B341" s="98" t="s">
        <v>26</v>
      </c>
      <c r="C341" s="98" t="s">
        <v>772</v>
      </c>
      <c r="D341" s="99" t="s">
        <v>1269</v>
      </c>
      <c r="E341" s="98" t="s">
        <v>785</v>
      </c>
      <c r="F341" s="98" t="s">
        <v>1082</v>
      </c>
      <c r="G341" s="98" t="s">
        <v>789</v>
      </c>
      <c r="H341" s="98" t="s">
        <v>1631</v>
      </c>
      <c r="I341" s="98" t="s">
        <v>1631</v>
      </c>
      <c r="J341" s="98" t="s">
        <v>1273</v>
      </c>
      <c r="K341" s="98" t="s">
        <v>1127</v>
      </c>
      <c r="L341" s="98" t="s">
        <v>790</v>
      </c>
      <c r="M341" s="101" t="s">
        <v>1093</v>
      </c>
      <c r="N341" s="139">
        <v>44869</v>
      </c>
      <c r="O341" s="100">
        <v>1</v>
      </c>
      <c r="P341" s="69">
        <v>0</v>
      </c>
      <c r="Q341" s="69">
        <f t="shared" si="4106"/>
        <v>1</v>
      </c>
      <c r="R341" s="69">
        <f t="shared" si="4175"/>
        <v>1</v>
      </c>
      <c r="S341" s="69">
        <f t="shared" si="4176"/>
        <v>1</v>
      </c>
      <c r="T341" s="69">
        <f t="shared" si="4177"/>
        <v>1</v>
      </c>
      <c r="U341" s="69">
        <f t="shared" si="4178"/>
        <v>1</v>
      </c>
      <c r="V341" s="70">
        <f t="shared" si="4179"/>
        <v>1</v>
      </c>
      <c r="W341" s="71">
        <f t="shared" si="4180"/>
        <v>0</v>
      </c>
      <c r="X341" s="71">
        <f t="shared" si="4181"/>
        <v>1</v>
      </c>
      <c r="Y341" s="71">
        <f t="shared" si="4182"/>
        <v>1</v>
      </c>
      <c r="Z341" s="71">
        <f t="shared" si="4183"/>
        <v>1</v>
      </c>
      <c r="AA341" s="71">
        <f t="shared" si="4184"/>
        <v>1</v>
      </c>
      <c r="AB341" s="71">
        <f t="shared" si="4185"/>
        <v>1</v>
      </c>
      <c r="AC341" s="71">
        <f t="shared" si="4186"/>
        <v>1</v>
      </c>
      <c r="AD341" s="71">
        <f t="shared" si="4187"/>
        <v>0</v>
      </c>
      <c r="AE341" s="71">
        <f t="shared" si="4188"/>
        <v>1</v>
      </c>
      <c r="AF341" s="71">
        <f t="shared" si="4189"/>
        <v>1</v>
      </c>
      <c r="AG341" s="71">
        <f t="shared" si="4190"/>
        <v>1</v>
      </c>
      <c r="AH341" s="71">
        <f t="shared" si="4191"/>
        <v>1</v>
      </c>
      <c r="AI341" s="71">
        <f t="shared" si="4192"/>
        <v>1</v>
      </c>
      <c r="AJ341" s="71">
        <f t="shared" si="4193"/>
        <v>0</v>
      </c>
      <c r="AK341" s="71">
        <f t="shared" si="4194"/>
        <v>0</v>
      </c>
      <c r="AL341" s="71">
        <f t="shared" si="4195"/>
        <v>0</v>
      </c>
      <c r="AM341" s="71">
        <f t="shared" si="4196"/>
        <v>0</v>
      </c>
      <c r="AN341" s="71">
        <f t="shared" si="4197"/>
        <v>0</v>
      </c>
      <c r="AO341" s="71">
        <f t="shared" si="4198"/>
        <v>0</v>
      </c>
      <c r="AP341" s="71">
        <f t="shared" si="4199"/>
        <v>0</v>
      </c>
      <c r="AQ341" s="71">
        <f t="shared" si="4200"/>
        <v>0</v>
      </c>
      <c r="AR341" s="71">
        <f t="shared" si="4201"/>
        <v>0</v>
      </c>
      <c r="AS341" s="71">
        <f t="shared" si="4202"/>
        <v>0</v>
      </c>
      <c r="AT341" s="71">
        <f t="shared" si="4203"/>
        <v>0</v>
      </c>
      <c r="AU341" s="71">
        <f t="shared" si="4204"/>
        <v>0</v>
      </c>
      <c r="AV341" s="71">
        <f t="shared" si="4205"/>
        <v>0</v>
      </c>
      <c r="AW341" s="71">
        <f t="shared" si="4206"/>
        <v>0</v>
      </c>
      <c r="AX341" s="71">
        <f t="shared" si="4207"/>
        <v>0</v>
      </c>
      <c r="AY341" s="71">
        <f t="shared" si="4208"/>
        <v>0</v>
      </c>
      <c r="AZ341" s="72">
        <f t="shared" si="4209"/>
        <v>0</v>
      </c>
      <c r="BA341" s="70">
        <f t="shared" si="4030"/>
        <v>12</v>
      </c>
      <c r="BB341" s="69">
        <f t="shared" ca="1" si="4031"/>
        <v>0.92307692307692313</v>
      </c>
      <c r="BC341" s="70">
        <f t="shared" si="4210"/>
        <v>27</v>
      </c>
      <c r="BD341" s="71">
        <f t="shared" si="4211"/>
        <v>0</v>
      </c>
      <c r="BE341" s="71">
        <f t="shared" si="4212"/>
        <v>12</v>
      </c>
      <c r="BF341" s="71">
        <f t="shared" si="4213"/>
        <v>31</v>
      </c>
      <c r="BG341" s="71">
        <f t="shared" si="4214"/>
        <v>25</v>
      </c>
      <c r="BH341" s="71">
        <f t="shared" si="4215"/>
        <v>38</v>
      </c>
      <c r="BI341" s="71">
        <f t="shared" si="4216"/>
        <v>34</v>
      </c>
      <c r="BJ341" s="71">
        <f t="shared" si="4217"/>
        <v>18</v>
      </c>
      <c r="BK341" s="71">
        <f t="shared" si="4218"/>
        <v>0</v>
      </c>
      <c r="BL341" s="71">
        <f t="shared" si="4219"/>
        <v>22</v>
      </c>
      <c r="BM341" s="71">
        <f t="shared" si="4220"/>
        <v>0</v>
      </c>
      <c r="BN341" s="71">
        <f t="shared" si="4221"/>
        <v>10</v>
      </c>
      <c r="BO341" s="71">
        <f t="shared" si="4222"/>
        <v>8</v>
      </c>
      <c r="BP341" s="71">
        <f t="shared" si="4223"/>
        <v>3</v>
      </c>
      <c r="BQ341" s="71">
        <f t="shared" si="4224"/>
        <v>0</v>
      </c>
      <c r="BR341" s="71">
        <f t="shared" si="4225"/>
        <v>0</v>
      </c>
      <c r="BS341" s="71">
        <f t="shared" si="4226"/>
        <v>0</v>
      </c>
      <c r="BT341" s="71">
        <f t="shared" si="4227"/>
        <v>0</v>
      </c>
      <c r="BU341" s="71">
        <f t="shared" si="4228"/>
        <v>0</v>
      </c>
      <c r="BV341" s="71">
        <f t="shared" si="4229"/>
        <v>0</v>
      </c>
      <c r="BW341" s="71">
        <f t="shared" si="4230"/>
        <v>0</v>
      </c>
      <c r="BX341" s="71">
        <f t="shared" si="4231"/>
        <v>0</v>
      </c>
      <c r="BY341" s="71">
        <f t="shared" si="4232"/>
        <v>0</v>
      </c>
      <c r="BZ341" s="71">
        <f t="shared" si="4233"/>
        <v>0</v>
      </c>
      <c r="CA341" s="71">
        <f t="shared" si="4234"/>
        <v>0</v>
      </c>
      <c r="CB341" s="71">
        <f t="shared" si="4235"/>
        <v>0</v>
      </c>
      <c r="CC341" s="71">
        <f t="shared" si="4236"/>
        <v>0</v>
      </c>
      <c r="CD341" s="71">
        <f t="shared" si="4237"/>
        <v>0</v>
      </c>
      <c r="CE341" s="71">
        <f t="shared" si="4238"/>
        <v>0</v>
      </c>
      <c r="CF341" s="71">
        <f t="shared" si="4239"/>
        <v>0</v>
      </c>
      <c r="CG341" s="71">
        <f t="shared" si="4240"/>
        <v>0</v>
      </c>
      <c r="CH341" s="70">
        <f t="shared" si="4032"/>
        <v>228</v>
      </c>
      <c r="CI341" s="69">
        <f t="shared" ca="1" si="4033"/>
        <v>17.53846153846154</v>
      </c>
      <c r="GM341" s="2" t="s">
        <v>16</v>
      </c>
      <c r="GN341" s="98" t="str">
        <f t="shared" si="4029"/>
        <v>NTH-F-FMCG01-SPO-01</v>
      </c>
      <c r="GO341" s="4">
        <v>1</v>
      </c>
      <c r="GP341" s="3">
        <v>0</v>
      </c>
      <c r="GQ341" s="3">
        <v>1</v>
      </c>
      <c r="GR341" s="3">
        <v>1</v>
      </c>
      <c r="GS341" s="3">
        <v>1</v>
      </c>
      <c r="GT341" s="3">
        <v>1</v>
      </c>
      <c r="GU341" s="3">
        <v>1</v>
      </c>
      <c r="GV341" s="3">
        <v>1</v>
      </c>
      <c r="GW341" s="3">
        <v>0</v>
      </c>
      <c r="GX341" s="3">
        <v>1</v>
      </c>
      <c r="GY341" s="3">
        <v>1</v>
      </c>
      <c r="GZ341" s="3">
        <v>1</v>
      </c>
      <c r="HA341" s="3">
        <v>1</v>
      </c>
      <c r="HB341" s="3">
        <v>1</v>
      </c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6"/>
      <c r="HT341" s="4">
        <v>27</v>
      </c>
      <c r="HU341" s="3">
        <v>0</v>
      </c>
      <c r="HV341" s="3">
        <v>12</v>
      </c>
      <c r="HW341" s="3">
        <v>31</v>
      </c>
      <c r="HX341" s="3">
        <v>25</v>
      </c>
      <c r="HY341" s="3">
        <v>38</v>
      </c>
      <c r="HZ341" s="3">
        <v>34</v>
      </c>
      <c r="IA341" s="3">
        <v>18</v>
      </c>
      <c r="IB341" s="3">
        <v>0</v>
      </c>
      <c r="IC341" s="3">
        <v>22</v>
      </c>
      <c r="ID341" s="3">
        <v>0</v>
      </c>
      <c r="IE341" s="3">
        <v>10</v>
      </c>
      <c r="IF341" s="3">
        <v>8</v>
      </c>
      <c r="IG341" s="3">
        <v>3</v>
      </c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6"/>
    </row>
    <row r="342" spans="1:258" hidden="1">
      <c r="A342" s="106" t="s">
        <v>25</v>
      </c>
      <c r="B342" s="101" t="s">
        <v>26</v>
      </c>
      <c r="C342" s="98" t="s">
        <v>772</v>
      </c>
      <c r="D342" s="107" t="s">
        <v>1269</v>
      </c>
      <c r="E342" s="101" t="s">
        <v>788</v>
      </c>
      <c r="F342" s="101" t="s">
        <v>1083</v>
      </c>
      <c r="G342" s="98" t="s">
        <v>791</v>
      </c>
      <c r="H342" s="101" t="s">
        <v>1632</v>
      </c>
      <c r="I342" s="101" t="s">
        <v>1632</v>
      </c>
      <c r="J342" s="101" t="s">
        <v>1273</v>
      </c>
      <c r="K342" s="98" t="s">
        <v>1127</v>
      </c>
      <c r="L342" s="101" t="s">
        <v>917</v>
      </c>
      <c r="M342" s="101" t="s">
        <v>1093</v>
      </c>
      <c r="N342" s="139">
        <v>46220</v>
      </c>
      <c r="O342" s="100">
        <v>1</v>
      </c>
      <c r="P342" s="69">
        <v>0</v>
      </c>
      <c r="Q342" s="69">
        <f t="shared" si="4106"/>
        <v>1</v>
      </c>
      <c r="R342" s="69">
        <f t="shared" si="4175"/>
        <v>1</v>
      </c>
      <c r="S342" s="69">
        <f t="shared" si="4176"/>
        <v>0</v>
      </c>
      <c r="T342" s="69">
        <f t="shared" si="4177"/>
        <v>1</v>
      </c>
      <c r="U342" s="69">
        <f t="shared" si="4178"/>
        <v>1</v>
      </c>
      <c r="V342" s="70">
        <f t="shared" si="4179"/>
        <v>1</v>
      </c>
      <c r="W342" s="71">
        <f t="shared" si="4180"/>
        <v>0</v>
      </c>
      <c r="X342" s="71">
        <f t="shared" si="4181"/>
        <v>1</v>
      </c>
      <c r="Y342" s="71">
        <f t="shared" si="4182"/>
        <v>1</v>
      </c>
      <c r="Z342" s="71">
        <f t="shared" si="4183"/>
        <v>1</v>
      </c>
      <c r="AA342" s="71">
        <f t="shared" si="4184"/>
        <v>1</v>
      </c>
      <c r="AB342" s="71">
        <f t="shared" si="4185"/>
        <v>1</v>
      </c>
      <c r="AC342" s="71">
        <f t="shared" si="4186"/>
        <v>1</v>
      </c>
      <c r="AD342" s="71">
        <f t="shared" si="4187"/>
        <v>0</v>
      </c>
      <c r="AE342" s="71">
        <f t="shared" si="4188"/>
        <v>1</v>
      </c>
      <c r="AF342" s="71">
        <f t="shared" si="4189"/>
        <v>1</v>
      </c>
      <c r="AG342" s="71">
        <f t="shared" si="4190"/>
        <v>1</v>
      </c>
      <c r="AH342" s="71">
        <f t="shared" si="4191"/>
        <v>1</v>
      </c>
      <c r="AI342" s="71">
        <f t="shared" si="4192"/>
        <v>1</v>
      </c>
      <c r="AJ342" s="71">
        <f t="shared" si="4193"/>
        <v>0</v>
      </c>
      <c r="AK342" s="71">
        <f t="shared" si="4194"/>
        <v>0</v>
      </c>
      <c r="AL342" s="71">
        <f t="shared" si="4195"/>
        <v>0</v>
      </c>
      <c r="AM342" s="71">
        <f t="shared" si="4196"/>
        <v>0</v>
      </c>
      <c r="AN342" s="71">
        <f t="shared" si="4197"/>
        <v>0</v>
      </c>
      <c r="AO342" s="71">
        <f t="shared" si="4198"/>
        <v>0</v>
      </c>
      <c r="AP342" s="71">
        <f t="shared" si="4199"/>
        <v>0</v>
      </c>
      <c r="AQ342" s="71">
        <f t="shared" si="4200"/>
        <v>0</v>
      </c>
      <c r="AR342" s="71">
        <f t="shared" si="4201"/>
        <v>0</v>
      </c>
      <c r="AS342" s="71">
        <f t="shared" si="4202"/>
        <v>0</v>
      </c>
      <c r="AT342" s="71">
        <f t="shared" si="4203"/>
        <v>0</v>
      </c>
      <c r="AU342" s="71">
        <f t="shared" si="4204"/>
        <v>0</v>
      </c>
      <c r="AV342" s="71">
        <f t="shared" si="4205"/>
        <v>0</v>
      </c>
      <c r="AW342" s="71">
        <f t="shared" si="4206"/>
        <v>0</v>
      </c>
      <c r="AX342" s="71">
        <f t="shared" si="4207"/>
        <v>0</v>
      </c>
      <c r="AY342" s="71">
        <f t="shared" si="4208"/>
        <v>0</v>
      </c>
      <c r="AZ342" s="72">
        <f t="shared" si="4209"/>
        <v>0</v>
      </c>
      <c r="BA342" s="70">
        <f t="shared" si="4030"/>
        <v>12</v>
      </c>
      <c r="BB342" s="69">
        <f t="shared" ca="1" si="4031"/>
        <v>0.92307692307692313</v>
      </c>
      <c r="BC342" s="70">
        <f t="shared" si="4210"/>
        <v>25</v>
      </c>
      <c r="BD342" s="71">
        <f t="shared" si="4211"/>
        <v>0</v>
      </c>
      <c r="BE342" s="71">
        <f t="shared" si="4212"/>
        <v>0</v>
      </c>
      <c r="BF342" s="71">
        <f t="shared" si="4213"/>
        <v>0</v>
      </c>
      <c r="BG342" s="71">
        <f t="shared" si="4214"/>
        <v>58</v>
      </c>
      <c r="BH342" s="71">
        <f t="shared" si="4215"/>
        <v>65</v>
      </c>
      <c r="BI342" s="71">
        <f t="shared" si="4216"/>
        <v>34</v>
      </c>
      <c r="BJ342" s="71">
        <f t="shared" si="4217"/>
        <v>37</v>
      </c>
      <c r="BK342" s="71">
        <f t="shared" si="4218"/>
        <v>0</v>
      </c>
      <c r="BL342" s="71">
        <f t="shared" si="4219"/>
        <v>62</v>
      </c>
      <c r="BM342" s="71">
        <f t="shared" si="4220"/>
        <v>35</v>
      </c>
      <c r="BN342" s="71">
        <f t="shared" si="4221"/>
        <v>42</v>
      </c>
      <c r="BO342" s="71">
        <f t="shared" si="4222"/>
        <v>53</v>
      </c>
      <c r="BP342" s="71">
        <f t="shared" si="4223"/>
        <v>0</v>
      </c>
      <c r="BQ342" s="71">
        <f t="shared" si="4224"/>
        <v>0</v>
      </c>
      <c r="BR342" s="71">
        <f t="shared" si="4225"/>
        <v>0</v>
      </c>
      <c r="BS342" s="71">
        <f t="shared" si="4226"/>
        <v>0</v>
      </c>
      <c r="BT342" s="71">
        <f t="shared" si="4227"/>
        <v>0</v>
      </c>
      <c r="BU342" s="71">
        <f t="shared" si="4228"/>
        <v>0</v>
      </c>
      <c r="BV342" s="71">
        <f t="shared" si="4229"/>
        <v>0</v>
      </c>
      <c r="BW342" s="71">
        <f t="shared" si="4230"/>
        <v>0</v>
      </c>
      <c r="BX342" s="71">
        <f t="shared" si="4231"/>
        <v>0</v>
      </c>
      <c r="BY342" s="71">
        <f t="shared" si="4232"/>
        <v>0</v>
      </c>
      <c r="BZ342" s="71">
        <f t="shared" si="4233"/>
        <v>0</v>
      </c>
      <c r="CA342" s="71">
        <f t="shared" si="4234"/>
        <v>0</v>
      </c>
      <c r="CB342" s="71">
        <f t="shared" si="4235"/>
        <v>0</v>
      </c>
      <c r="CC342" s="71">
        <f t="shared" si="4236"/>
        <v>0</v>
      </c>
      <c r="CD342" s="71">
        <f t="shared" si="4237"/>
        <v>0</v>
      </c>
      <c r="CE342" s="71">
        <f t="shared" si="4238"/>
        <v>0</v>
      </c>
      <c r="CF342" s="71">
        <f t="shared" si="4239"/>
        <v>0</v>
      </c>
      <c r="CG342" s="71">
        <f t="shared" si="4240"/>
        <v>0</v>
      </c>
      <c r="CH342" s="70">
        <f t="shared" si="4032"/>
        <v>411</v>
      </c>
      <c r="CI342" s="69">
        <f t="shared" ca="1" si="4033"/>
        <v>31.615384615384617</v>
      </c>
      <c r="GM342" s="2" t="s">
        <v>16</v>
      </c>
      <c r="GN342" s="101" t="str">
        <f t="shared" si="4029"/>
        <v>NTH-F-FMCG01-SPO-02</v>
      </c>
      <c r="GO342" s="4">
        <v>1</v>
      </c>
      <c r="GP342" s="3">
        <v>0</v>
      </c>
      <c r="GQ342" s="3">
        <v>1</v>
      </c>
      <c r="GR342" s="3">
        <v>1</v>
      </c>
      <c r="GS342" s="3">
        <v>1</v>
      </c>
      <c r="GT342" s="3">
        <v>1</v>
      </c>
      <c r="GU342" s="3">
        <v>1</v>
      </c>
      <c r="GV342" s="3">
        <v>1</v>
      </c>
      <c r="GW342" s="3">
        <v>0</v>
      </c>
      <c r="GX342" s="3">
        <v>1</v>
      </c>
      <c r="GY342" s="3">
        <v>1</v>
      </c>
      <c r="GZ342" s="3">
        <v>1</v>
      </c>
      <c r="HA342" s="3">
        <v>1</v>
      </c>
      <c r="HB342" s="3">
        <v>1</v>
      </c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6"/>
      <c r="HT342" s="4">
        <v>25</v>
      </c>
      <c r="HU342" s="3">
        <v>0</v>
      </c>
      <c r="HV342" s="3">
        <v>0</v>
      </c>
      <c r="HW342" s="3">
        <v>0</v>
      </c>
      <c r="HX342" s="3">
        <v>58</v>
      </c>
      <c r="HY342" s="3">
        <v>65</v>
      </c>
      <c r="HZ342" s="3">
        <v>34</v>
      </c>
      <c r="IA342" s="3">
        <v>37</v>
      </c>
      <c r="IB342" s="3">
        <v>0</v>
      </c>
      <c r="IC342" s="3">
        <v>62</v>
      </c>
      <c r="ID342" s="3">
        <v>35</v>
      </c>
      <c r="IE342" s="3">
        <v>42</v>
      </c>
      <c r="IF342" s="3">
        <v>53</v>
      </c>
      <c r="IG342" s="3">
        <v>0</v>
      </c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6"/>
    </row>
    <row r="343" spans="1:258" hidden="1">
      <c r="A343" s="97" t="s">
        <v>25</v>
      </c>
      <c r="B343" s="98" t="s">
        <v>26</v>
      </c>
      <c r="C343" s="98" t="s">
        <v>772</v>
      </c>
      <c r="D343" s="99" t="s">
        <v>1269</v>
      </c>
      <c r="E343" s="98" t="s">
        <v>794</v>
      </c>
      <c r="F343" s="98" t="s">
        <v>1084</v>
      </c>
      <c r="G343" s="98" t="s">
        <v>786</v>
      </c>
      <c r="H343" s="98" t="s">
        <v>1633</v>
      </c>
      <c r="I343" s="98" t="s">
        <v>1633</v>
      </c>
      <c r="J343" s="98" t="s">
        <v>1273</v>
      </c>
      <c r="K343" s="98" t="s">
        <v>1127</v>
      </c>
      <c r="L343" s="98" t="s">
        <v>787</v>
      </c>
      <c r="M343" s="101" t="s">
        <v>1093</v>
      </c>
      <c r="N343" s="139">
        <v>45110</v>
      </c>
      <c r="O343" s="100">
        <v>1</v>
      </c>
      <c r="P343" s="69">
        <v>0</v>
      </c>
      <c r="Q343" s="69">
        <f t="shared" si="4106"/>
        <v>1</v>
      </c>
      <c r="R343" s="69">
        <f t="shared" si="4175"/>
        <v>1</v>
      </c>
      <c r="S343" s="69">
        <f t="shared" si="4176"/>
        <v>1</v>
      </c>
      <c r="T343" s="69">
        <f t="shared" si="4177"/>
        <v>1</v>
      </c>
      <c r="U343" s="69">
        <f t="shared" si="4178"/>
        <v>1</v>
      </c>
      <c r="V343" s="70">
        <f t="shared" si="4179"/>
        <v>1</v>
      </c>
      <c r="W343" s="71">
        <f t="shared" si="4180"/>
        <v>0</v>
      </c>
      <c r="X343" s="71">
        <f t="shared" si="4181"/>
        <v>1</v>
      </c>
      <c r="Y343" s="71">
        <f t="shared" si="4182"/>
        <v>1</v>
      </c>
      <c r="Z343" s="71">
        <f t="shared" si="4183"/>
        <v>1</v>
      </c>
      <c r="AA343" s="71">
        <f t="shared" si="4184"/>
        <v>1</v>
      </c>
      <c r="AB343" s="71">
        <f t="shared" si="4185"/>
        <v>1</v>
      </c>
      <c r="AC343" s="71">
        <f t="shared" si="4186"/>
        <v>1</v>
      </c>
      <c r="AD343" s="71">
        <f t="shared" si="4187"/>
        <v>0</v>
      </c>
      <c r="AE343" s="71">
        <f t="shared" si="4188"/>
        <v>1</v>
      </c>
      <c r="AF343" s="71">
        <f t="shared" si="4189"/>
        <v>1</v>
      </c>
      <c r="AG343" s="71">
        <f t="shared" si="4190"/>
        <v>1</v>
      </c>
      <c r="AH343" s="71">
        <f t="shared" si="4191"/>
        <v>1</v>
      </c>
      <c r="AI343" s="71">
        <f t="shared" si="4192"/>
        <v>1</v>
      </c>
      <c r="AJ343" s="71">
        <f t="shared" si="4193"/>
        <v>0</v>
      </c>
      <c r="AK343" s="71">
        <f t="shared" si="4194"/>
        <v>0</v>
      </c>
      <c r="AL343" s="71">
        <f t="shared" si="4195"/>
        <v>0</v>
      </c>
      <c r="AM343" s="71">
        <f t="shared" si="4196"/>
        <v>0</v>
      </c>
      <c r="AN343" s="71">
        <f t="shared" si="4197"/>
        <v>0</v>
      </c>
      <c r="AO343" s="71">
        <f t="shared" si="4198"/>
        <v>0</v>
      </c>
      <c r="AP343" s="71">
        <f t="shared" si="4199"/>
        <v>0</v>
      </c>
      <c r="AQ343" s="71">
        <f t="shared" si="4200"/>
        <v>0</v>
      </c>
      <c r="AR343" s="71">
        <f t="shared" si="4201"/>
        <v>0</v>
      </c>
      <c r="AS343" s="71">
        <f t="shared" si="4202"/>
        <v>0</v>
      </c>
      <c r="AT343" s="71">
        <f t="shared" si="4203"/>
        <v>0</v>
      </c>
      <c r="AU343" s="71">
        <f t="shared" si="4204"/>
        <v>0</v>
      </c>
      <c r="AV343" s="71">
        <f t="shared" si="4205"/>
        <v>0</v>
      </c>
      <c r="AW343" s="71">
        <f t="shared" si="4206"/>
        <v>0</v>
      </c>
      <c r="AX343" s="71">
        <f t="shared" si="4207"/>
        <v>0</v>
      </c>
      <c r="AY343" s="71">
        <f t="shared" si="4208"/>
        <v>0</v>
      </c>
      <c r="AZ343" s="72">
        <f t="shared" si="4209"/>
        <v>0</v>
      </c>
      <c r="BA343" s="70">
        <f t="shared" si="4030"/>
        <v>12</v>
      </c>
      <c r="BB343" s="69">
        <f t="shared" ca="1" si="4031"/>
        <v>0.92307692307692313</v>
      </c>
      <c r="BC343" s="70">
        <f t="shared" si="4210"/>
        <v>0</v>
      </c>
      <c r="BD343" s="71">
        <f t="shared" si="4211"/>
        <v>0</v>
      </c>
      <c r="BE343" s="71">
        <f t="shared" si="4212"/>
        <v>28</v>
      </c>
      <c r="BF343" s="71">
        <f t="shared" si="4213"/>
        <v>28</v>
      </c>
      <c r="BG343" s="71">
        <f t="shared" si="4214"/>
        <v>24</v>
      </c>
      <c r="BH343" s="71">
        <f t="shared" si="4215"/>
        <v>36</v>
      </c>
      <c r="BI343" s="71">
        <f t="shared" si="4216"/>
        <v>2</v>
      </c>
      <c r="BJ343" s="71">
        <f t="shared" si="4217"/>
        <v>24</v>
      </c>
      <c r="BK343" s="71">
        <f t="shared" si="4218"/>
        <v>0</v>
      </c>
      <c r="BL343" s="71">
        <f t="shared" si="4219"/>
        <v>41</v>
      </c>
      <c r="BM343" s="71">
        <f t="shared" si="4220"/>
        <v>18</v>
      </c>
      <c r="BN343" s="71">
        <f t="shared" si="4221"/>
        <v>0</v>
      </c>
      <c r="BO343" s="71">
        <f t="shared" si="4222"/>
        <v>0</v>
      </c>
      <c r="BP343" s="71">
        <f t="shared" si="4223"/>
        <v>1</v>
      </c>
      <c r="BQ343" s="71">
        <f t="shared" si="4224"/>
        <v>0</v>
      </c>
      <c r="BR343" s="71">
        <f t="shared" si="4225"/>
        <v>0</v>
      </c>
      <c r="BS343" s="71">
        <f t="shared" si="4226"/>
        <v>0</v>
      </c>
      <c r="BT343" s="71">
        <f t="shared" si="4227"/>
        <v>0</v>
      </c>
      <c r="BU343" s="71">
        <f t="shared" si="4228"/>
        <v>0</v>
      </c>
      <c r="BV343" s="71">
        <f t="shared" si="4229"/>
        <v>0</v>
      </c>
      <c r="BW343" s="71">
        <f t="shared" si="4230"/>
        <v>0</v>
      </c>
      <c r="BX343" s="71">
        <f t="shared" si="4231"/>
        <v>0</v>
      </c>
      <c r="BY343" s="71">
        <f t="shared" si="4232"/>
        <v>0</v>
      </c>
      <c r="BZ343" s="71">
        <f t="shared" si="4233"/>
        <v>0</v>
      </c>
      <c r="CA343" s="71">
        <f t="shared" si="4234"/>
        <v>0</v>
      </c>
      <c r="CB343" s="71">
        <f t="shared" si="4235"/>
        <v>0</v>
      </c>
      <c r="CC343" s="71">
        <f t="shared" si="4236"/>
        <v>0</v>
      </c>
      <c r="CD343" s="71">
        <f t="shared" si="4237"/>
        <v>0</v>
      </c>
      <c r="CE343" s="71">
        <f t="shared" si="4238"/>
        <v>0</v>
      </c>
      <c r="CF343" s="71">
        <f t="shared" si="4239"/>
        <v>0</v>
      </c>
      <c r="CG343" s="71">
        <f t="shared" si="4240"/>
        <v>0</v>
      </c>
      <c r="CH343" s="70">
        <f t="shared" si="4032"/>
        <v>202</v>
      </c>
      <c r="CI343" s="69">
        <f t="shared" ca="1" si="4033"/>
        <v>15.538461538461538</v>
      </c>
      <c r="GM343" s="2" t="s">
        <v>16</v>
      </c>
      <c r="GN343" s="98" t="str">
        <f t="shared" si="4029"/>
        <v>NTH-F-FMCG02-SPO-01</v>
      </c>
      <c r="GO343" s="4">
        <v>1</v>
      </c>
      <c r="GP343" s="3">
        <v>0</v>
      </c>
      <c r="GQ343" s="3">
        <v>1</v>
      </c>
      <c r="GR343" s="3">
        <v>1</v>
      </c>
      <c r="GS343" s="3">
        <v>1</v>
      </c>
      <c r="GT343" s="3">
        <v>1</v>
      </c>
      <c r="GU343" s="3">
        <v>1</v>
      </c>
      <c r="GV343" s="3">
        <v>1</v>
      </c>
      <c r="GW343" s="3">
        <v>0</v>
      </c>
      <c r="GX343" s="3">
        <v>1</v>
      </c>
      <c r="GY343" s="3">
        <v>1</v>
      </c>
      <c r="GZ343" s="3">
        <v>1</v>
      </c>
      <c r="HA343" s="3">
        <v>1</v>
      </c>
      <c r="HB343" s="3">
        <v>1</v>
      </c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6"/>
      <c r="HT343" s="4">
        <v>0</v>
      </c>
      <c r="HU343" s="3">
        <v>0</v>
      </c>
      <c r="HV343" s="3">
        <v>28</v>
      </c>
      <c r="HW343" s="3">
        <v>28</v>
      </c>
      <c r="HX343" s="3">
        <v>24</v>
      </c>
      <c r="HY343" s="3">
        <v>36</v>
      </c>
      <c r="HZ343" s="3">
        <v>2</v>
      </c>
      <c r="IA343" s="3">
        <v>24</v>
      </c>
      <c r="IB343" s="3">
        <v>0</v>
      </c>
      <c r="IC343" s="3">
        <v>41</v>
      </c>
      <c r="ID343" s="3">
        <v>18</v>
      </c>
      <c r="IE343" s="3">
        <v>0</v>
      </c>
      <c r="IF343" s="3">
        <v>0</v>
      </c>
      <c r="IG343" s="3">
        <v>1</v>
      </c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6"/>
    </row>
    <row r="344" spans="1:258" hidden="1">
      <c r="A344" s="97" t="s">
        <v>25</v>
      </c>
      <c r="B344" s="98" t="s">
        <v>90</v>
      </c>
      <c r="C344" s="98" t="s">
        <v>772</v>
      </c>
      <c r="D344" s="99" t="s">
        <v>1269</v>
      </c>
      <c r="E344" s="98" t="s">
        <v>1004</v>
      </c>
      <c r="F344" s="98" t="s">
        <v>1085</v>
      </c>
      <c r="G344" s="98" t="s">
        <v>797</v>
      </c>
      <c r="H344" s="98" t="s">
        <v>1634</v>
      </c>
      <c r="I344" s="98" t="s">
        <v>1634</v>
      </c>
      <c r="J344" s="98" t="s">
        <v>1274</v>
      </c>
      <c r="K344" s="98" t="s">
        <v>1127</v>
      </c>
      <c r="L344" s="98" t="s">
        <v>798</v>
      </c>
      <c r="M344" s="101" t="s">
        <v>1093</v>
      </c>
      <c r="N344" s="139">
        <v>44880</v>
      </c>
      <c r="O344" s="100">
        <v>1</v>
      </c>
      <c r="P344" s="69">
        <v>0</v>
      </c>
      <c r="Q344" s="69">
        <f t="shared" si="4106"/>
        <v>1</v>
      </c>
      <c r="R344" s="69">
        <f t="shared" si="4175"/>
        <v>1</v>
      </c>
      <c r="S344" s="69">
        <f t="shared" si="4176"/>
        <v>0</v>
      </c>
      <c r="T344" s="69">
        <f t="shared" si="4177"/>
        <v>1</v>
      </c>
      <c r="U344" s="69">
        <f t="shared" si="4178"/>
        <v>1</v>
      </c>
      <c r="V344" s="70">
        <f t="shared" si="4179"/>
        <v>1</v>
      </c>
      <c r="W344" s="71">
        <f t="shared" si="4180"/>
        <v>0</v>
      </c>
      <c r="X344" s="71">
        <f t="shared" si="4181"/>
        <v>1</v>
      </c>
      <c r="Y344" s="71">
        <f t="shared" si="4182"/>
        <v>1</v>
      </c>
      <c r="Z344" s="71">
        <f t="shared" si="4183"/>
        <v>1</v>
      </c>
      <c r="AA344" s="71">
        <f t="shared" si="4184"/>
        <v>1</v>
      </c>
      <c r="AB344" s="71">
        <f t="shared" si="4185"/>
        <v>1</v>
      </c>
      <c r="AC344" s="71">
        <f t="shared" si="4186"/>
        <v>1</v>
      </c>
      <c r="AD344" s="71">
        <f t="shared" si="4187"/>
        <v>0</v>
      </c>
      <c r="AE344" s="71">
        <f t="shared" si="4188"/>
        <v>1</v>
      </c>
      <c r="AF344" s="71">
        <f t="shared" si="4189"/>
        <v>1</v>
      </c>
      <c r="AG344" s="71">
        <f t="shared" si="4190"/>
        <v>1</v>
      </c>
      <c r="AH344" s="71">
        <f t="shared" si="4191"/>
        <v>0</v>
      </c>
      <c r="AI344" s="71">
        <f t="shared" si="4192"/>
        <v>1</v>
      </c>
      <c r="AJ344" s="71">
        <f t="shared" si="4193"/>
        <v>0</v>
      </c>
      <c r="AK344" s="71">
        <f t="shared" si="4194"/>
        <v>0</v>
      </c>
      <c r="AL344" s="71">
        <f t="shared" si="4195"/>
        <v>0</v>
      </c>
      <c r="AM344" s="71">
        <f t="shared" si="4196"/>
        <v>0</v>
      </c>
      <c r="AN344" s="71">
        <f t="shared" si="4197"/>
        <v>0</v>
      </c>
      <c r="AO344" s="71">
        <f t="shared" si="4198"/>
        <v>0</v>
      </c>
      <c r="AP344" s="71">
        <f t="shared" si="4199"/>
        <v>0</v>
      </c>
      <c r="AQ344" s="71">
        <f t="shared" si="4200"/>
        <v>0</v>
      </c>
      <c r="AR344" s="71">
        <f t="shared" si="4201"/>
        <v>0</v>
      </c>
      <c r="AS344" s="71">
        <f t="shared" si="4202"/>
        <v>0</v>
      </c>
      <c r="AT344" s="71">
        <f t="shared" si="4203"/>
        <v>0</v>
      </c>
      <c r="AU344" s="71">
        <f t="shared" si="4204"/>
        <v>0</v>
      </c>
      <c r="AV344" s="71">
        <f t="shared" si="4205"/>
        <v>0</v>
      </c>
      <c r="AW344" s="71">
        <f t="shared" si="4206"/>
        <v>0</v>
      </c>
      <c r="AX344" s="71">
        <f t="shared" si="4207"/>
        <v>0</v>
      </c>
      <c r="AY344" s="71">
        <f t="shared" si="4208"/>
        <v>0</v>
      </c>
      <c r="AZ344" s="72">
        <f t="shared" si="4209"/>
        <v>0</v>
      </c>
      <c r="BA344" s="70">
        <f t="shared" si="4030"/>
        <v>11</v>
      </c>
      <c r="BB344" s="69">
        <f t="shared" ca="1" si="4031"/>
        <v>0.84615384615384615</v>
      </c>
      <c r="BC344" s="70">
        <f t="shared" si="4210"/>
        <v>19</v>
      </c>
      <c r="BD344" s="71">
        <f t="shared" si="4211"/>
        <v>0</v>
      </c>
      <c r="BE344" s="71">
        <f t="shared" si="4212"/>
        <v>36</v>
      </c>
      <c r="BF344" s="71">
        <f t="shared" si="4213"/>
        <v>49</v>
      </c>
      <c r="BG344" s="71">
        <f t="shared" si="4214"/>
        <v>0</v>
      </c>
      <c r="BH344" s="71">
        <f t="shared" si="4215"/>
        <v>53</v>
      </c>
      <c r="BI344" s="71">
        <f t="shared" si="4216"/>
        <v>32</v>
      </c>
      <c r="BJ344" s="71">
        <f t="shared" si="4217"/>
        <v>18</v>
      </c>
      <c r="BK344" s="71">
        <f t="shared" si="4218"/>
        <v>0</v>
      </c>
      <c r="BL344" s="71">
        <f t="shared" si="4219"/>
        <v>25</v>
      </c>
      <c r="BM344" s="71">
        <f t="shared" si="4220"/>
        <v>44</v>
      </c>
      <c r="BN344" s="71">
        <f t="shared" si="4221"/>
        <v>0</v>
      </c>
      <c r="BO344" s="71">
        <f t="shared" si="4222"/>
        <v>18</v>
      </c>
      <c r="BP344" s="71">
        <f t="shared" si="4223"/>
        <v>0</v>
      </c>
      <c r="BQ344" s="71">
        <f t="shared" si="4224"/>
        <v>0</v>
      </c>
      <c r="BR344" s="71">
        <f t="shared" si="4225"/>
        <v>0</v>
      </c>
      <c r="BS344" s="71">
        <f t="shared" si="4226"/>
        <v>0</v>
      </c>
      <c r="BT344" s="71">
        <f t="shared" si="4227"/>
        <v>0</v>
      </c>
      <c r="BU344" s="71">
        <f t="shared" si="4228"/>
        <v>0</v>
      </c>
      <c r="BV344" s="71">
        <f t="shared" si="4229"/>
        <v>0</v>
      </c>
      <c r="BW344" s="71">
        <f t="shared" si="4230"/>
        <v>0</v>
      </c>
      <c r="BX344" s="71">
        <f t="shared" si="4231"/>
        <v>0</v>
      </c>
      <c r="BY344" s="71">
        <f t="shared" si="4232"/>
        <v>0</v>
      </c>
      <c r="BZ344" s="71">
        <f t="shared" si="4233"/>
        <v>0</v>
      </c>
      <c r="CA344" s="71">
        <f t="shared" si="4234"/>
        <v>0</v>
      </c>
      <c r="CB344" s="71">
        <f t="shared" si="4235"/>
        <v>0</v>
      </c>
      <c r="CC344" s="71">
        <f t="shared" si="4236"/>
        <v>0</v>
      </c>
      <c r="CD344" s="71">
        <f t="shared" si="4237"/>
        <v>0</v>
      </c>
      <c r="CE344" s="71">
        <f t="shared" si="4238"/>
        <v>0</v>
      </c>
      <c r="CF344" s="71">
        <f t="shared" si="4239"/>
        <v>0</v>
      </c>
      <c r="CG344" s="71">
        <f t="shared" si="4240"/>
        <v>0</v>
      </c>
      <c r="CH344" s="70">
        <f t="shared" si="4032"/>
        <v>294</v>
      </c>
      <c r="CI344" s="69">
        <f t="shared" ca="1" si="4033"/>
        <v>22.615384615384617</v>
      </c>
      <c r="GM344" s="2" t="s">
        <v>16</v>
      </c>
      <c r="GN344" s="98" t="str">
        <f t="shared" si="4029"/>
        <v>NTH-F-FMCG-SPO-01</v>
      </c>
      <c r="GO344" s="4">
        <v>1</v>
      </c>
      <c r="GP344" s="3">
        <v>0</v>
      </c>
      <c r="GQ344" s="3">
        <v>1</v>
      </c>
      <c r="GR344" s="3">
        <v>1</v>
      </c>
      <c r="GS344" s="3">
        <v>1</v>
      </c>
      <c r="GT344" s="3">
        <v>1</v>
      </c>
      <c r="GU344" s="3">
        <v>1</v>
      </c>
      <c r="GV344" s="3">
        <v>1</v>
      </c>
      <c r="GW344" s="3">
        <v>0</v>
      </c>
      <c r="GX344" s="3">
        <v>1</v>
      </c>
      <c r="GY344" s="3">
        <v>1</v>
      </c>
      <c r="GZ344" s="3">
        <v>1</v>
      </c>
      <c r="HA344" s="3">
        <v>0</v>
      </c>
      <c r="HB344" s="3">
        <v>1</v>
      </c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6"/>
      <c r="HT344" s="4">
        <v>19</v>
      </c>
      <c r="HU344" s="3">
        <v>0</v>
      </c>
      <c r="HV344" s="3">
        <v>36</v>
      </c>
      <c r="HW344" s="3">
        <v>49</v>
      </c>
      <c r="HX344" s="3">
        <v>0</v>
      </c>
      <c r="HY344" s="3">
        <v>53</v>
      </c>
      <c r="HZ344" s="3">
        <v>32</v>
      </c>
      <c r="IA344" s="3">
        <v>18</v>
      </c>
      <c r="IB344" s="3">
        <v>0</v>
      </c>
      <c r="IC344" s="3">
        <v>25</v>
      </c>
      <c r="ID344" s="3">
        <v>44</v>
      </c>
      <c r="IE344" s="3">
        <v>0</v>
      </c>
      <c r="IF344" s="3">
        <v>18</v>
      </c>
      <c r="IG344" s="3">
        <v>0</v>
      </c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6"/>
    </row>
    <row r="345" spans="1:258" hidden="1">
      <c r="A345" s="97" t="s">
        <v>25</v>
      </c>
      <c r="B345" s="98" t="s">
        <v>20</v>
      </c>
      <c r="C345" s="98" t="s">
        <v>772</v>
      </c>
      <c r="D345" s="99" t="s">
        <v>1269</v>
      </c>
      <c r="E345" s="98" t="s">
        <v>1005</v>
      </c>
      <c r="F345" s="98" t="s">
        <v>1086</v>
      </c>
      <c r="G345" s="98" t="s">
        <v>795</v>
      </c>
      <c r="H345" s="98" t="s">
        <v>1635</v>
      </c>
      <c r="I345" s="98" t="s">
        <v>1635</v>
      </c>
      <c r="J345" s="98" t="s">
        <v>1273</v>
      </c>
      <c r="K345" s="98" t="s">
        <v>1127</v>
      </c>
      <c r="L345" s="98" t="s">
        <v>796</v>
      </c>
      <c r="M345" s="98" t="s">
        <v>1093</v>
      </c>
      <c r="N345" s="108">
        <v>44654</v>
      </c>
      <c r="O345" s="100">
        <v>1</v>
      </c>
      <c r="P345" s="69">
        <v>0</v>
      </c>
      <c r="Q345" s="69">
        <f t="shared" si="4106"/>
        <v>1</v>
      </c>
      <c r="R345" s="69">
        <f t="shared" si="4175"/>
        <v>1</v>
      </c>
      <c r="S345" s="69">
        <f t="shared" si="4176"/>
        <v>0</v>
      </c>
      <c r="T345" s="69">
        <f t="shared" si="4177"/>
        <v>1</v>
      </c>
      <c r="U345" s="69">
        <f t="shared" si="4178"/>
        <v>1</v>
      </c>
      <c r="V345" s="70">
        <f t="shared" si="4179"/>
        <v>1</v>
      </c>
      <c r="W345" s="71">
        <f t="shared" si="4180"/>
        <v>0</v>
      </c>
      <c r="X345" s="71">
        <f t="shared" si="4181"/>
        <v>1</v>
      </c>
      <c r="Y345" s="71">
        <f t="shared" si="4182"/>
        <v>1</v>
      </c>
      <c r="Z345" s="71">
        <f t="shared" si="4183"/>
        <v>1</v>
      </c>
      <c r="AA345" s="71">
        <f t="shared" si="4184"/>
        <v>1</v>
      </c>
      <c r="AB345" s="71">
        <f t="shared" si="4185"/>
        <v>1</v>
      </c>
      <c r="AC345" s="71">
        <f t="shared" si="4186"/>
        <v>1</v>
      </c>
      <c r="AD345" s="71">
        <f t="shared" si="4187"/>
        <v>0</v>
      </c>
      <c r="AE345" s="71">
        <f t="shared" si="4188"/>
        <v>1</v>
      </c>
      <c r="AF345" s="71">
        <f t="shared" si="4189"/>
        <v>1</v>
      </c>
      <c r="AG345" s="71">
        <f t="shared" si="4190"/>
        <v>1</v>
      </c>
      <c r="AH345" s="71">
        <f t="shared" si="4191"/>
        <v>1</v>
      </c>
      <c r="AI345" s="71">
        <f t="shared" si="4192"/>
        <v>1</v>
      </c>
      <c r="AJ345" s="71">
        <f t="shared" si="4193"/>
        <v>0</v>
      </c>
      <c r="AK345" s="71">
        <f t="shared" si="4194"/>
        <v>0</v>
      </c>
      <c r="AL345" s="71">
        <f t="shared" si="4195"/>
        <v>0</v>
      </c>
      <c r="AM345" s="71">
        <f t="shared" si="4196"/>
        <v>0</v>
      </c>
      <c r="AN345" s="71">
        <f t="shared" si="4197"/>
        <v>0</v>
      </c>
      <c r="AO345" s="71">
        <f t="shared" si="4198"/>
        <v>0</v>
      </c>
      <c r="AP345" s="71">
        <f t="shared" si="4199"/>
        <v>0</v>
      </c>
      <c r="AQ345" s="71">
        <f t="shared" si="4200"/>
        <v>0</v>
      </c>
      <c r="AR345" s="71">
        <f t="shared" si="4201"/>
        <v>0</v>
      </c>
      <c r="AS345" s="71">
        <f t="shared" si="4202"/>
        <v>0</v>
      </c>
      <c r="AT345" s="71">
        <f t="shared" si="4203"/>
        <v>0</v>
      </c>
      <c r="AU345" s="71">
        <f t="shared" si="4204"/>
        <v>0</v>
      </c>
      <c r="AV345" s="71">
        <f t="shared" si="4205"/>
        <v>0</v>
      </c>
      <c r="AW345" s="71">
        <f t="shared" si="4206"/>
        <v>0</v>
      </c>
      <c r="AX345" s="71">
        <f t="shared" si="4207"/>
        <v>0</v>
      </c>
      <c r="AY345" s="71">
        <f t="shared" si="4208"/>
        <v>0</v>
      </c>
      <c r="AZ345" s="72">
        <f t="shared" si="4209"/>
        <v>0</v>
      </c>
      <c r="BA345" s="70">
        <f t="shared" si="4030"/>
        <v>12</v>
      </c>
      <c r="BB345" s="69">
        <f t="shared" ca="1" si="4031"/>
        <v>0.92307692307692313</v>
      </c>
      <c r="BC345" s="70">
        <f t="shared" si="4210"/>
        <v>26</v>
      </c>
      <c r="BD345" s="71">
        <f t="shared" si="4211"/>
        <v>0</v>
      </c>
      <c r="BE345" s="71">
        <f t="shared" si="4212"/>
        <v>16</v>
      </c>
      <c r="BF345" s="71">
        <f t="shared" si="4213"/>
        <v>18</v>
      </c>
      <c r="BG345" s="71">
        <f t="shared" si="4214"/>
        <v>33</v>
      </c>
      <c r="BH345" s="71">
        <f t="shared" si="4215"/>
        <v>35</v>
      </c>
      <c r="BI345" s="71">
        <f t="shared" si="4216"/>
        <v>17</v>
      </c>
      <c r="BJ345" s="71">
        <f t="shared" si="4217"/>
        <v>29</v>
      </c>
      <c r="BK345" s="71">
        <f t="shared" si="4218"/>
        <v>0</v>
      </c>
      <c r="BL345" s="71">
        <f t="shared" si="4219"/>
        <v>43</v>
      </c>
      <c r="BM345" s="71">
        <f t="shared" si="4220"/>
        <v>0</v>
      </c>
      <c r="BN345" s="71">
        <f t="shared" si="4221"/>
        <v>0</v>
      </c>
      <c r="BO345" s="71">
        <f t="shared" si="4222"/>
        <v>25</v>
      </c>
      <c r="BP345" s="71">
        <f t="shared" si="4223"/>
        <v>0</v>
      </c>
      <c r="BQ345" s="71">
        <f t="shared" si="4224"/>
        <v>0</v>
      </c>
      <c r="BR345" s="71">
        <f t="shared" si="4225"/>
        <v>0</v>
      </c>
      <c r="BS345" s="71">
        <f t="shared" si="4226"/>
        <v>0</v>
      </c>
      <c r="BT345" s="71">
        <f t="shared" si="4227"/>
        <v>0</v>
      </c>
      <c r="BU345" s="71">
        <f t="shared" si="4228"/>
        <v>0</v>
      </c>
      <c r="BV345" s="71">
        <f t="shared" si="4229"/>
        <v>0</v>
      </c>
      <c r="BW345" s="71">
        <f t="shared" si="4230"/>
        <v>0</v>
      </c>
      <c r="BX345" s="71">
        <f t="shared" si="4231"/>
        <v>0</v>
      </c>
      <c r="BY345" s="71">
        <f t="shared" si="4232"/>
        <v>0</v>
      </c>
      <c r="BZ345" s="71">
        <f t="shared" si="4233"/>
        <v>0</v>
      </c>
      <c r="CA345" s="71">
        <f t="shared" si="4234"/>
        <v>0</v>
      </c>
      <c r="CB345" s="71">
        <f t="shared" si="4235"/>
        <v>0</v>
      </c>
      <c r="CC345" s="71">
        <f t="shared" si="4236"/>
        <v>0</v>
      </c>
      <c r="CD345" s="71">
        <f t="shared" si="4237"/>
        <v>0</v>
      </c>
      <c r="CE345" s="71">
        <f t="shared" si="4238"/>
        <v>0</v>
      </c>
      <c r="CF345" s="71">
        <f t="shared" si="4239"/>
        <v>0</v>
      </c>
      <c r="CG345" s="71">
        <f t="shared" si="4240"/>
        <v>0</v>
      </c>
      <c r="CH345" s="70">
        <f t="shared" si="4032"/>
        <v>242</v>
      </c>
      <c r="CI345" s="69">
        <f t="shared" ca="1" si="4033"/>
        <v>18.615384615384617</v>
      </c>
      <c r="GM345" s="2" t="s">
        <v>16</v>
      </c>
      <c r="GN345" s="98" t="str">
        <f t="shared" si="4029"/>
        <v>NTH-F-FMCG03-SPO-01</v>
      </c>
      <c r="GO345" s="4">
        <v>1</v>
      </c>
      <c r="GP345" s="3">
        <v>0</v>
      </c>
      <c r="GQ345" s="3">
        <v>1</v>
      </c>
      <c r="GR345" s="3">
        <v>1</v>
      </c>
      <c r="GS345" s="3">
        <v>1</v>
      </c>
      <c r="GT345" s="3">
        <v>1</v>
      </c>
      <c r="GU345" s="3">
        <v>1</v>
      </c>
      <c r="GV345" s="3">
        <v>1</v>
      </c>
      <c r="GW345" s="3">
        <v>0</v>
      </c>
      <c r="GX345" s="3">
        <v>1</v>
      </c>
      <c r="GY345" s="3">
        <v>1</v>
      </c>
      <c r="GZ345" s="3">
        <v>1</v>
      </c>
      <c r="HA345" s="3">
        <v>1</v>
      </c>
      <c r="HB345" s="3">
        <v>1</v>
      </c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6"/>
      <c r="HT345" s="4">
        <v>26</v>
      </c>
      <c r="HU345" s="3">
        <v>0</v>
      </c>
      <c r="HV345" s="3">
        <v>16</v>
      </c>
      <c r="HW345" s="3">
        <v>18</v>
      </c>
      <c r="HX345" s="3">
        <v>33</v>
      </c>
      <c r="HY345" s="3">
        <v>35</v>
      </c>
      <c r="HZ345" s="3">
        <v>17</v>
      </c>
      <c r="IA345" s="3">
        <v>29</v>
      </c>
      <c r="IB345" s="3">
        <v>0</v>
      </c>
      <c r="IC345" s="3">
        <v>43</v>
      </c>
      <c r="ID345" s="3">
        <v>0</v>
      </c>
      <c r="IE345" s="3">
        <v>0</v>
      </c>
      <c r="IF345" s="3">
        <v>25</v>
      </c>
      <c r="IG345" s="3">
        <v>0</v>
      </c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6"/>
    </row>
    <row r="346" spans="1:258" hidden="1">
      <c r="A346" s="97" t="s">
        <v>1287</v>
      </c>
      <c r="B346" s="98" t="s">
        <v>20</v>
      </c>
      <c r="C346" s="98" t="s">
        <v>772</v>
      </c>
      <c r="D346" s="99" t="s">
        <v>1269</v>
      </c>
      <c r="E346" s="98" t="s">
        <v>1275</v>
      </c>
      <c r="F346" s="98" t="s">
        <v>1275</v>
      </c>
      <c r="G346" s="113" t="s">
        <v>1396</v>
      </c>
      <c r="H346" s="98" t="s">
        <v>1636</v>
      </c>
      <c r="I346" s="98" t="s">
        <v>1636</v>
      </c>
      <c r="J346" s="98" t="s">
        <v>1273</v>
      </c>
      <c r="K346" s="98" t="s">
        <v>1099</v>
      </c>
      <c r="L346" s="98" t="s">
        <v>1099</v>
      </c>
      <c r="M346" s="101" t="s">
        <v>1099</v>
      </c>
      <c r="N346" s="108" t="s">
        <v>1099</v>
      </c>
      <c r="O346" s="100">
        <v>0</v>
      </c>
      <c r="P346" s="69">
        <v>0</v>
      </c>
      <c r="Q346" s="69">
        <f t="shared" si="4106"/>
        <v>0</v>
      </c>
      <c r="R346" s="69">
        <f t="shared" si="4175"/>
        <v>0</v>
      </c>
      <c r="S346" s="69">
        <f t="shared" si="4176"/>
        <v>0</v>
      </c>
      <c r="T346" s="69">
        <f t="shared" si="4177"/>
        <v>0</v>
      </c>
      <c r="U346" s="69">
        <f t="shared" si="4178"/>
        <v>0</v>
      </c>
      <c r="V346" s="70">
        <f t="shared" si="4179"/>
        <v>0</v>
      </c>
      <c r="W346" s="71">
        <f t="shared" si="4180"/>
        <v>0</v>
      </c>
      <c r="X346" s="71">
        <f t="shared" si="4181"/>
        <v>0</v>
      </c>
      <c r="Y346" s="71">
        <f t="shared" si="4182"/>
        <v>0</v>
      </c>
      <c r="Z346" s="71">
        <f t="shared" si="4183"/>
        <v>0</v>
      </c>
      <c r="AA346" s="71">
        <f t="shared" si="4184"/>
        <v>0</v>
      </c>
      <c r="AB346" s="71">
        <f t="shared" si="4185"/>
        <v>0</v>
      </c>
      <c r="AC346" s="71">
        <f t="shared" si="4186"/>
        <v>0</v>
      </c>
      <c r="AD346" s="71">
        <f t="shared" si="4187"/>
        <v>0</v>
      </c>
      <c r="AE346" s="71">
        <f t="shared" si="4188"/>
        <v>0</v>
      </c>
      <c r="AF346" s="71">
        <f t="shared" si="4189"/>
        <v>0</v>
      </c>
      <c r="AG346" s="71">
        <f t="shared" si="4190"/>
        <v>0</v>
      </c>
      <c r="AH346" s="71">
        <f t="shared" si="4191"/>
        <v>0</v>
      </c>
      <c r="AI346" s="71">
        <f t="shared" si="4192"/>
        <v>0</v>
      </c>
      <c r="AJ346" s="71">
        <f t="shared" si="4193"/>
        <v>0</v>
      </c>
      <c r="AK346" s="71">
        <f t="shared" si="4194"/>
        <v>0</v>
      </c>
      <c r="AL346" s="71">
        <f t="shared" si="4195"/>
        <v>0</v>
      </c>
      <c r="AM346" s="71">
        <f t="shared" si="4196"/>
        <v>0</v>
      </c>
      <c r="AN346" s="71">
        <f t="shared" si="4197"/>
        <v>0</v>
      </c>
      <c r="AO346" s="71">
        <f t="shared" si="4198"/>
        <v>0</v>
      </c>
      <c r="AP346" s="71">
        <f t="shared" si="4199"/>
        <v>0</v>
      </c>
      <c r="AQ346" s="71">
        <f t="shared" si="4200"/>
        <v>0</v>
      </c>
      <c r="AR346" s="71">
        <f t="shared" si="4201"/>
        <v>0</v>
      </c>
      <c r="AS346" s="71">
        <f t="shared" si="4202"/>
        <v>0</v>
      </c>
      <c r="AT346" s="71">
        <f t="shared" si="4203"/>
        <v>0</v>
      </c>
      <c r="AU346" s="71">
        <f t="shared" si="4204"/>
        <v>0</v>
      </c>
      <c r="AV346" s="71">
        <f t="shared" si="4205"/>
        <v>0</v>
      </c>
      <c r="AW346" s="71">
        <f t="shared" si="4206"/>
        <v>0</v>
      </c>
      <c r="AX346" s="71">
        <f t="shared" si="4207"/>
        <v>0</v>
      </c>
      <c r="AY346" s="71">
        <f t="shared" si="4208"/>
        <v>0</v>
      </c>
      <c r="AZ346" s="72">
        <f t="shared" si="4209"/>
        <v>0</v>
      </c>
      <c r="BA346" s="70">
        <f t="shared" si="4030"/>
        <v>0</v>
      </c>
      <c r="BB346" s="69">
        <f t="shared" ca="1" si="4031"/>
        <v>0</v>
      </c>
      <c r="BC346" s="70">
        <f t="shared" si="4210"/>
        <v>0</v>
      </c>
      <c r="BD346" s="71">
        <f t="shared" si="4211"/>
        <v>0</v>
      </c>
      <c r="BE346" s="71">
        <f t="shared" si="4212"/>
        <v>0</v>
      </c>
      <c r="BF346" s="71">
        <f t="shared" si="4213"/>
        <v>0</v>
      </c>
      <c r="BG346" s="71">
        <f t="shared" si="4214"/>
        <v>0</v>
      </c>
      <c r="BH346" s="71">
        <f t="shared" si="4215"/>
        <v>0</v>
      </c>
      <c r="BI346" s="71">
        <f t="shared" si="4216"/>
        <v>0</v>
      </c>
      <c r="BJ346" s="71">
        <f t="shared" si="4217"/>
        <v>0</v>
      </c>
      <c r="BK346" s="71">
        <f t="shared" si="4218"/>
        <v>0</v>
      </c>
      <c r="BL346" s="71">
        <f t="shared" si="4219"/>
        <v>0</v>
      </c>
      <c r="BM346" s="71">
        <f t="shared" si="4220"/>
        <v>0</v>
      </c>
      <c r="BN346" s="71">
        <f t="shared" si="4221"/>
        <v>0</v>
      </c>
      <c r="BO346" s="71">
        <f t="shared" si="4222"/>
        <v>0</v>
      </c>
      <c r="BP346" s="71">
        <f t="shared" si="4223"/>
        <v>0</v>
      </c>
      <c r="BQ346" s="71">
        <f t="shared" si="4224"/>
        <v>0</v>
      </c>
      <c r="BR346" s="71">
        <f t="shared" si="4225"/>
        <v>0</v>
      </c>
      <c r="BS346" s="71">
        <f t="shared" si="4226"/>
        <v>0</v>
      </c>
      <c r="BT346" s="71">
        <f t="shared" si="4227"/>
        <v>0</v>
      </c>
      <c r="BU346" s="71">
        <f t="shared" si="4228"/>
        <v>0</v>
      </c>
      <c r="BV346" s="71">
        <f t="shared" si="4229"/>
        <v>0</v>
      </c>
      <c r="BW346" s="71">
        <f t="shared" si="4230"/>
        <v>0</v>
      </c>
      <c r="BX346" s="71">
        <f t="shared" si="4231"/>
        <v>0</v>
      </c>
      <c r="BY346" s="71">
        <f t="shared" si="4232"/>
        <v>0</v>
      </c>
      <c r="BZ346" s="71">
        <f t="shared" si="4233"/>
        <v>0</v>
      </c>
      <c r="CA346" s="71">
        <f t="shared" si="4234"/>
        <v>0</v>
      </c>
      <c r="CB346" s="71">
        <f t="shared" si="4235"/>
        <v>0</v>
      </c>
      <c r="CC346" s="71">
        <f t="shared" si="4236"/>
        <v>0</v>
      </c>
      <c r="CD346" s="71">
        <f t="shared" si="4237"/>
        <v>0</v>
      </c>
      <c r="CE346" s="71">
        <f t="shared" si="4238"/>
        <v>0</v>
      </c>
      <c r="CF346" s="71">
        <f t="shared" si="4239"/>
        <v>0</v>
      </c>
      <c r="CG346" s="71">
        <f t="shared" si="4240"/>
        <v>0</v>
      </c>
      <c r="CH346" s="70">
        <f t="shared" si="4032"/>
        <v>0</v>
      </c>
      <c r="CI346" s="69">
        <f t="shared" ca="1" si="4033"/>
        <v>0</v>
      </c>
      <c r="GM346" s="2" t="s">
        <v>16</v>
      </c>
      <c r="GN346" s="98" t="str">
        <f t="shared" si="4029"/>
        <v>NTH-F-FMCG-RSM-00</v>
      </c>
      <c r="GO346" s="4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6"/>
      <c r="HT346" s="4">
        <v>0</v>
      </c>
      <c r="HU346" s="3">
        <v>0</v>
      </c>
      <c r="HV346" s="3">
        <v>0</v>
      </c>
      <c r="HW346" s="3">
        <v>0</v>
      </c>
      <c r="HX346" s="3">
        <v>0</v>
      </c>
      <c r="HY346" s="3">
        <v>0</v>
      </c>
      <c r="HZ346" s="3">
        <v>0</v>
      </c>
      <c r="IA346" s="3">
        <v>0</v>
      </c>
      <c r="IB346" s="3">
        <v>0</v>
      </c>
      <c r="IC346" s="3">
        <v>0</v>
      </c>
      <c r="ID346" s="3">
        <v>0</v>
      </c>
      <c r="IE346" s="3">
        <v>0</v>
      </c>
      <c r="IF346" s="3">
        <v>0</v>
      </c>
      <c r="IG346" s="3">
        <v>0</v>
      </c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6"/>
    </row>
    <row r="347" spans="1:258" hidden="1">
      <c r="A347" s="97" t="s">
        <v>158</v>
      </c>
      <c r="B347" s="98" t="s">
        <v>20</v>
      </c>
      <c r="C347" s="98" t="s">
        <v>772</v>
      </c>
      <c r="D347" s="99" t="s">
        <v>1269</v>
      </c>
      <c r="E347" s="98" t="s">
        <v>811</v>
      </c>
      <c r="F347" s="98" t="s">
        <v>812</v>
      </c>
      <c r="G347" s="98" t="str">
        <f>G348</f>
        <v>01125</v>
      </c>
      <c r="H347" s="98" t="s">
        <v>1637</v>
      </c>
      <c r="I347" s="98" t="s">
        <v>1637</v>
      </c>
      <c r="J347" s="98" t="s">
        <v>1273</v>
      </c>
      <c r="K347" s="98" t="s">
        <v>1127</v>
      </c>
      <c r="L347" s="98" t="s">
        <v>799</v>
      </c>
      <c r="M347" s="101" t="s">
        <v>52</v>
      </c>
      <c r="N347" s="108">
        <v>44064</v>
      </c>
      <c r="O347" s="100">
        <v>0</v>
      </c>
      <c r="P347" s="69">
        <v>0</v>
      </c>
      <c r="Q347" s="69">
        <f t="shared" si="4106"/>
        <v>0</v>
      </c>
      <c r="R347" s="69">
        <f t="shared" si="4175"/>
        <v>0</v>
      </c>
      <c r="S347" s="69">
        <f t="shared" si="4176"/>
        <v>0</v>
      </c>
      <c r="T347" s="69">
        <f t="shared" si="4177"/>
        <v>0</v>
      </c>
      <c r="U347" s="69">
        <f t="shared" si="4178"/>
        <v>0</v>
      </c>
      <c r="V347" s="70">
        <f t="shared" si="4179"/>
        <v>0</v>
      </c>
      <c r="W347" s="71">
        <f t="shared" si="4180"/>
        <v>0</v>
      </c>
      <c r="X347" s="71">
        <f t="shared" si="4181"/>
        <v>0</v>
      </c>
      <c r="Y347" s="71">
        <f t="shared" si="4182"/>
        <v>0</v>
      </c>
      <c r="Z347" s="71">
        <f t="shared" si="4183"/>
        <v>0</v>
      </c>
      <c r="AA347" s="71">
        <f t="shared" si="4184"/>
        <v>0</v>
      </c>
      <c r="AB347" s="71">
        <f t="shared" si="4185"/>
        <v>0</v>
      </c>
      <c r="AC347" s="71">
        <f t="shared" si="4186"/>
        <v>0</v>
      </c>
      <c r="AD347" s="71">
        <f t="shared" si="4187"/>
        <v>0</v>
      </c>
      <c r="AE347" s="71">
        <f t="shared" si="4188"/>
        <v>0</v>
      </c>
      <c r="AF347" s="71">
        <f t="shared" si="4189"/>
        <v>0</v>
      </c>
      <c r="AG347" s="71">
        <f t="shared" si="4190"/>
        <v>0</v>
      </c>
      <c r="AH347" s="71">
        <f t="shared" si="4191"/>
        <v>0</v>
      </c>
      <c r="AI347" s="71">
        <f t="shared" si="4192"/>
        <v>0</v>
      </c>
      <c r="AJ347" s="71">
        <f t="shared" si="4193"/>
        <v>0</v>
      </c>
      <c r="AK347" s="71">
        <f t="shared" si="4194"/>
        <v>0</v>
      </c>
      <c r="AL347" s="71">
        <f t="shared" si="4195"/>
        <v>0</v>
      </c>
      <c r="AM347" s="71">
        <f t="shared" si="4196"/>
        <v>0</v>
      </c>
      <c r="AN347" s="71">
        <f t="shared" si="4197"/>
        <v>0</v>
      </c>
      <c r="AO347" s="71">
        <f t="shared" si="4198"/>
        <v>0</v>
      </c>
      <c r="AP347" s="71">
        <f t="shared" si="4199"/>
        <v>0</v>
      </c>
      <c r="AQ347" s="71">
        <f t="shared" si="4200"/>
        <v>0</v>
      </c>
      <c r="AR347" s="71">
        <f t="shared" si="4201"/>
        <v>0</v>
      </c>
      <c r="AS347" s="71">
        <f t="shared" si="4202"/>
        <v>0</v>
      </c>
      <c r="AT347" s="71">
        <f t="shared" si="4203"/>
        <v>0</v>
      </c>
      <c r="AU347" s="71">
        <f t="shared" si="4204"/>
        <v>0</v>
      </c>
      <c r="AV347" s="71">
        <f t="shared" si="4205"/>
        <v>0</v>
      </c>
      <c r="AW347" s="71">
        <f t="shared" si="4206"/>
        <v>0</v>
      </c>
      <c r="AX347" s="71">
        <f t="shared" si="4207"/>
        <v>0</v>
      </c>
      <c r="AY347" s="71">
        <f t="shared" si="4208"/>
        <v>0</v>
      </c>
      <c r="AZ347" s="72">
        <f t="shared" si="4209"/>
        <v>0</v>
      </c>
      <c r="BA347" s="70">
        <f t="shared" si="4030"/>
        <v>0</v>
      </c>
      <c r="BB347" s="69">
        <f t="shared" ca="1" si="4031"/>
        <v>0</v>
      </c>
      <c r="BC347" s="70">
        <f t="shared" si="4210"/>
        <v>0</v>
      </c>
      <c r="BD347" s="71">
        <f t="shared" si="4211"/>
        <v>0</v>
      </c>
      <c r="BE347" s="71">
        <f t="shared" si="4212"/>
        <v>0</v>
      </c>
      <c r="BF347" s="71">
        <f t="shared" si="4213"/>
        <v>0</v>
      </c>
      <c r="BG347" s="71">
        <f t="shared" si="4214"/>
        <v>0</v>
      </c>
      <c r="BH347" s="71">
        <f t="shared" si="4215"/>
        <v>0</v>
      </c>
      <c r="BI347" s="71">
        <f t="shared" si="4216"/>
        <v>0</v>
      </c>
      <c r="BJ347" s="71">
        <f t="shared" si="4217"/>
        <v>0</v>
      </c>
      <c r="BK347" s="71">
        <f t="shared" si="4218"/>
        <v>0</v>
      </c>
      <c r="BL347" s="71">
        <f t="shared" si="4219"/>
        <v>0</v>
      </c>
      <c r="BM347" s="71">
        <f t="shared" si="4220"/>
        <v>0</v>
      </c>
      <c r="BN347" s="71">
        <f t="shared" si="4221"/>
        <v>0</v>
      </c>
      <c r="BO347" s="71">
        <f t="shared" si="4222"/>
        <v>0</v>
      </c>
      <c r="BP347" s="71">
        <f t="shared" si="4223"/>
        <v>0</v>
      </c>
      <c r="BQ347" s="71">
        <f t="shared" si="4224"/>
        <v>0</v>
      </c>
      <c r="BR347" s="71">
        <f t="shared" si="4225"/>
        <v>0</v>
      </c>
      <c r="BS347" s="71">
        <f t="shared" si="4226"/>
        <v>0</v>
      </c>
      <c r="BT347" s="71">
        <f t="shared" si="4227"/>
        <v>0</v>
      </c>
      <c r="BU347" s="71">
        <f t="shared" si="4228"/>
        <v>0</v>
      </c>
      <c r="BV347" s="71">
        <f t="shared" si="4229"/>
        <v>0</v>
      </c>
      <c r="BW347" s="71">
        <f t="shared" si="4230"/>
        <v>0</v>
      </c>
      <c r="BX347" s="71">
        <f t="shared" si="4231"/>
        <v>0</v>
      </c>
      <c r="BY347" s="71">
        <f t="shared" si="4232"/>
        <v>0</v>
      </c>
      <c r="BZ347" s="71">
        <f t="shared" si="4233"/>
        <v>0</v>
      </c>
      <c r="CA347" s="71">
        <f t="shared" si="4234"/>
        <v>0</v>
      </c>
      <c r="CB347" s="71">
        <f t="shared" si="4235"/>
        <v>0</v>
      </c>
      <c r="CC347" s="71">
        <f t="shared" si="4236"/>
        <v>0</v>
      </c>
      <c r="CD347" s="71">
        <f t="shared" si="4237"/>
        <v>0</v>
      </c>
      <c r="CE347" s="71">
        <f t="shared" si="4238"/>
        <v>0</v>
      </c>
      <c r="CF347" s="71">
        <f t="shared" si="4239"/>
        <v>0</v>
      </c>
      <c r="CG347" s="71">
        <f t="shared" si="4240"/>
        <v>0</v>
      </c>
      <c r="CH347" s="70">
        <f t="shared" si="4032"/>
        <v>0</v>
      </c>
      <c r="CI347" s="69">
        <f t="shared" ca="1" si="4033"/>
        <v>0</v>
      </c>
      <c r="GM347" s="2" t="s">
        <v>16</v>
      </c>
      <c r="GN347" s="98" t="str">
        <f t="shared" si="4029"/>
        <v>NTH-F-FMCG-RSM-01</v>
      </c>
      <c r="GO347" s="4">
        <v>0</v>
      </c>
      <c r="GP347" s="3">
        <v>0</v>
      </c>
      <c r="GQ347" s="3">
        <v>0</v>
      </c>
      <c r="GR347" s="3">
        <v>0</v>
      </c>
      <c r="GS347" s="3">
        <v>0</v>
      </c>
      <c r="GT347" s="3">
        <v>0</v>
      </c>
      <c r="GU347" s="3">
        <v>0</v>
      </c>
      <c r="GV347" s="3">
        <v>0</v>
      </c>
      <c r="GW347" s="3">
        <v>0</v>
      </c>
      <c r="GX347" s="3">
        <v>0</v>
      </c>
      <c r="GY347" s="3">
        <v>0</v>
      </c>
      <c r="GZ347" s="3">
        <v>0</v>
      </c>
      <c r="HA347" s="3">
        <v>0</v>
      </c>
      <c r="HB347" s="3">
        <v>0</v>
      </c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6"/>
      <c r="HT347" s="4">
        <v>0</v>
      </c>
      <c r="HU347" s="3">
        <v>0</v>
      </c>
      <c r="HV347" s="3">
        <v>0</v>
      </c>
      <c r="HW347" s="3">
        <v>0</v>
      </c>
      <c r="HX347" s="3">
        <v>0</v>
      </c>
      <c r="HY347" s="3">
        <v>0</v>
      </c>
      <c r="HZ347" s="3">
        <v>0</v>
      </c>
      <c r="IA347" s="3">
        <v>0</v>
      </c>
      <c r="IB347" s="3">
        <v>0</v>
      </c>
      <c r="IC347" s="3">
        <v>0</v>
      </c>
      <c r="ID347" s="3">
        <v>0</v>
      </c>
      <c r="IE347" s="3">
        <v>0</v>
      </c>
      <c r="IF347" s="3">
        <v>0</v>
      </c>
      <c r="IG347" s="3">
        <v>0</v>
      </c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6"/>
    </row>
    <row r="348" spans="1:258" hidden="1">
      <c r="A348" s="102" t="s">
        <v>158</v>
      </c>
      <c r="B348" s="103" t="s">
        <v>20</v>
      </c>
      <c r="C348" s="103" t="s">
        <v>772</v>
      </c>
      <c r="D348" s="104" t="s">
        <v>1269</v>
      </c>
      <c r="E348" s="103" t="s">
        <v>811</v>
      </c>
      <c r="F348" s="103" t="s">
        <v>812</v>
      </c>
      <c r="G348" s="120" t="s">
        <v>1395</v>
      </c>
      <c r="H348" s="103" t="s">
        <v>1637</v>
      </c>
      <c r="I348" s="103" t="s">
        <v>1637</v>
      </c>
      <c r="J348" s="103" t="s">
        <v>1273</v>
      </c>
      <c r="K348" s="103" t="s">
        <v>1127</v>
      </c>
      <c r="L348" s="103" t="s">
        <v>799</v>
      </c>
      <c r="M348" s="103" t="s">
        <v>52</v>
      </c>
      <c r="N348" s="119">
        <v>44064</v>
      </c>
      <c r="O348" s="105">
        <f>O346+O345+O344+O343+O342+O341+O340</f>
        <v>6</v>
      </c>
      <c r="P348" s="73">
        <f>P346+P345+P344+P343+P342+P341+P340</f>
        <v>0</v>
      </c>
      <c r="Q348" s="73">
        <f t="shared" si="4106"/>
        <v>1</v>
      </c>
      <c r="R348" s="73">
        <f t="shared" ref="R348:AZ348" si="4241">R346+R345+R344+R343+R342+R341+R340</f>
        <v>6</v>
      </c>
      <c r="S348" s="73">
        <f t="shared" si="4241"/>
        <v>3</v>
      </c>
      <c r="T348" s="73">
        <f t="shared" si="4241"/>
        <v>6</v>
      </c>
      <c r="U348" s="73">
        <f t="shared" si="4241"/>
        <v>6</v>
      </c>
      <c r="V348" s="74">
        <f t="shared" si="4241"/>
        <v>6</v>
      </c>
      <c r="W348" s="75">
        <f t="shared" si="4241"/>
        <v>0</v>
      </c>
      <c r="X348" s="75">
        <f t="shared" si="4241"/>
        <v>6</v>
      </c>
      <c r="Y348" s="75">
        <f t="shared" si="4241"/>
        <v>6</v>
      </c>
      <c r="Z348" s="75">
        <f t="shared" si="4241"/>
        <v>6</v>
      </c>
      <c r="AA348" s="75">
        <f t="shared" si="4241"/>
        <v>6</v>
      </c>
      <c r="AB348" s="75">
        <f t="shared" si="4241"/>
        <v>6</v>
      </c>
      <c r="AC348" s="75">
        <f t="shared" si="4241"/>
        <v>6</v>
      </c>
      <c r="AD348" s="75">
        <f t="shared" si="4241"/>
        <v>0</v>
      </c>
      <c r="AE348" s="75">
        <f t="shared" si="4241"/>
        <v>6</v>
      </c>
      <c r="AF348" s="75">
        <f t="shared" si="4241"/>
        <v>6</v>
      </c>
      <c r="AG348" s="75">
        <f t="shared" si="4241"/>
        <v>6</v>
      </c>
      <c r="AH348" s="75">
        <f t="shared" si="4241"/>
        <v>5</v>
      </c>
      <c r="AI348" s="75">
        <f t="shared" si="4241"/>
        <v>6</v>
      </c>
      <c r="AJ348" s="75">
        <f t="shared" si="4241"/>
        <v>0</v>
      </c>
      <c r="AK348" s="75">
        <f t="shared" si="4241"/>
        <v>0</v>
      </c>
      <c r="AL348" s="75">
        <f t="shared" si="4241"/>
        <v>0</v>
      </c>
      <c r="AM348" s="75">
        <f t="shared" si="4241"/>
        <v>0</v>
      </c>
      <c r="AN348" s="75">
        <f t="shared" si="4241"/>
        <v>0</v>
      </c>
      <c r="AO348" s="75">
        <f t="shared" si="4241"/>
        <v>0</v>
      </c>
      <c r="AP348" s="75">
        <f t="shared" si="4241"/>
        <v>0</v>
      </c>
      <c r="AQ348" s="75">
        <f t="shared" si="4241"/>
        <v>0</v>
      </c>
      <c r="AR348" s="75">
        <f t="shared" si="4241"/>
        <v>0</v>
      </c>
      <c r="AS348" s="75">
        <f t="shared" si="4241"/>
        <v>0</v>
      </c>
      <c r="AT348" s="75">
        <f t="shared" si="4241"/>
        <v>0</v>
      </c>
      <c r="AU348" s="75">
        <f t="shared" si="4241"/>
        <v>0</v>
      </c>
      <c r="AV348" s="75">
        <f t="shared" si="4241"/>
        <v>0</v>
      </c>
      <c r="AW348" s="75">
        <f t="shared" si="4241"/>
        <v>0</v>
      </c>
      <c r="AX348" s="75">
        <f t="shared" si="4241"/>
        <v>0</v>
      </c>
      <c r="AY348" s="75">
        <f t="shared" si="4241"/>
        <v>0</v>
      </c>
      <c r="AZ348" s="76">
        <f t="shared" si="4241"/>
        <v>0</v>
      </c>
      <c r="BA348" s="74">
        <f t="shared" si="4030"/>
        <v>71</v>
      </c>
      <c r="BB348" s="73">
        <f t="shared" ca="1" si="4031"/>
        <v>0.91025641025641024</v>
      </c>
      <c r="BC348" s="74">
        <f>BC346+BC345+BC344+BC343+BC342+BC341+BC340</f>
        <v>121</v>
      </c>
      <c r="BD348" s="75">
        <f t="shared" ref="BD348:CG348" si="4242">BD346+BD345++BD344+BD343+BD342+BD341+BD340</f>
        <v>0</v>
      </c>
      <c r="BE348" s="75">
        <f t="shared" si="4242"/>
        <v>92</v>
      </c>
      <c r="BF348" s="75">
        <f t="shared" si="4242"/>
        <v>126</v>
      </c>
      <c r="BG348" s="75">
        <f t="shared" si="4242"/>
        <v>182</v>
      </c>
      <c r="BH348" s="75">
        <f t="shared" si="4242"/>
        <v>256</v>
      </c>
      <c r="BI348" s="75">
        <f t="shared" si="4242"/>
        <v>153</v>
      </c>
      <c r="BJ348" s="75">
        <f t="shared" si="4242"/>
        <v>143</v>
      </c>
      <c r="BK348" s="75">
        <f t="shared" si="4242"/>
        <v>0</v>
      </c>
      <c r="BL348" s="75">
        <f t="shared" si="4242"/>
        <v>229</v>
      </c>
      <c r="BM348" s="75">
        <f t="shared" si="4242"/>
        <v>120</v>
      </c>
      <c r="BN348" s="75">
        <f t="shared" si="4242"/>
        <v>74</v>
      </c>
      <c r="BO348" s="75">
        <f t="shared" si="4242"/>
        <v>121</v>
      </c>
      <c r="BP348" s="75">
        <f t="shared" si="4242"/>
        <v>7</v>
      </c>
      <c r="BQ348" s="75">
        <f t="shared" si="4242"/>
        <v>0</v>
      </c>
      <c r="BR348" s="75">
        <f t="shared" si="4242"/>
        <v>0</v>
      </c>
      <c r="BS348" s="75">
        <f t="shared" si="4242"/>
        <v>0</v>
      </c>
      <c r="BT348" s="75">
        <f t="shared" si="4242"/>
        <v>0</v>
      </c>
      <c r="BU348" s="75">
        <f t="shared" si="4242"/>
        <v>0</v>
      </c>
      <c r="BV348" s="75">
        <f t="shared" si="4242"/>
        <v>0</v>
      </c>
      <c r="BW348" s="75">
        <f t="shared" si="4242"/>
        <v>0</v>
      </c>
      <c r="BX348" s="75">
        <f t="shared" si="4242"/>
        <v>0</v>
      </c>
      <c r="BY348" s="75">
        <f t="shared" si="4242"/>
        <v>0</v>
      </c>
      <c r="BZ348" s="75">
        <f t="shared" si="4242"/>
        <v>0</v>
      </c>
      <c r="CA348" s="75">
        <f t="shared" si="4242"/>
        <v>0</v>
      </c>
      <c r="CB348" s="75">
        <f t="shared" si="4242"/>
        <v>0</v>
      </c>
      <c r="CC348" s="75">
        <f t="shared" si="4242"/>
        <v>0</v>
      </c>
      <c r="CD348" s="75">
        <f t="shared" si="4242"/>
        <v>0</v>
      </c>
      <c r="CE348" s="75">
        <f t="shared" si="4242"/>
        <v>0</v>
      </c>
      <c r="CF348" s="75">
        <f t="shared" si="4242"/>
        <v>0</v>
      </c>
      <c r="CG348" s="75">
        <f t="shared" si="4242"/>
        <v>0</v>
      </c>
      <c r="CH348" s="74">
        <f t="shared" si="4032"/>
        <v>1624</v>
      </c>
      <c r="CI348" s="73">
        <f t="shared" ca="1" si="4033"/>
        <v>20.820512820512821</v>
      </c>
      <c r="GM348" s="2" t="s">
        <v>17</v>
      </c>
      <c r="GN348" s="103" t="str">
        <f t="shared" si="4029"/>
        <v>NTH-F-FMCG-RSM-01</v>
      </c>
      <c r="GO348" s="4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6"/>
      <c r="HT348" s="4">
        <v>0</v>
      </c>
      <c r="HU348" s="3">
        <v>0</v>
      </c>
      <c r="HV348" s="3">
        <v>0</v>
      </c>
      <c r="HW348" s="3">
        <v>0</v>
      </c>
      <c r="HX348" s="3">
        <v>0</v>
      </c>
      <c r="HY348" s="3">
        <v>0</v>
      </c>
      <c r="HZ348" s="3">
        <v>0</v>
      </c>
      <c r="IA348" s="3">
        <v>0</v>
      </c>
      <c r="IB348" s="3">
        <v>0</v>
      </c>
      <c r="IC348" s="3">
        <v>0</v>
      </c>
      <c r="ID348" s="3">
        <v>0</v>
      </c>
      <c r="IE348" s="3">
        <v>0</v>
      </c>
      <c r="IF348" s="3">
        <v>0</v>
      </c>
      <c r="IG348" s="3">
        <v>0</v>
      </c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6"/>
    </row>
    <row r="349" spans="1:258" hidden="1">
      <c r="A349" s="97" t="s">
        <v>25</v>
      </c>
      <c r="B349" s="98" t="s">
        <v>26</v>
      </c>
      <c r="C349" s="98" t="s">
        <v>772</v>
      </c>
      <c r="D349" s="99" t="s">
        <v>1277</v>
      </c>
      <c r="E349" s="98" t="s">
        <v>1001</v>
      </c>
      <c r="F349" s="98" t="s">
        <v>1088</v>
      </c>
      <c r="G349" s="98" t="s">
        <v>802</v>
      </c>
      <c r="H349" s="98" t="s">
        <v>1638</v>
      </c>
      <c r="I349" s="98" t="s">
        <v>1638</v>
      </c>
      <c r="J349" s="98" t="s">
        <v>1267</v>
      </c>
      <c r="K349" s="98" t="s">
        <v>1127</v>
      </c>
      <c r="L349" s="98">
        <v>46001</v>
      </c>
      <c r="M349" s="101" t="s">
        <v>1093</v>
      </c>
      <c r="N349" s="139">
        <v>46001</v>
      </c>
      <c r="O349" s="100">
        <v>1</v>
      </c>
      <c r="P349" s="69">
        <v>0</v>
      </c>
      <c r="Q349" s="69">
        <f t="shared" si="4106"/>
        <v>1</v>
      </c>
      <c r="R349" s="69">
        <f t="shared" ref="R349:R354" si="4243">IFERROR(IF(OR(BA349&gt;0),1,0),0)</f>
        <v>1</v>
      </c>
      <c r="S349" s="69">
        <f t="shared" ref="S349:S354" si="4244">IFERROR(IF(OR(BP349&gt;0),1,0),0)</f>
        <v>0</v>
      </c>
      <c r="T349" s="69">
        <f t="shared" ref="T349:T354" si="4245">IFERROR(IF(OR(CH349&gt;0),1,0),0)</f>
        <v>1</v>
      </c>
      <c r="U349" s="69">
        <f t="shared" ref="U349:U354" si="4246">IFERROR(IF(OR(BA349&gt;0,CH349&gt;0),1,0),0)</f>
        <v>1</v>
      </c>
      <c r="V349" s="70">
        <f t="shared" ref="V349:V354" si="4247">GO349</f>
        <v>1</v>
      </c>
      <c r="W349" s="71">
        <f t="shared" ref="W349:W354" si="4248">GP349</f>
        <v>0</v>
      </c>
      <c r="X349" s="71">
        <f t="shared" ref="X349:X354" si="4249">GQ349</f>
        <v>1</v>
      </c>
      <c r="Y349" s="71">
        <f t="shared" ref="Y349:Y354" si="4250">GR349</f>
        <v>1</v>
      </c>
      <c r="Z349" s="71">
        <f t="shared" ref="Z349:Z354" si="4251">GS349</f>
        <v>1</v>
      </c>
      <c r="AA349" s="71">
        <f t="shared" ref="AA349:AA354" si="4252">GT349</f>
        <v>1</v>
      </c>
      <c r="AB349" s="71">
        <f t="shared" ref="AB349:AB354" si="4253">GU349</f>
        <v>1</v>
      </c>
      <c r="AC349" s="71">
        <f t="shared" ref="AC349:AC354" si="4254">GV349</f>
        <v>1</v>
      </c>
      <c r="AD349" s="71">
        <f t="shared" ref="AD349:AD354" si="4255">GW349</f>
        <v>0</v>
      </c>
      <c r="AE349" s="71">
        <f t="shared" ref="AE349:AE354" si="4256">GX349</f>
        <v>1</v>
      </c>
      <c r="AF349" s="71">
        <f t="shared" ref="AF349:AF354" si="4257">GY349</f>
        <v>0</v>
      </c>
      <c r="AG349" s="71">
        <f t="shared" ref="AG349:AG354" si="4258">GZ349</f>
        <v>0</v>
      </c>
      <c r="AH349" s="71">
        <f t="shared" ref="AH349:AH354" si="4259">HA349</f>
        <v>0</v>
      </c>
      <c r="AI349" s="71">
        <f t="shared" ref="AI349:AI354" si="4260">HB349</f>
        <v>1</v>
      </c>
      <c r="AJ349" s="71">
        <f t="shared" ref="AJ349:AJ354" si="4261">HC349</f>
        <v>0</v>
      </c>
      <c r="AK349" s="71">
        <f t="shared" ref="AK349:AK354" si="4262">HD349</f>
        <v>0</v>
      </c>
      <c r="AL349" s="71">
        <f t="shared" ref="AL349:AL354" si="4263">HE349</f>
        <v>0</v>
      </c>
      <c r="AM349" s="71">
        <f t="shared" ref="AM349:AM354" si="4264">HF349</f>
        <v>0</v>
      </c>
      <c r="AN349" s="71">
        <f t="shared" ref="AN349:AN354" si="4265">HG349</f>
        <v>0</v>
      </c>
      <c r="AO349" s="71">
        <f t="shared" ref="AO349:AO354" si="4266">HH349</f>
        <v>0</v>
      </c>
      <c r="AP349" s="71">
        <f t="shared" ref="AP349:AP354" si="4267">HI349</f>
        <v>0</v>
      </c>
      <c r="AQ349" s="71">
        <f t="shared" ref="AQ349:AQ354" si="4268">HJ349</f>
        <v>0</v>
      </c>
      <c r="AR349" s="71">
        <f t="shared" ref="AR349:AR354" si="4269">HK349</f>
        <v>0</v>
      </c>
      <c r="AS349" s="71">
        <f t="shared" ref="AS349:AS354" si="4270">HL349</f>
        <v>0</v>
      </c>
      <c r="AT349" s="71">
        <f t="shared" ref="AT349:AT354" si="4271">HM349</f>
        <v>0</v>
      </c>
      <c r="AU349" s="71">
        <f t="shared" ref="AU349:AU354" si="4272">HN349</f>
        <v>0</v>
      </c>
      <c r="AV349" s="71">
        <f t="shared" ref="AV349:AV354" si="4273">HO349</f>
        <v>0</v>
      </c>
      <c r="AW349" s="71">
        <f t="shared" ref="AW349:AW354" si="4274">HP349</f>
        <v>0</v>
      </c>
      <c r="AX349" s="71">
        <f t="shared" ref="AX349:AX354" si="4275">HQ349</f>
        <v>0</v>
      </c>
      <c r="AY349" s="71">
        <f t="shared" ref="AY349:AY354" si="4276">HR349</f>
        <v>0</v>
      </c>
      <c r="AZ349" s="72">
        <f t="shared" ref="AZ349:AZ354" si="4277">HS349</f>
        <v>0</v>
      </c>
      <c r="BA349" s="70">
        <f t="shared" si="4030"/>
        <v>9</v>
      </c>
      <c r="BB349" s="69">
        <f t="shared" ca="1" si="4031"/>
        <v>0.69230769230769229</v>
      </c>
      <c r="BC349" s="70">
        <f t="shared" ref="BC349:BC354" si="4278">HT349</f>
        <v>15</v>
      </c>
      <c r="BD349" s="71">
        <f t="shared" ref="BD349:BD354" si="4279">HU349</f>
        <v>0</v>
      </c>
      <c r="BE349" s="71">
        <f t="shared" ref="BE349:BE354" si="4280">HV349</f>
        <v>8</v>
      </c>
      <c r="BF349" s="71">
        <f t="shared" ref="BF349:BF354" si="4281">HW349</f>
        <v>16</v>
      </c>
      <c r="BG349" s="71">
        <f t="shared" ref="BG349:BG354" si="4282">HX349</f>
        <v>14</v>
      </c>
      <c r="BH349" s="71">
        <f t="shared" ref="BH349:BH354" si="4283">HY349</f>
        <v>19</v>
      </c>
      <c r="BI349" s="71">
        <f t="shared" ref="BI349:BI354" si="4284">HZ349</f>
        <v>5</v>
      </c>
      <c r="BJ349" s="71">
        <f t="shared" ref="BJ349:BJ354" si="4285">IA349</f>
        <v>13</v>
      </c>
      <c r="BK349" s="71">
        <f t="shared" ref="BK349:BK354" si="4286">IB349</f>
        <v>0</v>
      </c>
      <c r="BL349" s="71">
        <f t="shared" ref="BL349:BL354" si="4287">IC349</f>
        <v>8</v>
      </c>
      <c r="BM349" s="71">
        <f t="shared" ref="BM349:BM354" si="4288">ID349</f>
        <v>0</v>
      </c>
      <c r="BN349" s="71">
        <f t="shared" ref="BN349:BN354" si="4289">IE349</f>
        <v>0</v>
      </c>
      <c r="BO349" s="71">
        <f t="shared" ref="BO349:BO354" si="4290">IF349</f>
        <v>0</v>
      </c>
      <c r="BP349" s="71">
        <f t="shared" ref="BP349:BP354" si="4291">IG349</f>
        <v>0</v>
      </c>
      <c r="BQ349" s="71">
        <f t="shared" ref="BQ349:BQ354" si="4292">IH349</f>
        <v>0</v>
      </c>
      <c r="BR349" s="71">
        <f t="shared" ref="BR349:BR354" si="4293">II349</f>
        <v>0</v>
      </c>
      <c r="BS349" s="71">
        <f t="shared" ref="BS349:BS354" si="4294">IJ349</f>
        <v>0</v>
      </c>
      <c r="BT349" s="71">
        <f t="shared" ref="BT349:BT354" si="4295">IK349</f>
        <v>0</v>
      </c>
      <c r="BU349" s="71">
        <f t="shared" ref="BU349:BU354" si="4296">IL349</f>
        <v>0</v>
      </c>
      <c r="BV349" s="71">
        <f t="shared" ref="BV349:BV354" si="4297">IM349</f>
        <v>0</v>
      </c>
      <c r="BW349" s="71">
        <f t="shared" ref="BW349:BW354" si="4298">IN349</f>
        <v>0</v>
      </c>
      <c r="BX349" s="71">
        <f t="shared" ref="BX349:BX354" si="4299">IO349</f>
        <v>0</v>
      </c>
      <c r="BY349" s="71">
        <f t="shared" ref="BY349:BY354" si="4300">IP349</f>
        <v>0</v>
      </c>
      <c r="BZ349" s="71">
        <f t="shared" ref="BZ349:BZ354" si="4301">IQ349</f>
        <v>0</v>
      </c>
      <c r="CA349" s="71">
        <f t="shared" ref="CA349:CA354" si="4302">IR349</f>
        <v>0</v>
      </c>
      <c r="CB349" s="71">
        <f t="shared" ref="CB349:CB354" si="4303">IS349</f>
        <v>0</v>
      </c>
      <c r="CC349" s="71">
        <f t="shared" ref="CC349:CC354" si="4304">IT349</f>
        <v>0</v>
      </c>
      <c r="CD349" s="71">
        <f t="shared" ref="CD349:CD354" si="4305">IU349</f>
        <v>0</v>
      </c>
      <c r="CE349" s="71">
        <f t="shared" ref="CE349:CE354" si="4306">IV349</f>
        <v>0</v>
      </c>
      <c r="CF349" s="71">
        <f t="shared" ref="CF349:CF354" si="4307">IW349</f>
        <v>0</v>
      </c>
      <c r="CG349" s="71">
        <f t="shared" ref="CG349:CG354" si="4308">IX349</f>
        <v>0</v>
      </c>
      <c r="CH349" s="70">
        <f t="shared" si="4032"/>
        <v>98</v>
      </c>
      <c r="CI349" s="69">
        <f t="shared" ca="1" si="4033"/>
        <v>7.5384615384615383</v>
      </c>
      <c r="GM349" s="2" t="s">
        <v>16</v>
      </c>
      <c r="GN349" s="98" t="str">
        <f t="shared" si="4029"/>
        <v>MDN01-FMCG-SPO-01</v>
      </c>
      <c r="GO349" s="4">
        <v>1</v>
      </c>
      <c r="GP349" s="3">
        <v>0</v>
      </c>
      <c r="GQ349" s="3">
        <v>1</v>
      </c>
      <c r="GR349" s="3">
        <v>1</v>
      </c>
      <c r="GS349" s="3">
        <v>1</v>
      </c>
      <c r="GT349" s="3">
        <v>1</v>
      </c>
      <c r="GU349" s="3">
        <v>1</v>
      </c>
      <c r="GV349" s="3">
        <v>1</v>
      </c>
      <c r="GW349" s="3">
        <v>0</v>
      </c>
      <c r="GX349" s="3">
        <v>1</v>
      </c>
      <c r="GY349" s="3">
        <v>0</v>
      </c>
      <c r="GZ349" s="3">
        <v>0</v>
      </c>
      <c r="HA349" s="3">
        <v>0</v>
      </c>
      <c r="HB349" s="3">
        <v>1</v>
      </c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6"/>
      <c r="HT349" s="4">
        <v>15</v>
      </c>
      <c r="HU349" s="3">
        <v>0</v>
      </c>
      <c r="HV349" s="3">
        <v>8</v>
      </c>
      <c r="HW349" s="3">
        <v>16</v>
      </c>
      <c r="HX349" s="3">
        <v>14</v>
      </c>
      <c r="HY349" s="3">
        <v>19</v>
      </c>
      <c r="HZ349" s="3">
        <v>5</v>
      </c>
      <c r="IA349" s="3">
        <v>13</v>
      </c>
      <c r="IB349" s="3">
        <v>0</v>
      </c>
      <c r="IC349" s="3">
        <v>8</v>
      </c>
      <c r="ID349" s="3">
        <v>0</v>
      </c>
      <c r="IE349" s="3">
        <v>0</v>
      </c>
      <c r="IF349" s="3">
        <v>0</v>
      </c>
      <c r="IG349" s="3">
        <v>0</v>
      </c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6"/>
    </row>
    <row r="350" spans="1:258" hidden="1">
      <c r="A350" s="106" t="s">
        <v>25</v>
      </c>
      <c r="B350" s="101" t="s">
        <v>26</v>
      </c>
      <c r="C350" s="98" t="s">
        <v>772</v>
      </c>
      <c r="D350" s="107" t="s">
        <v>1277</v>
      </c>
      <c r="E350" s="101" t="s">
        <v>1002</v>
      </c>
      <c r="F350" s="101" t="s">
        <v>1089</v>
      </c>
      <c r="G350" s="98" t="s">
        <v>803</v>
      </c>
      <c r="H350" s="101" t="s">
        <v>1639</v>
      </c>
      <c r="I350" s="101" t="s">
        <v>1639</v>
      </c>
      <c r="J350" s="101" t="s">
        <v>1267</v>
      </c>
      <c r="K350" s="101" t="s">
        <v>1156</v>
      </c>
      <c r="L350" s="101">
        <v>45488</v>
      </c>
      <c r="M350" s="101" t="s">
        <v>1093</v>
      </c>
      <c r="N350" s="139">
        <v>45488</v>
      </c>
      <c r="O350" s="100">
        <v>1</v>
      </c>
      <c r="P350" s="69">
        <v>0</v>
      </c>
      <c r="Q350" s="69">
        <f t="shared" si="4106"/>
        <v>1</v>
      </c>
      <c r="R350" s="69">
        <f t="shared" si="4243"/>
        <v>1</v>
      </c>
      <c r="S350" s="69">
        <f t="shared" si="4244"/>
        <v>0</v>
      </c>
      <c r="T350" s="69">
        <f t="shared" si="4245"/>
        <v>1</v>
      </c>
      <c r="U350" s="69">
        <f t="shared" si="4246"/>
        <v>1</v>
      </c>
      <c r="V350" s="70">
        <f t="shared" si="4247"/>
        <v>1</v>
      </c>
      <c r="W350" s="71">
        <f t="shared" si="4248"/>
        <v>0</v>
      </c>
      <c r="X350" s="71">
        <f t="shared" si="4249"/>
        <v>1</v>
      </c>
      <c r="Y350" s="71">
        <f t="shared" si="4250"/>
        <v>1</v>
      </c>
      <c r="Z350" s="71">
        <f t="shared" si="4251"/>
        <v>1</v>
      </c>
      <c r="AA350" s="71">
        <f t="shared" si="4252"/>
        <v>0</v>
      </c>
      <c r="AB350" s="71">
        <f t="shared" si="4253"/>
        <v>1</v>
      </c>
      <c r="AC350" s="71">
        <f t="shared" si="4254"/>
        <v>1</v>
      </c>
      <c r="AD350" s="71">
        <f t="shared" si="4255"/>
        <v>0</v>
      </c>
      <c r="AE350" s="71">
        <f t="shared" si="4256"/>
        <v>1</v>
      </c>
      <c r="AF350" s="71">
        <f t="shared" si="4257"/>
        <v>0</v>
      </c>
      <c r="AG350" s="71">
        <f t="shared" si="4258"/>
        <v>0</v>
      </c>
      <c r="AH350" s="71">
        <f t="shared" si="4259"/>
        <v>1</v>
      </c>
      <c r="AI350" s="71">
        <f t="shared" si="4260"/>
        <v>1</v>
      </c>
      <c r="AJ350" s="71">
        <f t="shared" si="4261"/>
        <v>0</v>
      </c>
      <c r="AK350" s="71">
        <f t="shared" si="4262"/>
        <v>0</v>
      </c>
      <c r="AL350" s="71">
        <f t="shared" si="4263"/>
        <v>0</v>
      </c>
      <c r="AM350" s="71">
        <f t="shared" si="4264"/>
        <v>0</v>
      </c>
      <c r="AN350" s="71">
        <f t="shared" si="4265"/>
        <v>0</v>
      </c>
      <c r="AO350" s="71">
        <f t="shared" si="4266"/>
        <v>0</v>
      </c>
      <c r="AP350" s="71">
        <f t="shared" si="4267"/>
        <v>0</v>
      </c>
      <c r="AQ350" s="71">
        <f t="shared" si="4268"/>
        <v>0</v>
      </c>
      <c r="AR350" s="71">
        <f t="shared" si="4269"/>
        <v>0</v>
      </c>
      <c r="AS350" s="71">
        <f t="shared" si="4270"/>
        <v>0</v>
      </c>
      <c r="AT350" s="71">
        <f t="shared" si="4271"/>
        <v>0</v>
      </c>
      <c r="AU350" s="71">
        <f t="shared" si="4272"/>
        <v>0</v>
      </c>
      <c r="AV350" s="71">
        <f t="shared" si="4273"/>
        <v>0</v>
      </c>
      <c r="AW350" s="71">
        <f t="shared" si="4274"/>
        <v>0</v>
      </c>
      <c r="AX350" s="71">
        <f t="shared" si="4275"/>
        <v>0</v>
      </c>
      <c r="AY350" s="71">
        <f t="shared" si="4276"/>
        <v>0</v>
      </c>
      <c r="AZ350" s="72">
        <f t="shared" si="4277"/>
        <v>0</v>
      </c>
      <c r="BA350" s="70">
        <f t="shared" si="4030"/>
        <v>9</v>
      </c>
      <c r="BB350" s="69">
        <f t="shared" ca="1" si="4031"/>
        <v>0.69230769230769229</v>
      </c>
      <c r="BC350" s="70">
        <f t="shared" si="4278"/>
        <v>2</v>
      </c>
      <c r="BD350" s="71">
        <f t="shared" si="4279"/>
        <v>0</v>
      </c>
      <c r="BE350" s="71">
        <f t="shared" si="4280"/>
        <v>0</v>
      </c>
      <c r="BF350" s="71">
        <f t="shared" si="4281"/>
        <v>0</v>
      </c>
      <c r="BG350" s="71">
        <f t="shared" si="4282"/>
        <v>0</v>
      </c>
      <c r="BH350" s="71">
        <f t="shared" si="4283"/>
        <v>0</v>
      </c>
      <c r="BI350" s="71">
        <f t="shared" si="4284"/>
        <v>5</v>
      </c>
      <c r="BJ350" s="71">
        <f t="shared" si="4285"/>
        <v>13</v>
      </c>
      <c r="BK350" s="71">
        <f t="shared" si="4286"/>
        <v>0</v>
      </c>
      <c r="BL350" s="71">
        <f t="shared" si="4287"/>
        <v>2</v>
      </c>
      <c r="BM350" s="71">
        <f t="shared" si="4288"/>
        <v>0</v>
      </c>
      <c r="BN350" s="71">
        <f t="shared" si="4289"/>
        <v>0</v>
      </c>
      <c r="BO350" s="71">
        <f t="shared" si="4290"/>
        <v>0</v>
      </c>
      <c r="BP350" s="71">
        <f t="shared" si="4291"/>
        <v>0</v>
      </c>
      <c r="BQ350" s="71">
        <f t="shared" si="4292"/>
        <v>0</v>
      </c>
      <c r="BR350" s="71">
        <f t="shared" si="4293"/>
        <v>0</v>
      </c>
      <c r="BS350" s="71">
        <f t="shared" si="4294"/>
        <v>0</v>
      </c>
      <c r="BT350" s="71">
        <f t="shared" si="4295"/>
        <v>0</v>
      </c>
      <c r="BU350" s="71">
        <f t="shared" si="4296"/>
        <v>0</v>
      </c>
      <c r="BV350" s="71">
        <f t="shared" si="4297"/>
        <v>0</v>
      </c>
      <c r="BW350" s="71">
        <f t="shared" si="4298"/>
        <v>0</v>
      </c>
      <c r="BX350" s="71">
        <f t="shared" si="4299"/>
        <v>0</v>
      </c>
      <c r="BY350" s="71">
        <f t="shared" si="4300"/>
        <v>0</v>
      </c>
      <c r="BZ350" s="71">
        <f t="shared" si="4301"/>
        <v>0</v>
      </c>
      <c r="CA350" s="71">
        <f t="shared" si="4302"/>
        <v>0</v>
      </c>
      <c r="CB350" s="71">
        <f t="shared" si="4303"/>
        <v>0</v>
      </c>
      <c r="CC350" s="71">
        <f t="shared" si="4304"/>
        <v>0</v>
      </c>
      <c r="CD350" s="71">
        <f t="shared" si="4305"/>
        <v>0</v>
      </c>
      <c r="CE350" s="71">
        <f t="shared" si="4306"/>
        <v>0</v>
      </c>
      <c r="CF350" s="71">
        <f t="shared" si="4307"/>
        <v>0</v>
      </c>
      <c r="CG350" s="71">
        <f t="shared" si="4308"/>
        <v>0</v>
      </c>
      <c r="CH350" s="70">
        <f t="shared" si="4032"/>
        <v>22</v>
      </c>
      <c r="CI350" s="69">
        <f t="shared" ca="1" si="4033"/>
        <v>1.6923076923076923</v>
      </c>
      <c r="GM350" s="2" t="s">
        <v>16</v>
      </c>
      <c r="GN350" s="101" t="str">
        <f t="shared" si="4029"/>
        <v>MDN01-FMCG-SPO-02</v>
      </c>
      <c r="GO350" s="4">
        <v>1</v>
      </c>
      <c r="GP350" s="3">
        <v>0</v>
      </c>
      <c r="GQ350" s="3">
        <v>1</v>
      </c>
      <c r="GR350" s="3">
        <v>1</v>
      </c>
      <c r="GS350" s="3">
        <v>1</v>
      </c>
      <c r="GT350" s="3">
        <v>0</v>
      </c>
      <c r="GU350" s="3">
        <v>1</v>
      </c>
      <c r="GV350" s="3">
        <v>1</v>
      </c>
      <c r="GW350" s="3">
        <v>0</v>
      </c>
      <c r="GX350" s="3">
        <v>1</v>
      </c>
      <c r="GY350" s="3">
        <v>0</v>
      </c>
      <c r="GZ350" s="3">
        <v>0</v>
      </c>
      <c r="HA350" s="3">
        <v>1</v>
      </c>
      <c r="HB350" s="3">
        <v>1</v>
      </c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6"/>
      <c r="HT350" s="4">
        <v>2</v>
      </c>
      <c r="HU350" s="3">
        <v>0</v>
      </c>
      <c r="HV350" s="3">
        <v>0</v>
      </c>
      <c r="HW350" s="3">
        <v>0</v>
      </c>
      <c r="HX350" s="3">
        <v>0</v>
      </c>
      <c r="HY350" s="3">
        <v>0</v>
      </c>
      <c r="HZ350" s="3">
        <v>5</v>
      </c>
      <c r="IA350" s="3">
        <v>13</v>
      </c>
      <c r="IB350" s="3">
        <v>0</v>
      </c>
      <c r="IC350" s="3">
        <v>2</v>
      </c>
      <c r="ID350" s="3">
        <v>0</v>
      </c>
      <c r="IE350" s="3">
        <v>0</v>
      </c>
      <c r="IF350" s="3">
        <v>0</v>
      </c>
      <c r="IG350" s="3">
        <v>0</v>
      </c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6"/>
    </row>
    <row r="351" spans="1:258" hidden="1">
      <c r="A351" s="97" t="s">
        <v>25</v>
      </c>
      <c r="B351" s="98" t="s">
        <v>90</v>
      </c>
      <c r="C351" s="98" t="s">
        <v>772</v>
      </c>
      <c r="D351" s="99" t="s">
        <v>1277</v>
      </c>
      <c r="E351" s="98" t="s">
        <v>1003</v>
      </c>
      <c r="F351" s="98" t="s">
        <v>1090</v>
      </c>
      <c r="G351" s="98" t="s">
        <v>801</v>
      </c>
      <c r="H351" s="98" t="s">
        <v>1640</v>
      </c>
      <c r="I351" s="98" t="s">
        <v>1640</v>
      </c>
      <c r="J351" s="98" t="s">
        <v>903</v>
      </c>
      <c r="K351" s="98" t="s">
        <v>1127</v>
      </c>
      <c r="L351" s="98">
        <v>46220</v>
      </c>
      <c r="M351" s="101" t="s">
        <v>1093</v>
      </c>
      <c r="N351" s="139">
        <v>46220</v>
      </c>
      <c r="O351" s="100">
        <v>1</v>
      </c>
      <c r="P351" s="69">
        <v>0</v>
      </c>
      <c r="Q351" s="69">
        <f t="shared" si="4106"/>
        <v>1</v>
      </c>
      <c r="R351" s="69">
        <f t="shared" si="4243"/>
        <v>1</v>
      </c>
      <c r="S351" s="69">
        <f t="shared" si="4244"/>
        <v>0</v>
      </c>
      <c r="T351" s="69">
        <f t="shared" si="4245"/>
        <v>1</v>
      </c>
      <c r="U351" s="69">
        <f t="shared" si="4246"/>
        <v>1</v>
      </c>
      <c r="V351" s="70">
        <f t="shared" si="4247"/>
        <v>1</v>
      </c>
      <c r="W351" s="71">
        <f t="shared" si="4248"/>
        <v>0</v>
      </c>
      <c r="X351" s="71">
        <f t="shared" si="4249"/>
        <v>1</v>
      </c>
      <c r="Y351" s="71">
        <f t="shared" si="4250"/>
        <v>1</v>
      </c>
      <c r="Z351" s="71">
        <f t="shared" si="4251"/>
        <v>1</v>
      </c>
      <c r="AA351" s="71">
        <f t="shared" si="4252"/>
        <v>1</v>
      </c>
      <c r="AB351" s="71">
        <f t="shared" si="4253"/>
        <v>1</v>
      </c>
      <c r="AC351" s="71">
        <f t="shared" si="4254"/>
        <v>1</v>
      </c>
      <c r="AD351" s="71">
        <f t="shared" si="4255"/>
        <v>0</v>
      </c>
      <c r="AE351" s="71">
        <f t="shared" si="4256"/>
        <v>1</v>
      </c>
      <c r="AF351" s="71">
        <f t="shared" si="4257"/>
        <v>0</v>
      </c>
      <c r="AG351" s="71">
        <f t="shared" si="4258"/>
        <v>0</v>
      </c>
      <c r="AH351" s="71">
        <f t="shared" si="4259"/>
        <v>1</v>
      </c>
      <c r="AI351" s="71">
        <f t="shared" si="4260"/>
        <v>1</v>
      </c>
      <c r="AJ351" s="71">
        <f t="shared" si="4261"/>
        <v>0</v>
      </c>
      <c r="AK351" s="71">
        <f t="shared" si="4262"/>
        <v>0</v>
      </c>
      <c r="AL351" s="71">
        <f t="shared" si="4263"/>
        <v>0</v>
      </c>
      <c r="AM351" s="71">
        <f t="shared" si="4264"/>
        <v>0</v>
      </c>
      <c r="AN351" s="71">
        <f t="shared" si="4265"/>
        <v>0</v>
      </c>
      <c r="AO351" s="71">
        <f t="shared" si="4266"/>
        <v>0</v>
      </c>
      <c r="AP351" s="71">
        <f t="shared" si="4267"/>
        <v>0</v>
      </c>
      <c r="AQ351" s="71">
        <f t="shared" si="4268"/>
        <v>0</v>
      </c>
      <c r="AR351" s="71">
        <f t="shared" si="4269"/>
        <v>0</v>
      </c>
      <c r="AS351" s="71">
        <f t="shared" si="4270"/>
        <v>0</v>
      </c>
      <c r="AT351" s="71">
        <f t="shared" si="4271"/>
        <v>0</v>
      </c>
      <c r="AU351" s="71">
        <f t="shared" si="4272"/>
        <v>0</v>
      </c>
      <c r="AV351" s="71">
        <f t="shared" si="4273"/>
        <v>0</v>
      </c>
      <c r="AW351" s="71">
        <f t="shared" si="4274"/>
        <v>0</v>
      </c>
      <c r="AX351" s="71">
        <f t="shared" si="4275"/>
        <v>0</v>
      </c>
      <c r="AY351" s="71">
        <f t="shared" si="4276"/>
        <v>0</v>
      </c>
      <c r="AZ351" s="72">
        <f t="shared" si="4277"/>
        <v>0</v>
      </c>
      <c r="BA351" s="70">
        <f t="shared" si="4030"/>
        <v>10</v>
      </c>
      <c r="BB351" s="69">
        <f t="shared" ca="1" si="4031"/>
        <v>0.76923076923076927</v>
      </c>
      <c r="BC351" s="70">
        <f t="shared" si="4278"/>
        <v>44</v>
      </c>
      <c r="BD351" s="71">
        <f t="shared" si="4279"/>
        <v>0</v>
      </c>
      <c r="BE351" s="71">
        <f t="shared" si="4280"/>
        <v>33</v>
      </c>
      <c r="BF351" s="71">
        <f t="shared" si="4281"/>
        <v>15</v>
      </c>
      <c r="BG351" s="71">
        <f t="shared" si="4282"/>
        <v>50</v>
      </c>
      <c r="BH351" s="71">
        <f t="shared" si="4283"/>
        <v>24</v>
      </c>
      <c r="BI351" s="71">
        <f t="shared" si="4284"/>
        <v>26</v>
      </c>
      <c r="BJ351" s="71">
        <f t="shared" si="4285"/>
        <v>53</v>
      </c>
      <c r="BK351" s="71">
        <f t="shared" si="4286"/>
        <v>0</v>
      </c>
      <c r="BL351" s="71">
        <f t="shared" si="4287"/>
        <v>42</v>
      </c>
      <c r="BM351" s="71">
        <f t="shared" si="4288"/>
        <v>0</v>
      </c>
      <c r="BN351" s="71">
        <f t="shared" si="4289"/>
        <v>0</v>
      </c>
      <c r="BO351" s="71">
        <f t="shared" si="4290"/>
        <v>28</v>
      </c>
      <c r="BP351" s="71">
        <f t="shared" si="4291"/>
        <v>0</v>
      </c>
      <c r="BQ351" s="71">
        <f t="shared" si="4292"/>
        <v>0</v>
      </c>
      <c r="BR351" s="71">
        <f t="shared" si="4293"/>
        <v>0</v>
      </c>
      <c r="BS351" s="71">
        <f t="shared" si="4294"/>
        <v>0</v>
      </c>
      <c r="BT351" s="71">
        <f t="shared" si="4295"/>
        <v>0</v>
      </c>
      <c r="BU351" s="71">
        <f t="shared" si="4296"/>
        <v>0</v>
      </c>
      <c r="BV351" s="71">
        <f t="shared" si="4297"/>
        <v>0</v>
      </c>
      <c r="BW351" s="71">
        <f t="shared" si="4298"/>
        <v>0</v>
      </c>
      <c r="BX351" s="71">
        <f t="shared" si="4299"/>
        <v>0</v>
      </c>
      <c r="BY351" s="71">
        <f t="shared" si="4300"/>
        <v>0</v>
      </c>
      <c r="BZ351" s="71">
        <f t="shared" si="4301"/>
        <v>0</v>
      </c>
      <c r="CA351" s="71">
        <f t="shared" si="4302"/>
        <v>0</v>
      </c>
      <c r="CB351" s="71">
        <f t="shared" si="4303"/>
        <v>0</v>
      </c>
      <c r="CC351" s="71">
        <f t="shared" si="4304"/>
        <v>0</v>
      </c>
      <c r="CD351" s="71">
        <f t="shared" si="4305"/>
        <v>0</v>
      </c>
      <c r="CE351" s="71">
        <f t="shared" si="4306"/>
        <v>0</v>
      </c>
      <c r="CF351" s="71">
        <f t="shared" si="4307"/>
        <v>0</v>
      </c>
      <c r="CG351" s="71">
        <f t="shared" si="4308"/>
        <v>0</v>
      </c>
      <c r="CH351" s="70">
        <f t="shared" si="4032"/>
        <v>315</v>
      </c>
      <c r="CI351" s="69">
        <f t="shared" ca="1" si="4033"/>
        <v>24.23076923076923</v>
      </c>
      <c r="GM351" s="2" t="s">
        <v>16</v>
      </c>
      <c r="GN351" s="98" t="str">
        <f t="shared" si="4029"/>
        <v>MDN01-FMCG-SPO-03</v>
      </c>
      <c r="GO351" s="4">
        <v>1</v>
      </c>
      <c r="GP351" s="3">
        <v>0</v>
      </c>
      <c r="GQ351" s="3">
        <v>1</v>
      </c>
      <c r="GR351" s="3">
        <v>1</v>
      </c>
      <c r="GS351" s="3">
        <v>1</v>
      </c>
      <c r="GT351" s="3">
        <v>1</v>
      </c>
      <c r="GU351" s="3">
        <v>1</v>
      </c>
      <c r="GV351" s="3">
        <v>1</v>
      </c>
      <c r="GW351" s="3">
        <v>0</v>
      </c>
      <c r="GX351" s="3">
        <v>1</v>
      </c>
      <c r="GY351" s="3">
        <v>0</v>
      </c>
      <c r="GZ351" s="3">
        <v>0</v>
      </c>
      <c r="HA351" s="3">
        <v>1</v>
      </c>
      <c r="HB351" s="3">
        <v>1</v>
      </c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6"/>
      <c r="HT351" s="4">
        <v>44</v>
      </c>
      <c r="HU351" s="3">
        <v>0</v>
      </c>
      <c r="HV351" s="3">
        <v>33</v>
      </c>
      <c r="HW351" s="3">
        <v>15</v>
      </c>
      <c r="HX351" s="3">
        <v>50</v>
      </c>
      <c r="HY351" s="3">
        <v>24</v>
      </c>
      <c r="HZ351" s="3">
        <v>26</v>
      </c>
      <c r="IA351" s="3">
        <v>53</v>
      </c>
      <c r="IB351" s="3">
        <v>0</v>
      </c>
      <c r="IC351" s="3">
        <v>42</v>
      </c>
      <c r="ID351" s="3">
        <v>0</v>
      </c>
      <c r="IE351" s="3">
        <v>0</v>
      </c>
      <c r="IF351" s="3">
        <v>28</v>
      </c>
      <c r="IG351" s="3">
        <v>0</v>
      </c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6"/>
    </row>
    <row r="352" spans="1:258" hidden="1">
      <c r="A352" s="97" t="s">
        <v>25</v>
      </c>
      <c r="B352" s="98" t="s">
        <v>90</v>
      </c>
      <c r="C352" s="98" t="s">
        <v>772</v>
      </c>
      <c r="D352" s="99" t="s">
        <v>1277</v>
      </c>
      <c r="E352" s="98" t="s">
        <v>1000</v>
      </c>
      <c r="F352" s="98" t="s">
        <v>1087</v>
      </c>
      <c r="G352" s="98" t="s">
        <v>800</v>
      </c>
      <c r="H352" s="98" t="s">
        <v>1641</v>
      </c>
      <c r="I352" s="98" t="s">
        <v>1641</v>
      </c>
      <c r="J352" s="98" t="s">
        <v>900</v>
      </c>
      <c r="K352" s="98" t="s">
        <v>1127</v>
      </c>
      <c r="L352" s="98">
        <v>46028</v>
      </c>
      <c r="M352" s="101" t="s">
        <v>1093</v>
      </c>
      <c r="N352" s="139">
        <v>46028</v>
      </c>
      <c r="O352" s="100">
        <v>1</v>
      </c>
      <c r="P352" s="69">
        <v>0</v>
      </c>
      <c r="Q352" s="69">
        <f t="shared" si="4106"/>
        <v>1</v>
      </c>
      <c r="R352" s="69">
        <f t="shared" si="4243"/>
        <v>1</v>
      </c>
      <c r="S352" s="69">
        <f t="shared" si="4244"/>
        <v>0</v>
      </c>
      <c r="T352" s="69">
        <f t="shared" si="4245"/>
        <v>1</v>
      </c>
      <c r="U352" s="69">
        <f t="shared" si="4246"/>
        <v>1</v>
      </c>
      <c r="V352" s="70">
        <f t="shared" si="4247"/>
        <v>1</v>
      </c>
      <c r="W352" s="71">
        <f t="shared" si="4248"/>
        <v>0</v>
      </c>
      <c r="X352" s="71">
        <f t="shared" si="4249"/>
        <v>1</v>
      </c>
      <c r="Y352" s="71">
        <f t="shared" si="4250"/>
        <v>1</v>
      </c>
      <c r="Z352" s="71">
        <f t="shared" si="4251"/>
        <v>1</v>
      </c>
      <c r="AA352" s="71">
        <f t="shared" si="4252"/>
        <v>1</v>
      </c>
      <c r="AB352" s="71">
        <f t="shared" si="4253"/>
        <v>1</v>
      </c>
      <c r="AC352" s="71">
        <f t="shared" si="4254"/>
        <v>1</v>
      </c>
      <c r="AD352" s="71">
        <f t="shared" si="4255"/>
        <v>0</v>
      </c>
      <c r="AE352" s="71">
        <f t="shared" si="4256"/>
        <v>1</v>
      </c>
      <c r="AF352" s="71">
        <f t="shared" si="4257"/>
        <v>1</v>
      </c>
      <c r="AG352" s="71">
        <f t="shared" si="4258"/>
        <v>1</v>
      </c>
      <c r="AH352" s="71">
        <f t="shared" si="4259"/>
        <v>1</v>
      </c>
      <c r="AI352" s="71">
        <f t="shared" si="4260"/>
        <v>1</v>
      </c>
      <c r="AJ352" s="71">
        <f t="shared" si="4261"/>
        <v>0</v>
      </c>
      <c r="AK352" s="71">
        <f t="shared" si="4262"/>
        <v>0</v>
      </c>
      <c r="AL352" s="71">
        <f t="shared" si="4263"/>
        <v>0</v>
      </c>
      <c r="AM352" s="71">
        <f t="shared" si="4264"/>
        <v>0</v>
      </c>
      <c r="AN352" s="71">
        <f t="shared" si="4265"/>
        <v>0</v>
      </c>
      <c r="AO352" s="71">
        <f t="shared" si="4266"/>
        <v>0</v>
      </c>
      <c r="AP352" s="71">
        <f t="shared" si="4267"/>
        <v>0</v>
      </c>
      <c r="AQ352" s="71">
        <f t="shared" si="4268"/>
        <v>0</v>
      </c>
      <c r="AR352" s="71">
        <f t="shared" si="4269"/>
        <v>0</v>
      </c>
      <c r="AS352" s="71">
        <f t="shared" si="4270"/>
        <v>0</v>
      </c>
      <c r="AT352" s="71">
        <f t="shared" si="4271"/>
        <v>0</v>
      </c>
      <c r="AU352" s="71">
        <f t="shared" si="4272"/>
        <v>0</v>
      </c>
      <c r="AV352" s="71">
        <f t="shared" si="4273"/>
        <v>0</v>
      </c>
      <c r="AW352" s="71">
        <f t="shared" si="4274"/>
        <v>0</v>
      </c>
      <c r="AX352" s="71">
        <f t="shared" si="4275"/>
        <v>0</v>
      </c>
      <c r="AY352" s="71">
        <f t="shared" si="4276"/>
        <v>0</v>
      </c>
      <c r="AZ352" s="72">
        <f t="shared" si="4277"/>
        <v>0</v>
      </c>
      <c r="BA352" s="70">
        <f t="shared" si="4030"/>
        <v>12</v>
      </c>
      <c r="BB352" s="69">
        <f t="shared" ca="1" si="4031"/>
        <v>0.92307692307692313</v>
      </c>
      <c r="BC352" s="70">
        <f t="shared" si="4278"/>
        <v>3</v>
      </c>
      <c r="BD352" s="71">
        <f t="shared" si="4279"/>
        <v>0</v>
      </c>
      <c r="BE352" s="71">
        <f t="shared" si="4280"/>
        <v>1</v>
      </c>
      <c r="BF352" s="71">
        <f t="shared" si="4281"/>
        <v>5</v>
      </c>
      <c r="BG352" s="71">
        <f t="shared" si="4282"/>
        <v>6</v>
      </c>
      <c r="BH352" s="71">
        <f t="shared" si="4283"/>
        <v>5</v>
      </c>
      <c r="BI352" s="71">
        <f t="shared" si="4284"/>
        <v>5</v>
      </c>
      <c r="BJ352" s="71">
        <f t="shared" si="4285"/>
        <v>0</v>
      </c>
      <c r="BK352" s="71">
        <f t="shared" si="4286"/>
        <v>0</v>
      </c>
      <c r="BL352" s="71">
        <f t="shared" si="4287"/>
        <v>3</v>
      </c>
      <c r="BM352" s="71">
        <f t="shared" si="4288"/>
        <v>0</v>
      </c>
      <c r="BN352" s="71">
        <f t="shared" si="4289"/>
        <v>0</v>
      </c>
      <c r="BO352" s="71">
        <f t="shared" si="4290"/>
        <v>0</v>
      </c>
      <c r="BP352" s="71">
        <f t="shared" si="4291"/>
        <v>0</v>
      </c>
      <c r="BQ352" s="71">
        <f t="shared" si="4292"/>
        <v>0</v>
      </c>
      <c r="BR352" s="71">
        <f t="shared" si="4293"/>
        <v>0</v>
      </c>
      <c r="BS352" s="71">
        <f t="shared" si="4294"/>
        <v>0</v>
      </c>
      <c r="BT352" s="71">
        <f t="shared" si="4295"/>
        <v>0</v>
      </c>
      <c r="BU352" s="71">
        <f t="shared" si="4296"/>
        <v>0</v>
      </c>
      <c r="BV352" s="71">
        <f t="shared" si="4297"/>
        <v>0</v>
      </c>
      <c r="BW352" s="71">
        <f t="shared" si="4298"/>
        <v>0</v>
      </c>
      <c r="BX352" s="71">
        <f t="shared" si="4299"/>
        <v>0</v>
      </c>
      <c r="BY352" s="71">
        <f t="shared" si="4300"/>
        <v>0</v>
      </c>
      <c r="BZ352" s="71">
        <f t="shared" si="4301"/>
        <v>0</v>
      </c>
      <c r="CA352" s="71">
        <f t="shared" si="4302"/>
        <v>0</v>
      </c>
      <c r="CB352" s="71">
        <f t="shared" si="4303"/>
        <v>0</v>
      </c>
      <c r="CC352" s="71">
        <f t="shared" si="4304"/>
        <v>0</v>
      </c>
      <c r="CD352" s="71">
        <f t="shared" si="4305"/>
        <v>0</v>
      </c>
      <c r="CE352" s="71">
        <f t="shared" si="4306"/>
        <v>0</v>
      </c>
      <c r="CF352" s="71">
        <f t="shared" si="4307"/>
        <v>0</v>
      </c>
      <c r="CG352" s="71">
        <f t="shared" si="4308"/>
        <v>0</v>
      </c>
      <c r="CH352" s="70">
        <f t="shared" si="4032"/>
        <v>28</v>
      </c>
      <c r="CI352" s="69">
        <f t="shared" ca="1" si="4033"/>
        <v>2.1538461538461537</v>
      </c>
      <c r="GM352" s="2" t="s">
        <v>16</v>
      </c>
      <c r="GN352" s="98" t="str">
        <f t="shared" si="4029"/>
        <v>MDN01-FMCG03-SPO-01</v>
      </c>
      <c r="GO352" s="4">
        <v>1</v>
      </c>
      <c r="GP352" s="3">
        <v>0</v>
      </c>
      <c r="GQ352" s="3">
        <v>1</v>
      </c>
      <c r="GR352" s="3">
        <v>1</v>
      </c>
      <c r="GS352" s="3">
        <v>1</v>
      </c>
      <c r="GT352" s="3">
        <v>1</v>
      </c>
      <c r="GU352" s="3">
        <v>1</v>
      </c>
      <c r="GV352" s="3">
        <v>1</v>
      </c>
      <c r="GW352" s="3">
        <v>0</v>
      </c>
      <c r="GX352" s="3">
        <v>1</v>
      </c>
      <c r="GY352" s="3">
        <v>1</v>
      </c>
      <c r="GZ352" s="3">
        <v>1</v>
      </c>
      <c r="HA352" s="3">
        <v>1</v>
      </c>
      <c r="HB352" s="3">
        <v>1</v>
      </c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6"/>
      <c r="HT352" s="4">
        <v>3</v>
      </c>
      <c r="HU352" s="3">
        <v>0</v>
      </c>
      <c r="HV352" s="3">
        <v>1</v>
      </c>
      <c r="HW352" s="3">
        <v>5</v>
      </c>
      <c r="HX352" s="3">
        <v>6</v>
      </c>
      <c r="HY352" s="3">
        <v>5</v>
      </c>
      <c r="HZ352" s="3">
        <v>5</v>
      </c>
      <c r="IA352" s="3">
        <v>0</v>
      </c>
      <c r="IB352" s="3">
        <v>0</v>
      </c>
      <c r="IC352" s="3">
        <v>3</v>
      </c>
      <c r="ID352" s="3">
        <v>0</v>
      </c>
      <c r="IE352" s="3">
        <v>0</v>
      </c>
      <c r="IF352" s="3">
        <v>0</v>
      </c>
      <c r="IG352" s="3">
        <v>0</v>
      </c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6"/>
    </row>
    <row r="353" spans="1:258" hidden="1">
      <c r="A353" s="97" t="s">
        <v>1287</v>
      </c>
      <c r="B353" s="98" t="s">
        <v>20</v>
      </c>
      <c r="C353" s="98" t="s">
        <v>772</v>
      </c>
      <c r="D353" s="99" t="s">
        <v>1277</v>
      </c>
      <c r="E353" s="98" t="s">
        <v>1098</v>
      </c>
      <c r="F353" s="98" t="s">
        <v>804</v>
      </c>
      <c r="G353" s="98" t="s">
        <v>805</v>
      </c>
      <c r="H353" s="98" t="s">
        <v>1642</v>
      </c>
      <c r="I353" s="98" t="s">
        <v>1642</v>
      </c>
      <c r="J353" s="98" t="s">
        <v>904</v>
      </c>
      <c r="K353" s="98" t="s">
        <v>1099</v>
      </c>
      <c r="L353" s="98" t="s">
        <v>1099</v>
      </c>
      <c r="M353" s="101" t="s">
        <v>1099</v>
      </c>
      <c r="N353" s="139">
        <v>45474</v>
      </c>
      <c r="O353" s="100">
        <v>0</v>
      </c>
      <c r="P353" s="69">
        <v>0</v>
      </c>
      <c r="Q353" s="69">
        <f t="shared" si="4106"/>
        <v>0</v>
      </c>
      <c r="R353" s="69">
        <f t="shared" si="4243"/>
        <v>0</v>
      </c>
      <c r="S353" s="69">
        <f t="shared" si="4244"/>
        <v>0</v>
      </c>
      <c r="T353" s="69">
        <f t="shared" si="4245"/>
        <v>0</v>
      </c>
      <c r="U353" s="69">
        <f t="shared" si="4246"/>
        <v>0</v>
      </c>
      <c r="V353" s="70">
        <f t="shared" si="4247"/>
        <v>0</v>
      </c>
      <c r="W353" s="71">
        <f t="shared" si="4248"/>
        <v>0</v>
      </c>
      <c r="X353" s="71">
        <f t="shared" si="4249"/>
        <v>0</v>
      </c>
      <c r="Y353" s="71">
        <f t="shared" si="4250"/>
        <v>0</v>
      </c>
      <c r="Z353" s="71">
        <f t="shared" si="4251"/>
        <v>0</v>
      </c>
      <c r="AA353" s="71">
        <f t="shared" si="4252"/>
        <v>0</v>
      </c>
      <c r="AB353" s="71">
        <f t="shared" si="4253"/>
        <v>0</v>
      </c>
      <c r="AC353" s="71">
        <f t="shared" si="4254"/>
        <v>0</v>
      </c>
      <c r="AD353" s="71">
        <f t="shared" si="4255"/>
        <v>0</v>
      </c>
      <c r="AE353" s="71">
        <f t="shared" si="4256"/>
        <v>0</v>
      </c>
      <c r="AF353" s="71">
        <f t="shared" si="4257"/>
        <v>0</v>
      </c>
      <c r="AG353" s="71">
        <f t="shared" si="4258"/>
        <v>0</v>
      </c>
      <c r="AH353" s="71">
        <f t="shared" si="4259"/>
        <v>0</v>
      </c>
      <c r="AI353" s="71">
        <f t="shared" si="4260"/>
        <v>0</v>
      </c>
      <c r="AJ353" s="71">
        <f t="shared" si="4261"/>
        <v>0</v>
      </c>
      <c r="AK353" s="71">
        <f t="shared" si="4262"/>
        <v>0</v>
      </c>
      <c r="AL353" s="71">
        <f t="shared" si="4263"/>
        <v>0</v>
      </c>
      <c r="AM353" s="71">
        <f t="shared" si="4264"/>
        <v>0</v>
      </c>
      <c r="AN353" s="71">
        <f t="shared" si="4265"/>
        <v>0</v>
      </c>
      <c r="AO353" s="71">
        <f t="shared" si="4266"/>
        <v>0</v>
      </c>
      <c r="AP353" s="71">
        <f t="shared" si="4267"/>
        <v>0</v>
      </c>
      <c r="AQ353" s="71">
        <f t="shared" si="4268"/>
        <v>0</v>
      </c>
      <c r="AR353" s="71">
        <f t="shared" si="4269"/>
        <v>0</v>
      </c>
      <c r="AS353" s="71">
        <f t="shared" si="4270"/>
        <v>0</v>
      </c>
      <c r="AT353" s="71">
        <f t="shared" si="4271"/>
        <v>0</v>
      </c>
      <c r="AU353" s="71">
        <f t="shared" si="4272"/>
        <v>0</v>
      </c>
      <c r="AV353" s="71">
        <f t="shared" si="4273"/>
        <v>0</v>
      </c>
      <c r="AW353" s="71">
        <f t="shared" si="4274"/>
        <v>0</v>
      </c>
      <c r="AX353" s="71">
        <f t="shared" si="4275"/>
        <v>0</v>
      </c>
      <c r="AY353" s="71">
        <f t="shared" si="4276"/>
        <v>0</v>
      </c>
      <c r="AZ353" s="72">
        <f t="shared" si="4277"/>
        <v>0</v>
      </c>
      <c r="BA353" s="70">
        <f t="shared" si="4030"/>
        <v>0</v>
      </c>
      <c r="BB353" s="69">
        <f t="shared" ca="1" si="4031"/>
        <v>0</v>
      </c>
      <c r="BC353" s="70">
        <f t="shared" si="4278"/>
        <v>0</v>
      </c>
      <c r="BD353" s="71">
        <f t="shared" si="4279"/>
        <v>0</v>
      </c>
      <c r="BE353" s="71">
        <f t="shared" si="4280"/>
        <v>0</v>
      </c>
      <c r="BF353" s="71">
        <f t="shared" si="4281"/>
        <v>0</v>
      </c>
      <c r="BG353" s="71">
        <f t="shared" si="4282"/>
        <v>0</v>
      </c>
      <c r="BH353" s="71">
        <f t="shared" si="4283"/>
        <v>0</v>
      </c>
      <c r="BI353" s="71">
        <f t="shared" si="4284"/>
        <v>0</v>
      </c>
      <c r="BJ353" s="71">
        <f t="shared" si="4285"/>
        <v>0</v>
      </c>
      <c r="BK353" s="71">
        <f t="shared" si="4286"/>
        <v>0</v>
      </c>
      <c r="BL353" s="71">
        <f t="shared" si="4287"/>
        <v>0</v>
      </c>
      <c r="BM353" s="71">
        <f t="shared" si="4288"/>
        <v>0</v>
      </c>
      <c r="BN353" s="71">
        <f t="shared" si="4289"/>
        <v>0</v>
      </c>
      <c r="BO353" s="71">
        <f t="shared" si="4290"/>
        <v>0</v>
      </c>
      <c r="BP353" s="71">
        <f t="shared" si="4291"/>
        <v>0</v>
      </c>
      <c r="BQ353" s="71">
        <f t="shared" si="4292"/>
        <v>0</v>
      </c>
      <c r="BR353" s="71">
        <f t="shared" si="4293"/>
        <v>0</v>
      </c>
      <c r="BS353" s="71">
        <f t="shared" si="4294"/>
        <v>0</v>
      </c>
      <c r="BT353" s="71">
        <f t="shared" si="4295"/>
        <v>0</v>
      </c>
      <c r="BU353" s="71">
        <f t="shared" si="4296"/>
        <v>0</v>
      </c>
      <c r="BV353" s="71">
        <f t="shared" si="4297"/>
        <v>0</v>
      </c>
      <c r="BW353" s="71">
        <f t="shared" si="4298"/>
        <v>0</v>
      </c>
      <c r="BX353" s="71">
        <f t="shared" si="4299"/>
        <v>0</v>
      </c>
      <c r="BY353" s="71">
        <f t="shared" si="4300"/>
        <v>0</v>
      </c>
      <c r="BZ353" s="71">
        <f t="shared" si="4301"/>
        <v>0</v>
      </c>
      <c r="CA353" s="71">
        <f t="shared" si="4302"/>
        <v>0</v>
      </c>
      <c r="CB353" s="71">
        <f t="shared" si="4303"/>
        <v>0</v>
      </c>
      <c r="CC353" s="71">
        <f t="shared" si="4304"/>
        <v>0</v>
      </c>
      <c r="CD353" s="71">
        <f t="shared" si="4305"/>
        <v>0</v>
      </c>
      <c r="CE353" s="71">
        <f t="shared" si="4306"/>
        <v>0</v>
      </c>
      <c r="CF353" s="71">
        <f t="shared" si="4307"/>
        <v>0</v>
      </c>
      <c r="CG353" s="71">
        <f t="shared" si="4308"/>
        <v>0</v>
      </c>
      <c r="CH353" s="70">
        <f t="shared" si="4032"/>
        <v>0</v>
      </c>
      <c r="CI353" s="69">
        <f t="shared" ca="1" si="4033"/>
        <v>0</v>
      </c>
      <c r="GM353" s="2" t="s">
        <v>16</v>
      </c>
      <c r="GN353" s="98" t="str">
        <f t="shared" si="4029"/>
        <v>MDN01-FMCG-SPO-00</v>
      </c>
      <c r="GO353" s="4">
        <v>0</v>
      </c>
      <c r="GP353" s="3">
        <v>0</v>
      </c>
      <c r="GQ353" s="3">
        <v>0</v>
      </c>
      <c r="GR353" s="3">
        <v>0</v>
      </c>
      <c r="GS353" s="3">
        <v>0</v>
      </c>
      <c r="GT353" s="3">
        <v>0</v>
      </c>
      <c r="GU353" s="3">
        <v>0</v>
      </c>
      <c r="GV353" s="3">
        <v>0</v>
      </c>
      <c r="GW353" s="3">
        <v>0</v>
      </c>
      <c r="GX353" s="3">
        <v>0</v>
      </c>
      <c r="GY353" s="3">
        <v>0</v>
      </c>
      <c r="GZ353" s="3">
        <v>0</v>
      </c>
      <c r="HA353" s="3">
        <v>0</v>
      </c>
      <c r="HB353" s="3">
        <v>0</v>
      </c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6"/>
      <c r="HT353" s="4">
        <v>0</v>
      </c>
      <c r="HU353" s="3">
        <v>0</v>
      </c>
      <c r="HV353" s="3">
        <v>0</v>
      </c>
      <c r="HW353" s="3">
        <v>0</v>
      </c>
      <c r="HX353" s="3">
        <v>0</v>
      </c>
      <c r="HY353" s="3">
        <v>0</v>
      </c>
      <c r="HZ353" s="3">
        <v>0</v>
      </c>
      <c r="IA353" s="3">
        <v>0</v>
      </c>
      <c r="IB353" s="3">
        <v>0</v>
      </c>
      <c r="IC353" s="3">
        <v>0</v>
      </c>
      <c r="ID353" s="3">
        <v>0</v>
      </c>
      <c r="IE353" s="3">
        <v>0</v>
      </c>
      <c r="IF353" s="3">
        <v>0</v>
      </c>
      <c r="IG353" s="3">
        <v>0</v>
      </c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6"/>
    </row>
    <row r="354" spans="1:258" hidden="1">
      <c r="A354" s="97" t="s">
        <v>1380</v>
      </c>
      <c r="B354" s="98" t="s">
        <v>20</v>
      </c>
      <c r="C354" s="98" t="s">
        <v>772</v>
      </c>
      <c r="D354" s="99" t="s">
        <v>1277</v>
      </c>
      <c r="E354" s="98" t="s">
        <v>806</v>
      </c>
      <c r="F354" s="98" t="s">
        <v>807</v>
      </c>
      <c r="G354" s="98" t="s">
        <v>808</v>
      </c>
      <c r="H354" s="98" t="s">
        <v>1278</v>
      </c>
      <c r="I354" s="98" t="s">
        <v>1278</v>
      </c>
      <c r="J354" s="98" t="s">
        <v>904</v>
      </c>
      <c r="K354" s="98" t="s">
        <v>1127</v>
      </c>
      <c r="L354" s="98" t="s">
        <v>809</v>
      </c>
      <c r="M354" s="101" t="s">
        <v>1093</v>
      </c>
      <c r="N354" s="139">
        <v>45231</v>
      </c>
      <c r="O354" s="100">
        <v>0</v>
      </c>
      <c r="P354" s="69">
        <v>0</v>
      </c>
      <c r="Q354" s="69">
        <f t="shared" si="4106"/>
        <v>0</v>
      </c>
      <c r="R354" s="69">
        <f t="shared" si="4243"/>
        <v>0</v>
      </c>
      <c r="S354" s="69">
        <f t="shared" si="4244"/>
        <v>0</v>
      </c>
      <c r="T354" s="69">
        <f t="shared" si="4245"/>
        <v>0</v>
      </c>
      <c r="U354" s="69">
        <f t="shared" si="4246"/>
        <v>0</v>
      </c>
      <c r="V354" s="70">
        <f t="shared" si="4247"/>
        <v>0</v>
      </c>
      <c r="W354" s="71">
        <f t="shared" si="4248"/>
        <v>0</v>
      </c>
      <c r="X354" s="71">
        <f t="shared" si="4249"/>
        <v>0</v>
      </c>
      <c r="Y354" s="71">
        <f t="shared" si="4250"/>
        <v>0</v>
      </c>
      <c r="Z354" s="71">
        <f t="shared" si="4251"/>
        <v>0</v>
      </c>
      <c r="AA354" s="71">
        <f t="shared" si="4252"/>
        <v>0</v>
      </c>
      <c r="AB354" s="71">
        <f t="shared" si="4253"/>
        <v>0</v>
      </c>
      <c r="AC354" s="71">
        <f t="shared" si="4254"/>
        <v>0</v>
      </c>
      <c r="AD354" s="71">
        <f t="shared" si="4255"/>
        <v>0</v>
      </c>
      <c r="AE354" s="71">
        <f t="shared" si="4256"/>
        <v>0</v>
      </c>
      <c r="AF354" s="71">
        <f t="shared" si="4257"/>
        <v>0</v>
      </c>
      <c r="AG354" s="71">
        <f t="shared" si="4258"/>
        <v>0</v>
      </c>
      <c r="AH354" s="71">
        <f t="shared" si="4259"/>
        <v>0</v>
      </c>
      <c r="AI354" s="71">
        <f t="shared" si="4260"/>
        <v>0</v>
      </c>
      <c r="AJ354" s="71">
        <f t="shared" si="4261"/>
        <v>0</v>
      </c>
      <c r="AK354" s="71">
        <f t="shared" si="4262"/>
        <v>0</v>
      </c>
      <c r="AL354" s="71">
        <f t="shared" si="4263"/>
        <v>0</v>
      </c>
      <c r="AM354" s="71">
        <f t="shared" si="4264"/>
        <v>0</v>
      </c>
      <c r="AN354" s="71">
        <f t="shared" si="4265"/>
        <v>0</v>
      </c>
      <c r="AO354" s="71">
        <f t="shared" si="4266"/>
        <v>0</v>
      </c>
      <c r="AP354" s="71">
        <f t="shared" si="4267"/>
        <v>0</v>
      </c>
      <c r="AQ354" s="71">
        <f t="shared" si="4268"/>
        <v>0</v>
      </c>
      <c r="AR354" s="71">
        <f t="shared" si="4269"/>
        <v>0</v>
      </c>
      <c r="AS354" s="71">
        <f t="shared" si="4270"/>
        <v>0</v>
      </c>
      <c r="AT354" s="71">
        <f t="shared" si="4271"/>
        <v>0</v>
      </c>
      <c r="AU354" s="71">
        <f t="shared" si="4272"/>
        <v>0</v>
      </c>
      <c r="AV354" s="71">
        <f t="shared" si="4273"/>
        <v>0</v>
      </c>
      <c r="AW354" s="71">
        <f t="shared" si="4274"/>
        <v>0</v>
      </c>
      <c r="AX354" s="71">
        <f t="shared" si="4275"/>
        <v>0</v>
      </c>
      <c r="AY354" s="71">
        <f t="shared" si="4276"/>
        <v>0</v>
      </c>
      <c r="AZ354" s="72">
        <f t="shared" si="4277"/>
        <v>0</v>
      </c>
      <c r="BA354" s="70">
        <f t="shared" si="4030"/>
        <v>0</v>
      </c>
      <c r="BB354" s="69">
        <f t="shared" ca="1" si="4031"/>
        <v>0</v>
      </c>
      <c r="BC354" s="70">
        <f t="shared" si="4278"/>
        <v>0</v>
      </c>
      <c r="BD354" s="71">
        <f t="shared" si="4279"/>
        <v>0</v>
      </c>
      <c r="BE354" s="71">
        <f t="shared" si="4280"/>
        <v>0</v>
      </c>
      <c r="BF354" s="71">
        <f t="shared" si="4281"/>
        <v>0</v>
      </c>
      <c r="BG354" s="71">
        <f t="shared" si="4282"/>
        <v>0</v>
      </c>
      <c r="BH354" s="71">
        <f t="shared" si="4283"/>
        <v>0</v>
      </c>
      <c r="BI354" s="71">
        <f t="shared" si="4284"/>
        <v>0</v>
      </c>
      <c r="BJ354" s="71">
        <f t="shared" si="4285"/>
        <v>0</v>
      </c>
      <c r="BK354" s="71">
        <f t="shared" si="4286"/>
        <v>0</v>
      </c>
      <c r="BL354" s="71">
        <f t="shared" si="4287"/>
        <v>0</v>
      </c>
      <c r="BM354" s="71">
        <f t="shared" si="4288"/>
        <v>0</v>
      </c>
      <c r="BN354" s="71">
        <f t="shared" si="4289"/>
        <v>0</v>
      </c>
      <c r="BO354" s="71">
        <f t="shared" si="4290"/>
        <v>0</v>
      </c>
      <c r="BP354" s="71">
        <f t="shared" si="4291"/>
        <v>0</v>
      </c>
      <c r="BQ354" s="71">
        <f t="shared" si="4292"/>
        <v>0</v>
      </c>
      <c r="BR354" s="71">
        <f t="shared" si="4293"/>
        <v>0</v>
      </c>
      <c r="BS354" s="71">
        <f t="shared" si="4294"/>
        <v>0</v>
      </c>
      <c r="BT354" s="71">
        <f t="shared" si="4295"/>
        <v>0</v>
      </c>
      <c r="BU354" s="71">
        <f t="shared" si="4296"/>
        <v>0</v>
      </c>
      <c r="BV354" s="71">
        <f t="shared" si="4297"/>
        <v>0</v>
      </c>
      <c r="BW354" s="71">
        <f t="shared" si="4298"/>
        <v>0</v>
      </c>
      <c r="BX354" s="71">
        <f t="shared" si="4299"/>
        <v>0</v>
      </c>
      <c r="BY354" s="71">
        <f t="shared" si="4300"/>
        <v>0</v>
      </c>
      <c r="BZ354" s="71">
        <f t="shared" si="4301"/>
        <v>0</v>
      </c>
      <c r="CA354" s="71">
        <f t="shared" si="4302"/>
        <v>0</v>
      </c>
      <c r="CB354" s="71">
        <f t="shared" si="4303"/>
        <v>0</v>
      </c>
      <c r="CC354" s="71">
        <f t="shared" si="4304"/>
        <v>0</v>
      </c>
      <c r="CD354" s="71">
        <f t="shared" si="4305"/>
        <v>0</v>
      </c>
      <c r="CE354" s="71">
        <f t="shared" si="4306"/>
        <v>0</v>
      </c>
      <c r="CF354" s="71">
        <f t="shared" si="4307"/>
        <v>0</v>
      </c>
      <c r="CG354" s="71">
        <f t="shared" si="4308"/>
        <v>0</v>
      </c>
      <c r="CH354" s="70">
        <f t="shared" si="4032"/>
        <v>0</v>
      </c>
      <c r="CI354" s="69">
        <f t="shared" ca="1" si="4033"/>
        <v>0</v>
      </c>
      <c r="GM354" s="2" t="s">
        <v>16</v>
      </c>
      <c r="GN354" s="98" t="str">
        <f t="shared" si="4029"/>
        <v>MDN01-FMCG-ASM-01</v>
      </c>
      <c r="GO354" s="4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6"/>
      <c r="HT354" s="4">
        <v>0</v>
      </c>
      <c r="HU354" s="3">
        <v>0</v>
      </c>
      <c r="HV354" s="3">
        <v>0</v>
      </c>
      <c r="HW354" s="3">
        <v>0</v>
      </c>
      <c r="HX354" s="3">
        <v>0</v>
      </c>
      <c r="HY354" s="3">
        <v>0</v>
      </c>
      <c r="HZ354" s="3">
        <v>0</v>
      </c>
      <c r="IA354" s="3">
        <v>0</v>
      </c>
      <c r="IB354" s="3">
        <v>0</v>
      </c>
      <c r="IC354" s="3">
        <v>0</v>
      </c>
      <c r="ID354" s="3">
        <v>0</v>
      </c>
      <c r="IE354" s="3">
        <v>0</v>
      </c>
      <c r="IF354" s="3">
        <v>0</v>
      </c>
      <c r="IG354" s="3">
        <v>0</v>
      </c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6"/>
    </row>
    <row r="355" spans="1:258" hidden="1">
      <c r="A355" s="102" t="s">
        <v>53</v>
      </c>
      <c r="B355" s="103" t="s">
        <v>20</v>
      </c>
      <c r="C355" s="103" t="s">
        <v>772</v>
      </c>
      <c r="D355" s="104" t="s">
        <v>1277</v>
      </c>
      <c r="E355" s="103" t="s">
        <v>806</v>
      </c>
      <c r="F355" s="103" t="s">
        <v>807</v>
      </c>
      <c r="G355" s="103" t="s">
        <v>808</v>
      </c>
      <c r="H355" s="103" t="s">
        <v>1278</v>
      </c>
      <c r="I355" s="103" t="s">
        <v>1278</v>
      </c>
      <c r="J355" s="103" t="s">
        <v>904</v>
      </c>
      <c r="K355" s="103" t="s">
        <v>1127</v>
      </c>
      <c r="L355" s="103" t="s">
        <v>809</v>
      </c>
      <c r="M355" s="103" t="s">
        <v>1093</v>
      </c>
      <c r="N355" s="119">
        <v>45231</v>
      </c>
      <c r="O355" s="105">
        <f>O353+O352+O351+O350+O349</f>
        <v>4</v>
      </c>
      <c r="P355" s="73">
        <f>P353+P352+P351+P350+P349</f>
        <v>0</v>
      </c>
      <c r="Q355" s="73">
        <f>Q353+Q352+Q351+Q350+Q349</f>
        <v>4</v>
      </c>
      <c r="R355" s="73">
        <f t="shared" ref="R355:AZ355" si="4309">R353+R352+R351+R350+R349</f>
        <v>4</v>
      </c>
      <c r="S355" s="73">
        <f t="shared" si="4309"/>
        <v>0</v>
      </c>
      <c r="T355" s="73">
        <f t="shared" si="4309"/>
        <v>4</v>
      </c>
      <c r="U355" s="73">
        <f t="shared" si="4309"/>
        <v>4</v>
      </c>
      <c r="V355" s="74">
        <f t="shared" si="4309"/>
        <v>4</v>
      </c>
      <c r="W355" s="75">
        <f t="shared" si="4309"/>
        <v>0</v>
      </c>
      <c r="X355" s="75">
        <f t="shared" si="4309"/>
        <v>4</v>
      </c>
      <c r="Y355" s="75">
        <f t="shared" si="4309"/>
        <v>4</v>
      </c>
      <c r="Z355" s="75">
        <f t="shared" si="4309"/>
        <v>4</v>
      </c>
      <c r="AA355" s="75">
        <f t="shared" si="4309"/>
        <v>3</v>
      </c>
      <c r="AB355" s="75">
        <f t="shared" si="4309"/>
        <v>4</v>
      </c>
      <c r="AC355" s="75">
        <f t="shared" si="4309"/>
        <v>4</v>
      </c>
      <c r="AD355" s="75">
        <f t="shared" si="4309"/>
        <v>0</v>
      </c>
      <c r="AE355" s="75">
        <f t="shared" si="4309"/>
        <v>4</v>
      </c>
      <c r="AF355" s="75">
        <f t="shared" si="4309"/>
        <v>1</v>
      </c>
      <c r="AG355" s="75">
        <f t="shared" si="4309"/>
        <v>1</v>
      </c>
      <c r="AH355" s="75">
        <f t="shared" si="4309"/>
        <v>3</v>
      </c>
      <c r="AI355" s="75">
        <f t="shared" si="4309"/>
        <v>4</v>
      </c>
      <c r="AJ355" s="75">
        <f t="shared" si="4309"/>
        <v>0</v>
      </c>
      <c r="AK355" s="75">
        <f t="shared" si="4309"/>
        <v>0</v>
      </c>
      <c r="AL355" s="75">
        <f t="shared" si="4309"/>
        <v>0</v>
      </c>
      <c r="AM355" s="75">
        <f t="shared" si="4309"/>
        <v>0</v>
      </c>
      <c r="AN355" s="75">
        <f t="shared" si="4309"/>
        <v>0</v>
      </c>
      <c r="AO355" s="75">
        <f t="shared" si="4309"/>
        <v>0</v>
      </c>
      <c r="AP355" s="75">
        <f t="shared" si="4309"/>
        <v>0</v>
      </c>
      <c r="AQ355" s="75">
        <f t="shared" si="4309"/>
        <v>0</v>
      </c>
      <c r="AR355" s="75">
        <f t="shared" si="4309"/>
        <v>0</v>
      </c>
      <c r="AS355" s="75">
        <f t="shared" si="4309"/>
        <v>0</v>
      </c>
      <c r="AT355" s="75">
        <f t="shared" si="4309"/>
        <v>0</v>
      </c>
      <c r="AU355" s="75">
        <f t="shared" si="4309"/>
        <v>0</v>
      </c>
      <c r="AV355" s="75">
        <f t="shared" si="4309"/>
        <v>0</v>
      </c>
      <c r="AW355" s="75">
        <f t="shared" si="4309"/>
        <v>0</v>
      </c>
      <c r="AX355" s="75">
        <f t="shared" si="4309"/>
        <v>0</v>
      </c>
      <c r="AY355" s="75">
        <f t="shared" si="4309"/>
        <v>0</v>
      </c>
      <c r="AZ355" s="76">
        <f t="shared" si="4309"/>
        <v>0</v>
      </c>
      <c r="BA355" s="74">
        <f t="shared" si="4030"/>
        <v>40</v>
      </c>
      <c r="BB355" s="73">
        <f t="shared" ca="1" si="4031"/>
        <v>0.76923076923076927</v>
      </c>
      <c r="BC355" s="74">
        <f>BC353+BC352+BC351+BC350+BC349</f>
        <v>64</v>
      </c>
      <c r="BD355" s="75">
        <f>BD353++BD352+BD351+BD350+BD349</f>
        <v>0</v>
      </c>
      <c r="BE355" s="75">
        <f t="shared" ref="BE355:CG355" si="4310">BE353++BE352+BE351+BE350+BE349</f>
        <v>42</v>
      </c>
      <c r="BF355" s="75">
        <f t="shared" si="4310"/>
        <v>36</v>
      </c>
      <c r="BG355" s="75">
        <f t="shared" si="4310"/>
        <v>70</v>
      </c>
      <c r="BH355" s="75">
        <f t="shared" si="4310"/>
        <v>48</v>
      </c>
      <c r="BI355" s="75">
        <f t="shared" si="4310"/>
        <v>41</v>
      </c>
      <c r="BJ355" s="75">
        <f t="shared" si="4310"/>
        <v>79</v>
      </c>
      <c r="BK355" s="75">
        <f t="shared" si="4310"/>
        <v>0</v>
      </c>
      <c r="BL355" s="75">
        <f t="shared" si="4310"/>
        <v>55</v>
      </c>
      <c r="BM355" s="75">
        <f t="shared" si="4310"/>
        <v>0</v>
      </c>
      <c r="BN355" s="75">
        <f t="shared" si="4310"/>
        <v>0</v>
      </c>
      <c r="BO355" s="75">
        <f t="shared" si="4310"/>
        <v>28</v>
      </c>
      <c r="BP355" s="75">
        <f t="shared" si="4310"/>
        <v>0</v>
      </c>
      <c r="BQ355" s="75">
        <f t="shared" si="4310"/>
        <v>0</v>
      </c>
      <c r="BR355" s="75">
        <f t="shared" si="4310"/>
        <v>0</v>
      </c>
      <c r="BS355" s="75">
        <f t="shared" si="4310"/>
        <v>0</v>
      </c>
      <c r="BT355" s="75">
        <f t="shared" si="4310"/>
        <v>0</v>
      </c>
      <c r="BU355" s="75">
        <f t="shared" si="4310"/>
        <v>0</v>
      </c>
      <c r="BV355" s="75">
        <f t="shared" si="4310"/>
        <v>0</v>
      </c>
      <c r="BW355" s="75">
        <f t="shared" si="4310"/>
        <v>0</v>
      </c>
      <c r="BX355" s="75">
        <f t="shared" si="4310"/>
        <v>0</v>
      </c>
      <c r="BY355" s="75">
        <f t="shared" si="4310"/>
        <v>0</v>
      </c>
      <c r="BZ355" s="75">
        <f t="shared" si="4310"/>
        <v>0</v>
      </c>
      <c r="CA355" s="75">
        <f t="shared" si="4310"/>
        <v>0</v>
      </c>
      <c r="CB355" s="75">
        <f t="shared" si="4310"/>
        <v>0</v>
      </c>
      <c r="CC355" s="75">
        <f t="shared" si="4310"/>
        <v>0</v>
      </c>
      <c r="CD355" s="75">
        <f t="shared" si="4310"/>
        <v>0</v>
      </c>
      <c r="CE355" s="75">
        <f t="shared" si="4310"/>
        <v>0</v>
      </c>
      <c r="CF355" s="75">
        <f t="shared" si="4310"/>
        <v>0</v>
      </c>
      <c r="CG355" s="75">
        <f t="shared" si="4310"/>
        <v>0</v>
      </c>
      <c r="CH355" s="74">
        <f t="shared" si="4032"/>
        <v>463</v>
      </c>
      <c r="CI355" s="73">
        <f t="shared" ca="1" si="4033"/>
        <v>8.9038461538461533</v>
      </c>
      <c r="GM355" s="2" t="s">
        <v>17</v>
      </c>
      <c r="GN355" s="103" t="str">
        <f t="shared" si="4029"/>
        <v>MDN01-FMCG-ASM-01</v>
      </c>
      <c r="GO355" s="4">
        <v>0</v>
      </c>
      <c r="GP355" s="3">
        <v>0</v>
      </c>
      <c r="GQ355" s="3">
        <v>0</v>
      </c>
      <c r="GR355" s="3">
        <v>0</v>
      </c>
      <c r="GS355" s="3">
        <v>0</v>
      </c>
      <c r="GT355" s="3">
        <v>0</v>
      </c>
      <c r="GU355" s="3">
        <v>0</v>
      </c>
      <c r="GV355" s="3">
        <v>0</v>
      </c>
      <c r="GW355" s="3">
        <v>0</v>
      </c>
      <c r="GX355" s="3">
        <v>0</v>
      </c>
      <c r="GY355" s="3">
        <v>0</v>
      </c>
      <c r="GZ355" s="3">
        <v>0</v>
      </c>
      <c r="HA355" s="3">
        <v>0</v>
      </c>
      <c r="HB355" s="3">
        <v>0</v>
      </c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6"/>
      <c r="HT355" s="4">
        <v>0</v>
      </c>
      <c r="HU355" s="3">
        <v>0</v>
      </c>
      <c r="HV355" s="3">
        <v>0</v>
      </c>
      <c r="HW355" s="3">
        <v>0</v>
      </c>
      <c r="HX355" s="3">
        <v>0</v>
      </c>
      <c r="HY355" s="3">
        <v>0</v>
      </c>
      <c r="HZ355" s="3">
        <v>0</v>
      </c>
      <c r="IA355" s="3">
        <v>0</v>
      </c>
      <c r="IB355" s="3">
        <v>0</v>
      </c>
      <c r="IC355" s="3">
        <v>0</v>
      </c>
      <c r="ID355" s="3">
        <v>0</v>
      </c>
      <c r="IE355" s="3">
        <v>0</v>
      </c>
      <c r="IF355" s="3">
        <v>0</v>
      </c>
      <c r="IG355" s="3">
        <v>0</v>
      </c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6"/>
    </row>
    <row r="356" spans="1:258" hidden="1">
      <c r="A356" s="97" t="s">
        <v>1397</v>
      </c>
      <c r="B356" s="98" t="s">
        <v>20</v>
      </c>
      <c r="C356" s="98" t="s">
        <v>772</v>
      </c>
      <c r="D356" s="99" t="s">
        <v>810</v>
      </c>
      <c r="E356" s="98" t="s">
        <v>811</v>
      </c>
      <c r="F356" s="98" t="s">
        <v>812</v>
      </c>
      <c r="G356" s="113" t="s">
        <v>905</v>
      </c>
      <c r="H356" s="98" t="s">
        <v>1643</v>
      </c>
      <c r="I356" s="98" t="s">
        <v>1643</v>
      </c>
      <c r="J356" s="98" t="s">
        <v>784</v>
      </c>
      <c r="K356" s="98" t="s">
        <v>31</v>
      </c>
      <c r="L356" s="98" t="s">
        <v>1099</v>
      </c>
      <c r="M356" s="98" t="s">
        <v>43</v>
      </c>
      <c r="N356" s="108" t="s">
        <v>1099</v>
      </c>
      <c r="O356" s="100">
        <v>0</v>
      </c>
      <c r="P356" s="69">
        <v>0</v>
      </c>
      <c r="Q356" s="69">
        <f>IFERROR(IF(OR(AI356&gt;0),1,0),0)</f>
        <v>0</v>
      </c>
      <c r="R356" s="69">
        <f>IFERROR(IF(OR(BA356&gt;0),1,0),0)</f>
        <v>0</v>
      </c>
      <c r="S356" s="69">
        <f>IFERROR(IF(OR(BP356&gt;0),1,0),0)</f>
        <v>0</v>
      </c>
      <c r="T356" s="69">
        <f>IFERROR(IF(OR(CH356&gt;0),1,0),0)</f>
        <v>0</v>
      </c>
      <c r="U356" s="69">
        <f>IFERROR(IF(OR(BA356&gt;0,CH356&gt;0),1,0),0)</f>
        <v>0</v>
      </c>
      <c r="V356" s="70">
        <f t="shared" ref="V356" si="4311">GO356</f>
        <v>0</v>
      </c>
      <c r="W356" s="71">
        <f t="shared" ref="W356" si="4312">GP356</f>
        <v>0</v>
      </c>
      <c r="X356" s="71">
        <f t="shared" ref="X356" si="4313">GQ356</f>
        <v>0</v>
      </c>
      <c r="Y356" s="71">
        <f t="shared" ref="Y356" si="4314">GR356</f>
        <v>0</v>
      </c>
      <c r="Z356" s="71">
        <f t="shared" ref="Z356" si="4315">GS356</f>
        <v>0</v>
      </c>
      <c r="AA356" s="71">
        <f t="shared" ref="AA356" si="4316">GT356</f>
        <v>0</v>
      </c>
      <c r="AB356" s="71">
        <f t="shared" ref="AB356" si="4317">GU356</f>
        <v>0</v>
      </c>
      <c r="AC356" s="71">
        <f t="shared" ref="AC356" si="4318">GV356</f>
        <v>0</v>
      </c>
      <c r="AD356" s="71">
        <f t="shared" ref="AD356" si="4319">GW356</f>
        <v>0</v>
      </c>
      <c r="AE356" s="71">
        <f t="shared" ref="AE356" si="4320">GX356</f>
        <v>0</v>
      </c>
      <c r="AF356" s="71">
        <f t="shared" ref="AF356" si="4321">GY356</f>
        <v>0</v>
      </c>
      <c r="AG356" s="71">
        <f t="shared" ref="AG356" si="4322">GZ356</f>
        <v>0</v>
      </c>
      <c r="AH356" s="71">
        <f t="shared" ref="AH356" si="4323">HA356</f>
        <v>0</v>
      </c>
      <c r="AI356" s="71">
        <f t="shared" ref="AI356" si="4324">HB356</f>
        <v>0</v>
      </c>
      <c r="AJ356" s="71">
        <f t="shared" ref="AJ356" si="4325">HC356</f>
        <v>0</v>
      </c>
      <c r="AK356" s="71">
        <f t="shared" ref="AK356" si="4326">HD356</f>
        <v>0</v>
      </c>
      <c r="AL356" s="71">
        <f t="shared" ref="AL356" si="4327">HE356</f>
        <v>0</v>
      </c>
      <c r="AM356" s="71">
        <f t="shared" ref="AM356" si="4328">HF356</f>
        <v>0</v>
      </c>
      <c r="AN356" s="71">
        <f t="shared" ref="AN356" si="4329">HG356</f>
        <v>0</v>
      </c>
      <c r="AO356" s="71">
        <f t="shared" ref="AO356" si="4330">HH356</f>
        <v>0</v>
      </c>
      <c r="AP356" s="71">
        <f t="shared" ref="AP356" si="4331">HI356</f>
        <v>0</v>
      </c>
      <c r="AQ356" s="71">
        <f t="shared" ref="AQ356" si="4332">HJ356</f>
        <v>0</v>
      </c>
      <c r="AR356" s="71">
        <f t="shared" ref="AR356" si="4333">HK356</f>
        <v>0</v>
      </c>
      <c r="AS356" s="71">
        <f t="shared" ref="AS356" si="4334">HL356</f>
        <v>0</v>
      </c>
      <c r="AT356" s="71">
        <f t="shared" ref="AT356" si="4335">HM356</f>
        <v>0</v>
      </c>
      <c r="AU356" s="71">
        <f t="shared" ref="AU356" si="4336">HN356</f>
        <v>0</v>
      </c>
      <c r="AV356" s="71">
        <f t="shared" ref="AV356" si="4337">HO356</f>
        <v>0</v>
      </c>
      <c r="AW356" s="71">
        <f t="shared" ref="AW356" si="4338">HP356</f>
        <v>0</v>
      </c>
      <c r="AX356" s="71">
        <f t="shared" ref="AX356" si="4339">HQ356</f>
        <v>0</v>
      </c>
      <c r="AY356" s="71">
        <f t="shared" ref="AY356" si="4340">HR356</f>
        <v>0</v>
      </c>
      <c r="AZ356" s="72">
        <f t="shared" ref="AZ356" si="4341">HS356</f>
        <v>0</v>
      </c>
      <c r="BA356" s="70">
        <f t="shared" si="4030"/>
        <v>0</v>
      </c>
      <c r="BB356" s="69">
        <f t="shared" ca="1" si="4031"/>
        <v>0</v>
      </c>
      <c r="BC356" s="70">
        <f t="shared" ref="BC356" si="4342">HT356</f>
        <v>0</v>
      </c>
      <c r="BD356" s="71">
        <f t="shared" ref="BD356" si="4343">HU356</f>
        <v>0</v>
      </c>
      <c r="BE356" s="71">
        <f t="shared" ref="BE356" si="4344">HV356</f>
        <v>0</v>
      </c>
      <c r="BF356" s="71">
        <f t="shared" ref="BF356" si="4345">HW356</f>
        <v>0</v>
      </c>
      <c r="BG356" s="71">
        <f t="shared" ref="BG356" si="4346">HX356</f>
        <v>0</v>
      </c>
      <c r="BH356" s="71">
        <f t="shared" ref="BH356" si="4347">HY356</f>
        <v>0</v>
      </c>
      <c r="BI356" s="71">
        <f t="shared" ref="BI356" si="4348">HZ356</f>
        <v>0</v>
      </c>
      <c r="BJ356" s="71">
        <f t="shared" ref="BJ356" si="4349">IA356</f>
        <v>0</v>
      </c>
      <c r="BK356" s="71">
        <f t="shared" ref="BK356" si="4350">IB356</f>
        <v>0</v>
      </c>
      <c r="BL356" s="71">
        <f t="shared" ref="BL356" si="4351">IC356</f>
        <v>0</v>
      </c>
      <c r="BM356" s="71">
        <f t="shared" ref="BM356" si="4352">ID356</f>
        <v>0</v>
      </c>
      <c r="BN356" s="71">
        <f t="shared" ref="BN356" si="4353">IE356</f>
        <v>0</v>
      </c>
      <c r="BO356" s="71">
        <f t="shared" ref="BO356" si="4354">IF356</f>
        <v>0</v>
      </c>
      <c r="BP356" s="71">
        <f t="shared" ref="BP356" si="4355">IG356</f>
        <v>0</v>
      </c>
      <c r="BQ356" s="71">
        <f t="shared" ref="BQ356" si="4356">IH356</f>
        <v>0</v>
      </c>
      <c r="BR356" s="71">
        <f t="shared" ref="BR356" si="4357">II356</f>
        <v>0</v>
      </c>
      <c r="BS356" s="71">
        <f t="shared" ref="BS356" si="4358">IJ356</f>
        <v>0</v>
      </c>
      <c r="BT356" s="71">
        <f t="shared" ref="BT356" si="4359">IK356</f>
        <v>0</v>
      </c>
      <c r="BU356" s="71">
        <f t="shared" ref="BU356" si="4360">IL356</f>
        <v>0</v>
      </c>
      <c r="BV356" s="71">
        <f t="shared" ref="BV356" si="4361">IM356</f>
        <v>0</v>
      </c>
      <c r="BW356" s="71">
        <f t="shared" ref="BW356" si="4362">IN356</f>
        <v>0</v>
      </c>
      <c r="BX356" s="71">
        <f t="shared" ref="BX356" si="4363">IO356</f>
        <v>0</v>
      </c>
      <c r="BY356" s="71">
        <f t="shared" ref="BY356" si="4364">IP356</f>
        <v>0</v>
      </c>
      <c r="BZ356" s="71">
        <f t="shared" ref="BZ356" si="4365">IQ356</f>
        <v>0</v>
      </c>
      <c r="CA356" s="71">
        <f t="shared" ref="CA356" si="4366">IR356</f>
        <v>0</v>
      </c>
      <c r="CB356" s="71">
        <f t="shared" ref="CB356" si="4367">IS356</f>
        <v>0</v>
      </c>
      <c r="CC356" s="71">
        <f t="shared" ref="CC356" si="4368">IT356</f>
        <v>0</v>
      </c>
      <c r="CD356" s="71">
        <f t="shared" ref="CD356" si="4369">IU356</f>
        <v>0</v>
      </c>
      <c r="CE356" s="71">
        <f t="shared" ref="CE356" si="4370">IV356</f>
        <v>0</v>
      </c>
      <c r="CF356" s="71">
        <f t="shared" ref="CF356" si="4371">IW356</f>
        <v>0</v>
      </c>
      <c r="CG356" s="71">
        <f t="shared" ref="CG356" si="4372">IX356</f>
        <v>0</v>
      </c>
      <c r="CH356" s="70">
        <f t="shared" si="4032"/>
        <v>0</v>
      </c>
      <c r="CI356" s="69">
        <f t="shared" ca="1" si="4033"/>
        <v>0</v>
      </c>
      <c r="GM356" s="2" t="s">
        <v>16</v>
      </c>
      <c r="GN356" s="98" t="str">
        <f t="shared" si="4029"/>
        <v>NTH-F-FMCG-RSM-01</v>
      </c>
      <c r="GO356" s="4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6"/>
      <c r="HT356" s="4">
        <v>0</v>
      </c>
      <c r="HU356" s="3">
        <v>0</v>
      </c>
      <c r="HV356" s="3">
        <v>0</v>
      </c>
      <c r="HW356" s="3">
        <v>0</v>
      </c>
      <c r="HX356" s="3">
        <v>0</v>
      </c>
      <c r="HY356" s="3">
        <v>0</v>
      </c>
      <c r="HZ356" s="3">
        <v>0</v>
      </c>
      <c r="IA356" s="3">
        <v>0</v>
      </c>
      <c r="IB356" s="3">
        <v>0</v>
      </c>
      <c r="IC356" s="3">
        <v>0</v>
      </c>
      <c r="ID356" s="3">
        <v>0</v>
      </c>
      <c r="IE356" s="3">
        <v>0</v>
      </c>
      <c r="IF356" s="3">
        <v>0</v>
      </c>
      <c r="IG356" s="3">
        <v>0</v>
      </c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6"/>
    </row>
    <row r="357" spans="1:258" hidden="1">
      <c r="A357" s="109" t="s">
        <v>158</v>
      </c>
      <c r="B357" s="110" t="s">
        <v>20</v>
      </c>
      <c r="C357" s="110" t="s">
        <v>772</v>
      </c>
      <c r="D357" s="111" t="s">
        <v>810</v>
      </c>
      <c r="E357" s="110" t="s">
        <v>811</v>
      </c>
      <c r="F357" s="110" t="s">
        <v>811</v>
      </c>
      <c r="G357" s="110">
        <v>27</v>
      </c>
      <c r="H357" s="110" t="s">
        <v>1276</v>
      </c>
      <c r="I357" s="110" t="s">
        <v>1276</v>
      </c>
      <c r="J357" s="110" t="s">
        <v>784</v>
      </c>
      <c r="K357" s="110" t="s">
        <v>31</v>
      </c>
      <c r="L357" s="110" t="s">
        <v>799</v>
      </c>
      <c r="M357" s="110" t="s">
        <v>52</v>
      </c>
      <c r="N357" s="140">
        <v>44064</v>
      </c>
      <c r="O357" s="112">
        <f t="shared" ref="O357:AZ357" si="4373">O356+O355+O348+O339</f>
        <v>14</v>
      </c>
      <c r="P357" s="77">
        <f t="shared" si="4373"/>
        <v>0</v>
      </c>
      <c r="Q357" s="77">
        <f t="shared" si="4373"/>
        <v>6</v>
      </c>
      <c r="R357" s="77">
        <f t="shared" si="4373"/>
        <v>14</v>
      </c>
      <c r="S357" s="77">
        <f t="shared" si="4373"/>
        <v>3</v>
      </c>
      <c r="T357" s="77">
        <f t="shared" si="4373"/>
        <v>13</v>
      </c>
      <c r="U357" s="77">
        <f t="shared" si="4373"/>
        <v>14</v>
      </c>
      <c r="V357" s="78">
        <f t="shared" si="4373"/>
        <v>14</v>
      </c>
      <c r="W357" s="79">
        <f t="shared" si="4373"/>
        <v>4</v>
      </c>
      <c r="X357" s="79">
        <f t="shared" si="4373"/>
        <v>13</v>
      </c>
      <c r="Y357" s="79">
        <f t="shared" si="4373"/>
        <v>10</v>
      </c>
      <c r="Z357" s="79">
        <f t="shared" si="4373"/>
        <v>14</v>
      </c>
      <c r="AA357" s="79">
        <f t="shared" si="4373"/>
        <v>13</v>
      </c>
      <c r="AB357" s="79">
        <f t="shared" si="4373"/>
        <v>14</v>
      </c>
      <c r="AC357" s="79">
        <f t="shared" si="4373"/>
        <v>14</v>
      </c>
      <c r="AD357" s="79">
        <f t="shared" si="4373"/>
        <v>4</v>
      </c>
      <c r="AE357" s="79">
        <f t="shared" si="4373"/>
        <v>14</v>
      </c>
      <c r="AF357" s="79">
        <f t="shared" si="4373"/>
        <v>7</v>
      </c>
      <c r="AG357" s="79">
        <f t="shared" si="4373"/>
        <v>11</v>
      </c>
      <c r="AH357" s="79">
        <f t="shared" si="4373"/>
        <v>12</v>
      </c>
      <c r="AI357" s="79">
        <f t="shared" si="4373"/>
        <v>14</v>
      </c>
      <c r="AJ357" s="79">
        <f t="shared" si="4373"/>
        <v>0</v>
      </c>
      <c r="AK357" s="79">
        <f t="shared" si="4373"/>
        <v>0</v>
      </c>
      <c r="AL357" s="79">
        <f t="shared" si="4373"/>
        <v>0</v>
      </c>
      <c r="AM357" s="79">
        <f t="shared" si="4373"/>
        <v>0</v>
      </c>
      <c r="AN357" s="79">
        <f t="shared" si="4373"/>
        <v>0</v>
      </c>
      <c r="AO357" s="79">
        <f t="shared" si="4373"/>
        <v>0</v>
      </c>
      <c r="AP357" s="79">
        <f t="shared" si="4373"/>
        <v>0</v>
      </c>
      <c r="AQ357" s="79">
        <f t="shared" si="4373"/>
        <v>0</v>
      </c>
      <c r="AR357" s="79">
        <f t="shared" si="4373"/>
        <v>0</v>
      </c>
      <c r="AS357" s="79">
        <f t="shared" si="4373"/>
        <v>0</v>
      </c>
      <c r="AT357" s="79">
        <f t="shared" si="4373"/>
        <v>0</v>
      </c>
      <c r="AU357" s="79">
        <f t="shared" si="4373"/>
        <v>0</v>
      </c>
      <c r="AV357" s="79">
        <f t="shared" si="4373"/>
        <v>0</v>
      </c>
      <c r="AW357" s="79">
        <f t="shared" si="4373"/>
        <v>0</v>
      </c>
      <c r="AX357" s="79">
        <f t="shared" si="4373"/>
        <v>0</v>
      </c>
      <c r="AY357" s="79">
        <f t="shared" si="4373"/>
        <v>0</v>
      </c>
      <c r="AZ357" s="80">
        <f t="shared" si="4373"/>
        <v>0</v>
      </c>
      <c r="BA357" s="78">
        <f t="shared" si="4030"/>
        <v>158</v>
      </c>
      <c r="BB357" s="77">
        <f t="shared" ca="1" si="4031"/>
        <v>0.86813186813186805</v>
      </c>
      <c r="BC357" s="78">
        <f t="shared" ref="BC357:CG357" si="4374">BC356+BC355+BC348+BC339</f>
        <v>257</v>
      </c>
      <c r="BD357" s="79">
        <f t="shared" si="4374"/>
        <v>13</v>
      </c>
      <c r="BE357" s="79">
        <f t="shared" si="4374"/>
        <v>218</v>
      </c>
      <c r="BF357" s="79">
        <f t="shared" si="4374"/>
        <v>162</v>
      </c>
      <c r="BG357" s="79">
        <f t="shared" si="4374"/>
        <v>363</v>
      </c>
      <c r="BH357" s="79">
        <f t="shared" si="4374"/>
        <v>429</v>
      </c>
      <c r="BI357" s="79">
        <f t="shared" si="4374"/>
        <v>294</v>
      </c>
      <c r="BJ357" s="79">
        <f t="shared" si="4374"/>
        <v>311</v>
      </c>
      <c r="BK357" s="79">
        <f t="shared" si="4374"/>
        <v>129</v>
      </c>
      <c r="BL357" s="79">
        <f t="shared" si="4374"/>
        <v>370</v>
      </c>
      <c r="BM357" s="79">
        <f t="shared" si="4374"/>
        <v>120</v>
      </c>
      <c r="BN357" s="79">
        <f t="shared" si="4374"/>
        <v>165</v>
      </c>
      <c r="BO357" s="79">
        <f t="shared" si="4374"/>
        <v>206</v>
      </c>
      <c r="BP357" s="79">
        <f t="shared" si="4374"/>
        <v>7</v>
      </c>
      <c r="BQ357" s="79">
        <f t="shared" si="4374"/>
        <v>0</v>
      </c>
      <c r="BR357" s="79">
        <f t="shared" si="4374"/>
        <v>0</v>
      </c>
      <c r="BS357" s="79">
        <f t="shared" si="4374"/>
        <v>0</v>
      </c>
      <c r="BT357" s="79">
        <f t="shared" si="4374"/>
        <v>0</v>
      </c>
      <c r="BU357" s="79">
        <f t="shared" si="4374"/>
        <v>0</v>
      </c>
      <c r="BV357" s="79">
        <f t="shared" si="4374"/>
        <v>0</v>
      </c>
      <c r="BW357" s="79">
        <f t="shared" si="4374"/>
        <v>0</v>
      </c>
      <c r="BX357" s="79">
        <f t="shared" si="4374"/>
        <v>0</v>
      </c>
      <c r="BY357" s="79">
        <f t="shared" si="4374"/>
        <v>0</v>
      </c>
      <c r="BZ357" s="79">
        <f t="shared" si="4374"/>
        <v>0</v>
      </c>
      <c r="CA357" s="79">
        <f t="shared" si="4374"/>
        <v>0</v>
      </c>
      <c r="CB357" s="79">
        <f t="shared" si="4374"/>
        <v>0</v>
      </c>
      <c r="CC357" s="79">
        <f t="shared" si="4374"/>
        <v>0</v>
      </c>
      <c r="CD357" s="79">
        <f t="shared" si="4374"/>
        <v>0</v>
      </c>
      <c r="CE357" s="79">
        <f t="shared" si="4374"/>
        <v>0</v>
      </c>
      <c r="CF357" s="79">
        <f t="shared" si="4374"/>
        <v>0</v>
      </c>
      <c r="CG357" s="79">
        <f t="shared" si="4374"/>
        <v>0</v>
      </c>
      <c r="CH357" s="78">
        <f t="shared" si="4032"/>
        <v>3044</v>
      </c>
      <c r="CI357" s="77">
        <f t="shared" ca="1" si="4033"/>
        <v>16.725274725274726</v>
      </c>
      <c r="GM357" s="2" t="s">
        <v>17</v>
      </c>
      <c r="GN357" s="110" t="str">
        <f t="shared" si="4029"/>
        <v>RSM-NTH-F</v>
      </c>
      <c r="GO357" s="4">
        <v>0</v>
      </c>
      <c r="GP357" s="3">
        <v>0</v>
      </c>
      <c r="GQ357" s="3">
        <v>0</v>
      </c>
      <c r="GR357" s="3">
        <v>0</v>
      </c>
      <c r="GS357" s="3">
        <v>0</v>
      </c>
      <c r="GT357" s="3">
        <v>0</v>
      </c>
      <c r="GU357" s="3">
        <v>0</v>
      </c>
      <c r="GV357" s="3">
        <v>0</v>
      </c>
      <c r="GW357" s="3">
        <v>0</v>
      </c>
      <c r="GX357" s="3">
        <v>0</v>
      </c>
      <c r="GY357" s="3">
        <v>0</v>
      </c>
      <c r="GZ357" s="3">
        <v>0</v>
      </c>
      <c r="HA357" s="3">
        <v>0</v>
      </c>
      <c r="HB357" s="3">
        <v>0</v>
      </c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6"/>
      <c r="HT357" s="4">
        <v>0</v>
      </c>
      <c r="HU357" s="3">
        <v>0</v>
      </c>
      <c r="HV357" s="3">
        <v>0</v>
      </c>
      <c r="HW357" s="3">
        <v>0</v>
      </c>
      <c r="HX357" s="3">
        <v>0</v>
      </c>
      <c r="HY357" s="3">
        <v>0</v>
      </c>
      <c r="HZ357" s="3">
        <v>0</v>
      </c>
      <c r="IA357" s="3">
        <v>0</v>
      </c>
      <c r="IB357" s="3">
        <v>0</v>
      </c>
      <c r="IC357" s="3">
        <v>0</v>
      </c>
      <c r="ID357" s="3">
        <v>0</v>
      </c>
      <c r="IE357" s="3">
        <v>0</v>
      </c>
      <c r="IF357" s="3">
        <v>0</v>
      </c>
      <c r="IG357" s="3">
        <v>0</v>
      </c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6"/>
    </row>
    <row r="358" spans="1:258">
      <c r="A358" s="97" t="s">
        <v>448</v>
      </c>
      <c r="B358" s="98" t="s">
        <v>20</v>
      </c>
      <c r="C358" s="98" t="s">
        <v>80</v>
      </c>
      <c r="D358" s="99" t="s">
        <v>813</v>
      </c>
      <c r="E358" s="98" t="s">
        <v>814</v>
      </c>
      <c r="F358" s="98" t="s">
        <v>815</v>
      </c>
      <c r="G358" s="113" t="s">
        <v>1283</v>
      </c>
      <c r="H358" s="98" t="s">
        <v>1644</v>
      </c>
      <c r="I358" s="98" t="s">
        <v>1644</v>
      </c>
      <c r="J358" s="98" t="s">
        <v>504</v>
      </c>
      <c r="K358" s="98" t="s">
        <v>31</v>
      </c>
      <c r="L358" s="98" t="s">
        <v>816</v>
      </c>
      <c r="M358" s="98" t="s">
        <v>52</v>
      </c>
      <c r="N358" s="108">
        <v>42191</v>
      </c>
      <c r="O358" s="100">
        <v>0</v>
      </c>
      <c r="P358" s="69">
        <v>0</v>
      </c>
      <c r="Q358" s="69">
        <f>IFERROR(IF(OR(AI358&gt;0),1,0),0)</f>
        <v>0</v>
      </c>
      <c r="R358" s="69">
        <f>IFERROR(IF(OR(BA358&gt;0),1,0),0)</f>
        <v>0</v>
      </c>
      <c r="S358" s="69">
        <f>IFERROR(IF(OR(BP358&gt;0),1,0),0)</f>
        <v>0</v>
      </c>
      <c r="T358" s="69">
        <f>IFERROR(IF(OR(CH358&gt;0),1,0),0)</f>
        <v>0</v>
      </c>
      <c r="U358" s="69">
        <f>IFERROR(IF(OR(BA358&gt;0,CH358&gt;0),1,0),0)</f>
        <v>0</v>
      </c>
      <c r="V358" s="70">
        <f t="shared" ref="V358" si="4375">GO358</f>
        <v>0</v>
      </c>
      <c r="W358" s="71">
        <f t="shared" ref="W358" si="4376">GP358</f>
        <v>0</v>
      </c>
      <c r="X358" s="71">
        <f t="shared" ref="X358" si="4377">GQ358</f>
        <v>0</v>
      </c>
      <c r="Y358" s="71">
        <f t="shared" ref="Y358" si="4378">GR358</f>
        <v>0</v>
      </c>
      <c r="Z358" s="71">
        <f t="shared" ref="Z358" si="4379">GS358</f>
        <v>0</v>
      </c>
      <c r="AA358" s="71">
        <f t="shared" ref="AA358" si="4380">GT358</f>
        <v>0</v>
      </c>
      <c r="AB358" s="71">
        <f t="shared" ref="AB358" si="4381">GU358</f>
        <v>0</v>
      </c>
      <c r="AC358" s="71">
        <f t="shared" ref="AC358" si="4382">GV358</f>
        <v>0</v>
      </c>
      <c r="AD358" s="71">
        <f t="shared" ref="AD358" si="4383">GW358</f>
        <v>0</v>
      </c>
      <c r="AE358" s="71">
        <f t="shared" ref="AE358" si="4384">GX358</f>
        <v>0</v>
      </c>
      <c r="AF358" s="71">
        <f t="shared" ref="AF358" si="4385">GY358</f>
        <v>0</v>
      </c>
      <c r="AG358" s="71">
        <f t="shared" ref="AG358" si="4386">GZ358</f>
        <v>0</v>
      </c>
      <c r="AH358" s="71">
        <f t="shared" ref="AH358" si="4387">HA358</f>
        <v>0</v>
      </c>
      <c r="AI358" s="71">
        <f t="shared" ref="AI358" si="4388">HB358</f>
        <v>0</v>
      </c>
      <c r="AJ358" s="71">
        <f t="shared" ref="AJ358" si="4389">HC358</f>
        <v>0</v>
      </c>
      <c r="AK358" s="71">
        <f t="shared" ref="AK358" si="4390">HD358</f>
        <v>0</v>
      </c>
      <c r="AL358" s="71">
        <f t="shared" ref="AL358" si="4391">HE358</f>
        <v>0</v>
      </c>
      <c r="AM358" s="71">
        <f t="shared" ref="AM358" si="4392">HF358</f>
        <v>0</v>
      </c>
      <c r="AN358" s="71">
        <f t="shared" ref="AN358" si="4393">HG358</f>
        <v>0</v>
      </c>
      <c r="AO358" s="71">
        <f t="shared" ref="AO358" si="4394">HH358</f>
        <v>0</v>
      </c>
      <c r="AP358" s="71">
        <f t="shared" ref="AP358" si="4395">HI358</f>
        <v>0</v>
      </c>
      <c r="AQ358" s="71">
        <f t="shared" ref="AQ358" si="4396">HJ358</f>
        <v>0</v>
      </c>
      <c r="AR358" s="71">
        <f t="shared" ref="AR358" si="4397">HK358</f>
        <v>0</v>
      </c>
      <c r="AS358" s="71">
        <f t="shared" ref="AS358" si="4398">HL358</f>
        <v>0</v>
      </c>
      <c r="AT358" s="71">
        <f t="shared" ref="AT358" si="4399">HM358</f>
        <v>0</v>
      </c>
      <c r="AU358" s="71">
        <f t="shared" ref="AU358" si="4400">HN358</f>
        <v>0</v>
      </c>
      <c r="AV358" s="71">
        <f t="shared" ref="AV358" si="4401">HO358</f>
        <v>0</v>
      </c>
      <c r="AW358" s="71">
        <f t="shared" ref="AW358" si="4402">HP358</f>
        <v>0</v>
      </c>
      <c r="AX358" s="71">
        <f t="shared" ref="AX358" si="4403">HQ358</f>
        <v>0</v>
      </c>
      <c r="AY358" s="71">
        <f t="shared" ref="AY358" si="4404">HR358</f>
        <v>0</v>
      </c>
      <c r="AZ358" s="72">
        <f t="shared" ref="AZ358" si="4405">HS358</f>
        <v>0</v>
      </c>
      <c r="BA358" s="70">
        <f t="shared" si="4030"/>
        <v>0</v>
      </c>
      <c r="BB358" s="69">
        <f t="shared" ca="1" si="4031"/>
        <v>0</v>
      </c>
      <c r="BC358" s="70">
        <f t="shared" ref="BC358" si="4406">HT358</f>
        <v>0</v>
      </c>
      <c r="BD358" s="71">
        <f t="shared" ref="BD358" si="4407">HU358</f>
        <v>0</v>
      </c>
      <c r="BE358" s="71">
        <f t="shared" ref="BE358" si="4408">HV358</f>
        <v>0</v>
      </c>
      <c r="BF358" s="71">
        <f t="shared" ref="BF358" si="4409">HW358</f>
        <v>0</v>
      </c>
      <c r="BG358" s="71">
        <f t="shared" ref="BG358" si="4410">HX358</f>
        <v>0</v>
      </c>
      <c r="BH358" s="71">
        <f t="shared" ref="BH358" si="4411">HY358</f>
        <v>0</v>
      </c>
      <c r="BI358" s="71">
        <f t="shared" ref="BI358" si="4412">HZ358</f>
        <v>0</v>
      </c>
      <c r="BJ358" s="71">
        <f t="shared" ref="BJ358" si="4413">IA358</f>
        <v>0</v>
      </c>
      <c r="BK358" s="71">
        <f t="shared" ref="BK358" si="4414">IB358</f>
        <v>0</v>
      </c>
      <c r="BL358" s="71">
        <f t="shared" ref="BL358" si="4415">IC358</f>
        <v>0</v>
      </c>
      <c r="BM358" s="71">
        <f t="shared" ref="BM358" si="4416">ID358</f>
        <v>0</v>
      </c>
      <c r="BN358" s="71">
        <f t="shared" ref="BN358" si="4417">IE358</f>
        <v>0</v>
      </c>
      <c r="BO358" s="71">
        <f t="shared" ref="BO358" si="4418">IF358</f>
        <v>0</v>
      </c>
      <c r="BP358" s="71">
        <f t="shared" ref="BP358" si="4419">IG358</f>
        <v>0</v>
      </c>
      <c r="BQ358" s="71">
        <f t="shared" ref="BQ358" si="4420">IH358</f>
        <v>0</v>
      </c>
      <c r="BR358" s="71">
        <f t="shared" ref="BR358" si="4421">II358</f>
        <v>0</v>
      </c>
      <c r="BS358" s="71">
        <f t="shared" ref="BS358" si="4422">IJ358</f>
        <v>0</v>
      </c>
      <c r="BT358" s="71">
        <f t="shared" ref="BT358" si="4423">IK358</f>
        <v>0</v>
      </c>
      <c r="BU358" s="71">
        <f t="shared" ref="BU358" si="4424">IL358</f>
        <v>0</v>
      </c>
      <c r="BV358" s="71">
        <f t="shared" ref="BV358" si="4425">IM358</f>
        <v>0</v>
      </c>
      <c r="BW358" s="71">
        <f t="shared" ref="BW358" si="4426">IN358</f>
        <v>0</v>
      </c>
      <c r="BX358" s="71">
        <f t="shared" ref="BX358" si="4427">IO358</f>
        <v>0</v>
      </c>
      <c r="BY358" s="71">
        <f t="shared" ref="BY358" si="4428">IP358</f>
        <v>0</v>
      </c>
      <c r="BZ358" s="71">
        <f t="shared" ref="BZ358" si="4429">IQ358</f>
        <v>0</v>
      </c>
      <c r="CA358" s="71">
        <f t="shared" ref="CA358" si="4430">IR358</f>
        <v>0</v>
      </c>
      <c r="CB358" s="71">
        <f t="shared" ref="CB358" si="4431">IS358</f>
        <v>0</v>
      </c>
      <c r="CC358" s="71">
        <f t="shared" ref="CC358" si="4432">IT358</f>
        <v>0</v>
      </c>
      <c r="CD358" s="71">
        <f t="shared" ref="CD358" si="4433">IU358</f>
        <v>0</v>
      </c>
      <c r="CE358" s="71">
        <f t="shared" ref="CE358" si="4434">IV358</f>
        <v>0</v>
      </c>
      <c r="CF358" s="71">
        <f t="shared" ref="CF358" si="4435">IW358</f>
        <v>0</v>
      </c>
      <c r="CG358" s="71">
        <f t="shared" ref="CG358" si="4436">IX358</f>
        <v>0</v>
      </c>
      <c r="CH358" s="70">
        <f t="shared" si="4032"/>
        <v>0</v>
      </c>
      <c r="CI358" s="69">
        <f t="shared" ca="1" si="4033"/>
        <v>0</v>
      </c>
      <c r="GM358" s="2" t="s">
        <v>16</v>
      </c>
      <c r="GN358" s="98" t="str">
        <f t="shared" si="4029"/>
        <v>NTH-FMCG-DGM-01</v>
      </c>
      <c r="GO358" s="4">
        <v>0</v>
      </c>
      <c r="GP358" s="3">
        <v>0</v>
      </c>
      <c r="GQ358" s="3">
        <v>0</v>
      </c>
      <c r="GR358" s="3">
        <v>0</v>
      </c>
      <c r="GS358" s="3">
        <v>0</v>
      </c>
      <c r="GT358" s="3">
        <v>0</v>
      </c>
      <c r="GU358" s="3">
        <v>0</v>
      </c>
      <c r="GV358" s="3">
        <v>0</v>
      </c>
      <c r="GW358" s="3">
        <v>0</v>
      </c>
      <c r="GX358" s="3">
        <v>0</v>
      </c>
      <c r="GY358" s="3">
        <v>0</v>
      </c>
      <c r="GZ358" s="3">
        <v>0</v>
      </c>
      <c r="HA358" s="3">
        <v>0</v>
      </c>
      <c r="HB358" s="3">
        <v>0</v>
      </c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6"/>
      <c r="HT358" s="4">
        <v>0</v>
      </c>
      <c r="HU358" s="3">
        <v>0</v>
      </c>
      <c r="HV358" s="3">
        <v>0</v>
      </c>
      <c r="HW358" s="3">
        <v>0</v>
      </c>
      <c r="HX358" s="3">
        <v>0</v>
      </c>
      <c r="HY358" s="3">
        <v>0</v>
      </c>
      <c r="HZ358" s="3">
        <v>0</v>
      </c>
      <c r="IA358" s="3">
        <v>0</v>
      </c>
      <c r="IB358" s="3">
        <v>0</v>
      </c>
      <c r="IC358" s="3">
        <v>0</v>
      </c>
      <c r="ID358" s="3">
        <v>0</v>
      </c>
      <c r="IE358" s="3">
        <v>0</v>
      </c>
      <c r="IF358" s="3">
        <v>0</v>
      </c>
      <c r="IG358" s="3">
        <v>0</v>
      </c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6"/>
    </row>
    <row r="359" spans="1:258" ht="15" thickBot="1">
      <c r="A359" s="114" t="s">
        <v>448</v>
      </c>
      <c r="B359" s="115" t="s">
        <v>20</v>
      </c>
      <c r="C359" s="115" t="s">
        <v>80</v>
      </c>
      <c r="D359" s="116" t="s">
        <v>813</v>
      </c>
      <c r="E359" s="115" t="s">
        <v>814</v>
      </c>
      <c r="F359" s="115" t="s">
        <v>815</v>
      </c>
      <c r="G359" s="117" t="s">
        <v>1283</v>
      </c>
      <c r="H359" s="115" t="s">
        <v>1644</v>
      </c>
      <c r="I359" s="115" t="s">
        <v>1644</v>
      </c>
      <c r="J359" s="115" t="s">
        <v>504</v>
      </c>
      <c r="K359" s="115" t="s">
        <v>31</v>
      </c>
      <c r="L359" s="115" t="s">
        <v>816</v>
      </c>
      <c r="M359" s="115" t="s">
        <v>52</v>
      </c>
      <c r="N359" s="141">
        <v>42191</v>
      </c>
      <c r="O359" s="118">
        <f t="shared" ref="O359:AZ359" si="4437">O358+O332+O303+O273+O242+O213+O357</f>
        <v>101</v>
      </c>
      <c r="P359" s="81">
        <f t="shared" si="4437"/>
        <v>6</v>
      </c>
      <c r="Q359" s="81">
        <f t="shared" si="4437"/>
        <v>53</v>
      </c>
      <c r="R359" s="81">
        <f t="shared" si="4437"/>
        <v>98</v>
      </c>
      <c r="S359" s="81">
        <f t="shared" si="4437"/>
        <v>21</v>
      </c>
      <c r="T359" s="81">
        <f t="shared" si="4437"/>
        <v>86</v>
      </c>
      <c r="U359" s="81">
        <f t="shared" si="4437"/>
        <v>98</v>
      </c>
      <c r="V359" s="82">
        <f t="shared" si="4437"/>
        <v>93</v>
      </c>
      <c r="W359" s="83">
        <f t="shared" si="4437"/>
        <v>62</v>
      </c>
      <c r="X359" s="83">
        <f t="shared" si="4437"/>
        <v>91</v>
      </c>
      <c r="Y359" s="83">
        <f t="shared" si="4437"/>
        <v>32</v>
      </c>
      <c r="Z359" s="83">
        <f t="shared" si="4437"/>
        <v>91</v>
      </c>
      <c r="AA359" s="83">
        <f t="shared" si="4437"/>
        <v>87</v>
      </c>
      <c r="AB359" s="83">
        <f t="shared" si="4437"/>
        <v>86</v>
      </c>
      <c r="AC359" s="83">
        <f t="shared" si="4437"/>
        <v>85</v>
      </c>
      <c r="AD359" s="83">
        <f t="shared" si="4437"/>
        <v>58</v>
      </c>
      <c r="AE359" s="83">
        <f t="shared" si="4437"/>
        <v>85</v>
      </c>
      <c r="AF359" s="83">
        <f t="shared" si="4437"/>
        <v>29</v>
      </c>
      <c r="AG359" s="83">
        <f t="shared" si="4437"/>
        <v>84</v>
      </c>
      <c r="AH359" s="83">
        <f t="shared" si="4437"/>
        <v>80</v>
      </c>
      <c r="AI359" s="83">
        <f t="shared" si="4437"/>
        <v>84</v>
      </c>
      <c r="AJ359" s="83">
        <f t="shared" si="4437"/>
        <v>0</v>
      </c>
      <c r="AK359" s="83">
        <f t="shared" si="4437"/>
        <v>0</v>
      </c>
      <c r="AL359" s="83">
        <f t="shared" si="4437"/>
        <v>0</v>
      </c>
      <c r="AM359" s="83">
        <f t="shared" si="4437"/>
        <v>0</v>
      </c>
      <c r="AN359" s="83">
        <f t="shared" si="4437"/>
        <v>0</v>
      </c>
      <c r="AO359" s="83">
        <f t="shared" si="4437"/>
        <v>0</v>
      </c>
      <c r="AP359" s="83">
        <f t="shared" si="4437"/>
        <v>0</v>
      </c>
      <c r="AQ359" s="83">
        <f t="shared" si="4437"/>
        <v>0</v>
      </c>
      <c r="AR359" s="83">
        <f t="shared" si="4437"/>
        <v>0</v>
      </c>
      <c r="AS359" s="83">
        <f t="shared" si="4437"/>
        <v>0</v>
      </c>
      <c r="AT359" s="83">
        <f t="shared" si="4437"/>
        <v>0</v>
      </c>
      <c r="AU359" s="83">
        <f t="shared" si="4437"/>
        <v>0</v>
      </c>
      <c r="AV359" s="83">
        <f t="shared" si="4437"/>
        <v>0</v>
      </c>
      <c r="AW359" s="83">
        <f t="shared" si="4437"/>
        <v>0</v>
      </c>
      <c r="AX359" s="83">
        <f t="shared" si="4437"/>
        <v>0</v>
      </c>
      <c r="AY359" s="83">
        <f t="shared" si="4437"/>
        <v>0</v>
      </c>
      <c r="AZ359" s="84">
        <f t="shared" si="4437"/>
        <v>0</v>
      </c>
      <c r="BA359" s="82">
        <f t="shared" si="4030"/>
        <v>1047</v>
      </c>
      <c r="BB359" s="81">
        <f t="shared" ca="1" si="4031"/>
        <v>0.84777327935222668</v>
      </c>
      <c r="BC359" s="82">
        <f t="shared" ref="BC359:CG359" si="4438">BC358+BC332+BC303+BC273+BC242+BC213+BC357</f>
        <v>1677</v>
      </c>
      <c r="BD359" s="83">
        <f t="shared" si="4438"/>
        <v>815</v>
      </c>
      <c r="BE359" s="83">
        <f t="shared" si="4438"/>
        <v>1684</v>
      </c>
      <c r="BF359" s="83">
        <f t="shared" si="4438"/>
        <v>626</v>
      </c>
      <c r="BG359" s="83">
        <f t="shared" si="4438"/>
        <v>1764</v>
      </c>
      <c r="BH359" s="83">
        <f t="shared" si="4438"/>
        <v>1788</v>
      </c>
      <c r="BI359" s="83">
        <f t="shared" si="4438"/>
        <v>2130</v>
      </c>
      <c r="BJ359" s="83">
        <f t="shared" si="4438"/>
        <v>2149</v>
      </c>
      <c r="BK359" s="83">
        <f t="shared" si="4438"/>
        <v>1436</v>
      </c>
      <c r="BL359" s="83">
        <f t="shared" si="4438"/>
        <v>2507</v>
      </c>
      <c r="BM359" s="83">
        <f t="shared" si="4438"/>
        <v>569</v>
      </c>
      <c r="BN359" s="83">
        <f t="shared" si="4438"/>
        <v>1936</v>
      </c>
      <c r="BO359" s="83">
        <f t="shared" si="4438"/>
        <v>1916</v>
      </c>
      <c r="BP359" s="83">
        <f t="shared" si="4438"/>
        <v>137</v>
      </c>
      <c r="BQ359" s="83">
        <f t="shared" si="4438"/>
        <v>0</v>
      </c>
      <c r="BR359" s="83">
        <f t="shared" si="4438"/>
        <v>0</v>
      </c>
      <c r="BS359" s="83">
        <f t="shared" si="4438"/>
        <v>0</v>
      </c>
      <c r="BT359" s="83">
        <f t="shared" si="4438"/>
        <v>0</v>
      </c>
      <c r="BU359" s="83">
        <f t="shared" si="4438"/>
        <v>0</v>
      </c>
      <c r="BV359" s="83">
        <f t="shared" si="4438"/>
        <v>0</v>
      </c>
      <c r="BW359" s="83">
        <f t="shared" si="4438"/>
        <v>0</v>
      </c>
      <c r="BX359" s="83">
        <f t="shared" si="4438"/>
        <v>0</v>
      </c>
      <c r="BY359" s="83">
        <f t="shared" si="4438"/>
        <v>0</v>
      </c>
      <c r="BZ359" s="83">
        <f t="shared" si="4438"/>
        <v>0</v>
      </c>
      <c r="CA359" s="83">
        <f t="shared" si="4438"/>
        <v>0</v>
      </c>
      <c r="CB359" s="83">
        <f t="shared" si="4438"/>
        <v>0</v>
      </c>
      <c r="CC359" s="83">
        <f t="shared" si="4438"/>
        <v>0</v>
      </c>
      <c r="CD359" s="83">
        <f t="shared" si="4438"/>
        <v>0</v>
      </c>
      <c r="CE359" s="83">
        <f t="shared" si="4438"/>
        <v>0</v>
      </c>
      <c r="CF359" s="83">
        <f t="shared" si="4438"/>
        <v>0</v>
      </c>
      <c r="CG359" s="83">
        <f t="shared" si="4438"/>
        <v>0</v>
      </c>
      <c r="CH359" s="82">
        <f t="shared" si="4032"/>
        <v>21134</v>
      </c>
      <c r="CI359" s="81">
        <f t="shared" ca="1" si="4033"/>
        <v>17.112550607287449</v>
      </c>
      <c r="GM359" s="2" t="s">
        <v>17</v>
      </c>
      <c r="GN359" s="115" t="str">
        <f t="shared" si="4029"/>
        <v>NTH-FMCG-DGM-01</v>
      </c>
      <c r="GO359" s="4">
        <v>0</v>
      </c>
      <c r="GP359" s="3">
        <v>0</v>
      </c>
      <c r="GQ359" s="3">
        <v>0</v>
      </c>
      <c r="GR359" s="3">
        <v>0</v>
      </c>
      <c r="GS359" s="3">
        <v>0</v>
      </c>
      <c r="GT359" s="3">
        <v>0</v>
      </c>
      <c r="GU359" s="3">
        <v>0</v>
      </c>
      <c r="GV359" s="3">
        <v>0</v>
      </c>
      <c r="GW359" s="3">
        <v>0</v>
      </c>
      <c r="GX359" s="3">
        <v>0</v>
      </c>
      <c r="GY359" s="3">
        <v>0</v>
      </c>
      <c r="GZ359" s="3">
        <v>0</v>
      </c>
      <c r="HA359" s="3">
        <v>0</v>
      </c>
      <c r="HB359" s="3">
        <v>0</v>
      </c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6"/>
      <c r="HT359" s="4">
        <v>0</v>
      </c>
      <c r="HU359" s="3">
        <v>0</v>
      </c>
      <c r="HV359" s="3">
        <v>0</v>
      </c>
      <c r="HW359" s="3">
        <v>0</v>
      </c>
      <c r="HX359" s="3">
        <v>0</v>
      </c>
      <c r="HY359" s="3">
        <v>0</v>
      </c>
      <c r="HZ359" s="3">
        <v>0</v>
      </c>
      <c r="IA359" s="3">
        <v>0</v>
      </c>
      <c r="IB359" s="3">
        <v>0</v>
      </c>
      <c r="IC359" s="3">
        <v>0</v>
      </c>
      <c r="ID359" s="3">
        <v>0</v>
      </c>
      <c r="IE359" s="3">
        <v>0</v>
      </c>
      <c r="IF359" s="3">
        <v>0</v>
      </c>
      <c r="IG359" s="3">
        <v>0</v>
      </c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6"/>
    </row>
    <row r="360" spans="1:258" ht="15" hidden="1" thickBot="1">
      <c r="A360" s="97" t="s">
        <v>817</v>
      </c>
      <c r="B360" s="98" t="s">
        <v>20</v>
      </c>
      <c r="C360" s="98" t="s">
        <v>21</v>
      </c>
      <c r="D360" s="99" t="s">
        <v>21</v>
      </c>
      <c r="E360" s="98" t="s">
        <v>818</v>
      </c>
      <c r="F360" s="98" t="s">
        <v>818</v>
      </c>
      <c r="G360" s="98" t="s">
        <v>819</v>
      </c>
      <c r="H360" s="98" t="s">
        <v>1645</v>
      </c>
      <c r="I360" s="98" t="s">
        <v>1645</v>
      </c>
      <c r="J360" s="98" t="s">
        <v>820</v>
      </c>
      <c r="K360" s="98" t="s">
        <v>821</v>
      </c>
      <c r="L360" s="98" t="s">
        <v>819</v>
      </c>
      <c r="M360" s="98" t="s">
        <v>47</v>
      </c>
      <c r="N360" s="108">
        <v>45474</v>
      </c>
      <c r="O360" s="100">
        <v>0</v>
      </c>
      <c r="P360" s="69">
        <v>0</v>
      </c>
      <c r="Q360" s="69">
        <f>IFERROR(IF(OR(AI360&gt;0),1,0),0)</f>
        <v>0</v>
      </c>
      <c r="R360" s="69">
        <f>IFERROR(IF(OR(BA360&gt;0),1,0),0)</f>
        <v>0</v>
      </c>
      <c r="S360" s="69">
        <f>IFERROR(IF(OR(BP360&gt;0),1,0),0)</f>
        <v>0</v>
      </c>
      <c r="T360" s="69">
        <f>IFERROR(IF(OR(CH360&gt;0),1,0),0)</f>
        <v>0</v>
      </c>
      <c r="U360" s="69">
        <f>IFERROR(IF(OR(BA360&gt;0,CH360&gt;0),1,0),0)</f>
        <v>0</v>
      </c>
      <c r="V360" s="70">
        <f t="shared" ref="V360" si="4439">GO360</f>
        <v>0</v>
      </c>
      <c r="W360" s="71">
        <f t="shared" ref="W360" si="4440">GP360</f>
        <v>0</v>
      </c>
      <c r="X360" s="71">
        <f t="shared" ref="X360" si="4441">GQ360</f>
        <v>0</v>
      </c>
      <c r="Y360" s="71">
        <f t="shared" ref="Y360" si="4442">GR360</f>
        <v>0</v>
      </c>
      <c r="Z360" s="71">
        <f t="shared" ref="Z360" si="4443">GS360</f>
        <v>0</v>
      </c>
      <c r="AA360" s="71">
        <f t="shared" ref="AA360" si="4444">GT360</f>
        <v>0</v>
      </c>
      <c r="AB360" s="71">
        <f t="shared" ref="AB360" si="4445">GU360</f>
        <v>0</v>
      </c>
      <c r="AC360" s="71">
        <f t="shared" ref="AC360" si="4446">GV360</f>
        <v>0</v>
      </c>
      <c r="AD360" s="71">
        <f t="shared" ref="AD360" si="4447">GW360</f>
        <v>0</v>
      </c>
      <c r="AE360" s="71">
        <f t="shared" ref="AE360" si="4448">GX360</f>
        <v>0</v>
      </c>
      <c r="AF360" s="71">
        <f t="shared" ref="AF360" si="4449">GY360</f>
        <v>0</v>
      </c>
      <c r="AG360" s="71">
        <f t="shared" ref="AG360" si="4450">GZ360</f>
        <v>0</v>
      </c>
      <c r="AH360" s="71">
        <f t="shared" ref="AH360" si="4451">HA360</f>
        <v>0</v>
      </c>
      <c r="AI360" s="71">
        <f t="shared" ref="AI360" si="4452">HB360</f>
        <v>0</v>
      </c>
      <c r="AJ360" s="71">
        <f t="shared" ref="AJ360" si="4453">HC360</f>
        <v>0</v>
      </c>
      <c r="AK360" s="71">
        <f t="shared" ref="AK360" si="4454">HD360</f>
        <v>0</v>
      </c>
      <c r="AL360" s="71">
        <f t="shared" ref="AL360" si="4455">HE360</f>
        <v>0</v>
      </c>
      <c r="AM360" s="71">
        <f t="shared" ref="AM360" si="4456">HF360</f>
        <v>0</v>
      </c>
      <c r="AN360" s="71">
        <f t="shared" ref="AN360" si="4457">HG360</f>
        <v>0</v>
      </c>
      <c r="AO360" s="71">
        <f t="shared" ref="AO360" si="4458">HH360</f>
        <v>0</v>
      </c>
      <c r="AP360" s="71">
        <f t="shared" ref="AP360" si="4459">HI360</f>
        <v>0</v>
      </c>
      <c r="AQ360" s="71">
        <f t="shared" ref="AQ360" si="4460">HJ360</f>
        <v>0</v>
      </c>
      <c r="AR360" s="71">
        <f t="shared" ref="AR360" si="4461">HK360</f>
        <v>0</v>
      </c>
      <c r="AS360" s="71">
        <f t="shared" ref="AS360" si="4462">HL360</f>
        <v>0</v>
      </c>
      <c r="AT360" s="71">
        <f t="shared" ref="AT360" si="4463">HM360</f>
        <v>0</v>
      </c>
      <c r="AU360" s="71">
        <f t="shared" ref="AU360" si="4464">HN360</f>
        <v>0</v>
      </c>
      <c r="AV360" s="71">
        <f t="shared" ref="AV360" si="4465">HO360</f>
        <v>0</v>
      </c>
      <c r="AW360" s="71">
        <f t="shared" ref="AW360" si="4466">HP360</f>
        <v>0</v>
      </c>
      <c r="AX360" s="71">
        <f t="shared" ref="AX360" si="4467">HQ360</f>
        <v>0</v>
      </c>
      <c r="AY360" s="71">
        <f t="shared" ref="AY360" si="4468">HR360</f>
        <v>0</v>
      </c>
      <c r="AZ360" s="72">
        <f t="shared" ref="AZ360" si="4469">HS360</f>
        <v>0</v>
      </c>
      <c r="BA360" s="70">
        <f t="shared" si="4030"/>
        <v>0</v>
      </c>
      <c r="BB360" s="69">
        <f t="shared" ca="1" si="4031"/>
        <v>0</v>
      </c>
      <c r="BC360" s="70">
        <f t="shared" ref="BC360" si="4470">HT360</f>
        <v>0</v>
      </c>
      <c r="BD360" s="71">
        <f t="shared" ref="BD360" si="4471">HU360</f>
        <v>0</v>
      </c>
      <c r="BE360" s="71">
        <f t="shared" ref="BE360" si="4472">HV360</f>
        <v>0</v>
      </c>
      <c r="BF360" s="71">
        <f t="shared" ref="BF360" si="4473">HW360</f>
        <v>0</v>
      </c>
      <c r="BG360" s="71">
        <f t="shared" ref="BG360" si="4474">HX360</f>
        <v>0</v>
      </c>
      <c r="BH360" s="71">
        <f t="shared" ref="BH360" si="4475">HY360</f>
        <v>0</v>
      </c>
      <c r="BI360" s="71">
        <f t="shared" ref="BI360" si="4476">HZ360</f>
        <v>0</v>
      </c>
      <c r="BJ360" s="71">
        <f t="shared" ref="BJ360" si="4477">IA360</f>
        <v>0</v>
      </c>
      <c r="BK360" s="71">
        <f t="shared" ref="BK360" si="4478">IB360</f>
        <v>0</v>
      </c>
      <c r="BL360" s="71">
        <f t="shared" ref="BL360" si="4479">IC360</f>
        <v>0</v>
      </c>
      <c r="BM360" s="71">
        <f t="shared" ref="BM360" si="4480">ID360</f>
        <v>0</v>
      </c>
      <c r="BN360" s="71">
        <f t="shared" ref="BN360" si="4481">IE360</f>
        <v>0</v>
      </c>
      <c r="BO360" s="71">
        <f t="shared" ref="BO360" si="4482">IF360</f>
        <v>0</v>
      </c>
      <c r="BP360" s="71">
        <f t="shared" ref="BP360" si="4483">IG360</f>
        <v>0</v>
      </c>
      <c r="BQ360" s="71">
        <f t="shared" ref="BQ360" si="4484">IH360</f>
        <v>0</v>
      </c>
      <c r="BR360" s="71">
        <f t="shared" ref="BR360" si="4485">II360</f>
        <v>0</v>
      </c>
      <c r="BS360" s="71">
        <f t="shared" ref="BS360" si="4486">IJ360</f>
        <v>0</v>
      </c>
      <c r="BT360" s="71">
        <f t="shared" ref="BT360" si="4487">IK360</f>
        <v>0</v>
      </c>
      <c r="BU360" s="71">
        <f t="shared" ref="BU360" si="4488">IL360</f>
        <v>0</v>
      </c>
      <c r="BV360" s="71">
        <f t="shared" ref="BV360" si="4489">IM360</f>
        <v>0</v>
      </c>
      <c r="BW360" s="71">
        <f t="shared" ref="BW360" si="4490">IN360</f>
        <v>0</v>
      </c>
      <c r="BX360" s="71">
        <f t="shared" ref="BX360" si="4491">IO360</f>
        <v>0</v>
      </c>
      <c r="BY360" s="71">
        <f t="shared" ref="BY360" si="4492">IP360</f>
        <v>0</v>
      </c>
      <c r="BZ360" s="71">
        <f t="shared" ref="BZ360" si="4493">IQ360</f>
        <v>0</v>
      </c>
      <c r="CA360" s="71">
        <f t="shared" ref="CA360" si="4494">IR360</f>
        <v>0</v>
      </c>
      <c r="CB360" s="71">
        <f t="shared" ref="CB360" si="4495">IS360</f>
        <v>0</v>
      </c>
      <c r="CC360" s="71">
        <f t="shared" ref="CC360" si="4496">IT360</f>
        <v>0</v>
      </c>
      <c r="CD360" s="71">
        <f t="shared" ref="CD360" si="4497">IU360</f>
        <v>0</v>
      </c>
      <c r="CE360" s="71">
        <f t="shared" ref="CE360" si="4498">IV360</f>
        <v>0</v>
      </c>
      <c r="CF360" s="71">
        <f t="shared" ref="CF360" si="4499">IW360</f>
        <v>0</v>
      </c>
      <c r="CG360" s="71">
        <f t="shared" ref="CG360" si="4500">IX360</f>
        <v>0</v>
      </c>
      <c r="CH360" s="70">
        <f t="shared" si="4032"/>
        <v>0</v>
      </c>
      <c r="CI360" s="69">
        <f t="shared" ca="1" si="4033"/>
        <v>0</v>
      </c>
      <c r="GM360" s="2" t="s">
        <v>16</v>
      </c>
      <c r="GN360" s="98" t="str">
        <f t="shared" si="4029"/>
        <v>NATL-FMCG-HOD-01</v>
      </c>
      <c r="GO360" s="4">
        <v>0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6"/>
      <c r="HT360" s="4">
        <v>0</v>
      </c>
      <c r="HU360" s="3">
        <v>0</v>
      </c>
      <c r="HV360" s="3">
        <v>0</v>
      </c>
      <c r="HW360" s="3">
        <v>0</v>
      </c>
      <c r="HX360" s="3">
        <v>0</v>
      </c>
      <c r="HY360" s="3">
        <v>0</v>
      </c>
      <c r="HZ360" s="3">
        <v>0</v>
      </c>
      <c r="IA360" s="3">
        <v>0</v>
      </c>
      <c r="IB360" s="3">
        <v>0</v>
      </c>
      <c r="IC360" s="3">
        <v>0</v>
      </c>
      <c r="ID360" s="3">
        <v>0</v>
      </c>
      <c r="IE360" s="3">
        <v>0</v>
      </c>
      <c r="IF360" s="3">
        <v>0</v>
      </c>
      <c r="IG360" s="3">
        <v>0</v>
      </c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6"/>
    </row>
    <row r="361" spans="1:258" ht="15" hidden="1" thickBot="1">
      <c r="A361" s="121" t="s">
        <v>822</v>
      </c>
      <c r="B361" s="122" t="s">
        <v>823</v>
      </c>
      <c r="C361" s="122" t="s">
        <v>21</v>
      </c>
      <c r="D361" s="123" t="s">
        <v>21</v>
      </c>
      <c r="E361" s="122" t="s">
        <v>818</v>
      </c>
      <c r="F361" s="122" t="s">
        <v>824</v>
      </c>
      <c r="G361" s="122" t="s">
        <v>21</v>
      </c>
      <c r="H361" s="122" t="s">
        <v>1646</v>
      </c>
      <c r="I361" s="122" t="s">
        <v>1646</v>
      </c>
      <c r="J361" s="122" t="s">
        <v>820</v>
      </c>
      <c r="K361" s="122" t="s">
        <v>0</v>
      </c>
      <c r="L361" s="122" t="s">
        <v>47</v>
      </c>
      <c r="M361" s="122" t="s">
        <v>47</v>
      </c>
      <c r="N361" s="142" t="s">
        <v>47</v>
      </c>
      <c r="O361" s="124">
        <f t="shared" ref="O361:AZ361" si="4501">O360+O359+O181</f>
        <v>207</v>
      </c>
      <c r="P361" s="85">
        <f t="shared" si="4501"/>
        <v>11</v>
      </c>
      <c r="Q361" s="85">
        <f t="shared" si="4501"/>
        <v>133</v>
      </c>
      <c r="R361" s="85">
        <f t="shared" si="4501"/>
        <v>199</v>
      </c>
      <c r="S361" s="85">
        <f t="shared" si="4501"/>
        <v>30</v>
      </c>
      <c r="T361" s="85">
        <f t="shared" si="4501"/>
        <v>176</v>
      </c>
      <c r="U361" s="85">
        <f t="shared" si="4501"/>
        <v>199</v>
      </c>
      <c r="V361" s="86">
        <f t="shared" si="4501"/>
        <v>190</v>
      </c>
      <c r="W361" s="87">
        <f t="shared" si="4501"/>
        <v>125</v>
      </c>
      <c r="X361" s="87">
        <f t="shared" si="4501"/>
        <v>186</v>
      </c>
      <c r="Y361" s="87">
        <f t="shared" si="4501"/>
        <v>66</v>
      </c>
      <c r="Z361" s="87">
        <f t="shared" si="4501"/>
        <v>188</v>
      </c>
      <c r="AA361" s="87">
        <f t="shared" si="4501"/>
        <v>182</v>
      </c>
      <c r="AB361" s="87">
        <f t="shared" si="4501"/>
        <v>182</v>
      </c>
      <c r="AC361" s="87">
        <f t="shared" si="4501"/>
        <v>181</v>
      </c>
      <c r="AD361" s="87">
        <f t="shared" si="4501"/>
        <v>120</v>
      </c>
      <c r="AE361" s="87">
        <f t="shared" si="4501"/>
        <v>181</v>
      </c>
      <c r="AF361" s="87">
        <f t="shared" si="4501"/>
        <v>60</v>
      </c>
      <c r="AG361" s="87">
        <f t="shared" si="4501"/>
        <v>182</v>
      </c>
      <c r="AH361" s="87">
        <f t="shared" si="4501"/>
        <v>173</v>
      </c>
      <c r="AI361" s="87">
        <f t="shared" si="4501"/>
        <v>173</v>
      </c>
      <c r="AJ361" s="87">
        <f t="shared" si="4501"/>
        <v>0</v>
      </c>
      <c r="AK361" s="87">
        <f t="shared" si="4501"/>
        <v>0</v>
      </c>
      <c r="AL361" s="87">
        <f t="shared" si="4501"/>
        <v>0</v>
      </c>
      <c r="AM361" s="87">
        <f t="shared" si="4501"/>
        <v>0</v>
      </c>
      <c r="AN361" s="87">
        <f t="shared" si="4501"/>
        <v>0</v>
      </c>
      <c r="AO361" s="87">
        <f t="shared" si="4501"/>
        <v>0</v>
      </c>
      <c r="AP361" s="87">
        <f t="shared" si="4501"/>
        <v>0</v>
      </c>
      <c r="AQ361" s="87">
        <f t="shared" si="4501"/>
        <v>0</v>
      </c>
      <c r="AR361" s="87">
        <f t="shared" si="4501"/>
        <v>0</v>
      </c>
      <c r="AS361" s="87">
        <f t="shared" si="4501"/>
        <v>0</v>
      </c>
      <c r="AT361" s="87">
        <f t="shared" si="4501"/>
        <v>0</v>
      </c>
      <c r="AU361" s="87">
        <f t="shared" si="4501"/>
        <v>0</v>
      </c>
      <c r="AV361" s="87">
        <f t="shared" si="4501"/>
        <v>0</v>
      </c>
      <c r="AW361" s="87">
        <f t="shared" si="4501"/>
        <v>0</v>
      </c>
      <c r="AX361" s="87">
        <f t="shared" si="4501"/>
        <v>0</v>
      </c>
      <c r="AY361" s="87">
        <f t="shared" si="4501"/>
        <v>0</v>
      </c>
      <c r="AZ361" s="88">
        <f t="shared" si="4501"/>
        <v>0</v>
      </c>
      <c r="BA361" s="86">
        <f t="shared" si="4030"/>
        <v>2189</v>
      </c>
      <c r="BB361" s="85">
        <f t="shared" ca="1" si="4031"/>
        <v>0.85910518053375196</v>
      </c>
      <c r="BC361" s="86">
        <f t="shared" ref="BC361:CG361" si="4502">BC360+BC359+BC181</f>
        <v>3254</v>
      </c>
      <c r="BD361" s="87">
        <f t="shared" si="4502"/>
        <v>2122</v>
      </c>
      <c r="BE361" s="87">
        <f t="shared" si="4502"/>
        <v>3509</v>
      </c>
      <c r="BF361" s="87">
        <f t="shared" si="4502"/>
        <v>1210</v>
      </c>
      <c r="BG361" s="87">
        <f t="shared" si="4502"/>
        <v>3814</v>
      </c>
      <c r="BH361" s="87">
        <f t="shared" si="4502"/>
        <v>3979</v>
      </c>
      <c r="BI361" s="87">
        <f t="shared" si="4502"/>
        <v>4289</v>
      </c>
      <c r="BJ361" s="87">
        <f t="shared" si="4502"/>
        <v>4268</v>
      </c>
      <c r="BK361" s="87">
        <f t="shared" si="4502"/>
        <v>2969</v>
      </c>
      <c r="BL361" s="87">
        <f t="shared" si="4502"/>
        <v>4966</v>
      </c>
      <c r="BM361" s="87">
        <f t="shared" si="4502"/>
        <v>1239</v>
      </c>
      <c r="BN361" s="87">
        <f t="shared" si="4502"/>
        <v>4476</v>
      </c>
      <c r="BO361" s="87">
        <f t="shared" si="4502"/>
        <v>4399</v>
      </c>
      <c r="BP361" s="87">
        <f t="shared" si="4502"/>
        <v>186</v>
      </c>
      <c r="BQ361" s="87">
        <f t="shared" si="4502"/>
        <v>0</v>
      </c>
      <c r="BR361" s="87">
        <f t="shared" si="4502"/>
        <v>0</v>
      </c>
      <c r="BS361" s="87">
        <f t="shared" si="4502"/>
        <v>0</v>
      </c>
      <c r="BT361" s="87">
        <f t="shared" si="4502"/>
        <v>0</v>
      </c>
      <c r="BU361" s="87">
        <f t="shared" si="4502"/>
        <v>0</v>
      </c>
      <c r="BV361" s="87">
        <f t="shared" si="4502"/>
        <v>0</v>
      </c>
      <c r="BW361" s="87">
        <f t="shared" si="4502"/>
        <v>0</v>
      </c>
      <c r="BX361" s="87">
        <f t="shared" si="4502"/>
        <v>0</v>
      </c>
      <c r="BY361" s="87">
        <f t="shared" si="4502"/>
        <v>0</v>
      </c>
      <c r="BZ361" s="87">
        <f t="shared" si="4502"/>
        <v>0</v>
      </c>
      <c r="CA361" s="87">
        <f t="shared" si="4502"/>
        <v>0</v>
      </c>
      <c r="CB361" s="87">
        <f t="shared" si="4502"/>
        <v>0</v>
      </c>
      <c r="CC361" s="87">
        <f t="shared" si="4502"/>
        <v>0</v>
      </c>
      <c r="CD361" s="87">
        <f t="shared" si="4502"/>
        <v>0</v>
      </c>
      <c r="CE361" s="87">
        <f t="shared" si="4502"/>
        <v>0</v>
      </c>
      <c r="CF361" s="87">
        <f t="shared" si="4502"/>
        <v>0</v>
      </c>
      <c r="CG361" s="87">
        <f t="shared" si="4502"/>
        <v>0</v>
      </c>
      <c r="CH361" s="86">
        <f t="shared" si="4032"/>
        <v>44680</v>
      </c>
      <c r="CI361" s="85">
        <f t="shared" ca="1" si="4033"/>
        <v>17.535321821036106</v>
      </c>
      <c r="CJ361" s="185"/>
      <c r="CK361" s="185"/>
      <c r="GM361" s="2" t="s">
        <v>17</v>
      </c>
      <c r="GN361" s="122" t="str">
        <f t="shared" si="4029"/>
        <v>ST-National</v>
      </c>
      <c r="GO361" s="4">
        <v>0</v>
      </c>
      <c r="GP361" s="3">
        <v>0</v>
      </c>
      <c r="GQ361" s="3">
        <v>0</v>
      </c>
      <c r="GR361" s="3">
        <v>0</v>
      </c>
      <c r="GS361" s="3">
        <v>0</v>
      </c>
      <c r="GT361" s="3">
        <v>0</v>
      </c>
      <c r="GU361" s="3">
        <v>0</v>
      </c>
      <c r="GV361" s="3">
        <v>0</v>
      </c>
      <c r="GW361" s="3">
        <v>0</v>
      </c>
      <c r="GX361" s="3">
        <v>0</v>
      </c>
      <c r="GY361" s="3">
        <v>0</v>
      </c>
      <c r="GZ361" s="3">
        <v>0</v>
      </c>
      <c r="HA361" s="3">
        <v>0</v>
      </c>
      <c r="HB361" s="3">
        <v>0</v>
      </c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6"/>
      <c r="HT361" s="4">
        <v>0</v>
      </c>
      <c r="HU361" s="3">
        <v>0</v>
      </c>
      <c r="HV361" s="3">
        <v>0</v>
      </c>
      <c r="HW361" s="3">
        <v>0</v>
      </c>
      <c r="HX361" s="3">
        <v>0</v>
      </c>
      <c r="HY361" s="3">
        <v>0</v>
      </c>
      <c r="HZ361" s="3">
        <v>0</v>
      </c>
      <c r="IA361" s="3">
        <v>0</v>
      </c>
      <c r="IB361" s="3">
        <v>0</v>
      </c>
      <c r="IC361" s="3">
        <v>0</v>
      </c>
      <c r="ID361" s="3">
        <v>0</v>
      </c>
      <c r="IE361" s="3">
        <v>0</v>
      </c>
      <c r="IF361" s="3">
        <v>0</v>
      </c>
      <c r="IG361" s="3">
        <v>0</v>
      </c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6"/>
    </row>
    <row r="362" spans="1:258" ht="15" hidden="1" thickBot="1">
      <c r="A362" s="102" t="s">
        <v>19</v>
      </c>
      <c r="B362" s="103" t="s">
        <v>20</v>
      </c>
      <c r="C362" s="103" t="s">
        <v>21</v>
      </c>
      <c r="D362" s="104" t="s">
        <v>21</v>
      </c>
      <c r="E362" s="103" t="s">
        <v>22</v>
      </c>
      <c r="F362" s="103" t="s">
        <v>22</v>
      </c>
      <c r="G362" s="103" t="s">
        <v>1285</v>
      </c>
      <c r="H362" s="103" t="s">
        <v>1647</v>
      </c>
      <c r="I362" s="103" t="s">
        <v>1647</v>
      </c>
      <c r="J362" s="103" t="s">
        <v>21</v>
      </c>
      <c r="K362" s="103" t="s">
        <v>0</v>
      </c>
      <c r="L362" s="103" t="s">
        <v>47</v>
      </c>
      <c r="M362" s="103" t="s">
        <v>47</v>
      </c>
      <c r="N362" s="119" t="s">
        <v>47</v>
      </c>
      <c r="O362" s="105">
        <f t="shared" ref="O362:AZ362" si="4503">O46+O144+O176+O208+O299+O321</f>
        <v>6</v>
      </c>
      <c r="P362" s="73">
        <f t="shared" si="4503"/>
        <v>0</v>
      </c>
      <c r="Q362" s="73">
        <f t="shared" si="4503"/>
        <v>4</v>
      </c>
      <c r="R362" s="73">
        <f t="shared" si="4503"/>
        <v>5</v>
      </c>
      <c r="S362" s="73">
        <f t="shared" si="4503"/>
        <v>1</v>
      </c>
      <c r="T362" s="73">
        <f t="shared" si="4503"/>
        <v>3</v>
      </c>
      <c r="U362" s="73">
        <f t="shared" si="4503"/>
        <v>5</v>
      </c>
      <c r="V362" s="74">
        <f t="shared" si="4503"/>
        <v>4</v>
      </c>
      <c r="W362" s="75">
        <f t="shared" si="4503"/>
        <v>3</v>
      </c>
      <c r="X362" s="75">
        <f t="shared" si="4503"/>
        <v>4</v>
      </c>
      <c r="Y362" s="75">
        <f t="shared" si="4503"/>
        <v>1</v>
      </c>
      <c r="Z362" s="75">
        <f t="shared" si="4503"/>
        <v>5</v>
      </c>
      <c r="AA362" s="75">
        <f t="shared" si="4503"/>
        <v>3</v>
      </c>
      <c r="AB362" s="75">
        <f t="shared" si="4503"/>
        <v>3</v>
      </c>
      <c r="AC362" s="75">
        <f t="shared" si="4503"/>
        <v>2</v>
      </c>
      <c r="AD362" s="75">
        <f t="shared" si="4503"/>
        <v>4</v>
      </c>
      <c r="AE362" s="75">
        <f t="shared" si="4503"/>
        <v>4</v>
      </c>
      <c r="AF362" s="75">
        <f t="shared" si="4503"/>
        <v>1</v>
      </c>
      <c r="AG362" s="75">
        <f t="shared" si="4503"/>
        <v>4</v>
      </c>
      <c r="AH362" s="75">
        <f t="shared" si="4503"/>
        <v>5</v>
      </c>
      <c r="AI362" s="75">
        <f t="shared" si="4503"/>
        <v>4</v>
      </c>
      <c r="AJ362" s="75">
        <f t="shared" si="4503"/>
        <v>0</v>
      </c>
      <c r="AK362" s="75">
        <f t="shared" si="4503"/>
        <v>0</v>
      </c>
      <c r="AL362" s="75">
        <f t="shared" si="4503"/>
        <v>0</v>
      </c>
      <c r="AM362" s="75">
        <f t="shared" si="4503"/>
        <v>0</v>
      </c>
      <c r="AN362" s="75">
        <f t="shared" si="4503"/>
        <v>0</v>
      </c>
      <c r="AO362" s="75">
        <f t="shared" si="4503"/>
        <v>0</v>
      </c>
      <c r="AP362" s="75">
        <f t="shared" si="4503"/>
        <v>0</v>
      </c>
      <c r="AQ362" s="75">
        <f t="shared" si="4503"/>
        <v>0</v>
      </c>
      <c r="AR362" s="75">
        <f t="shared" si="4503"/>
        <v>0</v>
      </c>
      <c r="AS362" s="75">
        <f t="shared" si="4503"/>
        <v>0</v>
      </c>
      <c r="AT362" s="75">
        <f t="shared" si="4503"/>
        <v>0</v>
      </c>
      <c r="AU362" s="75">
        <f t="shared" si="4503"/>
        <v>0</v>
      </c>
      <c r="AV362" s="75">
        <f t="shared" si="4503"/>
        <v>0</v>
      </c>
      <c r="AW362" s="75">
        <f t="shared" si="4503"/>
        <v>0</v>
      </c>
      <c r="AX362" s="75">
        <f t="shared" si="4503"/>
        <v>0</v>
      </c>
      <c r="AY362" s="75">
        <f t="shared" si="4503"/>
        <v>0</v>
      </c>
      <c r="AZ362" s="76">
        <f t="shared" si="4503"/>
        <v>0</v>
      </c>
      <c r="BA362" s="74">
        <f t="shared" si="4030"/>
        <v>47</v>
      </c>
      <c r="BB362" s="73">
        <f t="shared" ca="1" si="4031"/>
        <v>0.60256410256410253</v>
      </c>
      <c r="BC362" s="74">
        <f t="shared" ref="BC362:CG362" si="4504">BC46+BC144+BC176+BC208+BC299+BC321</f>
        <v>2</v>
      </c>
      <c r="BD362" s="75">
        <f t="shared" si="4504"/>
        <v>0</v>
      </c>
      <c r="BE362" s="75">
        <f t="shared" si="4504"/>
        <v>5</v>
      </c>
      <c r="BF362" s="75">
        <f t="shared" si="4504"/>
        <v>0</v>
      </c>
      <c r="BG362" s="75">
        <f t="shared" si="4504"/>
        <v>1</v>
      </c>
      <c r="BH362" s="75">
        <f t="shared" si="4504"/>
        <v>5</v>
      </c>
      <c r="BI362" s="75">
        <f t="shared" si="4504"/>
        <v>8</v>
      </c>
      <c r="BJ362" s="75">
        <f t="shared" si="4504"/>
        <v>9</v>
      </c>
      <c r="BK362" s="75">
        <f t="shared" si="4504"/>
        <v>0</v>
      </c>
      <c r="BL362" s="75">
        <f t="shared" si="4504"/>
        <v>8</v>
      </c>
      <c r="BM362" s="75">
        <f t="shared" si="4504"/>
        <v>0</v>
      </c>
      <c r="BN362" s="75">
        <f t="shared" si="4504"/>
        <v>1</v>
      </c>
      <c r="BO362" s="75">
        <f t="shared" si="4504"/>
        <v>7</v>
      </c>
      <c r="BP362" s="75">
        <f t="shared" si="4504"/>
        <v>1</v>
      </c>
      <c r="BQ362" s="75">
        <f t="shared" si="4504"/>
        <v>0</v>
      </c>
      <c r="BR362" s="75">
        <f t="shared" si="4504"/>
        <v>0</v>
      </c>
      <c r="BS362" s="75">
        <f t="shared" si="4504"/>
        <v>0</v>
      </c>
      <c r="BT362" s="75">
        <f t="shared" si="4504"/>
        <v>0</v>
      </c>
      <c r="BU362" s="75">
        <f t="shared" si="4504"/>
        <v>0</v>
      </c>
      <c r="BV362" s="75">
        <f t="shared" si="4504"/>
        <v>0</v>
      </c>
      <c r="BW362" s="75">
        <f t="shared" si="4504"/>
        <v>0</v>
      </c>
      <c r="BX362" s="75">
        <f t="shared" si="4504"/>
        <v>0</v>
      </c>
      <c r="BY362" s="75">
        <f t="shared" si="4504"/>
        <v>0</v>
      </c>
      <c r="BZ362" s="75">
        <f t="shared" si="4504"/>
        <v>0</v>
      </c>
      <c r="CA362" s="75">
        <f t="shared" si="4504"/>
        <v>0</v>
      </c>
      <c r="CB362" s="75">
        <f t="shared" si="4504"/>
        <v>0</v>
      </c>
      <c r="CC362" s="75">
        <f t="shared" si="4504"/>
        <v>0</v>
      </c>
      <c r="CD362" s="75">
        <f t="shared" si="4504"/>
        <v>0</v>
      </c>
      <c r="CE362" s="75">
        <f t="shared" si="4504"/>
        <v>0</v>
      </c>
      <c r="CF362" s="75">
        <f t="shared" si="4504"/>
        <v>0</v>
      </c>
      <c r="CG362" s="75">
        <f t="shared" si="4504"/>
        <v>0</v>
      </c>
      <c r="CH362" s="74">
        <f t="shared" si="4032"/>
        <v>47</v>
      </c>
      <c r="CI362" s="73">
        <f t="shared" ca="1" si="4033"/>
        <v>0.60256410256410253</v>
      </c>
      <c r="GM362" s="2" t="s">
        <v>17</v>
      </c>
      <c r="GN362" s="103" t="str">
        <f t="shared" si="4029"/>
        <v>CM NATL-01</v>
      </c>
      <c r="GO362" s="4">
        <v>0</v>
      </c>
      <c r="GP362" s="3">
        <v>0</v>
      </c>
      <c r="GQ362" s="3">
        <v>0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3">
        <v>0</v>
      </c>
      <c r="GZ362" s="3">
        <v>0</v>
      </c>
      <c r="HA362" s="3">
        <v>0</v>
      </c>
      <c r="HB362" s="3">
        <v>0</v>
      </c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6"/>
      <c r="HT362" s="4">
        <v>0</v>
      </c>
      <c r="HU362" s="3">
        <v>0</v>
      </c>
      <c r="HV362" s="3">
        <v>0</v>
      </c>
      <c r="HW362" s="3">
        <v>0</v>
      </c>
      <c r="HX362" s="3">
        <v>0</v>
      </c>
      <c r="HY362" s="3">
        <v>0</v>
      </c>
      <c r="HZ362" s="3">
        <v>0</v>
      </c>
      <c r="IA362" s="3">
        <v>0</v>
      </c>
      <c r="IB362" s="3">
        <v>0</v>
      </c>
      <c r="IC362" s="3">
        <v>0</v>
      </c>
      <c r="ID362" s="3">
        <v>0</v>
      </c>
      <c r="IE362" s="3">
        <v>0</v>
      </c>
      <c r="IF362" s="3">
        <v>0</v>
      </c>
      <c r="IG362" s="3">
        <v>0</v>
      </c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6"/>
    </row>
    <row r="363" spans="1:258" ht="15" hidden="1" thickBot="1">
      <c r="A363" s="125" t="s">
        <v>23</v>
      </c>
      <c r="B363" s="126" t="s">
        <v>20</v>
      </c>
      <c r="C363" s="126" t="s">
        <v>21</v>
      </c>
      <c r="D363" s="127" t="s">
        <v>21</v>
      </c>
      <c r="E363" s="126" t="s">
        <v>24</v>
      </c>
      <c r="F363" s="126" t="s">
        <v>24</v>
      </c>
      <c r="G363" s="126" t="s">
        <v>1286</v>
      </c>
      <c r="H363" s="126" t="s">
        <v>1648</v>
      </c>
      <c r="I363" s="126" t="s">
        <v>1648</v>
      </c>
      <c r="J363" s="126" t="s">
        <v>21</v>
      </c>
      <c r="K363" s="126" t="s">
        <v>0</v>
      </c>
      <c r="L363" s="126" t="s">
        <v>47</v>
      </c>
      <c r="M363" s="126" t="s">
        <v>47</v>
      </c>
      <c r="N363" s="143" t="s">
        <v>47</v>
      </c>
      <c r="O363" s="128">
        <f t="shared" ref="O363:AZ363" si="4505">O301+O271+O240+O177+O145+O101+O66+O47+O329+O330+O340+O211+O102</f>
        <v>9</v>
      </c>
      <c r="P363" s="89">
        <f t="shared" si="4505"/>
        <v>1</v>
      </c>
      <c r="Q363" s="89">
        <f t="shared" si="4505"/>
        <v>7</v>
      </c>
      <c r="R363" s="89">
        <f t="shared" si="4505"/>
        <v>10</v>
      </c>
      <c r="S363" s="89">
        <f t="shared" si="4505"/>
        <v>1</v>
      </c>
      <c r="T363" s="89">
        <f t="shared" si="4505"/>
        <v>4</v>
      </c>
      <c r="U363" s="89">
        <f t="shared" si="4505"/>
        <v>10</v>
      </c>
      <c r="V363" s="90">
        <f t="shared" si="4505"/>
        <v>10</v>
      </c>
      <c r="W363" s="91">
        <f t="shared" si="4505"/>
        <v>7</v>
      </c>
      <c r="X363" s="91">
        <f t="shared" si="4505"/>
        <v>9</v>
      </c>
      <c r="Y363" s="91">
        <f t="shared" si="4505"/>
        <v>3</v>
      </c>
      <c r="Z363" s="91">
        <f t="shared" si="4505"/>
        <v>9</v>
      </c>
      <c r="AA363" s="91">
        <f t="shared" si="4505"/>
        <v>10</v>
      </c>
      <c r="AB363" s="91">
        <f t="shared" si="4505"/>
        <v>8</v>
      </c>
      <c r="AC363" s="91">
        <f t="shared" si="4505"/>
        <v>8</v>
      </c>
      <c r="AD363" s="91">
        <f t="shared" si="4505"/>
        <v>6</v>
      </c>
      <c r="AE363" s="91">
        <f t="shared" si="4505"/>
        <v>8</v>
      </c>
      <c r="AF363" s="91">
        <f t="shared" si="4505"/>
        <v>3</v>
      </c>
      <c r="AG363" s="91">
        <f t="shared" si="4505"/>
        <v>8</v>
      </c>
      <c r="AH363" s="91">
        <f t="shared" si="4505"/>
        <v>7</v>
      </c>
      <c r="AI363" s="91">
        <f t="shared" si="4505"/>
        <v>7</v>
      </c>
      <c r="AJ363" s="91">
        <f t="shared" si="4505"/>
        <v>0</v>
      </c>
      <c r="AK363" s="91">
        <f t="shared" si="4505"/>
        <v>0</v>
      </c>
      <c r="AL363" s="91">
        <f t="shared" si="4505"/>
        <v>0</v>
      </c>
      <c r="AM363" s="91">
        <f t="shared" si="4505"/>
        <v>0</v>
      </c>
      <c r="AN363" s="91">
        <f t="shared" si="4505"/>
        <v>0</v>
      </c>
      <c r="AO363" s="91">
        <f t="shared" si="4505"/>
        <v>0</v>
      </c>
      <c r="AP363" s="91">
        <f t="shared" si="4505"/>
        <v>0</v>
      </c>
      <c r="AQ363" s="91">
        <f t="shared" si="4505"/>
        <v>0</v>
      </c>
      <c r="AR363" s="91">
        <f t="shared" si="4505"/>
        <v>0</v>
      </c>
      <c r="AS363" s="91">
        <f t="shared" si="4505"/>
        <v>0</v>
      </c>
      <c r="AT363" s="91">
        <f t="shared" si="4505"/>
        <v>0</v>
      </c>
      <c r="AU363" s="91">
        <f t="shared" si="4505"/>
        <v>0</v>
      </c>
      <c r="AV363" s="91">
        <f t="shared" si="4505"/>
        <v>0</v>
      </c>
      <c r="AW363" s="91">
        <f t="shared" si="4505"/>
        <v>0</v>
      </c>
      <c r="AX363" s="91">
        <f t="shared" si="4505"/>
        <v>0</v>
      </c>
      <c r="AY363" s="91">
        <f t="shared" si="4505"/>
        <v>0</v>
      </c>
      <c r="AZ363" s="92">
        <f t="shared" si="4505"/>
        <v>0</v>
      </c>
      <c r="BA363" s="90">
        <f t="shared" si="4030"/>
        <v>103</v>
      </c>
      <c r="BB363" s="89">
        <f t="shared" ca="1" si="4031"/>
        <v>0.99038461538461542</v>
      </c>
      <c r="BC363" s="90">
        <f t="shared" ref="BC363:CG363" si="4506">BC301+BC271+BC240+BC177+BC145+BC101+BC66+BC47+BC329+BC330+BC340+BC211+BC102</f>
        <v>25</v>
      </c>
      <c r="BD363" s="91">
        <f t="shared" si="4506"/>
        <v>1</v>
      </c>
      <c r="BE363" s="91">
        <f t="shared" si="4506"/>
        <v>3</v>
      </c>
      <c r="BF363" s="91">
        <f t="shared" si="4506"/>
        <v>0</v>
      </c>
      <c r="BG363" s="91">
        <f t="shared" si="4506"/>
        <v>53</v>
      </c>
      <c r="BH363" s="91">
        <f t="shared" si="4506"/>
        <v>34</v>
      </c>
      <c r="BI363" s="91">
        <f t="shared" si="4506"/>
        <v>43</v>
      </c>
      <c r="BJ363" s="91">
        <f t="shared" si="4506"/>
        <v>21</v>
      </c>
      <c r="BK363" s="91">
        <f t="shared" si="4506"/>
        <v>0</v>
      </c>
      <c r="BL363" s="91">
        <f t="shared" si="4506"/>
        <v>49</v>
      </c>
      <c r="BM363" s="91">
        <f t="shared" si="4506"/>
        <v>23</v>
      </c>
      <c r="BN363" s="91">
        <f t="shared" si="4506"/>
        <v>26</v>
      </c>
      <c r="BO363" s="91">
        <f t="shared" si="4506"/>
        <v>22</v>
      </c>
      <c r="BP363" s="91">
        <f t="shared" si="4506"/>
        <v>3</v>
      </c>
      <c r="BQ363" s="91">
        <f t="shared" si="4506"/>
        <v>0</v>
      </c>
      <c r="BR363" s="91">
        <f t="shared" si="4506"/>
        <v>0</v>
      </c>
      <c r="BS363" s="91">
        <f t="shared" si="4506"/>
        <v>0</v>
      </c>
      <c r="BT363" s="91">
        <f t="shared" si="4506"/>
        <v>0</v>
      </c>
      <c r="BU363" s="91">
        <f t="shared" si="4506"/>
        <v>0</v>
      </c>
      <c r="BV363" s="91">
        <f t="shared" si="4506"/>
        <v>0</v>
      </c>
      <c r="BW363" s="91">
        <f t="shared" si="4506"/>
        <v>0</v>
      </c>
      <c r="BX363" s="91">
        <f t="shared" si="4506"/>
        <v>0</v>
      </c>
      <c r="BY363" s="91">
        <f t="shared" si="4506"/>
        <v>0</v>
      </c>
      <c r="BZ363" s="91">
        <f t="shared" si="4506"/>
        <v>0</v>
      </c>
      <c r="CA363" s="91">
        <f t="shared" si="4506"/>
        <v>0</v>
      </c>
      <c r="CB363" s="91">
        <f t="shared" si="4506"/>
        <v>0</v>
      </c>
      <c r="CC363" s="91">
        <f t="shared" si="4506"/>
        <v>0</v>
      </c>
      <c r="CD363" s="91">
        <f t="shared" si="4506"/>
        <v>0</v>
      </c>
      <c r="CE363" s="91">
        <f t="shared" si="4506"/>
        <v>0</v>
      </c>
      <c r="CF363" s="91">
        <f t="shared" si="4506"/>
        <v>0</v>
      </c>
      <c r="CG363" s="91">
        <f t="shared" si="4506"/>
        <v>0</v>
      </c>
      <c r="CH363" s="90">
        <f t="shared" si="4032"/>
        <v>303</v>
      </c>
      <c r="CI363" s="89">
        <f t="shared" ca="1" si="4033"/>
        <v>2.9134615384615383</v>
      </c>
      <c r="GM363" s="2" t="s">
        <v>17</v>
      </c>
      <c r="GN363" s="126" t="str">
        <f t="shared" si="4029"/>
        <v>TE NATL-01</v>
      </c>
      <c r="GO363" s="66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3">
        <v>0</v>
      </c>
      <c r="HA363" s="3">
        <v>0</v>
      </c>
      <c r="HB363" s="3">
        <v>0</v>
      </c>
      <c r="HC363" s="5"/>
      <c r="HD363" s="5"/>
      <c r="HE363" s="5"/>
      <c r="HF363" s="5"/>
      <c r="HG363" s="5"/>
      <c r="HH363" s="3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7"/>
      <c r="HT363" s="66">
        <v>0</v>
      </c>
      <c r="HU363" s="5">
        <v>0</v>
      </c>
      <c r="HV363" s="5">
        <v>0</v>
      </c>
      <c r="HW363" s="5">
        <v>0</v>
      </c>
      <c r="HX363" s="5">
        <v>0</v>
      </c>
      <c r="HY363" s="5">
        <v>0</v>
      </c>
      <c r="HZ363" s="5">
        <v>0</v>
      </c>
      <c r="IA363" s="5">
        <v>0</v>
      </c>
      <c r="IB363" s="5">
        <v>0</v>
      </c>
      <c r="IC363" s="5">
        <v>0</v>
      </c>
      <c r="ID363" s="5">
        <v>0</v>
      </c>
      <c r="IE363" s="5">
        <v>0</v>
      </c>
      <c r="IF363" s="5">
        <v>0</v>
      </c>
      <c r="IG363" s="5">
        <v>0</v>
      </c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7"/>
    </row>
    <row r="364" spans="1:258"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GO364" s="138">
        <f t="shared" ref="GO364:HT364" si="4507">_xlfn.AGGREGATE(9,3,GO4:GO363)</f>
        <v>14</v>
      </c>
      <c r="GP364" s="138">
        <f t="shared" si="4507"/>
        <v>14</v>
      </c>
      <c r="GQ364" s="138">
        <f t="shared" si="4507"/>
        <v>14</v>
      </c>
      <c r="GR364" s="138">
        <f t="shared" si="4507"/>
        <v>1</v>
      </c>
      <c r="GS364" s="138">
        <f t="shared" si="4507"/>
        <v>15</v>
      </c>
      <c r="GT364" s="138">
        <f t="shared" si="4507"/>
        <v>14</v>
      </c>
      <c r="GU364" s="138">
        <f t="shared" si="4507"/>
        <v>14</v>
      </c>
      <c r="GV364" s="138">
        <f t="shared" si="4507"/>
        <v>13</v>
      </c>
      <c r="GW364" s="138">
        <f t="shared" si="4507"/>
        <v>13</v>
      </c>
      <c r="GX364" s="138">
        <f t="shared" si="4507"/>
        <v>14</v>
      </c>
      <c r="GY364" s="138">
        <f t="shared" si="4507"/>
        <v>0</v>
      </c>
      <c r="GZ364" s="138">
        <f t="shared" si="4507"/>
        <v>13</v>
      </c>
      <c r="HA364" s="138">
        <f t="shared" si="4507"/>
        <v>11</v>
      </c>
      <c r="HB364" s="138">
        <f t="shared" si="4507"/>
        <v>11</v>
      </c>
      <c r="HC364" s="138">
        <f t="shared" si="4507"/>
        <v>0</v>
      </c>
      <c r="HD364" s="138">
        <f t="shared" si="4507"/>
        <v>0</v>
      </c>
      <c r="HE364" s="138">
        <f t="shared" si="4507"/>
        <v>0</v>
      </c>
      <c r="HF364" s="138">
        <f t="shared" si="4507"/>
        <v>0</v>
      </c>
      <c r="HG364" s="138">
        <f t="shared" si="4507"/>
        <v>0</v>
      </c>
      <c r="HH364" s="138">
        <f t="shared" si="4507"/>
        <v>0</v>
      </c>
      <c r="HI364" s="138">
        <f t="shared" si="4507"/>
        <v>0</v>
      </c>
      <c r="HJ364" s="138">
        <f t="shared" si="4507"/>
        <v>0</v>
      </c>
      <c r="HK364" s="138">
        <f t="shared" si="4507"/>
        <v>0</v>
      </c>
      <c r="HL364" s="138">
        <f t="shared" si="4507"/>
        <v>0</v>
      </c>
      <c r="HM364" s="138">
        <f t="shared" si="4507"/>
        <v>0</v>
      </c>
      <c r="HN364" s="138">
        <f t="shared" si="4507"/>
        <v>0</v>
      </c>
      <c r="HO364" s="138">
        <f t="shared" si="4507"/>
        <v>0</v>
      </c>
      <c r="HP364" s="138">
        <f t="shared" si="4507"/>
        <v>0</v>
      </c>
      <c r="HQ364" s="138">
        <f t="shared" si="4507"/>
        <v>0</v>
      </c>
      <c r="HR364" s="138">
        <f t="shared" si="4507"/>
        <v>0</v>
      </c>
      <c r="HS364" s="138">
        <f t="shared" si="4507"/>
        <v>0</v>
      </c>
      <c r="HT364" s="138">
        <f t="shared" si="4507"/>
        <v>24</v>
      </c>
      <c r="HU364" s="138">
        <f t="shared" ref="HU364:IX364" si="4508">_xlfn.AGGREGATE(9,3,HU4:HU363)</f>
        <v>24</v>
      </c>
      <c r="HV364" s="138">
        <f t="shared" si="4508"/>
        <v>13</v>
      </c>
      <c r="HW364" s="138">
        <f t="shared" si="4508"/>
        <v>0</v>
      </c>
      <c r="HX364" s="138">
        <f t="shared" si="4508"/>
        <v>47</v>
      </c>
      <c r="HY364" s="138">
        <f t="shared" si="4508"/>
        <v>94</v>
      </c>
      <c r="HZ364" s="138">
        <f t="shared" si="4508"/>
        <v>424</v>
      </c>
      <c r="IA364" s="138">
        <f t="shared" si="4508"/>
        <v>449</v>
      </c>
      <c r="IB364" s="138">
        <f t="shared" si="4508"/>
        <v>418</v>
      </c>
      <c r="IC364" s="138">
        <f t="shared" si="4508"/>
        <v>498</v>
      </c>
      <c r="ID364" s="138">
        <f t="shared" si="4508"/>
        <v>0</v>
      </c>
      <c r="IE364" s="138">
        <f t="shared" si="4508"/>
        <v>489</v>
      </c>
      <c r="IF364" s="138">
        <f t="shared" si="4508"/>
        <v>447</v>
      </c>
      <c r="IG364" s="138">
        <f t="shared" si="4508"/>
        <v>1</v>
      </c>
      <c r="IH364" s="138">
        <f t="shared" si="4508"/>
        <v>0</v>
      </c>
      <c r="II364" s="138">
        <f t="shared" si="4508"/>
        <v>0</v>
      </c>
      <c r="IJ364" s="138">
        <f t="shared" si="4508"/>
        <v>0</v>
      </c>
      <c r="IK364" s="138">
        <f t="shared" si="4508"/>
        <v>0</v>
      </c>
      <c r="IL364" s="138">
        <f t="shared" si="4508"/>
        <v>0</v>
      </c>
      <c r="IM364" s="138">
        <f t="shared" si="4508"/>
        <v>0</v>
      </c>
      <c r="IN364" s="138">
        <f t="shared" si="4508"/>
        <v>0</v>
      </c>
      <c r="IO364" s="138">
        <f t="shared" si="4508"/>
        <v>0</v>
      </c>
      <c r="IP364" s="138">
        <f t="shared" si="4508"/>
        <v>0</v>
      </c>
      <c r="IQ364" s="138">
        <f t="shared" si="4508"/>
        <v>0</v>
      </c>
      <c r="IR364" s="138">
        <f t="shared" si="4508"/>
        <v>0</v>
      </c>
      <c r="IS364" s="138">
        <f t="shared" si="4508"/>
        <v>0</v>
      </c>
      <c r="IT364" s="138">
        <f t="shared" si="4508"/>
        <v>0</v>
      </c>
      <c r="IU364" s="138">
        <f t="shared" si="4508"/>
        <v>0</v>
      </c>
      <c r="IV364" s="138">
        <f t="shared" si="4508"/>
        <v>0</v>
      </c>
      <c r="IW364" s="138">
        <f t="shared" si="4508"/>
        <v>0</v>
      </c>
      <c r="IX364" s="138">
        <f t="shared" si="4508"/>
        <v>0</v>
      </c>
    </row>
    <row r="366" spans="1:258">
      <c r="GO366">
        <v>155</v>
      </c>
      <c r="GP366">
        <v>159</v>
      </c>
      <c r="GQ366">
        <v>102</v>
      </c>
      <c r="GR366">
        <v>159</v>
      </c>
      <c r="GS366">
        <v>57</v>
      </c>
      <c r="GT366">
        <v>155</v>
      </c>
      <c r="GU366">
        <v>160</v>
      </c>
      <c r="GV366">
        <v>159</v>
      </c>
      <c r="GW366">
        <v>156</v>
      </c>
      <c r="GX366">
        <v>107</v>
      </c>
      <c r="GY366">
        <v>168</v>
      </c>
      <c r="GZ366">
        <v>56</v>
      </c>
      <c r="HA366">
        <v>169</v>
      </c>
      <c r="HB366">
        <v>169</v>
      </c>
      <c r="HC366">
        <v>171</v>
      </c>
      <c r="HD366">
        <v>171</v>
      </c>
      <c r="HE366">
        <v>106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3998</v>
      </c>
      <c r="HU366">
        <v>1404</v>
      </c>
      <c r="HV366">
        <v>3941</v>
      </c>
      <c r="HW366">
        <v>2279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</row>
    <row r="367" spans="1:258">
      <c r="GO367">
        <f>GO366-GO364</f>
        <v>141</v>
      </c>
      <c r="GP367">
        <f t="shared" ref="GP367:IX367" si="4509">GP366-GP364</f>
        <v>145</v>
      </c>
      <c r="GQ367">
        <f t="shared" si="4509"/>
        <v>88</v>
      </c>
      <c r="GR367">
        <f t="shared" si="4509"/>
        <v>158</v>
      </c>
      <c r="GS367">
        <f t="shared" si="4509"/>
        <v>42</v>
      </c>
      <c r="GT367">
        <f t="shared" si="4509"/>
        <v>141</v>
      </c>
      <c r="GU367">
        <f t="shared" si="4509"/>
        <v>146</v>
      </c>
      <c r="GV367">
        <f t="shared" si="4509"/>
        <v>146</v>
      </c>
      <c r="GW367">
        <f t="shared" si="4509"/>
        <v>143</v>
      </c>
      <c r="GX367">
        <f t="shared" si="4509"/>
        <v>93</v>
      </c>
      <c r="GY367">
        <f t="shared" si="4509"/>
        <v>168</v>
      </c>
      <c r="GZ367">
        <f t="shared" si="4509"/>
        <v>43</v>
      </c>
      <c r="HA367">
        <f t="shared" si="4509"/>
        <v>158</v>
      </c>
      <c r="HB367">
        <f t="shared" si="4509"/>
        <v>158</v>
      </c>
      <c r="HC367">
        <f t="shared" si="4509"/>
        <v>171</v>
      </c>
      <c r="HD367">
        <f t="shared" si="4509"/>
        <v>171</v>
      </c>
      <c r="HE367">
        <f t="shared" si="4509"/>
        <v>106</v>
      </c>
      <c r="HF367">
        <f t="shared" si="4509"/>
        <v>0</v>
      </c>
      <c r="HG367">
        <f t="shared" si="4509"/>
        <v>0</v>
      </c>
      <c r="HH367">
        <f t="shared" si="4509"/>
        <v>0</v>
      </c>
      <c r="HI367">
        <f t="shared" si="4509"/>
        <v>0</v>
      </c>
      <c r="HJ367">
        <f t="shared" si="4509"/>
        <v>0</v>
      </c>
      <c r="HK367">
        <f t="shared" si="4509"/>
        <v>0</v>
      </c>
      <c r="HL367">
        <f t="shared" si="4509"/>
        <v>0</v>
      </c>
      <c r="HM367">
        <f t="shared" si="4509"/>
        <v>0</v>
      </c>
      <c r="HN367">
        <f t="shared" si="4509"/>
        <v>0</v>
      </c>
      <c r="HO367">
        <f t="shared" si="4509"/>
        <v>0</v>
      </c>
      <c r="HP367">
        <f t="shared" si="4509"/>
        <v>0</v>
      </c>
      <c r="HQ367">
        <f t="shared" si="4509"/>
        <v>0</v>
      </c>
      <c r="HR367">
        <f t="shared" si="4509"/>
        <v>0</v>
      </c>
      <c r="HS367">
        <f t="shared" si="4509"/>
        <v>0</v>
      </c>
      <c r="HT367">
        <f t="shared" si="4509"/>
        <v>3974</v>
      </c>
      <c r="HU367">
        <f t="shared" si="4509"/>
        <v>1380</v>
      </c>
      <c r="HV367">
        <f t="shared" si="4509"/>
        <v>3928</v>
      </c>
      <c r="HW367">
        <f t="shared" si="4509"/>
        <v>2279</v>
      </c>
      <c r="HX367">
        <f t="shared" si="4509"/>
        <v>-47</v>
      </c>
      <c r="HY367">
        <f t="shared" si="4509"/>
        <v>-94</v>
      </c>
      <c r="HZ367">
        <f t="shared" si="4509"/>
        <v>-424</v>
      </c>
      <c r="IA367">
        <f t="shared" si="4509"/>
        <v>-449</v>
      </c>
      <c r="IB367">
        <f t="shared" si="4509"/>
        <v>-418</v>
      </c>
      <c r="IC367">
        <f t="shared" si="4509"/>
        <v>-498</v>
      </c>
      <c r="ID367">
        <f t="shared" si="4509"/>
        <v>0</v>
      </c>
      <c r="IE367">
        <f t="shared" si="4509"/>
        <v>-489</v>
      </c>
      <c r="IF367">
        <f t="shared" si="4509"/>
        <v>-447</v>
      </c>
      <c r="IG367">
        <f t="shared" si="4509"/>
        <v>-1</v>
      </c>
      <c r="IH367">
        <f t="shared" si="4509"/>
        <v>0</v>
      </c>
      <c r="II367">
        <f t="shared" si="4509"/>
        <v>0</v>
      </c>
      <c r="IJ367">
        <f t="shared" si="4509"/>
        <v>0</v>
      </c>
      <c r="IK367">
        <f t="shared" si="4509"/>
        <v>0</v>
      </c>
      <c r="IL367">
        <f t="shared" si="4509"/>
        <v>0</v>
      </c>
      <c r="IM367">
        <f t="shared" si="4509"/>
        <v>0</v>
      </c>
      <c r="IN367">
        <f t="shared" si="4509"/>
        <v>0</v>
      </c>
      <c r="IO367">
        <f t="shared" si="4509"/>
        <v>0</v>
      </c>
      <c r="IP367">
        <f t="shared" si="4509"/>
        <v>0</v>
      </c>
      <c r="IQ367">
        <f t="shared" si="4509"/>
        <v>0</v>
      </c>
      <c r="IR367">
        <f t="shared" si="4509"/>
        <v>0</v>
      </c>
      <c r="IS367">
        <f t="shared" si="4509"/>
        <v>0</v>
      </c>
      <c r="IT367">
        <f t="shared" si="4509"/>
        <v>0</v>
      </c>
      <c r="IU367">
        <f t="shared" si="4509"/>
        <v>0</v>
      </c>
      <c r="IV367">
        <f t="shared" si="4509"/>
        <v>0</v>
      </c>
      <c r="IW367">
        <f t="shared" si="4509"/>
        <v>0</v>
      </c>
      <c r="IX367">
        <f t="shared" si="4509"/>
        <v>0</v>
      </c>
    </row>
    <row r="368" spans="1:258">
      <c r="G368" s="94"/>
    </row>
    <row r="369" spans="7:258">
      <c r="G369" s="94"/>
      <c r="GO369">
        <v>130</v>
      </c>
      <c r="GP369">
        <v>136</v>
      </c>
      <c r="GQ369">
        <v>88</v>
      </c>
      <c r="GR369">
        <v>136</v>
      </c>
      <c r="GS369">
        <v>48</v>
      </c>
      <c r="GT369">
        <v>131</v>
      </c>
      <c r="GU369">
        <v>137</v>
      </c>
      <c r="GV369">
        <v>136</v>
      </c>
      <c r="GW369">
        <v>133</v>
      </c>
      <c r="GX369">
        <v>91</v>
      </c>
      <c r="GY369">
        <v>142</v>
      </c>
      <c r="GZ369">
        <v>48</v>
      </c>
      <c r="HA369">
        <v>145</v>
      </c>
      <c r="HB369">
        <v>143</v>
      </c>
      <c r="HC369">
        <v>146</v>
      </c>
      <c r="HD369">
        <v>147</v>
      </c>
      <c r="HE369">
        <v>100</v>
      </c>
      <c r="HF369">
        <v>146</v>
      </c>
      <c r="HG369">
        <v>50</v>
      </c>
      <c r="HH369">
        <v>142</v>
      </c>
      <c r="HI369">
        <v>141</v>
      </c>
      <c r="HJ369">
        <v>137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3694</v>
      </c>
      <c r="HU369">
        <v>1324</v>
      </c>
      <c r="HV369">
        <v>3794</v>
      </c>
      <c r="HW369">
        <v>3910</v>
      </c>
      <c r="HX369">
        <v>3626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</row>
    <row r="370" spans="7:258">
      <c r="HT370" s="145">
        <f>HT369-HT364</f>
        <v>3670</v>
      </c>
      <c r="HU370" s="145">
        <f t="shared" ref="HU370:IX370" si="4510">HU369-HU364</f>
        <v>1300</v>
      </c>
      <c r="HV370" s="145">
        <f t="shared" si="4510"/>
        <v>3781</v>
      </c>
      <c r="HW370" s="145">
        <f t="shared" si="4510"/>
        <v>3910</v>
      </c>
      <c r="HX370" s="145">
        <f t="shared" si="4510"/>
        <v>3579</v>
      </c>
      <c r="HY370" s="145">
        <f t="shared" si="4510"/>
        <v>-94</v>
      </c>
      <c r="HZ370" s="145">
        <f t="shared" si="4510"/>
        <v>-424</v>
      </c>
      <c r="IA370" s="145">
        <f t="shared" si="4510"/>
        <v>-449</v>
      </c>
      <c r="IB370" s="145">
        <f t="shared" si="4510"/>
        <v>-418</v>
      </c>
      <c r="IC370" s="145">
        <f t="shared" si="4510"/>
        <v>-498</v>
      </c>
      <c r="ID370" s="145">
        <f t="shared" si="4510"/>
        <v>0</v>
      </c>
      <c r="IE370" s="145">
        <f t="shared" si="4510"/>
        <v>-489</v>
      </c>
      <c r="IF370" s="145">
        <f t="shared" si="4510"/>
        <v>-447</v>
      </c>
      <c r="IG370" s="145">
        <f t="shared" si="4510"/>
        <v>-1</v>
      </c>
      <c r="IH370" s="145">
        <f t="shared" si="4510"/>
        <v>0</v>
      </c>
      <c r="II370" s="145">
        <f t="shared" si="4510"/>
        <v>0</v>
      </c>
      <c r="IJ370" s="145">
        <f t="shared" si="4510"/>
        <v>0</v>
      </c>
      <c r="IK370" s="145">
        <f t="shared" si="4510"/>
        <v>0</v>
      </c>
      <c r="IL370" s="145">
        <f t="shared" si="4510"/>
        <v>0</v>
      </c>
      <c r="IM370" s="145">
        <f t="shared" si="4510"/>
        <v>0</v>
      </c>
      <c r="IN370" s="145">
        <f t="shared" si="4510"/>
        <v>0</v>
      </c>
      <c r="IO370" s="145">
        <f t="shared" si="4510"/>
        <v>0</v>
      </c>
      <c r="IP370" s="145">
        <f t="shared" si="4510"/>
        <v>0</v>
      </c>
      <c r="IQ370" s="145">
        <f t="shared" si="4510"/>
        <v>0</v>
      </c>
      <c r="IR370" s="145">
        <f t="shared" si="4510"/>
        <v>0</v>
      </c>
      <c r="IS370" s="145">
        <f t="shared" si="4510"/>
        <v>0</v>
      </c>
      <c r="IT370" s="145">
        <f t="shared" si="4510"/>
        <v>0</v>
      </c>
      <c r="IU370" s="145">
        <f t="shared" si="4510"/>
        <v>0</v>
      </c>
      <c r="IV370" s="145">
        <f t="shared" si="4510"/>
        <v>0</v>
      </c>
      <c r="IW370" s="145">
        <f t="shared" si="4510"/>
        <v>0</v>
      </c>
      <c r="IX370" s="145">
        <f t="shared" si="4510"/>
        <v>0</v>
      </c>
    </row>
    <row r="371" spans="7:258">
      <c r="GO371">
        <v>185</v>
      </c>
      <c r="GP371">
        <v>63</v>
      </c>
      <c r="GQ371">
        <v>186</v>
      </c>
      <c r="GR371">
        <v>187</v>
      </c>
      <c r="GS371">
        <v>184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3998</v>
      </c>
      <c r="HU371">
        <v>1409</v>
      </c>
      <c r="HV371">
        <v>3953</v>
      </c>
      <c r="HW371">
        <v>4222</v>
      </c>
      <c r="HX371">
        <v>4084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</row>
    <row r="372" spans="7:258">
      <c r="GO372" s="145">
        <f>GO371-GO364</f>
        <v>171</v>
      </c>
    </row>
  </sheetData>
  <autoFilter ref="A3:AKL363" xr:uid="{FA31CC78-5AD5-4CC9-A8AF-6601EDDC703B}">
    <filterColumn colId="3">
      <filters>
        <filter val="LAHORE-1"/>
        <filter val="LAHORE-2"/>
        <filter val="LAHORE-3"/>
        <filter val="LAHORE-4"/>
        <filter val="LAHORE-5"/>
        <filter val="LAHORE-6"/>
        <filter val="LAHORE-7"/>
        <filter val="NTH Lahore"/>
        <filter val="NTH-A Lahore"/>
      </filters>
    </filterColumn>
  </autoFilter>
  <mergeCells count="6">
    <mergeCell ref="HT2:IX2"/>
    <mergeCell ref="A2:U2"/>
    <mergeCell ref="V2:BB2"/>
    <mergeCell ref="GO2:HS2"/>
    <mergeCell ref="BC2:CI2"/>
    <mergeCell ref="GM2:GN2"/>
  </mergeCells>
  <conditionalFormatting sqref="G365:G1048576 G1:G363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2F31-5729-40CA-8E81-04C0B09DCB27}">
  <sheetPr filterMode="1">
    <tabColor rgb="FF00B0F0"/>
    <pageSetUpPr fitToPage="1"/>
  </sheetPr>
  <dimension ref="A1:AHV73"/>
  <sheetViews>
    <sheetView zoomScale="90" zoomScaleNormal="90" workbookViewId="0">
      <pane xSplit="7" ySplit="3" topLeftCell="H4" activePane="bottomRight" state="frozen"/>
      <selection pane="topRight" activeCell="O1" sqref="O1"/>
      <selection pane="bottomLeft" activeCell="A4" sqref="A4"/>
      <selection pane="bottomRight" activeCell="F6" sqref="F6"/>
    </sheetView>
  </sheetViews>
  <sheetFormatPr defaultRowHeight="14.4"/>
  <cols>
    <col min="1" max="1" width="10.5546875" bestFit="1" customWidth="1"/>
    <col min="2" max="2" width="9.109375" bestFit="1" customWidth="1"/>
    <col min="3" max="3" width="20" style="1" bestFit="1" customWidth="1"/>
    <col min="4" max="4" width="33.6640625" bestFit="1" customWidth="1"/>
    <col min="5" max="5" width="6.21875" customWidth="1"/>
    <col min="6" max="7" width="8.21875" customWidth="1"/>
    <col min="8" max="8" width="8.88671875" customWidth="1"/>
    <col min="9" max="9" width="8.5546875" customWidth="1"/>
    <col min="10" max="10" width="10.5546875" customWidth="1"/>
    <col min="11" max="11" width="9" customWidth="1"/>
    <col min="12" max="12" width="7.88671875" style="65" customWidth="1"/>
    <col min="13" max="14" width="8.33203125" customWidth="1"/>
    <col min="15" max="15" width="9.33203125" customWidth="1"/>
    <col min="16" max="16" width="10.5546875" customWidth="1"/>
    <col min="17" max="17" width="10.77734375" customWidth="1"/>
    <col min="18" max="18" width="8.21875" customWidth="1"/>
    <col min="19" max="19" width="14.109375" hidden="1" customWidth="1"/>
    <col min="20" max="20" width="19.44140625" customWidth="1"/>
    <col min="21" max="21" width="11.33203125" customWidth="1"/>
    <col min="22" max="23" width="10.44140625" customWidth="1"/>
    <col min="24" max="29" width="8.88671875" customWidth="1"/>
    <col min="30" max="30" width="11.33203125" customWidth="1"/>
    <col min="31" max="31" width="12" customWidth="1"/>
    <col min="32" max="32" width="12.44140625" customWidth="1"/>
    <col min="33" max="33" width="14.5546875" customWidth="1"/>
    <col min="34" max="34" width="15.33203125" customWidth="1"/>
    <col min="35" max="38" width="13.77734375" customWidth="1"/>
    <col min="39" max="39" width="12.44140625" customWidth="1"/>
    <col min="40" max="40" width="12.77734375" customWidth="1"/>
    <col min="41" max="41" width="11.44140625" customWidth="1"/>
    <col min="42" max="42" width="11.77734375" customWidth="1"/>
    <col min="43" max="43" width="10.6640625" customWidth="1"/>
    <col min="44" max="45" width="12.44140625" customWidth="1"/>
    <col min="46" max="46" width="12.77734375" customWidth="1"/>
    <col min="47" max="47" width="12.6640625" customWidth="1"/>
    <col min="48" max="48" width="12.21875" customWidth="1"/>
    <col min="49" max="49" width="11.109375" customWidth="1"/>
    <col min="50" max="51" width="12.44140625" customWidth="1"/>
    <col min="52" max="52" width="12.77734375" customWidth="1"/>
    <col min="53" max="53" width="12.6640625" customWidth="1"/>
    <col min="54" max="54" width="12.21875" customWidth="1"/>
    <col min="55" max="55" width="11.77734375" customWidth="1"/>
    <col min="56" max="56" width="10.77734375" customWidth="1"/>
    <col min="57" max="57" width="10.109375" customWidth="1"/>
    <col min="58" max="58" width="9.6640625" customWidth="1"/>
    <col min="59" max="59" width="13" customWidth="1"/>
    <col min="60" max="61" width="11.77734375" customWidth="1"/>
    <col min="62" max="62" width="12.6640625" customWidth="1"/>
    <col min="63" max="63" width="10.109375" customWidth="1"/>
    <col min="64" max="64" width="9.6640625" customWidth="1"/>
    <col min="65" max="65" width="13" customWidth="1"/>
    <col min="66" max="67" width="11.77734375" customWidth="1"/>
    <col min="68" max="68" width="10.77734375" customWidth="1"/>
    <col min="69" max="69" width="10.109375" customWidth="1"/>
    <col min="70" max="70" width="9.6640625" customWidth="1"/>
    <col min="71" max="71" width="11.6640625" customWidth="1"/>
    <col min="72" max="75" width="11.44140625" customWidth="1"/>
    <col min="76" max="76" width="11.6640625" customWidth="1"/>
    <col min="77" max="77" width="11.44140625" customWidth="1"/>
    <col min="78" max="78" width="11" customWidth="1"/>
    <col min="79" max="79" width="12.44140625" customWidth="1"/>
    <col min="80" max="80" width="10.77734375" customWidth="1"/>
    <col min="81" max="81" width="10.44140625" customWidth="1"/>
    <col min="82" max="82" width="9.77734375" customWidth="1"/>
    <col min="83" max="83" width="11.6640625" customWidth="1"/>
    <col min="84" max="84" width="11.44140625" customWidth="1"/>
    <col min="85" max="85" width="16.109375" customWidth="1"/>
    <col min="86" max="86" width="10.77734375" customWidth="1"/>
    <col min="87" max="87" width="10.44140625" customWidth="1"/>
    <col min="88" max="88" width="9.77734375" customWidth="1"/>
    <col min="89" max="90" width="11.21875" customWidth="1"/>
    <col min="91" max="91" width="10.21875" customWidth="1"/>
    <col min="92" max="97" width="11.21875" customWidth="1"/>
    <col min="98" max="100" width="11.109375" customWidth="1"/>
    <col min="101" max="103" width="12.44140625" customWidth="1"/>
    <col min="104" max="105" width="10" customWidth="1"/>
    <col min="106" max="111" width="13.33203125" customWidth="1"/>
    <col min="112" max="116" width="8.88671875" customWidth="1"/>
    <col min="117" max="117" width="13" customWidth="1"/>
    <col min="118" max="118" width="15.6640625" customWidth="1"/>
    <col min="119" max="126" width="8.88671875" customWidth="1"/>
    <col min="127" max="127" width="9.109375" customWidth="1"/>
    <col min="128" max="128" width="43.33203125" customWidth="1"/>
    <col min="129" max="129" width="15.33203125" customWidth="1"/>
    <col min="130" max="130" width="14.88671875" customWidth="1"/>
    <col min="131" max="131" width="15.33203125" customWidth="1"/>
    <col min="132" max="132" width="14.33203125" customWidth="1"/>
    <col min="133" max="133" width="14.88671875" customWidth="1"/>
    <col min="134" max="134" width="14.33203125" customWidth="1"/>
    <col min="135" max="135" width="14.88671875" customWidth="1"/>
    <col min="136" max="136" width="14" customWidth="1"/>
    <col min="137" max="137" width="14.88671875" customWidth="1"/>
    <col min="138" max="138" width="13.6640625" customWidth="1"/>
    <col min="139" max="139" width="14.33203125" customWidth="1"/>
    <col min="140" max="140" width="15.33203125" customWidth="1"/>
    <col min="141" max="141" width="14.33203125" customWidth="1"/>
    <col min="142" max="142" width="14.88671875" customWidth="1"/>
    <col min="143" max="143" width="14.33203125" customWidth="1"/>
    <col min="144" max="144" width="14.88671875" customWidth="1"/>
    <col min="145" max="145" width="14" customWidth="1"/>
    <col min="146" max="146" width="14.88671875" customWidth="1"/>
    <col min="147" max="147" width="13.6640625" customWidth="1"/>
    <col min="148" max="148" width="14.33203125" customWidth="1"/>
    <col min="149" max="149" width="15.33203125" customWidth="1"/>
    <col min="150" max="150" width="14.33203125" customWidth="1"/>
    <col min="151" max="151" width="14.88671875" customWidth="1"/>
    <col min="152" max="152" width="14.33203125" customWidth="1"/>
    <col min="153" max="153" width="14.88671875" customWidth="1"/>
    <col min="154" max="154" width="14" customWidth="1"/>
    <col min="155" max="155" width="14.88671875" customWidth="1"/>
    <col min="156" max="156" width="13.6640625" customWidth="1"/>
    <col min="157" max="157" width="14.33203125" customWidth="1"/>
    <col min="158" max="158" width="15.33203125" customWidth="1"/>
    <col min="159" max="159" width="14.33203125" customWidth="1"/>
    <col min="160" max="160" width="14.88671875" customWidth="1"/>
    <col min="161" max="161" width="14.33203125" customWidth="1"/>
    <col min="162" max="162" width="14.88671875" customWidth="1"/>
    <col min="163" max="163" width="14" customWidth="1"/>
    <col min="164" max="164" width="14.88671875" customWidth="1"/>
    <col min="165" max="165" width="13.6640625" customWidth="1"/>
    <col min="166" max="166" width="14.33203125" customWidth="1"/>
    <col min="167" max="167" width="15.33203125" customWidth="1"/>
    <col min="168" max="168" width="14.33203125" customWidth="1"/>
    <col min="169" max="169" width="14.88671875" customWidth="1"/>
    <col min="170" max="170" width="14.33203125" customWidth="1"/>
    <col min="171" max="171" width="14.88671875" customWidth="1"/>
    <col min="172" max="172" width="14" customWidth="1"/>
    <col min="173" max="173" width="14.88671875" customWidth="1"/>
    <col min="174" max="174" width="13.6640625" customWidth="1"/>
    <col min="175" max="175" width="14.33203125" customWidth="1"/>
    <col min="176" max="176" width="15.33203125" customWidth="1"/>
    <col min="177" max="177" width="14.33203125" customWidth="1"/>
    <col min="178" max="178" width="14.88671875" customWidth="1"/>
    <col min="179" max="179" width="14.33203125" customWidth="1"/>
    <col min="180" max="180" width="14.88671875" customWidth="1"/>
    <col min="181" max="181" width="14" customWidth="1"/>
    <col min="182" max="182" width="14.88671875" customWidth="1"/>
    <col min="183" max="183" width="13.6640625" customWidth="1"/>
    <col min="184" max="184" width="14.33203125" customWidth="1"/>
    <col min="185" max="185" width="15.33203125" customWidth="1"/>
    <col min="186" max="186" width="9.109375" customWidth="1"/>
    <col min="187" max="187" width="16.44140625" bestFit="1" customWidth="1"/>
    <col min="188" max="189" width="13.33203125" customWidth="1"/>
    <col min="190" max="190" width="9.109375" customWidth="1"/>
    <col min="191" max="191" width="47.5546875" customWidth="1"/>
    <col min="192" max="192" width="13.6640625" customWidth="1"/>
    <col min="193" max="193" width="13" customWidth="1"/>
    <col min="194" max="194" width="13.44140625" customWidth="1"/>
    <col min="195" max="195" width="10" customWidth="1"/>
    <col min="196" max="196" width="13.6640625" customWidth="1"/>
    <col min="197" max="197" width="14.6640625" customWidth="1"/>
    <col min="198" max="198" width="14.21875" customWidth="1"/>
    <col min="199" max="199" width="13.88671875" customWidth="1"/>
    <col min="200" max="200" width="12.21875" customWidth="1"/>
    <col min="201" max="201" width="14.21875" customWidth="1"/>
    <col min="202" max="202" width="14.6640625" customWidth="1"/>
    <col min="203" max="203" width="13.6640625" customWidth="1"/>
    <col min="204" max="204" width="13" customWidth="1"/>
    <col min="205" max="208" width="12" customWidth="1"/>
    <col min="209" max="209" width="13.88671875" customWidth="1"/>
    <col min="210" max="211" width="13" customWidth="1"/>
    <col min="212" max="212" width="10.44140625" customWidth="1"/>
    <col min="213" max="214" width="13.44140625" customWidth="1"/>
    <col min="215" max="215" width="13.6640625" customWidth="1"/>
    <col min="216" max="216" width="12.6640625" customWidth="1"/>
    <col min="217" max="218" width="11.77734375" customWidth="1"/>
    <col min="219" max="219" width="8.77734375" customWidth="1"/>
    <col min="220" max="220" width="9.21875" customWidth="1"/>
    <col min="221" max="221" width="14.21875" customWidth="1"/>
    <col min="222" max="222" width="13.44140625" customWidth="1"/>
    <col min="223" max="223" width="13" customWidth="1"/>
    <col min="224" max="224" width="10.44140625" customWidth="1"/>
    <col min="225" max="226" width="13.44140625" customWidth="1"/>
    <col min="227" max="227" width="13.6640625" customWidth="1"/>
    <col min="228" max="228" width="13" customWidth="1"/>
    <col min="229" max="232" width="12" customWidth="1"/>
    <col min="233" max="233" width="13.88671875" customWidth="1"/>
    <col min="234" max="234" width="13.44140625" customWidth="1"/>
    <col min="235" max="235" width="12.21875" customWidth="1"/>
    <col min="236" max="236" width="10.44140625" customWidth="1"/>
    <col min="237" max="238" width="13.44140625" customWidth="1"/>
    <col min="239" max="239" width="13.6640625" customWidth="1"/>
    <col min="240" max="240" width="13" customWidth="1"/>
    <col min="241" max="244" width="12" customWidth="1"/>
    <col min="245" max="245" width="14.33203125" customWidth="1"/>
    <col min="246" max="247" width="13.44140625" customWidth="1"/>
    <col min="248" max="248" width="12" customWidth="1"/>
    <col min="249" max="249" width="13" customWidth="1"/>
    <col min="250" max="250" width="14.33203125" customWidth="1"/>
    <col min="251" max="251" width="13.6640625" customWidth="1"/>
    <col min="252" max="256" width="12" customWidth="1"/>
    <col min="257" max="257" width="19.6640625" customWidth="1"/>
    <col min="258" max="261" width="12" customWidth="1"/>
    <col min="262" max="262" width="12.6640625" customWidth="1"/>
    <col min="263" max="263" width="13.6640625" customWidth="1"/>
    <col min="264" max="268" width="12" customWidth="1"/>
    <col min="269" max="269" width="15" customWidth="1"/>
    <col min="270" max="274" width="12" customWidth="1"/>
    <col min="275" max="275" width="13.6640625" customWidth="1"/>
    <col min="276" max="280" width="12" customWidth="1"/>
    <col min="281" max="281" width="14.44140625" customWidth="1"/>
    <col min="282" max="286" width="12" customWidth="1"/>
    <col min="287" max="287" width="13.6640625" customWidth="1"/>
    <col min="288" max="292" width="12" customWidth="1"/>
    <col min="293" max="293" width="14.109375" customWidth="1"/>
    <col min="294" max="298" width="12" customWidth="1"/>
    <col min="299" max="299" width="13.6640625" customWidth="1"/>
    <col min="300" max="304" width="12" customWidth="1"/>
    <col min="305" max="306" width="14.44140625" customWidth="1"/>
    <col min="307" max="307" width="13.77734375" customWidth="1"/>
    <col min="308" max="309" width="12" customWidth="1"/>
    <col min="310" max="310" width="13" customWidth="1"/>
    <col min="311" max="311" width="13.6640625" customWidth="1"/>
    <col min="312" max="313" width="14" customWidth="1"/>
    <col min="314" max="314" width="13.6640625" customWidth="1"/>
    <col min="315" max="316" width="10.6640625" customWidth="1"/>
    <col min="317" max="317" width="15.109375" customWidth="1"/>
    <col min="318" max="318" width="15.44140625" customWidth="1"/>
    <col min="319" max="319" width="14.5546875" customWidth="1"/>
    <col min="320" max="320" width="12" customWidth="1"/>
    <col min="321" max="322" width="15.109375" customWidth="1"/>
    <col min="323" max="323" width="13.6640625" customWidth="1"/>
    <col min="324" max="324" width="12.33203125" customWidth="1"/>
    <col min="325" max="325" width="11.33203125" customWidth="1"/>
    <col min="326" max="326" width="12.33203125" customWidth="1"/>
    <col min="327" max="328" width="10" customWidth="1"/>
    <col min="329" max="329" width="15.88671875" customWidth="1"/>
    <col min="330" max="330" width="12.6640625" customWidth="1"/>
    <col min="331" max="331" width="13.6640625" customWidth="1"/>
    <col min="332" max="332" width="11.33203125" customWidth="1"/>
    <col min="333" max="333" width="12.33203125" customWidth="1"/>
    <col min="334" max="335" width="13.6640625" customWidth="1"/>
    <col min="336" max="336" width="17.88671875" customWidth="1"/>
    <col min="337" max="337" width="18.44140625" customWidth="1"/>
    <col min="338" max="345" width="11.33203125" customWidth="1"/>
    <col min="346" max="350" width="8.88671875" customWidth="1"/>
    <col min="351" max="375" width="11.33203125" customWidth="1"/>
    <col min="376" max="376" width="14" bestFit="1" customWidth="1"/>
    <col min="377" max="377" width="14" customWidth="1"/>
    <col min="378" max="378" width="16.33203125" bestFit="1" customWidth="1"/>
    <col min="379" max="380" width="30.88671875" customWidth="1"/>
    <col min="391" max="391" width="35.6640625" bestFit="1" customWidth="1"/>
    <col min="392" max="400" width="20.77734375" customWidth="1"/>
    <col min="401" max="401" width="24.21875" customWidth="1"/>
    <col min="402" max="402" width="23.21875" customWidth="1"/>
    <col min="403" max="403" width="20.77734375" customWidth="1"/>
    <col min="410" max="410" width="72.44140625" customWidth="1"/>
    <col min="411" max="412" width="18.5546875" customWidth="1"/>
    <col min="413" max="413" width="10.33203125" customWidth="1"/>
    <col min="414" max="415" width="18.5546875" bestFit="1" customWidth="1"/>
    <col min="416" max="416" width="9.88671875" customWidth="1"/>
    <col min="417" max="418" width="17.88671875" customWidth="1"/>
    <col min="419" max="419" width="9.109375" bestFit="1" customWidth="1"/>
    <col min="420" max="421" width="17.6640625" customWidth="1"/>
    <col min="422" max="422" width="9.109375" bestFit="1" customWidth="1"/>
    <col min="423" max="424" width="17.5546875" customWidth="1"/>
    <col min="425" max="425" width="10" bestFit="1" customWidth="1"/>
    <col min="426" max="427" width="17.44140625" customWidth="1"/>
    <col min="428" max="428" width="13.109375" bestFit="1" customWidth="1"/>
    <col min="429" max="430" width="18.21875" customWidth="1"/>
    <col min="431" max="431" width="13.109375" bestFit="1" customWidth="1"/>
    <col min="432" max="433" width="18.44140625" customWidth="1"/>
    <col min="434" max="434" width="11.5546875" bestFit="1" customWidth="1"/>
    <col min="435" max="436" width="17.21875" customWidth="1"/>
    <col min="437" max="437" width="11.5546875" bestFit="1" customWidth="1"/>
    <col min="438" max="439" width="18" customWidth="1"/>
    <col min="440" max="440" width="11.5546875" bestFit="1" customWidth="1"/>
    <col min="441" max="441" width="17.33203125" customWidth="1"/>
    <col min="442" max="442" width="17.44140625" customWidth="1"/>
    <col min="443" max="443" width="11.5546875" bestFit="1" customWidth="1"/>
    <col min="444" max="445" width="18.21875" customWidth="1"/>
    <col min="446" max="446" width="11.5546875" bestFit="1" customWidth="1"/>
    <col min="447" max="447" width="21.44140625" customWidth="1"/>
    <col min="448" max="448" width="20.77734375" customWidth="1"/>
    <col min="449" max="449" width="20.21875" customWidth="1"/>
    <col min="450" max="450" width="13.109375" customWidth="1"/>
    <col min="451" max="451" width="21.33203125" customWidth="1"/>
    <col min="452" max="452" width="20.5546875" customWidth="1"/>
    <col min="453" max="453" width="19.88671875" customWidth="1"/>
    <col min="454" max="454" width="18.21875" customWidth="1"/>
    <col min="455" max="455" width="21.21875" customWidth="1"/>
    <col min="456" max="456" width="11.33203125" customWidth="1"/>
    <col min="457" max="457" width="21.5546875" customWidth="1"/>
    <col min="458" max="458" width="12.109375" customWidth="1"/>
    <col min="459" max="459" width="20.6640625" customWidth="1"/>
    <col min="460" max="460" width="9" customWidth="1"/>
    <col min="461" max="461" width="25.88671875" customWidth="1"/>
    <col min="462" max="462" width="23.21875" customWidth="1"/>
    <col min="463" max="463" width="9.6640625" bestFit="1" customWidth="1"/>
    <col min="464" max="465" width="9" bestFit="1" customWidth="1"/>
    <col min="467" max="468" width="13.6640625" customWidth="1"/>
    <col min="469" max="469" width="12.88671875" bestFit="1" customWidth="1"/>
    <col min="470" max="470" width="40.5546875" bestFit="1" customWidth="1"/>
    <col min="471" max="471" width="11.44140625" bestFit="1" customWidth="1"/>
    <col min="472" max="472" width="17.88671875" customWidth="1"/>
    <col min="473" max="473" width="34.5546875" customWidth="1"/>
    <col min="504" max="504" width="72.44140625" customWidth="1"/>
    <col min="505" max="506" width="18.5546875" customWidth="1"/>
    <col min="507" max="507" width="10.33203125" customWidth="1"/>
    <col min="508" max="509" width="18.6640625" bestFit="1" customWidth="1"/>
    <col min="510" max="510" width="9.88671875" customWidth="1"/>
    <col min="511" max="512" width="17.88671875" customWidth="1"/>
    <col min="513" max="513" width="9.109375" bestFit="1" customWidth="1"/>
    <col min="514" max="515" width="17.6640625" customWidth="1"/>
    <col min="516" max="516" width="9.109375" bestFit="1" customWidth="1"/>
    <col min="517" max="518" width="17.5546875" customWidth="1"/>
    <col min="519" max="519" width="10" bestFit="1" customWidth="1"/>
    <col min="520" max="521" width="17.44140625" customWidth="1"/>
    <col min="522" max="522" width="13.109375" bestFit="1" customWidth="1"/>
    <col min="523" max="524" width="18.21875" customWidth="1"/>
    <col min="525" max="525" width="13.109375" bestFit="1" customWidth="1"/>
    <col min="526" max="527" width="18.44140625" customWidth="1"/>
    <col min="528" max="528" width="11.5546875" bestFit="1" customWidth="1"/>
    <col min="529" max="530" width="17.21875" customWidth="1"/>
    <col min="531" max="531" width="8.5546875" customWidth="1"/>
    <col min="532" max="533" width="18" customWidth="1"/>
    <col min="534" max="534" width="10.109375" customWidth="1"/>
    <col min="535" max="535" width="17.33203125" customWidth="1"/>
    <col min="536" max="536" width="17.44140625" customWidth="1"/>
    <col min="537" max="537" width="11.5546875" bestFit="1" customWidth="1"/>
    <col min="538" max="539" width="18.21875" customWidth="1"/>
    <col min="540" max="540" width="11.6640625" bestFit="1" customWidth="1"/>
    <col min="541" max="541" width="21.44140625" customWidth="1"/>
    <col min="542" max="542" width="20.77734375" customWidth="1"/>
    <col min="543" max="543" width="20.21875" hidden="1" customWidth="1"/>
    <col min="544" max="544" width="13.109375" customWidth="1"/>
    <col min="545" max="545" width="21.33203125" hidden="1" customWidth="1"/>
    <col min="546" max="546" width="20.5546875" hidden="1" customWidth="1"/>
    <col min="547" max="547" width="19.88671875" hidden="1" customWidth="1"/>
    <col min="548" max="548" width="18.21875" hidden="1" customWidth="1"/>
    <col min="549" max="549" width="21.21875" hidden="1" customWidth="1"/>
    <col min="550" max="550" width="11.33203125" hidden="1" customWidth="1"/>
    <col min="551" max="551" width="21.5546875" hidden="1" customWidth="1"/>
    <col min="552" max="552" width="12.109375" hidden="1" customWidth="1"/>
    <col min="553" max="553" width="20.6640625" hidden="1" customWidth="1"/>
    <col min="554" max="554" width="9" hidden="1" customWidth="1"/>
    <col min="555" max="555" width="21.33203125" hidden="1" customWidth="1"/>
    <col min="556" max="556" width="20.5546875" hidden="1" customWidth="1"/>
    <col min="557" max="557" width="19.88671875" hidden="1" customWidth="1"/>
    <col min="558" max="558" width="18.21875" hidden="1" customWidth="1"/>
    <col min="559" max="559" width="21.21875" hidden="1" customWidth="1"/>
    <col min="560" max="560" width="11.33203125" hidden="1" customWidth="1"/>
    <col min="561" max="561" width="21.5546875" hidden="1" customWidth="1"/>
    <col min="562" max="562" width="12.109375" hidden="1" customWidth="1"/>
    <col min="563" max="563" width="20.6640625" hidden="1" customWidth="1"/>
    <col min="564" max="564" width="9" hidden="1" customWidth="1"/>
    <col min="565" max="565" width="25.88671875" customWidth="1"/>
    <col min="566" max="566" width="23.21875" customWidth="1"/>
    <col min="567" max="567" width="9.6640625" bestFit="1" customWidth="1"/>
    <col min="568" max="568" width="20.77734375" hidden="1" customWidth="1"/>
    <col min="569" max="569" width="20.21875" hidden="1" customWidth="1"/>
    <col min="570" max="570" width="10.109375" hidden="1" customWidth="1"/>
    <col min="571" max="571" width="9" hidden="1" customWidth="1"/>
    <col min="572" max="573" width="17.33203125" hidden="1" customWidth="1"/>
    <col min="574" max="574" width="9" hidden="1" customWidth="1"/>
    <col min="575" max="575" width="20.6640625" hidden="1" customWidth="1"/>
    <col min="576" max="576" width="23.6640625" hidden="1" customWidth="1"/>
    <col min="577" max="577" width="9.44140625" hidden="1" customWidth="1"/>
    <col min="578" max="578" width="20.77734375" hidden="1" customWidth="1"/>
    <col min="579" max="579" width="21" hidden="1" customWidth="1"/>
    <col min="580" max="580" width="11.109375" hidden="1" customWidth="1"/>
    <col min="581" max="581" width="22.109375" hidden="1" customWidth="1"/>
    <col min="582" max="582" width="21" hidden="1" customWidth="1"/>
    <col min="583" max="583" width="9" hidden="1" customWidth="1"/>
    <col min="584" max="585" width="20.5546875" hidden="1" customWidth="1"/>
    <col min="586" max="586" width="10.88671875" hidden="1" customWidth="1"/>
    <col min="587" max="587" width="13" customWidth="1"/>
    <col min="588" max="588" width="13.109375" customWidth="1"/>
    <col min="589" max="589" width="13.21875" customWidth="1"/>
    <col min="590" max="595" width="12" customWidth="1"/>
    <col min="596" max="603" width="9" bestFit="1" customWidth="1"/>
    <col min="605" max="606" width="13.6640625" customWidth="1"/>
    <col min="607" max="607" width="12.88671875" bestFit="1" customWidth="1"/>
    <col min="608" max="608" width="40.5546875" bestFit="1" customWidth="1"/>
    <col min="609" max="609" width="11.44140625" bestFit="1" customWidth="1"/>
    <col min="610" max="610" width="17.88671875" customWidth="1"/>
    <col min="611" max="611" width="34.5546875" customWidth="1"/>
    <col min="615" max="676" width="8.88671875" customWidth="1"/>
    <col min="677" max="677" width="45.88671875" customWidth="1"/>
    <col min="678" max="678" width="14.44140625" customWidth="1"/>
    <col min="679" max="679" width="33.21875" customWidth="1"/>
    <col min="680" max="680" width="34.109375" customWidth="1"/>
    <col min="681" max="681" width="24.109375" customWidth="1"/>
    <col min="682" max="682" width="25" customWidth="1"/>
    <col min="683" max="683" width="19" customWidth="1"/>
    <col min="684" max="684" width="23.109375" customWidth="1"/>
    <col min="685" max="686" width="23.33203125" customWidth="1"/>
    <col min="687" max="687" width="23" customWidth="1"/>
    <col min="688" max="699" width="22.33203125" customWidth="1"/>
    <col min="700" max="720" width="8.88671875" customWidth="1"/>
    <col min="721" max="721" width="32.88671875" customWidth="1"/>
    <col min="722" max="722" width="13.77734375" customWidth="1"/>
    <col min="723" max="731" width="20" customWidth="1"/>
    <col min="732" max="732" width="20.109375" customWidth="1"/>
    <col min="733" max="733" width="20.88671875" customWidth="1"/>
    <col min="734" max="735" width="20.109375" customWidth="1"/>
    <col min="736" max="753" width="8.88671875" customWidth="1"/>
    <col min="754" max="754" width="32.88671875" customWidth="1"/>
    <col min="755" max="755" width="13.77734375" customWidth="1"/>
    <col min="756" max="756" width="13.44140625" customWidth="1"/>
    <col min="757" max="757" width="15.33203125" customWidth="1"/>
    <col min="758" max="764" width="20" customWidth="1"/>
    <col min="765" max="765" width="15.33203125" customWidth="1"/>
    <col min="766" max="772" width="20" customWidth="1"/>
    <col min="773" max="773" width="15.33203125" customWidth="1"/>
    <col min="774" max="780" width="20" customWidth="1"/>
    <col min="781" max="781" width="15.33203125" customWidth="1"/>
    <col min="782" max="788" width="20" customWidth="1"/>
    <col min="789" max="789" width="20.109375" customWidth="1"/>
    <col min="790" max="790" width="20.88671875" customWidth="1"/>
    <col min="791" max="791" width="23.6640625" customWidth="1"/>
    <col min="792" max="801" width="8.88671875" customWidth="1"/>
    <col min="806" max="806" width="37.5546875" customWidth="1"/>
    <col min="807" max="808" width="18.5546875" customWidth="1"/>
    <col min="809" max="810" width="10.33203125" customWidth="1"/>
    <col min="811" max="811" width="18.6640625" bestFit="1" customWidth="1"/>
    <col min="812" max="812" width="20.109375" customWidth="1"/>
    <col min="813" max="813" width="10.33203125" customWidth="1"/>
    <col min="814" max="814" width="10.5546875" customWidth="1"/>
    <col min="815" max="816" width="15.109375" customWidth="1"/>
    <col min="817" max="818" width="10.33203125" customWidth="1"/>
    <col min="819" max="820" width="17.77734375" customWidth="1"/>
    <col min="821" max="822" width="10.33203125" customWidth="1"/>
    <col min="823" max="824" width="17.44140625" customWidth="1"/>
    <col min="825" max="826" width="10.33203125" customWidth="1"/>
    <col min="827" max="827" width="18.21875" customWidth="1"/>
    <col min="828" max="828" width="14.109375" customWidth="1"/>
    <col min="829" max="830" width="10.33203125" customWidth="1"/>
    <col min="831" max="831" width="11.5546875" bestFit="1" customWidth="1"/>
    <col min="832" max="832" width="17.21875" customWidth="1"/>
    <col min="833" max="834" width="10.33203125" customWidth="1"/>
    <col min="835" max="836" width="18" customWidth="1"/>
    <col min="837" max="838" width="10.33203125" customWidth="1"/>
    <col min="839" max="839" width="17.44140625" customWidth="1"/>
    <col min="840" max="840" width="11.5546875" bestFit="1" customWidth="1"/>
    <col min="841" max="842" width="10.33203125" customWidth="1"/>
    <col min="843" max="843" width="14.77734375" customWidth="1"/>
    <col min="844" max="844" width="17.109375" customWidth="1"/>
    <col min="845" max="846" width="10.33203125" customWidth="1"/>
    <col min="847" max="847" width="13.109375" customWidth="1"/>
    <col min="848" max="848" width="21.33203125" customWidth="1"/>
    <col min="849" max="850" width="10.33203125" customWidth="1"/>
    <col min="851" max="851" width="18.21875" customWidth="1"/>
    <col min="852" max="852" width="21.21875" customWidth="1"/>
    <col min="853" max="854" width="10.33203125" customWidth="1"/>
    <col min="855" max="855" width="12.109375" customWidth="1"/>
    <col min="856" max="856" width="20.6640625" customWidth="1"/>
    <col min="857" max="858" width="10.33203125" customWidth="1"/>
    <col min="859" max="859" width="20.5546875" customWidth="1"/>
    <col min="860" max="860" width="19.88671875" customWidth="1"/>
    <col min="861" max="862" width="10.33203125" customWidth="1"/>
    <col min="863" max="863" width="11.33203125" customWidth="1"/>
    <col min="864" max="864" width="21.5546875" customWidth="1"/>
    <col min="865" max="866" width="10.33203125" customWidth="1"/>
    <col min="867" max="867" width="15.44140625" customWidth="1"/>
    <col min="868" max="868" width="14.6640625" customWidth="1"/>
    <col min="869" max="869" width="10.33203125" customWidth="1"/>
    <col min="870" max="870" width="10.33203125" hidden="1" customWidth="1"/>
    <col min="871" max="871" width="20.77734375" hidden="1" customWidth="1"/>
    <col min="872" max="872" width="20.21875" hidden="1" customWidth="1"/>
    <col min="873" max="874" width="10.33203125" hidden="1" customWidth="1"/>
    <col min="875" max="876" width="17.33203125" customWidth="1"/>
    <col min="877" max="877" width="10.33203125" customWidth="1"/>
    <col min="878" max="878" width="10.33203125" hidden="1" customWidth="1"/>
    <col min="879" max="879" width="23.6640625" hidden="1" customWidth="1"/>
    <col min="880" max="880" width="9.44140625" hidden="1" customWidth="1"/>
    <col min="881" max="882" width="10.33203125" hidden="1" customWidth="1"/>
    <col min="883" max="883" width="11.109375" customWidth="1"/>
    <col min="884" max="884" width="22.109375" customWidth="1"/>
    <col min="885" max="885" width="10.33203125" customWidth="1"/>
    <col min="886" max="886" width="10.33203125" hidden="1" customWidth="1"/>
    <col min="887" max="888" width="20.5546875" hidden="1" customWidth="1"/>
    <col min="889" max="890" width="10.33203125" hidden="1" customWidth="1"/>
    <col min="891" max="891" width="13.109375" customWidth="1"/>
    <col min="892" max="892" width="13.21875" customWidth="1"/>
    <col min="893" max="893" width="10.33203125" customWidth="1"/>
    <col min="894" max="894" width="10.33203125" hidden="1" customWidth="1"/>
    <col min="895" max="896" width="12" hidden="1" customWidth="1"/>
    <col min="897" max="898" width="10.33203125" hidden="1" customWidth="1"/>
    <col min="899" max="900" width="18.21875" customWidth="1"/>
    <col min="901" max="901" width="10.33203125" customWidth="1"/>
    <col min="902" max="902" width="10.33203125" hidden="1" customWidth="1"/>
    <col min="903" max="903" width="21.33203125" hidden="1" customWidth="1"/>
    <col min="904" max="904" width="20.5546875" hidden="1" customWidth="1"/>
    <col min="905" max="905" width="10.33203125" hidden="1" customWidth="1"/>
    <col min="906" max="906" width="13.5546875" hidden="1" customWidth="1"/>
    <col min="907" max="907" width="21.33203125" customWidth="1"/>
    <col min="908" max="908" width="20.5546875" customWidth="1"/>
    <col min="909" max="909" width="10.33203125" customWidth="1"/>
    <col min="910" max="910" width="14.33203125" customWidth="1"/>
    <col min="911" max="913" width="20.5546875" customWidth="1"/>
    <col min="914" max="914" width="20.77734375" customWidth="1"/>
    <col min="915" max="915" width="20.21875" customWidth="1"/>
    <col min="916" max="916" width="10.109375" customWidth="1"/>
    <col min="917" max="917" width="9" customWidth="1"/>
    <col min="918" max="919" width="17.33203125" customWidth="1"/>
    <col min="920" max="920" width="9" customWidth="1"/>
    <col min="921" max="921" width="20.6640625" customWidth="1"/>
    <col min="922" max="922" width="23.6640625" customWidth="1"/>
    <col min="923" max="923" width="9.44140625" customWidth="1"/>
    <col min="924" max="924" width="20.77734375" customWidth="1"/>
    <col min="925" max="925" width="21" customWidth="1"/>
    <col min="926" max="926" width="11.109375" customWidth="1"/>
    <col min="927" max="927" width="22.109375" customWidth="1"/>
    <col min="928" max="928" width="21" customWidth="1"/>
    <col min="929" max="929" width="9" customWidth="1"/>
    <col min="930" max="931" width="20.5546875" customWidth="1"/>
    <col min="932" max="932" width="10.88671875" customWidth="1"/>
    <col min="933" max="933" width="13" customWidth="1"/>
    <col min="934" max="939" width="12" customWidth="1"/>
    <col min="940" max="944" width="9" bestFit="1" customWidth="1"/>
    <col min="945" max="945" width="10.88671875" customWidth="1"/>
    <col min="946" max="946" width="16.44140625" customWidth="1"/>
    <col min="947" max="947" width="19.5546875" customWidth="1"/>
    <col min="948" max="948" width="17.77734375" customWidth="1"/>
    <col min="949" max="949" width="11.21875" customWidth="1"/>
    <col min="951" max="952" width="13.6640625" customWidth="1"/>
    <col min="953" max="953" width="12.88671875" bestFit="1" customWidth="1"/>
    <col min="954" max="956" width="13.6640625" customWidth="1"/>
    <col min="957" max="957" width="40.5546875" bestFit="1" customWidth="1"/>
    <col min="958" max="958" width="11.44140625" bestFit="1" customWidth="1"/>
    <col min="959" max="959" width="17.88671875" customWidth="1"/>
    <col min="960" max="960" width="34.5546875" customWidth="1"/>
    <col min="15229" max="15229" width="12" bestFit="1" customWidth="1"/>
    <col min="15230" max="15230" width="14.44140625" bestFit="1" customWidth="1"/>
    <col min="15231" max="15231" width="12" bestFit="1" customWidth="1"/>
    <col min="15232" max="15232" width="14.44140625" bestFit="1" customWidth="1"/>
    <col min="15233" max="15233" width="12" bestFit="1" customWidth="1"/>
    <col min="15234" max="15234" width="14.44140625" bestFit="1" customWidth="1"/>
    <col min="15235" max="15235" width="12" bestFit="1" customWidth="1"/>
    <col min="15236" max="15236" width="14.44140625" bestFit="1" customWidth="1"/>
    <col min="15237" max="15237" width="12" bestFit="1" customWidth="1"/>
    <col min="15238" max="15238" width="14.44140625" bestFit="1" customWidth="1"/>
    <col min="15239" max="15239" width="12" bestFit="1" customWidth="1"/>
    <col min="15240" max="15240" width="14.44140625" bestFit="1" customWidth="1"/>
    <col min="15241" max="15241" width="12" bestFit="1" customWidth="1"/>
    <col min="15242" max="15242" width="14.44140625" bestFit="1" customWidth="1"/>
    <col min="15243" max="15243" width="12" bestFit="1" customWidth="1"/>
    <col min="15244" max="15244" width="14.44140625" bestFit="1" customWidth="1"/>
    <col min="15245" max="15245" width="12" bestFit="1" customWidth="1"/>
    <col min="15246" max="15246" width="14.44140625" bestFit="1" customWidth="1"/>
    <col min="15247" max="15247" width="12" bestFit="1" customWidth="1"/>
    <col min="15248" max="15248" width="14.44140625" bestFit="1" customWidth="1"/>
    <col min="15249" max="15249" width="12" bestFit="1" customWidth="1"/>
    <col min="15250" max="15250" width="14.44140625" bestFit="1" customWidth="1"/>
    <col min="15251" max="15251" width="12" bestFit="1" customWidth="1"/>
    <col min="15252" max="15252" width="14.44140625" bestFit="1" customWidth="1"/>
    <col min="15253" max="15256" width="14.88671875" bestFit="1" customWidth="1"/>
    <col min="15331" max="15331" width="9.33203125" bestFit="1" customWidth="1"/>
    <col min="15332" max="15332" width="47.5546875" bestFit="1" customWidth="1"/>
    <col min="15333" max="15333" width="16.88671875" bestFit="1" customWidth="1"/>
    <col min="15334" max="15334" width="16.33203125" bestFit="1" customWidth="1"/>
    <col min="15335" max="15335" width="16.88671875" bestFit="1" customWidth="1"/>
    <col min="15336" max="15336" width="15.88671875" bestFit="1" customWidth="1"/>
    <col min="15337" max="15337" width="16.33203125" bestFit="1" customWidth="1"/>
    <col min="15338" max="15338" width="15.88671875" bestFit="1" customWidth="1"/>
    <col min="15339" max="15339" width="16.33203125" bestFit="1" customWidth="1"/>
    <col min="15340" max="15340" width="15.44140625" bestFit="1" customWidth="1"/>
    <col min="15341" max="15341" width="16.33203125" bestFit="1" customWidth="1"/>
    <col min="15342" max="15342" width="15" bestFit="1" customWidth="1"/>
    <col min="15343" max="15343" width="15.88671875" bestFit="1" customWidth="1"/>
    <col min="15344" max="15344" width="16.88671875" bestFit="1" customWidth="1"/>
    <col min="15345" max="15345" width="14.6640625" bestFit="1" customWidth="1"/>
    <col min="15346" max="15346" width="15.109375" bestFit="1" customWidth="1"/>
    <col min="15347" max="15350" width="14.88671875" customWidth="1"/>
    <col min="15351" max="15351" width="13.109375" customWidth="1"/>
  </cols>
  <sheetData>
    <row r="1" spans="1:22" ht="26.4" customHeight="1" thickBot="1">
      <c r="A1" s="199" t="str">
        <f>'Master File FMCG Team'!A2</f>
        <v>FMCG Team – IKON MTD Call Performance Summary Till 14-Oct-2026</v>
      </c>
      <c r="B1" s="200"/>
      <c r="C1" s="200"/>
      <c r="D1" s="200"/>
      <c r="E1" s="200"/>
      <c r="F1" s="200"/>
      <c r="G1" s="200"/>
      <c r="H1" s="209" t="s">
        <v>825</v>
      </c>
      <c r="I1" s="210"/>
      <c r="J1" s="210"/>
      <c r="K1" s="210"/>
      <c r="L1" s="211"/>
      <c r="M1" s="215" t="s">
        <v>1698</v>
      </c>
      <c r="N1" s="216"/>
      <c r="O1" s="216"/>
      <c r="P1" s="216"/>
      <c r="Q1" s="216"/>
      <c r="R1" s="216"/>
      <c r="S1" s="217"/>
      <c r="T1" s="206" t="s">
        <v>836</v>
      </c>
    </row>
    <row r="2" spans="1:22" ht="26.4" customHeight="1" thickBot="1">
      <c r="A2" s="201"/>
      <c r="B2" s="202"/>
      <c r="C2" s="202"/>
      <c r="D2" s="202"/>
      <c r="E2" s="202"/>
      <c r="F2" s="202"/>
      <c r="G2" s="202"/>
      <c r="H2" s="203">
        <v>46309</v>
      </c>
      <c r="I2" s="204"/>
      <c r="J2" s="204"/>
      <c r="K2" s="204"/>
      <c r="L2" s="205"/>
      <c r="M2" s="212">
        <f>H2</f>
        <v>46309</v>
      </c>
      <c r="N2" s="213"/>
      <c r="O2" s="213"/>
      <c r="P2" s="213"/>
      <c r="Q2" s="213"/>
      <c r="R2" s="213"/>
      <c r="S2" s="214"/>
      <c r="T2" s="207"/>
    </row>
    <row r="3" spans="1:22" s="183" customFormat="1" ht="52.2" customHeight="1" thickBot="1">
      <c r="A3" s="170" t="str">
        <f>'Master File FMCG Team'!A3</f>
        <v>Legend</v>
      </c>
      <c r="B3" s="171" t="str">
        <f>'Master File FMCG Team'!C3</f>
        <v>Zone</v>
      </c>
      <c r="C3" s="171" t="str">
        <f>'Master File FMCG Team'!D3</f>
        <v>Region</v>
      </c>
      <c r="D3" s="172" t="s">
        <v>831</v>
      </c>
      <c r="E3" s="171" t="str">
        <f>'Master File FMCG Team'!O3</f>
        <v>Reps</v>
      </c>
      <c r="F3" s="146" t="str">
        <f>'Master File FMCG Team'!P3</f>
        <v># Of Vacant</v>
      </c>
      <c r="G3" s="146" t="s">
        <v>844</v>
      </c>
      <c r="H3" s="173" t="s">
        <v>840</v>
      </c>
      <c r="I3" s="174" t="s">
        <v>829</v>
      </c>
      <c r="J3" s="174" t="s">
        <v>832</v>
      </c>
      <c r="K3" s="175" t="s">
        <v>835</v>
      </c>
      <c r="L3" s="176" t="s">
        <v>842</v>
      </c>
      <c r="M3" s="177" t="s">
        <v>841</v>
      </c>
      <c r="N3" s="178" t="s">
        <v>833</v>
      </c>
      <c r="O3" s="179" t="s">
        <v>829</v>
      </c>
      <c r="P3" s="179" t="s">
        <v>834</v>
      </c>
      <c r="Q3" s="180" t="s">
        <v>835</v>
      </c>
      <c r="R3" s="181" t="s">
        <v>842</v>
      </c>
      <c r="S3" s="182" t="s">
        <v>843</v>
      </c>
      <c r="T3" s="208"/>
    </row>
    <row r="4" spans="1:22" ht="19.95" customHeight="1">
      <c r="A4" s="32" t="str">
        <f>'Master File FMCG Team'!A11</f>
        <v>ASM</v>
      </c>
      <c r="B4" s="33" t="str">
        <f>'Master File FMCG Team'!C11</f>
        <v>South-A</v>
      </c>
      <c r="C4" s="34" t="str">
        <f>'Master File FMCG Team'!D11</f>
        <v>Karachi-1</v>
      </c>
      <c r="D4" s="33" t="str">
        <f>'Master File FMCG Team'!H11</f>
        <v>M. WAQAR IQBAL</v>
      </c>
      <c r="E4" s="26">
        <f>'Master File FMCG Team'!O11</f>
        <v>5</v>
      </c>
      <c r="F4" s="62">
        <f>'Master File FMCG Team'!P11</f>
        <v>0</v>
      </c>
      <c r="G4" s="62">
        <f t="shared" ref="G4:G14" si="0">E4-I4-F4</f>
        <v>1</v>
      </c>
      <c r="H4" s="35">
        <f>'Master File FMCG Team'!AH11</f>
        <v>5</v>
      </c>
      <c r="I4" s="26">
        <f>'Master File FMCG Team'!AI11</f>
        <v>4</v>
      </c>
      <c r="J4" s="26">
        <f>'Master File FMCG Team'!BA11</f>
        <v>58</v>
      </c>
      <c r="K4" s="27">
        <f>'Master File FMCG Team'!R11</f>
        <v>5</v>
      </c>
      <c r="L4" s="27">
        <f ca="1">'Master File FMCG Team'!BB11</f>
        <v>0.89230769230769236</v>
      </c>
      <c r="M4" s="36">
        <f>'Master File FMCG Team'!BO11</f>
        <v>167</v>
      </c>
      <c r="N4" s="36">
        <f>'Master File FMCG Team'!BP11</f>
        <v>0</v>
      </c>
      <c r="O4" s="26">
        <f>'Master File FMCG Team'!S11</f>
        <v>0</v>
      </c>
      <c r="P4" s="26">
        <f>'Master File FMCG Team'!CH11</f>
        <v>1241</v>
      </c>
      <c r="Q4" s="27">
        <f>'Master File FMCG Team'!T11</f>
        <v>5</v>
      </c>
      <c r="R4" s="27">
        <f ca="1">'Master File FMCG Team'!CI11</f>
        <v>19.092307692307692</v>
      </c>
      <c r="S4" s="27" t="str">
        <f ca="1">IF(R4&gt;=30,"🟢 Excellent",IF(R4&gt;=15,"🟡 Needs Improvement","🔴 Critical"))</f>
        <v>🟡 Needs Improvement</v>
      </c>
      <c r="T4" s="27"/>
      <c r="U4">
        <f>P4/E4/13</f>
        <v>19.092307692307692</v>
      </c>
      <c r="V4" s="145">
        <f ca="1">U4-R4</f>
        <v>0</v>
      </c>
    </row>
    <row r="5" spans="1:22" ht="19.95" customHeight="1">
      <c r="A5" s="37" t="str">
        <f>'Master File FMCG Team'!A19</f>
        <v>ASM</v>
      </c>
      <c r="B5" s="38" t="str">
        <f>'Master File FMCG Team'!C19</f>
        <v>South-A</v>
      </c>
      <c r="C5" s="39" t="str">
        <f>'Master File FMCG Team'!D19</f>
        <v>Karachi-2</v>
      </c>
      <c r="D5" s="38" t="str">
        <f>'Master File FMCG Team'!H19</f>
        <v>WAQAR ABDUL RASHEED</v>
      </c>
      <c r="E5" s="28">
        <f>'Master File FMCG Team'!O19</f>
        <v>5</v>
      </c>
      <c r="F5" s="63">
        <f>'Master File FMCG Team'!P19</f>
        <v>0</v>
      </c>
      <c r="G5" s="63">
        <f t="shared" si="0"/>
        <v>1</v>
      </c>
      <c r="H5" s="40">
        <f>'Master File FMCG Team'!AH19</f>
        <v>5</v>
      </c>
      <c r="I5" s="28">
        <f>'Master File FMCG Team'!AI19</f>
        <v>4</v>
      </c>
      <c r="J5" s="28">
        <f>'Master File FMCG Team'!BA19</f>
        <v>58</v>
      </c>
      <c r="K5" s="29">
        <f>'Master File FMCG Team'!R19</f>
        <v>5</v>
      </c>
      <c r="L5" s="29">
        <f ca="1">'Master File FMCG Team'!BB19</f>
        <v>0.89230769230769236</v>
      </c>
      <c r="M5" s="41">
        <f>'Master File FMCG Team'!BO19</f>
        <v>168</v>
      </c>
      <c r="N5" s="41">
        <f>'Master File FMCG Team'!BP19</f>
        <v>0</v>
      </c>
      <c r="O5" s="28">
        <f>'Master File FMCG Team'!S19</f>
        <v>0</v>
      </c>
      <c r="P5" s="28">
        <f>'Master File FMCG Team'!CH19</f>
        <v>1701</v>
      </c>
      <c r="Q5" s="29">
        <f>'Master File FMCG Team'!T19</f>
        <v>5</v>
      </c>
      <c r="R5" s="29">
        <f ca="1">'Master File FMCG Team'!CI19</f>
        <v>26.169230769230769</v>
      </c>
      <c r="S5" s="29" t="str">
        <f t="shared" ref="S5:S72" ca="1" si="1">IF(R5&gt;=30,"🟢 Excellent",IF(R5&gt;=15,"🟡 Needs Improvement","🔴 Critical"))</f>
        <v>🟡 Needs Improvement</v>
      </c>
      <c r="T5" s="29"/>
    </row>
    <row r="6" spans="1:22" ht="19.95" customHeight="1">
      <c r="A6" s="37" t="str">
        <f>'Master File FMCG Team'!A28</f>
        <v>ASM</v>
      </c>
      <c r="B6" s="38" t="str">
        <f>'Master File FMCG Team'!C28</f>
        <v>South-A</v>
      </c>
      <c r="C6" s="39" t="str">
        <f>'Master File FMCG Team'!D28</f>
        <v>Karachi-3</v>
      </c>
      <c r="D6" s="38" t="str">
        <f>'Master File FMCG Team'!H28</f>
        <v>SABAHAT KHAN SOORI</v>
      </c>
      <c r="E6" s="28">
        <f>'Master File FMCG Team'!O28</f>
        <v>6</v>
      </c>
      <c r="F6" s="63">
        <f>'Master File FMCG Team'!P28</f>
        <v>2</v>
      </c>
      <c r="G6" s="63">
        <f t="shared" si="0"/>
        <v>0</v>
      </c>
      <c r="H6" s="40">
        <f>'Master File FMCG Team'!AH28</f>
        <v>4</v>
      </c>
      <c r="I6" s="28">
        <f>'Master File FMCG Team'!AI28</f>
        <v>4</v>
      </c>
      <c r="J6" s="28">
        <f>'Master File FMCG Team'!BA28</f>
        <v>48</v>
      </c>
      <c r="K6" s="29">
        <f>'Master File FMCG Team'!R28</f>
        <v>4</v>
      </c>
      <c r="L6" s="29">
        <f ca="1">'Master File FMCG Team'!BB28</f>
        <v>0.92307692307692313</v>
      </c>
      <c r="M6" s="41">
        <f>'Master File FMCG Team'!BO28</f>
        <v>158</v>
      </c>
      <c r="N6" s="41">
        <f>'Master File FMCG Team'!BP28</f>
        <v>0</v>
      </c>
      <c r="O6" s="28">
        <f>'Master File FMCG Team'!S28</f>
        <v>0</v>
      </c>
      <c r="P6" s="28">
        <f>'Master File FMCG Team'!CH28</f>
        <v>1351</v>
      </c>
      <c r="Q6" s="29">
        <f>'Master File FMCG Team'!T28</f>
        <v>4</v>
      </c>
      <c r="R6" s="29">
        <f ca="1">'Master File FMCG Team'!CI28</f>
        <v>25.98076923076923</v>
      </c>
      <c r="S6" s="29" t="str">
        <f t="shared" ca="1" si="1"/>
        <v>🟡 Needs Improvement</v>
      </c>
      <c r="T6" s="29"/>
    </row>
    <row r="7" spans="1:22" ht="19.95" customHeight="1">
      <c r="A7" s="37" t="str">
        <f>'Master File FMCG Team'!A37</f>
        <v>ASM</v>
      </c>
      <c r="B7" s="38" t="str">
        <f>'Master File FMCG Team'!C37</f>
        <v>South-A</v>
      </c>
      <c r="C7" s="39" t="str">
        <f>'Master File FMCG Team'!D37</f>
        <v>Karachi-4</v>
      </c>
      <c r="D7" s="38" t="str">
        <f>'Master File FMCG Team'!H37</f>
        <v>M. DANISH</v>
      </c>
      <c r="E7" s="28">
        <f>'Master File FMCG Team'!O37</f>
        <v>6</v>
      </c>
      <c r="F7" s="63">
        <f>'Master File FMCG Team'!P37</f>
        <v>0</v>
      </c>
      <c r="G7" s="63">
        <f t="shared" si="0"/>
        <v>0</v>
      </c>
      <c r="H7" s="40">
        <f>'Master File FMCG Team'!AH37</f>
        <v>6</v>
      </c>
      <c r="I7" s="28">
        <f>'Master File FMCG Team'!AI37</f>
        <v>6</v>
      </c>
      <c r="J7" s="28">
        <f>'Master File FMCG Team'!BA37</f>
        <v>72</v>
      </c>
      <c r="K7" s="29">
        <f>'Master File FMCG Team'!R37</f>
        <v>6</v>
      </c>
      <c r="L7" s="29">
        <f ca="1">'Master File FMCG Team'!BB37</f>
        <v>0.92307692307692302</v>
      </c>
      <c r="M7" s="41">
        <f>'Master File FMCG Team'!BO37</f>
        <v>184</v>
      </c>
      <c r="N7" s="41">
        <f>'Master File FMCG Team'!BP37</f>
        <v>0</v>
      </c>
      <c r="O7" s="28">
        <f>'Master File FMCG Team'!S37</f>
        <v>0</v>
      </c>
      <c r="P7" s="28">
        <f>'Master File FMCG Team'!CH37</f>
        <v>1707</v>
      </c>
      <c r="Q7" s="29">
        <f>'Master File FMCG Team'!T37</f>
        <v>6</v>
      </c>
      <c r="R7" s="29">
        <f ca="1">'Master File FMCG Team'!CI37</f>
        <v>21.884615384615387</v>
      </c>
      <c r="S7" s="29" t="str">
        <f t="shared" ca="1" si="1"/>
        <v>🟡 Needs Improvement</v>
      </c>
      <c r="T7" s="29"/>
    </row>
    <row r="8" spans="1:22" ht="19.95" customHeight="1">
      <c r="A8" s="37" t="str">
        <f>'Master File FMCG Team'!A45</f>
        <v>ASM</v>
      </c>
      <c r="B8" s="38" t="str">
        <f>'Master File FMCG Team'!C45</f>
        <v>South-A</v>
      </c>
      <c r="C8" s="39" t="str">
        <f>'Master File FMCG Team'!D45</f>
        <v>KARACHI-5</v>
      </c>
      <c r="D8" s="38" t="str">
        <f>'Master File FMCG Team'!H45</f>
        <v>SY. HASSAN IQBAL ZAIDI</v>
      </c>
      <c r="E8" s="28">
        <f>'Master File FMCG Team'!O45</f>
        <v>5</v>
      </c>
      <c r="F8" s="63">
        <f>'Master File FMCG Team'!P45</f>
        <v>1</v>
      </c>
      <c r="G8" s="63">
        <f t="shared" si="0"/>
        <v>0</v>
      </c>
      <c r="H8" s="40">
        <f>'Master File FMCG Team'!AH45</f>
        <v>4</v>
      </c>
      <c r="I8" s="28">
        <f>'Master File FMCG Team'!AI45</f>
        <v>4</v>
      </c>
      <c r="J8" s="28">
        <f>'Master File FMCG Team'!BA45</f>
        <v>39</v>
      </c>
      <c r="K8" s="29">
        <f>'Master File FMCG Team'!R45</f>
        <v>4</v>
      </c>
      <c r="L8" s="29">
        <f ca="1">'Master File FMCG Team'!BB45</f>
        <v>0.75</v>
      </c>
      <c r="M8" s="41">
        <f>'Master File FMCG Team'!BO45</f>
        <v>13</v>
      </c>
      <c r="N8" s="41">
        <f>'Master File FMCG Team'!BP45</f>
        <v>0</v>
      </c>
      <c r="O8" s="28">
        <f>'Master File FMCG Team'!S45</f>
        <v>0</v>
      </c>
      <c r="P8" s="28">
        <f>'Master File FMCG Team'!CH45</f>
        <v>155</v>
      </c>
      <c r="Q8" s="29">
        <f>'Master File FMCG Team'!T45</f>
        <v>3</v>
      </c>
      <c r="R8" s="29">
        <f ca="1">'Master File FMCG Team'!CI45</f>
        <v>2.9807692307692308</v>
      </c>
      <c r="S8" s="29" t="str">
        <f t="shared" ca="1" si="1"/>
        <v>🔴 Critical</v>
      </c>
      <c r="T8" s="29"/>
    </row>
    <row r="9" spans="1:22" ht="19.95" customHeight="1">
      <c r="A9" s="37" t="str">
        <f>'Master File FMCG Team'!A46</f>
        <v>CM</v>
      </c>
      <c r="B9" s="38" t="str">
        <f>'Master File FMCG Team'!C46</f>
        <v>South-A</v>
      </c>
      <c r="C9" s="39" t="str">
        <f>'Master File FMCG Team'!D46</f>
        <v>Karachi-6</v>
      </c>
      <c r="D9" s="38" t="str">
        <f>'Master File FMCG Team'!H46</f>
        <v>OWAIS ABID (CM-KHI-01)</v>
      </c>
      <c r="E9" s="28">
        <f>'Master File FMCG Team'!O46</f>
        <v>1</v>
      </c>
      <c r="F9" s="63">
        <f>'Master File FMCG Team'!P46</f>
        <v>0</v>
      </c>
      <c r="G9" s="63">
        <f t="shared" si="0"/>
        <v>1</v>
      </c>
      <c r="H9" s="40">
        <f>'Master File FMCG Team'!AH46</f>
        <v>0</v>
      </c>
      <c r="I9" s="28">
        <f>'Master File FMCG Team'!AI46</f>
        <v>0</v>
      </c>
      <c r="J9" s="28">
        <f>'Master File FMCG Team'!BA46</f>
        <v>0</v>
      </c>
      <c r="K9" s="29">
        <f>'Master File FMCG Team'!R46</f>
        <v>0</v>
      </c>
      <c r="L9" s="29">
        <f ca="1">'Master File FMCG Team'!BB46</f>
        <v>0</v>
      </c>
      <c r="M9" s="41">
        <f>'Master File FMCG Team'!BO46</f>
        <v>0</v>
      </c>
      <c r="N9" s="41">
        <f>'Master File FMCG Team'!BP46</f>
        <v>0</v>
      </c>
      <c r="O9" s="28">
        <f>'Master File FMCG Team'!S46</f>
        <v>0</v>
      </c>
      <c r="P9" s="28">
        <f>'Master File FMCG Team'!CH46</f>
        <v>0</v>
      </c>
      <c r="Q9" s="29">
        <f>'Master File FMCG Team'!T46</f>
        <v>0</v>
      </c>
      <c r="R9" s="29">
        <f ca="1">'Master File FMCG Team'!CI46</f>
        <v>0</v>
      </c>
      <c r="S9" s="29" t="str">
        <f t="shared" ca="1" si="1"/>
        <v>🔴 Critical</v>
      </c>
      <c r="T9" s="29"/>
    </row>
    <row r="10" spans="1:22" ht="19.95" customHeight="1">
      <c r="A10" s="37" t="str">
        <f>'Master File FMCG Team'!A47</f>
        <v>TE</v>
      </c>
      <c r="B10" s="38" t="str">
        <f>'Master File FMCG Team'!C47</f>
        <v>South-A</v>
      </c>
      <c r="C10" s="39" t="str">
        <f>'Master File FMCG Team'!D47</f>
        <v>Karachi-7</v>
      </c>
      <c r="D10" s="38" t="str">
        <f>'Master File FMCG Team'!H47</f>
        <v>M. AMEEN (TE-KHI-01)</v>
      </c>
      <c r="E10" s="28">
        <f>'Master File FMCG Team'!O47</f>
        <v>1</v>
      </c>
      <c r="F10" s="63">
        <f>'Master File FMCG Team'!P47</f>
        <v>0</v>
      </c>
      <c r="G10" s="63">
        <f t="shared" si="0"/>
        <v>1</v>
      </c>
      <c r="H10" s="40">
        <f>'Master File FMCG Team'!AH47</f>
        <v>1</v>
      </c>
      <c r="I10" s="28">
        <f>'Master File FMCG Team'!AI47</f>
        <v>0</v>
      </c>
      <c r="J10" s="28">
        <f>'Master File FMCG Team'!BA47</f>
        <v>11</v>
      </c>
      <c r="K10" s="29">
        <f>'Master File FMCG Team'!R47</f>
        <v>1</v>
      </c>
      <c r="L10" s="29">
        <f ca="1">'Master File FMCG Team'!BB47</f>
        <v>0.84615384615384615</v>
      </c>
      <c r="M10" s="41">
        <f>'Master File FMCG Team'!BO47</f>
        <v>0</v>
      </c>
      <c r="N10" s="41">
        <f>'Master File FMCG Team'!BP47</f>
        <v>0</v>
      </c>
      <c r="O10" s="28">
        <f>'Master File FMCG Team'!S47</f>
        <v>0</v>
      </c>
      <c r="P10" s="28">
        <f>'Master File FMCG Team'!CH47</f>
        <v>0</v>
      </c>
      <c r="Q10" s="29">
        <f>'Master File FMCG Team'!T47</f>
        <v>0</v>
      </c>
      <c r="R10" s="29">
        <f ca="1">'Master File FMCG Team'!CI47</f>
        <v>0</v>
      </c>
      <c r="S10" s="29" t="str">
        <f t="shared" ca="1" si="1"/>
        <v>🔴 Critical</v>
      </c>
      <c r="T10" s="29"/>
    </row>
    <row r="11" spans="1:22" ht="19.95" customHeight="1">
      <c r="A11" s="42" t="str">
        <f>'Master File FMCG Team'!A49</f>
        <v>RSM</v>
      </c>
      <c r="B11" s="43" t="str">
        <f>'Master File FMCG Team'!C49</f>
        <v>South-A</v>
      </c>
      <c r="C11" s="44" t="str">
        <f>'Master File FMCG Team'!D49</f>
        <v>STH-A Karachi</v>
      </c>
      <c r="D11" s="43" t="str">
        <f>'Master File FMCG Team'!H49</f>
        <v>Khawaja Ghulam Nabi</v>
      </c>
      <c r="E11" s="8">
        <f>'Master File FMCG Team'!O49</f>
        <v>29</v>
      </c>
      <c r="F11" s="14">
        <f>'Master File FMCG Team'!P49</f>
        <v>3</v>
      </c>
      <c r="G11" s="14">
        <f t="shared" si="0"/>
        <v>4</v>
      </c>
      <c r="H11" s="45">
        <f>'Master File FMCG Team'!AH49</f>
        <v>25</v>
      </c>
      <c r="I11" s="8">
        <f>'Master File FMCG Team'!AI49</f>
        <v>22</v>
      </c>
      <c r="J11" s="8">
        <f>'Master File FMCG Team'!BA49</f>
        <v>286</v>
      </c>
      <c r="K11" s="11">
        <f>'Master File FMCG Team'!R49</f>
        <v>25</v>
      </c>
      <c r="L11" s="11">
        <f ca="1">'Master File FMCG Team'!BB49</f>
        <v>0.84615384615384615</v>
      </c>
      <c r="M11" s="46">
        <f>'Master File FMCG Team'!BO49</f>
        <v>690</v>
      </c>
      <c r="N11" s="46">
        <f>'Master File FMCG Team'!BP49</f>
        <v>0</v>
      </c>
      <c r="O11" s="8">
        <f>'Master File FMCG Team'!S49</f>
        <v>0</v>
      </c>
      <c r="P11" s="8">
        <f>'Master File FMCG Team'!CH49</f>
        <v>6155</v>
      </c>
      <c r="Q11" s="11">
        <f>'Master File FMCG Team'!T49</f>
        <v>23</v>
      </c>
      <c r="R11" s="11">
        <f ca="1">'Master File FMCG Team'!CI49</f>
        <v>18.210059171597631</v>
      </c>
      <c r="S11" s="11" t="str">
        <f t="shared" ca="1" si="1"/>
        <v>🟡 Needs Improvement</v>
      </c>
      <c r="T11" s="11"/>
    </row>
    <row r="12" spans="1:22" ht="19.95" hidden="1" customHeight="1">
      <c r="A12" s="37" t="str">
        <f>'Master File FMCG Team'!A58</f>
        <v>ASM</v>
      </c>
      <c r="B12" s="38" t="str">
        <f>'Master File FMCG Team'!C58</f>
        <v>South-B</v>
      </c>
      <c r="C12" s="39" t="str">
        <f>'Master File FMCG Team'!D58</f>
        <v>Hyderabad-1</v>
      </c>
      <c r="D12" s="38" t="str">
        <f>'Master File FMCG Team'!H58</f>
        <v>NADEEM FAROOQI</v>
      </c>
      <c r="E12" s="28">
        <f>'Master File FMCG Team'!O58</f>
        <v>6</v>
      </c>
      <c r="F12" s="63">
        <f>'Master File FMCG Team'!P58</f>
        <v>1</v>
      </c>
      <c r="G12" s="63">
        <f t="shared" si="0"/>
        <v>1</v>
      </c>
      <c r="H12" s="40">
        <f>'Master File FMCG Team'!AH58</f>
        <v>5</v>
      </c>
      <c r="I12" s="28">
        <f>'Master File FMCG Team'!AI58</f>
        <v>4</v>
      </c>
      <c r="J12" s="28">
        <f>'Master File FMCG Team'!BA58</f>
        <v>59</v>
      </c>
      <c r="K12" s="29">
        <f>'Master File FMCG Team'!R58</f>
        <v>5</v>
      </c>
      <c r="L12" s="29">
        <f ca="1">'Master File FMCG Team'!BB58</f>
        <v>0.90769230769230769</v>
      </c>
      <c r="M12" s="41">
        <f>'Master File FMCG Team'!BO58</f>
        <v>147</v>
      </c>
      <c r="N12" s="41">
        <f>'Master File FMCG Team'!BP58</f>
        <v>12</v>
      </c>
      <c r="O12" s="28">
        <f>'Master File FMCG Team'!S58</f>
        <v>1</v>
      </c>
      <c r="P12" s="28">
        <f>'Master File FMCG Team'!CH58</f>
        <v>1514</v>
      </c>
      <c r="Q12" s="29">
        <f>'Master File FMCG Team'!T58</f>
        <v>5</v>
      </c>
      <c r="R12" s="29">
        <f ca="1">'Master File FMCG Team'!CI58</f>
        <v>23.292307692307695</v>
      </c>
      <c r="S12" s="29" t="str">
        <f t="shared" ca="1" si="1"/>
        <v>🟡 Needs Improvement</v>
      </c>
      <c r="T12" s="29"/>
    </row>
    <row r="13" spans="1:22" ht="19.95" hidden="1" customHeight="1">
      <c r="A13" s="37" t="str">
        <f>'Master File FMCG Team'!A65</f>
        <v>ASM</v>
      </c>
      <c r="B13" s="38" t="str">
        <f>'Master File FMCG Team'!C65</f>
        <v>South-B</v>
      </c>
      <c r="C13" s="39" t="str">
        <f>'Master File FMCG Team'!D65</f>
        <v>MIRPUR KHAS-1</v>
      </c>
      <c r="D13" s="38" t="str">
        <f>'Master File FMCG Team'!H65</f>
        <v>KAMIL SARDAR</v>
      </c>
      <c r="E13" s="28">
        <f>'Master File FMCG Team'!O65</f>
        <v>4</v>
      </c>
      <c r="F13" s="63">
        <f>'Master File FMCG Team'!P65</f>
        <v>1</v>
      </c>
      <c r="G13" s="63">
        <f t="shared" si="0"/>
        <v>0</v>
      </c>
      <c r="H13" s="40">
        <f>'Master File FMCG Team'!AH65</f>
        <v>3</v>
      </c>
      <c r="I13" s="28">
        <f>'Master File FMCG Team'!AI65</f>
        <v>3</v>
      </c>
      <c r="J13" s="28">
        <f>'Master File FMCG Team'!BA65</f>
        <v>36</v>
      </c>
      <c r="K13" s="29">
        <f>'Master File FMCG Team'!R65</f>
        <v>3</v>
      </c>
      <c r="L13" s="29">
        <f ca="1">'Master File FMCG Team'!BB65</f>
        <v>0.92307692307692302</v>
      </c>
      <c r="M13" s="41">
        <f>'Master File FMCG Team'!BO65</f>
        <v>120</v>
      </c>
      <c r="N13" s="41">
        <f>'Master File FMCG Team'!BP65</f>
        <v>9</v>
      </c>
      <c r="O13" s="28">
        <f>'Master File FMCG Team'!S65</f>
        <v>2</v>
      </c>
      <c r="P13" s="28">
        <f>'Master File FMCG Team'!CH65</f>
        <v>997</v>
      </c>
      <c r="Q13" s="29">
        <f>'Master File FMCG Team'!T65</f>
        <v>3</v>
      </c>
      <c r="R13" s="29">
        <f ca="1">'Master File FMCG Team'!CI65</f>
        <v>25.564102564102566</v>
      </c>
      <c r="S13" s="29" t="str">
        <f t="shared" ca="1" si="1"/>
        <v>🟡 Needs Improvement</v>
      </c>
      <c r="T13" s="29"/>
    </row>
    <row r="14" spans="1:22" ht="19.95" hidden="1" customHeight="1">
      <c r="A14" s="37" t="str">
        <f>'Master File FMCG Team'!A66</f>
        <v>TE</v>
      </c>
      <c r="B14" s="38" t="str">
        <f>'Master File FMCG Team'!C66</f>
        <v>South-B</v>
      </c>
      <c r="C14" s="39" t="str">
        <f>'Master File FMCG Team'!D66</f>
        <v>STH-B HYDERABAD</v>
      </c>
      <c r="D14" s="38" t="str">
        <f>'Master File FMCG Team'!H66</f>
        <v>M. ALI MEMON (TE-HYD-01)</v>
      </c>
      <c r="E14" s="28">
        <f>'Master File FMCG Team'!O66</f>
        <v>1</v>
      </c>
      <c r="F14" s="63">
        <f>'Master File FMCG Team'!P66</f>
        <v>0</v>
      </c>
      <c r="G14" s="63">
        <f t="shared" si="0"/>
        <v>0</v>
      </c>
      <c r="H14" s="40">
        <f>'Master File FMCG Team'!AH66</f>
        <v>1</v>
      </c>
      <c r="I14" s="28">
        <f>'Master File FMCG Team'!AI66</f>
        <v>1</v>
      </c>
      <c r="J14" s="28">
        <f>'Master File FMCG Team'!BA66</f>
        <v>12</v>
      </c>
      <c r="K14" s="29">
        <f>'Master File FMCG Team'!R66</f>
        <v>1</v>
      </c>
      <c r="L14" s="29">
        <f ca="1">'Master File FMCG Team'!BB66</f>
        <v>0.92307692307692313</v>
      </c>
      <c r="M14" s="41">
        <f>'Master File FMCG Team'!BO66</f>
        <v>0</v>
      </c>
      <c r="N14" s="41">
        <f>'Master File FMCG Team'!BP66</f>
        <v>0</v>
      </c>
      <c r="O14" s="28">
        <f>'Master File FMCG Team'!S66</f>
        <v>0</v>
      </c>
      <c r="P14" s="28">
        <f>'Master File FMCG Team'!CH66</f>
        <v>3</v>
      </c>
      <c r="Q14" s="29">
        <f>'Master File FMCG Team'!T66</f>
        <v>1</v>
      </c>
      <c r="R14" s="29">
        <f ca="1">'Master File FMCG Team'!CI66</f>
        <v>0.23076923076923078</v>
      </c>
      <c r="S14" s="29" t="str">
        <f t="shared" ref="S14" ca="1" si="2">IF(R14&gt;=30,"🟢 Excellent",IF(R14&gt;=15,"🟡 Needs Improvement","🔴 Critical"))</f>
        <v>🔴 Critical</v>
      </c>
      <c r="T14" s="29"/>
    </row>
    <row r="15" spans="1:22" ht="19.95" hidden="1" customHeight="1">
      <c r="A15" s="42" t="str">
        <f>'Master File FMCG Team'!A67</f>
        <v>RSM</v>
      </c>
      <c r="B15" s="43" t="str">
        <f>'Master File FMCG Team'!C67</f>
        <v>South-B</v>
      </c>
      <c r="C15" s="44" t="str">
        <f>'Master File FMCG Team'!D67</f>
        <v>STH-B Hyderabad</v>
      </c>
      <c r="D15" s="43" t="str">
        <f>'Master File FMCG Team'!H67</f>
        <v>Vacant RSM</v>
      </c>
      <c r="E15" s="8">
        <f>'Master File FMCG Team'!O67</f>
        <v>11</v>
      </c>
      <c r="F15" s="14">
        <f>'Master File FMCG Team'!P67</f>
        <v>2</v>
      </c>
      <c r="G15" s="14">
        <f t="shared" ref="G15:G72" si="3">E15-I15-F15</f>
        <v>1</v>
      </c>
      <c r="H15" s="45">
        <f>'Master File FMCG Team'!AH67</f>
        <v>9</v>
      </c>
      <c r="I15" s="8">
        <f>'Master File FMCG Team'!AI67</f>
        <v>8</v>
      </c>
      <c r="J15" s="8">
        <f>'Master File FMCG Team'!BA67</f>
        <v>107</v>
      </c>
      <c r="K15" s="11">
        <f>'Master File FMCG Team'!R67</f>
        <v>9</v>
      </c>
      <c r="L15" s="11">
        <f ca="1">'Master File FMCG Team'!BB67</f>
        <v>0.91452991452991439</v>
      </c>
      <c r="M15" s="46">
        <f>'Master File FMCG Team'!BO67</f>
        <v>267</v>
      </c>
      <c r="N15" s="46">
        <f>'Master File FMCG Team'!BP67</f>
        <v>21</v>
      </c>
      <c r="O15" s="8">
        <f>'Master File FMCG Team'!S67</f>
        <v>3</v>
      </c>
      <c r="P15" s="8">
        <f>'Master File FMCG Team'!CH67</f>
        <v>2514</v>
      </c>
      <c r="Q15" s="11">
        <f>'Master File FMCG Team'!T67</f>
        <v>9</v>
      </c>
      <c r="R15" s="11">
        <f ca="1">'Master File FMCG Team'!CI67</f>
        <v>21.487179487179489</v>
      </c>
      <c r="S15" s="11" t="str">
        <f t="shared" ca="1" si="1"/>
        <v>🟡 Needs Improvement</v>
      </c>
      <c r="T15" s="11"/>
    </row>
    <row r="16" spans="1:22" ht="19.95" hidden="1" customHeight="1">
      <c r="A16" s="37" t="str">
        <f>'Master File FMCG Team'!A76</f>
        <v>ASM</v>
      </c>
      <c r="B16" s="38" t="str">
        <f>'Master File FMCG Team'!C76</f>
        <v>South-C</v>
      </c>
      <c r="C16" s="39" t="str">
        <f>'Master File FMCG Team'!D76</f>
        <v>NAWABSHAH-1</v>
      </c>
      <c r="D16" s="38" t="str">
        <f>'Master File FMCG Team'!H76</f>
        <v>FAISAL HASSAN</v>
      </c>
      <c r="E16" s="28">
        <f>'Master File FMCG Team'!O76</f>
        <v>6</v>
      </c>
      <c r="F16" s="63">
        <f>'Master File FMCG Team'!P76</f>
        <v>0</v>
      </c>
      <c r="G16" s="63">
        <f>E16-I16-F16</f>
        <v>0</v>
      </c>
      <c r="H16" s="40">
        <f>'Master File FMCG Team'!AH76</f>
        <v>6</v>
      </c>
      <c r="I16" s="28">
        <f>'Master File FMCG Team'!AI76</f>
        <v>6</v>
      </c>
      <c r="J16" s="28">
        <f>'Master File FMCG Team'!BA76</f>
        <v>72</v>
      </c>
      <c r="K16" s="29">
        <f>'Master File FMCG Team'!R76</f>
        <v>6</v>
      </c>
      <c r="L16" s="29">
        <f ca="1">'Master File FMCG Team'!BB76</f>
        <v>0.92307692307692302</v>
      </c>
      <c r="M16" s="41">
        <f>'Master File FMCG Team'!BO76</f>
        <v>56</v>
      </c>
      <c r="N16" s="41">
        <f>'Master File FMCG Team'!BP76</f>
        <v>5</v>
      </c>
      <c r="O16" s="28">
        <f>'Master File FMCG Team'!S76</f>
        <v>3</v>
      </c>
      <c r="P16" s="28">
        <f>'Master File FMCG Team'!CH76</f>
        <v>494</v>
      </c>
      <c r="Q16" s="29">
        <f>'Master File FMCG Team'!T76</f>
        <v>6</v>
      </c>
      <c r="R16" s="29">
        <f ca="1">'Master File FMCG Team'!CI76</f>
        <v>6.333333333333333</v>
      </c>
      <c r="S16" s="29" t="str">
        <f ca="1">IF(R16&gt;=30,"🟢 Excellent",IF(R16&gt;=15,"🟡 Needs Improvement","🔴 Critical"))</f>
        <v>🔴 Critical</v>
      </c>
      <c r="T16" s="29"/>
    </row>
    <row r="17" spans="1:20" ht="19.95" hidden="1" customHeight="1">
      <c r="A17" s="37" t="str">
        <f>'Master File FMCG Team'!A84</f>
        <v>ASM</v>
      </c>
      <c r="B17" s="38" t="str">
        <f>'Master File FMCG Team'!C84</f>
        <v>South-C</v>
      </c>
      <c r="C17" s="39" t="str">
        <f>'Master File FMCG Team'!D84</f>
        <v>QUETTA-1</v>
      </c>
      <c r="D17" s="38" t="str">
        <f>'Master File FMCG Team'!H84</f>
        <v>M. YOUSUF</v>
      </c>
      <c r="E17" s="28">
        <f>'Master File FMCG Team'!O84</f>
        <v>5</v>
      </c>
      <c r="F17" s="63">
        <f>'Master File FMCG Team'!P84</f>
        <v>0</v>
      </c>
      <c r="G17" s="63">
        <f t="shared" si="3"/>
        <v>0</v>
      </c>
      <c r="H17" s="40">
        <f>'Master File FMCG Team'!AH84</f>
        <v>4</v>
      </c>
      <c r="I17" s="28">
        <f>'Master File FMCG Team'!AI84</f>
        <v>5</v>
      </c>
      <c r="J17" s="28">
        <f>'Master File FMCG Team'!BA84</f>
        <v>56</v>
      </c>
      <c r="K17" s="29">
        <f>'Master File FMCG Team'!R84</f>
        <v>5</v>
      </c>
      <c r="L17" s="29">
        <f ca="1">'Master File FMCG Team'!BB84</f>
        <v>0.86153846153846148</v>
      </c>
      <c r="M17" s="41">
        <f>'Master File FMCG Team'!BO84</f>
        <v>113</v>
      </c>
      <c r="N17" s="41">
        <f>'Master File FMCG Team'!BP84</f>
        <v>0</v>
      </c>
      <c r="O17" s="28">
        <f>'Master File FMCG Team'!S84</f>
        <v>0</v>
      </c>
      <c r="P17" s="28">
        <f>'Master File FMCG Team'!CH84</f>
        <v>1236</v>
      </c>
      <c r="Q17" s="29">
        <f>'Master File FMCG Team'!T84</f>
        <v>5</v>
      </c>
      <c r="R17" s="29">
        <f ca="1">'Master File FMCG Team'!CI84</f>
        <v>19.015384615384615</v>
      </c>
      <c r="S17" s="29" t="str">
        <f t="shared" ca="1" si="1"/>
        <v>🟡 Needs Improvement</v>
      </c>
      <c r="T17" s="29"/>
    </row>
    <row r="18" spans="1:20" ht="19.95" hidden="1" customHeight="1">
      <c r="A18" s="37" t="str">
        <f>'Master File FMCG Team'!A92</f>
        <v>ASM</v>
      </c>
      <c r="B18" s="38" t="str">
        <f>'Master File FMCG Team'!C92</f>
        <v>South-C</v>
      </c>
      <c r="C18" s="39" t="str">
        <f>'Master File FMCG Team'!D92</f>
        <v>SUKKUR-1</v>
      </c>
      <c r="D18" s="38" t="str">
        <f>'Master File FMCG Team'!H92</f>
        <v>KASHIF ANSARI</v>
      </c>
      <c r="E18" s="28">
        <f>'Master File FMCG Team'!O92</f>
        <v>5</v>
      </c>
      <c r="F18" s="63">
        <f>'Master File FMCG Team'!P92</f>
        <v>0</v>
      </c>
      <c r="G18" s="63">
        <f t="shared" si="3"/>
        <v>1</v>
      </c>
      <c r="H18" s="40">
        <f>'Master File FMCG Team'!AH92</f>
        <v>4</v>
      </c>
      <c r="I18" s="28">
        <f>'Master File FMCG Team'!AI92</f>
        <v>4</v>
      </c>
      <c r="J18" s="28">
        <f>'Master File FMCG Team'!BA92</f>
        <v>49</v>
      </c>
      <c r="K18" s="29">
        <f>'Master File FMCG Team'!R92</f>
        <v>5</v>
      </c>
      <c r="L18" s="29">
        <f ca="1">'Master File FMCG Team'!BB92</f>
        <v>0.75384615384615383</v>
      </c>
      <c r="M18" s="41">
        <f>'Master File FMCG Team'!BO92</f>
        <v>80</v>
      </c>
      <c r="N18" s="41">
        <f>'Master File FMCG Team'!BP92</f>
        <v>0</v>
      </c>
      <c r="O18" s="28">
        <f>'Master File FMCG Team'!S92</f>
        <v>0</v>
      </c>
      <c r="P18" s="28">
        <f>'Master File FMCG Team'!CH92</f>
        <v>1128</v>
      </c>
      <c r="Q18" s="29">
        <f>'Master File FMCG Team'!T92</f>
        <v>5</v>
      </c>
      <c r="R18" s="29">
        <f ca="1">'Master File FMCG Team'!CI92</f>
        <v>17.353846153846156</v>
      </c>
      <c r="S18" s="29" t="str">
        <f t="shared" ca="1" si="1"/>
        <v>🟡 Needs Improvement</v>
      </c>
      <c r="T18" s="29"/>
    </row>
    <row r="19" spans="1:20" ht="19.95" hidden="1" customHeight="1">
      <c r="A19" s="37" t="str">
        <f>'Master File FMCG Team'!A100</f>
        <v>ASM</v>
      </c>
      <c r="B19" s="38" t="str">
        <f>'Master File FMCG Team'!C100</f>
        <v>South-C</v>
      </c>
      <c r="C19" s="39" t="str">
        <f>'Master File FMCG Team'!D100</f>
        <v>LARKANA-1</v>
      </c>
      <c r="D19" s="38" t="str">
        <f>'Master File FMCG Team'!H100</f>
        <v>IMRAN KHAN SOOMRO</v>
      </c>
      <c r="E19" s="28">
        <f>'Master File FMCG Team'!O100</f>
        <v>5</v>
      </c>
      <c r="F19" s="63">
        <f>'Master File FMCG Team'!P100</f>
        <v>0</v>
      </c>
      <c r="G19" s="63">
        <f t="shared" si="3"/>
        <v>1</v>
      </c>
      <c r="H19" s="40">
        <f>'Master File FMCG Team'!AH100</f>
        <v>2</v>
      </c>
      <c r="I19" s="28">
        <f>'Master File FMCG Team'!AI100</f>
        <v>4</v>
      </c>
      <c r="J19" s="28">
        <f>'Master File FMCG Team'!BA100</f>
        <v>51</v>
      </c>
      <c r="K19" s="29">
        <f>'Master File FMCG Team'!R100</f>
        <v>5</v>
      </c>
      <c r="L19" s="29">
        <f ca="1">'Master File FMCG Team'!BB100</f>
        <v>0.7846153846153846</v>
      </c>
      <c r="M19" s="41">
        <f>'Master File FMCG Team'!BO100</f>
        <v>52</v>
      </c>
      <c r="N19" s="41">
        <f>'Master File FMCG Team'!BP100</f>
        <v>0</v>
      </c>
      <c r="O19" s="28">
        <f>'Master File FMCG Team'!S100</f>
        <v>0</v>
      </c>
      <c r="P19" s="28">
        <f>'Master File FMCG Team'!CH100</f>
        <v>854</v>
      </c>
      <c r="Q19" s="29">
        <f>'Master File FMCG Team'!T100</f>
        <v>5</v>
      </c>
      <c r="R19" s="29">
        <f ca="1">'Master File FMCG Team'!CI100</f>
        <v>13.138461538461538</v>
      </c>
      <c r="S19" s="29" t="str">
        <f t="shared" ca="1" si="1"/>
        <v>🔴 Critical</v>
      </c>
      <c r="T19" s="29"/>
    </row>
    <row r="20" spans="1:20" ht="19.95" hidden="1" customHeight="1">
      <c r="A20" s="42" t="str">
        <f>'Master File FMCG Team'!A106</f>
        <v>RSM</v>
      </c>
      <c r="B20" s="43" t="str">
        <f>'Master File FMCG Team'!C106</f>
        <v>South-C</v>
      </c>
      <c r="C20" s="44" t="str">
        <f>'Master File FMCG Team'!D106</f>
        <v>STH-C Sukkur</v>
      </c>
      <c r="D20" s="43" t="str">
        <f>'Master File FMCG Team'!H106</f>
        <v>KASHIF ANSARI</v>
      </c>
      <c r="E20" s="8">
        <f>'Master File FMCG Team'!O106</f>
        <v>22</v>
      </c>
      <c r="F20" s="14">
        <f>'Master File FMCG Team'!P106</f>
        <v>0</v>
      </c>
      <c r="G20" s="14">
        <f t="shared" si="3"/>
        <v>2</v>
      </c>
      <c r="H20" s="45">
        <f>'Master File FMCG Team'!AH106</f>
        <v>17</v>
      </c>
      <c r="I20" s="8">
        <f>'Master File FMCG Team'!AI106</f>
        <v>20</v>
      </c>
      <c r="J20" s="8">
        <f>'Master File FMCG Team'!BA106</f>
        <v>244</v>
      </c>
      <c r="K20" s="11">
        <f>'Master File FMCG Team'!R106</f>
        <v>23</v>
      </c>
      <c r="L20" s="11">
        <f ca="1">'Master File FMCG Team'!BB106</f>
        <v>0.85314685314685323</v>
      </c>
      <c r="M20" s="46">
        <f>'Master File FMCG Team'!BO106</f>
        <v>301</v>
      </c>
      <c r="N20" s="46">
        <f>'Master File FMCG Team'!BP106</f>
        <v>5</v>
      </c>
      <c r="O20" s="8">
        <f>'Master File FMCG Team'!S106</f>
        <v>3</v>
      </c>
      <c r="P20" s="8">
        <f>'Master File FMCG Team'!CH106</f>
        <v>3712</v>
      </c>
      <c r="Q20" s="11">
        <f>'Master File FMCG Team'!T106</f>
        <v>21</v>
      </c>
      <c r="R20" s="11">
        <f ca="1">'Master File FMCG Team'!CI106</f>
        <v>12.97902097902098</v>
      </c>
      <c r="S20" s="11" t="str">
        <f t="shared" ca="1" si="1"/>
        <v>🔴 Critical</v>
      </c>
      <c r="T20" s="11"/>
    </row>
    <row r="21" spans="1:20" ht="19.95" hidden="1" customHeight="1">
      <c r="A21" s="37" t="str">
        <f>'Master File FMCG Team'!A113</f>
        <v>ASM</v>
      </c>
      <c r="B21" s="38" t="str">
        <f>'Master File FMCG Team'!C113</f>
        <v>South-D</v>
      </c>
      <c r="C21" s="39" t="str">
        <f>'Master File FMCG Team'!D113</f>
        <v>BAHAWALPUR-1</v>
      </c>
      <c r="D21" s="38" t="str">
        <f>'Master File FMCG Team'!H113</f>
        <v>NASEER AHMED</v>
      </c>
      <c r="E21" s="28">
        <f>'Master File FMCG Team'!O113</f>
        <v>4</v>
      </c>
      <c r="F21" s="63">
        <f>'Master File FMCG Team'!P113</f>
        <v>0</v>
      </c>
      <c r="G21" s="63">
        <f t="shared" si="3"/>
        <v>1</v>
      </c>
      <c r="H21" s="40">
        <f>'Master File FMCG Team'!AH113</f>
        <v>4</v>
      </c>
      <c r="I21" s="28">
        <f>'Master File FMCG Team'!AI113</f>
        <v>3</v>
      </c>
      <c r="J21" s="28">
        <f>'Master File FMCG Team'!BA113</f>
        <v>46</v>
      </c>
      <c r="K21" s="29">
        <f>'Master File FMCG Team'!R113</f>
        <v>4</v>
      </c>
      <c r="L21" s="29">
        <f ca="1">'Master File FMCG Team'!BB113</f>
        <v>0.88461538461538458</v>
      </c>
      <c r="M21" s="41">
        <f>'Master File FMCG Team'!BO113</f>
        <v>96</v>
      </c>
      <c r="N21" s="41">
        <f>'Master File FMCG Team'!BP113</f>
        <v>0</v>
      </c>
      <c r="O21" s="28">
        <f>'Master File FMCG Team'!S113</f>
        <v>0</v>
      </c>
      <c r="P21" s="28">
        <f>'Master File FMCG Team'!CH113</f>
        <v>748</v>
      </c>
      <c r="Q21" s="29">
        <f>'Master File FMCG Team'!T113</f>
        <v>4</v>
      </c>
      <c r="R21" s="29">
        <f ca="1">'Master File FMCG Team'!CI113</f>
        <v>14.384615384615385</v>
      </c>
      <c r="S21" s="29" t="str">
        <f t="shared" ca="1" si="1"/>
        <v>🔴 Critical</v>
      </c>
      <c r="T21" s="29"/>
    </row>
    <row r="22" spans="1:20" ht="19.95" hidden="1" customHeight="1">
      <c r="A22" s="37" t="str">
        <f>'Master File FMCG Team'!A120</f>
        <v>ASM</v>
      </c>
      <c r="B22" s="38" t="str">
        <f>'Master File FMCG Team'!C120</f>
        <v>South-D</v>
      </c>
      <c r="C22" s="39" t="str">
        <f>'Master File FMCG Team'!D120</f>
        <v>RAHIMYAR KHAN-1</v>
      </c>
      <c r="D22" s="38" t="str">
        <f>'Master File FMCG Team'!H120</f>
        <v>SHAHZAD ASAD BILAL</v>
      </c>
      <c r="E22" s="28">
        <f>'Master File FMCG Team'!O120</f>
        <v>4</v>
      </c>
      <c r="F22" s="63">
        <f>'Master File FMCG Team'!P120</f>
        <v>0</v>
      </c>
      <c r="G22" s="63">
        <f t="shared" si="3"/>
        <v>0</v>
      </c>
      <c r="H22" s="40">
        <f>'Master File FMCG Team'!AH120</f>
        <v>4</v>
      </c>
      <c r="I22" s="28">
        <f>'Master File FMCG Team'!AI120</f>
        <v>4</v>
      </c>
      <c r="J22" s="28">
        <f>'Master File FMCG Team'!BA120</f>
        <v>46</v>
      </c>
      <c r="K22" s="29">
        <f>'Master File FMCG Team'!R120</f>
        <v>4</v>
      </c>
      <c r="L22" s="29">
        <f ca="1">'Master File FMCG Team'!BB120</f>
        <v>0.88461538461538458</v>
      </c>
      <c r="M22" s="41">
        <f>'Master File FMCG Team'!BO120</f>
        <v>126</v>
      </c>
      <c r="N22" s="41">
        <f>'Master File FMCG Team'!BP120</f>
        <v>7</v>
      </c>
      <c r="O22" s="28">
        <f>'Master File FMCG Team'!S120</f>
        <v>1</v>
      </c>
      <c r="P22" s="28">
        <f>'Master File FMCG Team'!CH120</f>
        <v>1260</v>
      </c>
      <c r="Q22" s="29">
        <f>'Master File FMCG Team'!T120</f>
        <v>3</v>
      </c>
      <c r="R22" s="29">
        <f ca="1">'Master File FMCG Team'!CI120</f>
        <v>24.23076923076923</v>
      </c>
      <c r="S22" s="29" t="str">
        <f t="shared" ca="1" si="1"/>
        <v>🟡 Needs Improvement</v>
      </c>
      <c r="T22" s="29"/>
    </row>
    <row r="23" spans="1:20" ht="19.95" hidden="1" customHeight="1">
      <c r="A23" s="37" t="str">
        <f>'Master File FMCG Team'!A128</f>
        <v>ASM</v>
      </c>
      <c r="B23" s="38" t="str">
        <f>'Master File FMCG Team'!C128</f>
        <v>South-D</v>
      </c>
      <c r="C23" s="39" t="str">
        <f>'Master File FMCG Team'!D128</f>
        <v>MULTAN-1</v>
      </c>
      <c r="D23" s="38" t="str">
        <f>'Master File FMCG Team'!H128</f>
        <v>ZILE HUSSAIN HASHMI</v>
      </c>
      <c r="E23" s="28">
        <f>'Master File FMCG Team'!O128</f>
        <v>5</v>
      </c>
      <c r="F23" s="63">
        <f>'Master File FMCG Team'!P128</f>
        <v>0</v>
      </c>
      <c r="G23" s="63">
        <f t="shared" si="3"/>
        <v>1</v>
      </c>
      <c r="H23" s="40">
        <f>'Master File FMCG Team'!AH128</f>
        <v>5</v>
      </c>
      <c r="I23" s="28">
        <f>'Master File FMCG Team'!AI128</f>
        <v>4</v>
      </c>
      <c r="J23" s="28">
        <f>'Master File FMCG Team'!BA128</f>
        <v>58</v>
      </c>
      <c r="K23" s="29">
        <f>'Master File FMCG Team'!R128</f>
        <v>5</v>
      </c>
      <c r="L23" s="29">
        <f ca="1">'Master File FMCG Team'!BB128</f>
        <v>0.89230769230769236</v>
      </c>
      <c r="M23" s="41">
        <f>'Master File FMCG Team'!BO128</f>
        <v>211</v>
      </c>
      <c r="N23" s="41">
        <f>'Master File FMCG Team'!BP128</f>
        <v>0</v>
      </c>
      <c r="O23" s="28">
        <f>'Master File FMCG Team'!S128</f>
        <v>0</v>
      </c>
      <c r="P23" s="28">
        <f>'Master File FMCG Team'!CH128</f>
        <v>1806</v>
      </c>
      <c r="Q23" s="29">
        <f>'Master File FMCG Team'!T128</f>
        <v>5</v>
      </c>
      <c r="R23" s="29">
        <f ca="1">'Master File FMCG Team'!CI128</f>
        <v>27.784615384615385</v>
      </c>
      <c r="S23" s="29" t="str">
        <f t="shared" ca="1" si="1"/>
        <v>🟡 Needs Improvement</v>
      </c>
      <c r="T23" s="29"/>
    </row>
    <row r="24" spans="1:20" ht="19.95" hidden="1" customHeight="1">
      <c r="A24" s="37" t="str">
        <f>'Master File FMCG Team'!A136</f>
        <v>ASM</v>
      </c>
      <c r="B24" s="38" t="str">
        <f>'Master File FMCG Team'!C136</f>
        <v>South-D</v>
      </c>
      <c r="C24" s="39" t="str">
        <f>'Master File FMCG Team'!D136</f>
        <v>MULTAN-2</v>
      </c>
      <c r="D24" s="38" t="str">
        <f>'Master File FMCG Team'!H136</f>
        <v>M. SHAHID JAVAID</v>
      </c>
      <c r="E24" s="28">
        <f>'Master File FMCG Team'!O136</f>
        <v>5</v>
      </c>
      <c r="F24" s="63">
        <f>'Master File FMCG Team'!P136</f>
        <v>0</v>
      </c>
      <c r="G24" s="63">
        <f t="shared" si="3"/>
        <v>2</v>
      </c>
      <c r="H24" s="40">
        <f>'Master File FMCG Team'!AH136</f>
        <v>5</v>
      </c>
      <c r="I24" s="28">
        <f>'Master File FMCG Team'!AI136</f>
        <v>3</v>
      </c>
      <c r="J24" s="28">
        <f>'Master File FMCG Team'!BA136</f>
        <v>55</v>
      </c>
      <c r="K24" s="29">
        <f>'Master File FMCG Team'!R136</f>
        <v>5</v>
      </c>
      <c r="L24" s="29">
        <f ca="1">'Master File FMCG Team'!BB136</f>
        <v>0.84615384615384615</v>
      </c>
      <c r="M24" s="41">
        <f>'Master File FMCG Team'!BO136</f>
        <v>196</v>
      </c>
      <c r="N24" s="41">
        <f>'Master File FMCG Team'!BP136</f>
        <v>0</v>
      </c>
      <c r="O24" s="28">
        <f>'Master File FMCG Team'!S136</f>
        <v>0</v>
      </c>
      <c r="P24" s="28">
        <f>'Master File FMCG Team'!CH136</f>
        <v>1799</v>
      </c>
      <c r="Q24" s="29">
        <f>'Master File FMCG Team'!T136</f>
        <v>5</v>
      </c>
      <c r="R24" s="29">
        <f ca="1">'Master File FMCG Team'!CI136</f>
        <v>27.676923076923078</v>
      </c>
      <c r="S24" s="29" t="str">
        <f t="shared" ca="1" si="1"/>
        <v>🟡 Needs Improvement</v>
      </c>
      <c r="T24" s="29"/>
    </row>
    <row r="25" spans="1:20" ht="19.95" hidden="1" customHeight="1">
      <c r="A25" s="37" t="str">
        <f>'Master File FMCG Team'!A143</f>
        <v>ASM</v>
      </c>
      <c r="B25" s="38" t="str">
        <f>'Master File FMCG Team'!C143</f>
        <v>South-D</v>
      </c>
      <c r="C25" s="39" t="str">
        <f>'Master File FMCG Team'!D143</f>
        <v>MULTAN-3</v>
      </c>
      <c r="D25" s="38" t="str">
        <f>'Master File FMCG Team'!H143</f>
        <v>MALIK NADEEM AHMED</v>
      </c>
      <c r="E25" s="28">
        <f>'Master File FMCG Team'!O143</f>
        <v>4</v>
      </c>
      <c r="F25" s="63">
        <f>'Master File FMCG Team'!P143</f>
        <v>0</v>
      </c>
      <c r="G25" s="63">
        <f>E25-I25-F25</f>
        <v>0</v>
      </c>
      <c r="H25" s="40">
        <f>'Master File FMCG Team'!AH143</f>
        <v>3</v>
      </c>
      <c r="I25" s="28">
        <f>'Master File FMCG Team'!AI143</f>
        <v>4</v>
      </c>
      <c r="J25" s="28">
        <f>'Master File FMCG Team'!BA143</f>
        <v>47</v>
      </c>
      <c r="K25" s="29">
        <f>'Master File FMCG Team'!R143</f>
        <v>4</v>
      </c>
      <c r="L25" s="29">
        <f ca="1">'Master File FMCG Team'!BB143</f>
        <v>0.90384615384615385</v>
      </c>
      <c r="M25" s="41">
        <f>'Master File FMCG Team'!BO143</f>
        <v>139</v>
      </c>
      <c r="N25" s="41">
        <f>'Master File FMCG Team'!BP143</f>
        <v>2</v>
      </c>
      <c r="O25" s="28">
        <f>'Master File FMCG Team'!S143</f>
        <v>1</v>
      </c>
      <c r="P25" s="28">
        <f>'Master File FMCG Team'!CH143</f>
        <v>1563</v>
      </c>
      <c r="Q25" s="29">
        <f>'Master File FMCG Team'!T143</f>
        <v>4</v>
      </c>
      <c r="R25" s="29">
        <f ca="1">'Master File FMCG Team'!CI143</f>
        <v>30.057692307692307</v>
      </c>
      <c r="S25" s="29" t="str">
        <f t="shared" ca="1" si="1"/>
        <v>🟢 Excellent</v>
      </c>
      <c r="T25" s="29"/>
    </row>
    <row r="26" spans="1:20" ht="19.95" hidden="1" customHeight="1">
      <c r="A26" s="37" t="str">
        <f>'Master File FMCG Team'!A144</f>
        <v>CM</v>
      </c>
      <c r="B26" s="38" t="str">
        <f>'Master File FMCG Team'!C144</f>
        <v>South-D</v>
      </c>
      <c r="C26" s="39" t="str">
        <f>'Master File FMCG Team'!D144</f>
        <v>Multan-4</v>
      </c>
      <c r="D26" s="38" t="str">
        <f>'Master File FMCG Team'!H144</f>
        <v>ASIF ALI (CM-MUX-01)</v>
      </c>
      <c r="E26" s="28">
        <f>'Master File FMCG Team'!O144</f>
        <v>1</v>
      </c>
      <c r="F26" s="63">
        <f>'Master File FMCG Team'!P144</f>
        <v>0</v>
      </c>
      <c r="G26" s="63">
        <f t="shared" ref="G26:G27" si="4">E26-I26-F26</f>
        <v>0</v>
      </c>
      <c r="H26" s="40">
        <f>'Master File FMCG Team'!AH144</f>
        <v>1</v>
      </c>
      <c r="I26" s="28">
        <f>'Master File FMCG Team'!AI144</f>
        <v>1</v>
      </c>
      <c r="J26" s="28">
        <f>'Master File FMCG Team'!BA144</f>
        <v>10</v>
      </c>
      <c r="K26" s="29">
        <f>'Master File FMCG Team'!R144</f>
        <v>1</v>
      </c>
      <c r="L26" s="29">
        <f ca="1">'Master File FMCG Team'!BB144</f>
        <v>0.76923076923076927</v>
      </c>
      <c r="M26" s="41">
        <f>'Master File FMCG Team'!BO144</f>
        <v>0</v>
      </c>
      <c r="N26" s="41">
        <f>'Master File FMCG Team'!BP144</f>
        <v>0</v>
      </c>
      <c r="O26" s="28">
        <f>'Master File FMCG Team'!S144</f>
        <v>0</v>
      </c>
      <c r="P26" s="28">
        <f>'Master File FMCG Team'!CH144</f>
        <v>0</v>
      </c>
      <c r="Q26" s="29">
        <f>'Master File FMCG Team'!T144</f>
        <v>0</v>
      </c>
      <c r="R26" s="29">
        <f ca="1">'Master File FMCG Team'!CI144</f>
        <v>0</v>
      </c>
      <c r="S26" s="29" t="str">
        <f t="shared" ca="1" si="1"/>
        <v>🔴 Critical</v>
      </c>
      <c r="T26" s="29"/>
    </row>
    <row r="27" spans="1:20" ht="19.95" hidden="1" customHeight="1">
      <c r="A27" s="37" t="str">
        <f>'Master File FMCG Team'!A145</f>
        <v>TE</v>
      </c>
      <c r="B27" s="38" t="str">
        <f>'Master File FMCG Team'!C145</f>
        <v>South-D</v>
      </c>
      <c r="C27" s="39" t="str">
        <f>'Master File FMCG Team'!D145</f>
        <v>Multan-5</v>
      </c>
      <c r="D27" s="38" t="str">
        <f>'Master File FMCG Team'!H145</f>
        <v>M. DILBAR KHAN (TE-MUX-01)</v>
      </c>
      <c r="E27" s="28">
        <f>'Master File FMCG Team'!O145</f>
        <v>1</v>
      </c>
      <c r="F27" s="63">
        <f>'Master File FMCG Team'!P145</f>
        <v>0</v>
      </c>
      <c r="G27" s="63">
        <f t="shared" si="4"/>
        <v>0</v>
      </c>
      <c r="H27" s="40">
        <f>'Master File FMCG Team'!AH145</f>
        <v>1</v>
      </c>
      <c r="I27" s="28">
        <f>'Master File FMCG Team'!AI145</f>
        <v>1</v>
      </c>
      <c r="J27" s="28">
        <f>'Master File FMCG Team'!BA145</f>
        <v>12</v>
      </c>
      <c r="K27" s="29">
        <f>'Master File FMCG Team'!R145</f>
        <v>1</v>
      </c>
      <c r="L27" s="29">
        <f ca="1">'Master File FMCG Team'!BB145</f>
        <v>0.92307692307692313</v>
      </c>
      <c r="M27" s="41">
        <f>'Master File FMCG Team'!BO145</f>
        <v>0</v>
      </c>
      <c r="N27" s="41">
        <f>'Master File FMCG Team'!BP145</f>
        <v>0</v>
      </c>
      <c r="O27" s="28">
        <f>'Master File FMCG Team'!S145</f>
        <v>0</v>
      </c>
      <c r="P27" s="28">
        <f>'Master File FMCG Team'!CH145</f>
        <v>0</v>
      </c>
      <c r="Q27" s="29">
        <f>'Master File FMCG Team'!T145</f>
        <v>0</v>
      </c>
      <c r="R27" s="29">
        <f ca="1">'Master File FMCG Team'!CI145</f>
        <v>0</v>
      </c>
      <c r="S27" s="29" t="str">
        <f t="shared" ca="1" si="1"/>
        <v>🔴 Critical</v>
      </c>
      <c r="T27" s="29"/>
    </row>
    <row r="28" spans="1:20" ht="19.95" hidden="1" customHeight="1">
      <c r="A28" s="42" t="str">
        <f>'Master File FMCG Team'!A146</f>
        <v>RSM</v>
      </c>
      <c r="B28" s="43" t="str">
        <f>'Master File FMCG Team'!C146</f>
        <v>South-D</v>
      </c>
      <c r="C28" s="44" t="str">
        <f>'Master File FMCG Team'!D146</f>
        <v>MULTAN</v>
      </c>
      <c r="D28" s="43" t="str">
        <f>'Master File FMCG Team'!H146</f>
        <v>Majid Khan</v>
      </c>
      <c r="E28" s="8">
        <f>'Master File FMCG Team'!O146</f>
        <v>24</v>
      </c>
      <c r="F28" s="14">
        <f>'Master File FMCG Team'!P146</f>
        <v>0</v>
      </c>
      <c r="G28" s="14">
        <f t="shared" ref="G28" si="5">E28-I28-F28</f>
        <v>4</v>
      </c>
      <c r="H28" s="45">
        <f>'Master File FMCG Team'!AH146</f>
        <v>23</v>
      </c>
      <c r="I28" s="8">
        <f>'Master File FMCG Team'!AI146</f>
        <v>20</v>
      </c>
      <c r="J28" s="8">
        <f>'Master File FMCG Team'!BA146</f>
        <v>274</v>
      </c>
      <c r="K28" s="11">
        <f>'Master File FMCG Team'!R146</f>
        <v>24</v>
      </c>
      <c r="L28" s="11">
        <f ca="1">'Master File FMCG Team'!BB146</f>
        <v>0.87820512820512819</v>
      </c>
      <c r="M28" s="46">
        <f>'Master File FMCG Team'!BO146</f>
        <v>768</v>
      </c>
      <c r="N28" s="46">
        <f>'Master File FMCG Team'!BP146</f>
        <v>9</v>
      </c>
      <c r="O28" s="8">
        <f>'Master File FMCG Team'!S146</f>
        <v>2</v>
      </c>
      <c r="P28" s="8">
        <f>'Master File FMCG Team'!CH146</f>
        <v>7176</v>
      </c>
      <c r="Q28" s="11">
        <f>'Master File FMCG Team'!T146</f>
        <v>21</v>
      </c>
      <c r="R28" s="11">
        <f ca="1">'Master File FMCG Team'!CI146</f>
        <v>23</v>
      </c>
      <c r="S28" s="11" t="str">
        <f t="shared" ref="S28" ca="1" si="6">IF(R28&gt;=30,"🟢 Excellent",IF(R28&gt;=15,"🟡 Needs Improvement","🔴 Critical"))</f>
        <v>🟡 Needs Improvement</v>
      </c>
      <c r="T28" s="11"/>
    </row>
    <row r="29" spans="1:20" ht="19.95" hidden="1" customHeight="1">
      <c r="A29" s="37" t="str">
        <f>'Master File FMCG Team'!A153</f>
        <v>ASM</v>
      </c>
      <c r="B29" s="38" t="str">
        <f>'Master File FMCG Team'!C153</f>
        <v>South-E</v>
      </c>
      <c r="C29" s="39" t="str">
        <f>'Master File FMCG Team'!D153</f>
        <v>LAYYAH-1</v>
      </c>
      <c r="D29" s="38" t="str">
        <f>'Master File FMCG Team'!H153</f>
        <v>MUZAMIL BILAL</v>
      </c>
      <c r="E29" s="28">
        <f>'Master File FMCG Team'!O153</f>
        <v>4</v>
      </c>
      <c r="F29" s="63">
        <f>'Master File FMCG Team'!P153</f>
        <v>0</v>
      </c>
      <c r="G29" s="63">
        <f t="shared" si="3"/>
        <v>0</v>
      </c>
      <c r="H29" s="40">
        <f>'Master File FMCG Team'!AH153</f>
        <v>4</v>
      </c>
      <c r="I29" s="28">
        <f>'Master File FMCG Team'!AI153</f>
        <v>4</v>
      </c>
      <c r="J29" s="28">
        <f>'Master File FMCG Team'!BA153</f>
        <v>48</v>
      </c>
      <c r="K29" s="29">
        <f>'Master File FMCG Team'!R153</f>
        <v>4</v>
      </c>
      <c r="L29" s="29">
        <f ca="1">'Master File FMCG Team'!BB153</f>
        <v>0.92307692307692313</v>
      </c>
      <c r="M29" s="41">
        <f>'Master File FMCG Team'!BO153</f>
        <v>81</v>
      </c>
      <c r="N29" s="41">
        <f>'Master File FMCG Team'!BP153</f>
        <v>0</v>
      </c>
      <c r="O29" s="28">
        <f>'Master File FMCG Team'!S153</f>
        <v>0</v>
      </c>
      <c r="P29" s="28">
        <f>'Master File FMCG Team'!CH153</f>
        <v>444</v>
      </c>
      <c r="Q29" s="29">
        <f>'Master File FMCG Team'!T153</f>
        <v>4</v>
      </c>
      <c r="R29" s="29">
        <f ca="1">'Master File FMCG Team'!CI153</f>
        <v>8.5384615384615383</v>
      </c>
      <c r="S29" s="29" t="str">
        <f t="shared" ca="1" si="1"/>
        <v>🔴 Critical</v>
      </c>
      <c r="T29" s="29"/>
    </row>
    <row r="30" spans="1:20" ht="19.95" hidden="1" customHeight="1">
      <c r="A30" s="37" t="str">
        <f>'Master File FMCG Team'!A162</f>
        <v>ASM</v>
      </c>
      <c r="B30" s="38" t="str">
        <f>'Master File FMCG Team'!C162</f>
        <v>South-E</v>
      </c>
      <c r="C30" s="39" t="str">
        <f>'Master File FMCG Team'!D162</f>
        <v>FAISALABAD-1</v>
      </c>
      <c r="D30" s="38" t="str">
        <f>'Master File FMCG Team'!H162</f>
        <v>KAMRAN SHABBIR</v>
      </c>
      <c r="E30" s="28">
        <f>'Master File FMCG Team'!O162</f>
        <v>6</v>
      </c>
      <c r="F30" s="63">
        <f>'Master File FMCG Team'!P162</f>
        <v>0</v>
      </c>
      <c r="G30" s="63">
        <f t="shared" si="3"/>
        <v>1</v>
      </c>
      <c r="H30" s="40">
        <f>'Master File FMCG Team'!AH162</f>
        <v>6</v>
      </c>
      <c r="I30" s="28">
        <f>'Master File FMCG Team'!AI162</f>
        <v>5</v>
      </c>
      <c r="J30" s="28">
        <f>'Master File FMCG Team'!BA162</f>
        <v>69</v>
      </c>
      <c r="K30" s="29">
        <f>'Master File FMCG Team'!R162</f>
        <v>6</v>
      </c>
      <c r="L30" s="29">
        <f ca="1">'Master File FMCG Team'!BB162</f>
        <v>0.88461538461538458</v>
      </c>
      <c r="M30" s="41">
        <f>'Master File FMCG Team'!BO162</f>
        <v>219</v>
      </c>
      <c r="N30" s="41">
        <f>'Master File FMCG Team'!BP162</f>
        <v>14</v>
      </c>
      <c r="O30" s="28">
        <f>'Master File FMCG Team'!S162</f>
        <v>1</v>
      </c>
      <c r="P30" s="28">
        <f>'Master File FMCG Team'!CH162</f>
        <v>2084</v>
      </c>
      <c r="Q30" s="29">
        <f>'Master File FMCG Team'!T162</f>
        <v>6</v>
      </c>
      <c r="R30" s="29">
        <f ca="1">'Master File FMCG Team'!CI162</f>
        <v>26.717948717948719</v>
      </c>
      <c r="S30" s="29" t="str">
        <f t="shared" ca="1" si="1"/>
        <v>🟡 Needs Improvement</v>
      </c>
      <c r="T30" s="29"/>
    </row>
    <row r="31" spans="1:20" ht="19.95" hidden="1" customHeight="1">
      <c r="A31" s="37" t="str">
        <f>'Master File FMCG Team'!A169</f>
        <v>ASM</v>
      </c>
      <c r="B31" s="38" t="str">
        <f>'Master File FMCG Team'!C169</f>
        <v>South-E</v>
      </c>
      <c r="C31" s="39" t="str">
        <f>'Master File FMCG Team'!D169</f>
        <v>Faisalabad-2</v>
      </c>
      <c r="D31" s="38" t="str">
        <f>'Master File FMCG Team'!H169</f>
        <v>Vacant ASM-FSD-02</v>
      </c>
      <c r="E31" s="28">
        <f>'Master File FMCG Team'!O169</f>
        <v>5</v>
      </c>
      <c r="F31" s="63">
        <f>'Master File FMCG Team'!P169</f>
        <v>0</v>
      </c>
      <c r="G31" s="63">
        <f t="shared" ref="G31:G32" si="7">E31-I31-F31</f>
        <v>0</v>
      </c>
      <c r="H31" s="40">
        <f>'Master File FMCG Team'!AH169</f>
        <v>4</v>
      </c>
      <c r="I31" s="28">
        <f>'Master File FMCG Team'!AI169</f>
        <v>5</v>
      </c>
      <c r="J31" s="28">
        <f>'Master File FMCG Team'!BA169</f>
        <v>58</v>
      </c>
      <c r="K31" s="29">
        <f>'Master File FMCG Team'!R169</f>
        <v>5</v>
      </c>
      <c r="L31" s="29">
        <f ca="1">'Master File FMCG Team'!BB169</f>
        <v>0.89230769230769236</v>
      </c>
      <c r="M31" s="41">
        <f>'Master File FMCG Team'!BO169</f>
        <v>68</v>
      </c>
      <c r="N31" s="41">
        <f>'Master File FMCG Team'!BP169</f>
        <v>0</v>
      </c>
      <c r="O31" s="28">
        <f>'Master File FMCG Team'!S169</f>
        <v>0</v>
      </c>
      <c r="P31" s="28">
        <f>'Master File FMCG Team'!CH169</f>
        <v>1073</v>
      </c>
      <c r="Q31" s="29">
        <f>'Master File FMCG Team'!T169</f>
        <v>4</v>
      </c>
      <c r="R31" s="29">
        <f ca="1">'Master File FMCG Team'!CI169</f>
        <v>16.507692307692306</v>
      </c>
      <c r="S31" s="29" t="str">
        <f t="shared" ref="S31:S32" ca="1" si="8">IF(R31&gt;=30,"🟢 Excellent",IF(R31&gt;=15,"🟡 Needs Improvement","🔴 Critical"))</f>
        <v>🟡 Needs Improvement</v>
      </c>
      <c r="T31" s="29"/>
    </row>
    <row r="32" spans="1:20" ht="19.95" hidden="1" customHeight="1">
      <c r="A32" s="37" t="str">
        <f>'Master File FMCG Team'!A175</f>
        <v>ASM</v>
      </c>
      <c r="B32" s="38" t="str">
        <f>'Master File FMCG Team'!C175</f>
        <v>South-E</v>
      </c>
      <c r="C32" s="39" t="str">
        <f>'Master File FMCG Team'!D175</f>
        <v>FAISALABAD-3</v>
      </c>
      <c r="D32" s="38" t="str">
        <f>'Master File FMCG Team'!H175</f>
        <v>M. AMJAD</v>
      </c>
      <c r="E32" s="28">
        <f>'Master File FMCG Team'!O175</f>
        <v>3</v>
      </c>
      <c r="F32" s="63">
        <f>'Master File FMCG Team'!P175</f>
        <v>0</v>
      </c>
      <c r="G32" s="63">
        <f t="shared" si="7"/>
        <v>0</v>
      </c>
      <c r="H32" s="40">
        <f>'Master File FMCG Team'!AH175</f>
        <v>3</v>
      </c>
      <c r="I32" s="28">
        <f>'Master File FMCG Team'!AI175</f>
        <v>3</v>
      </c>
      <c r="J32" s="28">
        <f>'Master File FMCG Team'!BA175</f>
        <v>36</v>
      </c>
      <c r="K32" s="29">
        <f>'Master File FMCG Team'!R175</f>
        <v>3</v>
      </c>
      <c r="L32" s="29">
        <f ca="1">'Master File FMCG Team'!BB175</f>
        <v>0.92307692307692302</v>
      </c>
      <c r="M32" s="41">
        <f>'Master File FMCG Team'!BO175</f>
        <v>89</v>
      </c>
      <c r="N32" s="41">
        <f>'Master File FMCG Team'!BP175</f>
        <v>0</v>
      </c>
      <c r="O32" s="28">
        <f>'Master File FMCG Team'!S175</f>
        <v>0</v>
      </c>
      <c r="P32" s="28">
        <f>'Master File FMCG Team'!CH175</f>
        <v>388</v>
      </c>
      <c r="Q32" s="29">
        <f>'Master File FMCG Team'!T175</f>
        <v>2</v>
      </c>
      <c r="R32" s="29">
        <f ca="1">'Master File FMCG Team'!CI175</f>
        <v>9.9487179487179489</v>
      </c>
      <c r="S32" s="29" t="str">
        <f t="shared" ca="1" si="8"/>
        <v>🔴 Critical</v>
      </c>
      <c r="T32" s="29"/>
    </row>
    <row r="33" spans="1:20" ht="19.95" hidden="1" customHeight="1">
      <c r="A33" s="37" t="str">
        <f>'Master File FMCG Team'!A176</f>
        <v>CM</v>
      </c>
      <c r="B33" s="38" t="str">
        <f>'Master File FMCG Team'!C176</f>
        <v>South-E</v>
      </c>
      <c r="C33" s="39" t="str">
        <f>'Master File FMCG Team'!D176</f>
        <v>FAISALABAD-4</v>
      </c>
      <c r="D33" s="38" t="str">
        <f>'Master File FMCG Team'!H176</f>
        <v>M. USMAN (CM-FSD-01)</v>
      </c>
      <c r="E33" s="28">
        <f>'Master File FMCG Team'!O176</f>
        <v>1</v>
      </c>
      <c r="F33" s="63">
        <f>'Master File FMCG Team'!P176</f>
        <v>0</v>
      </c>
      <c r="G33" s="63">
        <f t="shared" si="3"/>
        <v>0</v>
      </c>
      <c r="H33" s="40">
        <f>'Master File FMCG Team'!AH176</f>
        <v>1</v>
      </c>
      <c r="I33" s="28">
        <f>'Master File FMCG Team'!AI176</f>
        <v>1</v>
      </c>
      <c r="J33" s="28">
        <f>'Master File FMCG Team'!BA176</f>
        <v>9</v>
      </c>
      <c r="K33" s="29">
        <f>'Master File FMCG Team'!R176</f>
        <v>1</v>
      </c>
      <c r="L33" s="29">
        <f ca="1">'Master File FMCG Team'!BB176</f>
        <v>0.69230769230769229</v>
      </c>
      <c r="M33" s="41">
        <f>'Master File FMCG Team'!BO176</f>
        <v>0</v>
      </c>
      <c r="N33" s="41">
        <f>'Master File FMCG Team'!BP176</f>
        <v>0</v>
      </c>
      <c r="O33" s="28">
        <f>'Master File FMCG Team'!S176</f>
        <v>0</v>
      </c>
      <c r="P33" s="28">
        <f>'Master File FMCG Team'!CH176</f>
        <v>0</v>
      </c>
      <c r="Q33" s="29">
        <f>'Master File FMCG Team'!T176</f>
        <v>0</v>
      </c>
      <c r="R33" s="29">
        <f ca="1">'Master File FMCG Team'!CI176</f>
        <v>0</v>
      </c>
      <c r="S33" s="29" t="str">
        <f t="shared" ca="1" si="1"/>
        <v>🔴 Critical</v>
      </c>
      <c r="T33" s="29"/>
    </row>
    <row r="34" spans="1:20" ht="19.95" hidden="1" customHeight="1">
      <c r="A34" s="37" t="str">
        <f>'Master File FMCG Team'!A177</f>
        <v>TE</v>
      </c>
      <c r="B34" s="38" t="str">
        <f>'Master File FMCG Team'!C177</f>
        <v>South-E</v>
      </c>
      <c r="C34" s="39" t="str">
        <f>'Master File FMCG Team'!D177</f>
        <v>STH-E FAISALABAD</v>
      </c>
      <c r="D34" s="38" t="str">
        <f>'Master File FMCG Team'!H177</f>
        <v>TANVEER UL HASSAN (TE-FSD-01)</v>
      </c>
      <c r="E34" s="28">
        <f>'Master File FMCG Team'!O177</f>
        <v>1</v>
      </c>
      <c r="F34" s="63">
        <f>'Master File FMCG Team'!P177</f>
        <v>0</v>
      </c>
      <c r="G34" s="63">
        <f t="shared" si="3"/>
        <v>0</v>
      </c>
      <c r="H34" s="40">
        <f>'Master File FMCG Team'!AH177</f>
        <v>1</v>
      </c>
      <c r="I34" s="28">
        <f>'Master File FMCG Team'!AI177</f>
        <v>1</v>
      </c>
      <c r="J34" s="28">
        <f>'Master File FMCG Team'!BA177</f>
        <v>11</v>
      </c>
      <c r="K34" s="29">
        <f>'Master File FMCG Team'!R177</f>
        <v>1</v>
      </c>
      <c r="L34" s="29">
        <f ca="1">'Master File FMCG Team'!BB177</f>
        <v>0.84615384615384615</v>
      </c>
      <c r="M34" s="41">
        <f>'Master File FMCG Team'!BO177</f>
        <v>0</v>
      </c>
      <c r="N34" s="41">
        <f>'Master File FMCG Team'!BP177</f>
        <v>0</v>
      </c>
      <c r="O34" s="28">
        <f>'Master File FMCG Team'!S177</f>
        <v>0</v>
      </c>
      <c r="P34" s="28">
        <f>'Master File FMCG Team'!CH177</f>
        <v>0</v>
      </c>
      <c r="Q34" s="29">
        <f>'Master File FMCG Team'!T177</f>
        <v>0</v>
      </c>
      <c r="R34" s="29">
        <f ca="1">'Master File FMCG Team'!CI177</f>
        <v>0</v>
      </c>
      <c r="S34" s="29" t="str">
        <f t="shared" ca="1" si="1"/>
        <v>🔴 Critical</v>
      </c>
      <c r="T34" s="29"/>
    </row>
    <row r="35" spans="1:20" ht="19.95" hidden="1" customHeight="1">
      <c r="A35" s="42" t="str">
        <f>'Master File FMCG Team'!A179</f>
        <v>RSM</v>
      </c>
      <c r="B35" s="43" t="str">
        <f>'Master File FMCG Team'!C179</f>
        <v>South-E</v>
      </c>
      <c r="C35" s="44" t="str">
        <f>'Master File FMCG Team'!D179</f>
        <v>STH-E Faisalabad</v>
      </c>
      <c r="D35" s="43" t="str">
        <f>'Master File FMCG Team'!H179</f>
        <v>Kamran Zakir</v>
      </c>
      <c r="E35" s="8">
        <f>'Master File FMCG Team'!O179</f>
        <v>20</v>
      </c>
      <c r="F35" s="14">
        <f>'Master File FMCG Team'!P179</f>
        <v>0</v>
      </c>
      <c r="G35" s="14">
        <f t="shared" si="3"/>
        <v>1</v>
      </c>
      <c r="H35" s="45">
        <f>'Master File FMCG Team'!AH179</f>
        <v>19</v>
      </c>
      <c r="I35" s="8">
        <f>'Master File FMCG Team'!AI179</f>
        <v>19</v>
      </c>
      <c r="J35" s="8">
        <f>'Master File FMCG Team'!BA179</f>
        <v>231</v>
      </c>
      <c r="K35" s="11">
        <f>'Master File FMCG Team'!R179</f>
        <v>20</v>
      </c>
      <c r="L35" s="11">
        <f ca="1">'Master File FMCG Team'!BB179</f>
        <v>0.88846153846153852</v>
      </c>
      <c r="M35" s="46">
        <f>'Master File FMCG Team'!BO179</f>
        <v>457</v>
      </c>
      <c r="N35" s="46">
        <f>'Master File FMCG Team'!BP179</f>
        <v>14</v>
      </c>
      <c r="O35" s="8">
        <f>'Master File FMCG Team'!S179</f>
        <v>1</v>
      </c>
      <c r="P35" s="8">
        <f>'Master File FMCG Team'!CH179</f>
        <v>3989</v>
      </c>
      <c r="Q35" s="11">
        <f>'Master File FMCG Team'!T179</f>
        <v>16</v>
      </c>
      <c r="R35" s="11">
        <f ca="1">'Master File FMCG Team'!CI179</f>
        <v>15.342307692307694</v>
      </c>
      <c r="S35" s="11" t="str">
        <f t="shared" ca="1" si="1"/>
        <v>🟡 Needs Improvement</v>
      </c>
      <c r="T35" s="11"/>
    </row>
    <row r="36" spans="1:20" ht="19.95" customHeight="1">
      <c r="A36" s="47" t="str">
        <f>'Master File FMCG Team'!A181</f>
        <v>DGM</v>
      </c>
      <c r="B36" s="48" t="str">
        <f>'Master File FMCG Team'!C181</f>
        <v>South</v>
      </c>
      <c r="C36" s="49" t="str">
        <f>'Master File FMCG Team'!D181</f>
        <v>STH Karachi</v>
      </c>
      <c r="D36" s="48" t="str">
        <f>'Master File FMCG Team'!H181</f>
        <v>NASIR BAIG</v>
      </c>
      <c r="E36" s="9">
        <f>'Master File FMCG Team'!O181</f>
        <v>106</v>
      </c>
      <c r="F36" s="15">
        <f>'Master File FMCG Team'!P181</f>
        <v>5</v>
      </c>
      <c r="G36" s="15">
        <f t="shared" si="3"/>
        <v>12</v>
      </c>
      <c r="H36" s="50">
        <f>'Master File FMCG Team'!AH181</f>
        <v>93</v>
      </c>
      <c r="I36" s="9">
        <f>'Master File FMCG Team'!AI181</f>
        <v>89</v>
      </c>
      <c r="J36" s="9">
        <f>'Master File FMCG Team'!BA181</f>
        <v>1142</v>
      </c>
      <c r="K36" s="12">
        <f>'Master File FMCG Team'!R181</f>
        <v>101</v>
      </c>
      <c r="L36" s="12">
        <f ca="1">'Master File FMCG Team'!BB181</f>
        <v>0.86976389946686972</v>
      </c>
      <c r="M36" s="51">
        <f>'Master File FMCG Team'!BO181</f>
        <v>2483</v>
      </c>
      <c r="N36" s="51">
        <f>'Master File FMCG Team'!BP181</f>
        <v>49</v>
      </c>
      <c r="O36" s="9">
        <f>'Master File FMCG Team'!S181</f>
        <v>9</v>
      </c>
      <c r="P36" s="9">
        <f>'Master File FMCG Team'!CH181</f>
        <v>23546</v>
      </c>
      <c r="Q36" s="12">
        <f>'Master File FMCG Team'!T181</f>
        <v>90</v>
      </c>
      <c r="R36" s="12">
        <f ca="1">'Master File FMCG Team'!CI181</f>
        <v>17.932977913175932</v>
      </c>
      <c r="S36" s="12" t="str">
        <f t="shared" ca="1" si="1"/>
        <v>🟡 Needs Improvement</v>
      </c>
      <c r="T36" s="12"/>
    </row>
    <row r="37" spans="1:20" ht="19.95" hidden="1" customHeight="1">
      <c r="A37" s="37" t="str">
        <f>'Master File FMCG Team'!A189</f>
        <v>ASM</v>
      </c>
      <c r="B37" s="38" t="str">
        <f>'Master File FMCG Team'!C189</f>
        <v>North-A</v>
      </c>
      <c r="C37" s="39" t="str">
        <f>'Master File FMCG Team'!D189</f>
        <v>LAHORE-1</v>
      </c>
      <c r="D37" s="38" t="str">
        <f>'Master File FMCG Team'!H189</f>
        <v>M. HASEEB</v>
      </c>
      <c r="E37" s="28">
        <f>'Master File FMCG Team'!O189</f>
        <v>5</v>
      </c>
      <c r="F37" s="63">
        <f>'Master File FMCG Team'!P189</f>
        <v>0</v>
      </c>
      <c r="G37" s="63">
        <f t="shared" si="3"/>
        <v>1</v>
      </c>
      <c r="H37" s="40">
        <f>'Master File FMCG Team'!AH189</f>
        <v>3</v>
      </c>
      <c r="I37" s="28">
        <f>'Master File FMCG Team'!AI189</f>
        <v>4</v>
      </c>
      <c r="J37" s="28">
        <f>'Master File FMCG Team'!BA189</f>
        <v>54</v>
      </c>
      <c r="K37" s="29">
        <f>'Master File FMCG Team'!R189</f>
        <v>5</v>
      </c>
      <c r="L37" s="29">
        <f ca="1">'Master File FMCG Team'!BB189</f>
        <v>0.83076923076923082</v>
      </c>
      <c r="M37" s="41">
        <f>'Master File FMCG Team'!BO189</f>
        <v>157</v>
      </c>
      <c r="N37" s="41">
        <f>'Master File FMCG Team'!BP189</f>
        <v>1</v>
      </c>
      <c r="O37" s="28">
        <f>'Master File FMCG Team'!S189</f>
        <v>1</v>
      </c>
      <c r="P37" s="28">
        <f>'Master File FMCG Team'!CH189</f>
        <v>1095</v>
      </c>
      <c r="Q37" s="29">
        <f>'Master File FMCG Team'!T189</f>
        <v>4</v>
      </c>
      <c r="R37" s="29">
        <f ca="1">'Master File FMCG Team'!CI189</f>
        <v>16.846153846153847</v>
      </c>
      <c r="S37" s="29" t="str">
        <f t="shared" ca="1" si="1"/>
        <v>🟡 Needs Improvement</v>
      </c>
      <c r="T37" s="29"/>
    </row>
    <row r="38" spans="1:20" ht="19.95" hidden="1" customHeight="1">
      <c r="A38" s="37" t="str">
        <f>'Master File FMCG Team'!A197</f>
        <v>ASM</v>
      </c>
      <c r="B38" s="38" t="str">
        <f>'Master File FMCG Team'!C197</f>
        <v>North-A</v>
      </c>
      <c r="C38" s="39" t="str">
        <f>'Master File FMCG Team'!D197</f>
        <v>LAHORE-2</v>
      </c>
      <c r="D38" s="38" t="str">
        <f>'Master File FMCG Team'!H197</f>
        <v>M. IMRAN IJAZ</v>
      </c>
      <c r="E38" s="28">
        <f>'Master File FMCG Team'!O197</f>
        <v>5</v>
      </c>
      <c r="F38" s="63">
        <f>'Master File FMCG Team'!P197</f>
        <v>2</v>
      </c>
      <c r="G38" s="63">
        <f>E38-I38-F38</f>
        <v>1</v>
      </c>
      <c r="H38" s="40">
        <f>'Master File FMCG Team'!AH197</f>
        <v>2</v>
      </c>
      <c r="I38" s="28">
        <f>'Master File FMCG Team'!AI197</f>
        <v>2</v>
      </c>
      <c r="J38" s="28">
        <f>'Master File FMCG Team'!BA197</f>
        <v>31</v>
      </c>
      <c r="K38" s="29">
        <f>'Master File FMCG Team'!R197</f>
        <v>4</v>
      </c>
      <c r="L38" s="29">
        <f ca="1">'Master File FMCG Team'!BB197</f>
        <v>0.79487179487179482</v>
      </c>
      <c r="M38" s="41">
        <f>'Master File FMCG Team'!BO197</f>
        <v>86</v>
      </c>
      <c r="N38" s="41">
        <f>'Master File FMCG Team'!BP197</f>
        <v>0</v>
      </c>
      <c r="O38" s="28">
        <f>'Master File FMCG Team'!S197</f>
        <v>0</v>
      </c>
      <c r="P38" s="28">
        <f>'Master File FMCG Team'!CH197</f>
        <v>655</v>
      </c>
      <c r="Q38" s="29">
        <f>'Master File FMCG Team'!T197</f>
        <v>3</v>
      </c>
      <c r="R38" s="29">
        <f ca="1">'Master File FMCG Team'!CI197</f>
        <v>16.794871794871796</v>
      </c>
      <c r="S38" s="29" t="str">
        <f t="shared" ca="1" si="1"/>
        <v>🟡 Needs Improvement</v>
      </c>
      <c r="T38" s="29"/>
    </row>
    <row r="39" spans="1:20" ht="19.95" hidden="1" customHeight="1">
      <c r="A39" s="37" t="str">
        <f>'Master File FMCG Team'!A205</f>
        <v>ASM</v>
      </c>
      <c r="B39" s="38" t="str">
        <f>'Master File FMCG Team'!C205</f>
        <v>North-A</v>
      </c>
      <c r="C39" s="39" t="str">
        <f>'Master File FMCG Team'!D205</f>
        <v>LAHORE-3</v>
      </c>
      <c r="D39" s="38" t="str">
        <f>'Master File FMCG Team'!H205</f>
        <v>AGHA ALI HAIDER</v>
      </c>
      <c r="E39" s="28">
        <f>'Master File FMCG Team'!O205</f>
        <v>5</v>
      </c>
      <c r="F39" s="63">
        <f>'Master File FMCG Team'!P205</f>
        <v>1</v>
      </c>
      <c r="G39" s="63">
        <f t="shared" si="3"/>
        <v>0</v>
      </c>
      <c r="H39" s="40">
        <f>'Master File FMCG Team'!AH205</f>
        <v>4</v>
      </c>
      <c r="I39" s="28">
        <f>'Master File FMCG Team'!AI205</f>
        <v>4</v>
      </c>
      <c r="J39" s="28">
        <f>'Master File FMCG Team'!BA205</f>
        <v>45</v>
      </c>
      <c r="K39" s="29">
        <f>'Master File FMCG Team'!R205</f>
        <v>4</v>
      </c>
      <c r="L39" s="29">
        <f ca="1">'Master File FMCG Team'!BB205</f>
        <v>0.86538461538461542</v>
      </c>
      <c r="M39" s="41">
        <f>'Master File FMCG Team'!BO205</f>
        <v>166</v>
      </c>
      <c r="N39" s="41">
        <f>'Master File FMCG Team'!BP205</f>
        <v>0</v>
      </c>
      <c r="O39" s="28">
        <f>'Master File FMCG Team'!S205</f>
        <v>0</v>
      </c>
      <c r="P39" s="28">
        <f>'Master File FMCG Team'!CH205</f>
        <v>973</v>
      </c>
      <c r="Q39" s="29">
        <f>'Master File FMCG Team'!T205</f>
        <v>4</v>
      </c>
      <c r="R39" s="29">
        <f ca="1">'Master File FMCG Team'!CI205</f>
        <v>18.71153846153846</v>
      </c>
      <c r="S39" s="29" t="str">
        <f t="shared" ca="1" si="1"/>
        <v>🟡 Needs Improvement</v>
      </c>
      <c r="T39" s="29"/>
    </row>
    <row r="40" spans="1:20" ht="19.95" hidden="1" customHeight="1">
      <c r="A40" s="37" t="str">
        <f>'Master File FMCG Team'!A209</f>
        <v>CM</v>
      </c>
      <c r="B40" s="38" t="str">
        <f>'Master File FMCG Team'!C209</f>
        <v>North-A</v>
      </c>
      <c r="C40" s="39" t="str">
        <f>'Master File FMCG Team'!D209</f>
        <v>LAHORE-6</v>
      </c>
      <c r="D40" s="38" t="str">
        <f>'Master File FMCG Team'!H209</f>
        <v>Sy. Salman Zaidi (CM LHR)</v>
      </c>
      <c r="E40" s="28">
        <f>'Master File FMCG Team'!O209</f>
        <v>2</v>
      </c>
      <c r="F40" s="63">
        <f>'Master File FMCG Team'!P209</f>
        <v>0</v>
      </c>
      <c r="G40" s="63">
        <f t="shared" si="3"/>
        <v>2</v>
      </c>
      <c r="H40" s="40">
        <f>'Master File FMCG Team'!AH209</f>
        <v>0</v>
      </c>
      <c r="I40" s="28">
        <f>'Master File FMCG Team'!AI209</f>
        <v>0</v>
      </c>
      <c r="J40" s="28">
        <f>'Master File FMCG Team'!BA209</f>
        <v>5</v>
      </c>
      <c r="K40" s="29">
        <f>'Master File FMCG Team'!R209</f>
        <v>2</v>
      </c>
      <c r="L40" s="29">
        <f ca="1">'Master File FMCG Team'!BB209</f>
        <v>0.19230769230769232</v>
      </c>
      <c r="M40" s="41">
        <f>'Master File FMCG Team'!BO209</f>
        <v>0</v>
      </c>
      <c r="N40" s="41">
        <f>'Master File FMCG Team'!BP209</f>
        <v>0</v>
      </c>
      <c r="O40" s="28">
        <f>'Master File FMCG Team'!S209</f>
        <v>0</v>
      </c>
      <c r="P40" s="28">
        <f>'Master File FMCG Team'!CH209</f>
        <v>0</v>
      </c>
      <c r="Q40" s="29">
        <f>'Master File FMCG Team'!T209</f>
        <v>0</v>
      </c>
      <c r="R40" s="29">
        <f ca="1">'Master File FMCG Team'!CI209</f>
        <v>0</v>
      </c>
      <c r="S40" s="29" t="str">
        <f t="shared" ca="1" si="1"/>
        <v>🔴 Critical</v>
      </c>
      <c r="T40" s="29"/>
    </row>
    <row r="41" spans="1:20" ht="19.95" hidden="1" customHeight="1">
      <c r="A41" s="42" t="str">
        <f>'Master File FMCG Team'!A211</f>
        <v>TE</v>
      </c>
      <c r="B41" s="43" t="str">
        <f>'Master File FMCG Team'!C211</f>
        <v>North-A</v>
      </c>
      <c r="C41" s="44" t="str">
        <f>'Master File FMCG Team'!D211</f>
        <v>LAHORE-7</v>
      </c>
      <c r="D41" s="43" t="str">
        <f>'Master File FMCG Team'!H211</f>
        <v>WAQAS RASOOL (TE-LHR-01)</v>
      </c>
      <c r="E41" s="8">
        <f>'Master File FMCG Team'!O211</f>
        <v>1</v>
      </c>
      <c r="F41" s="14">
        <f>'Master File FMCG Team'!P211</f>
        <v>0</v>
      </c>
      <c r="G41" s="14">
        <f t="shared" si="3"/>
        <v>0</v>
      </c>
      <c r="H41" s="45">
        <f>'Master File FMCG Team'!AH211</f>
        <v>0</v>
      </c>
      <c r="I41" s="8">
        <f>'Master File FMCG Team'!AI211</f>
        <v>1</v>
      </c>
      <c r="J41" s="8">
        <f>'Master File FMCG Team'!BA211</f>
        <v>11</v>
      </c>
      <c r="K41" s="11">
        <f>'Master File FMCG Team'!R211</f>
        <v>1</v>
      </c>
      <c r="L41" s="11">
        <f ca="1">'Master File FMCG Team'!BB211</f>
        <v>0.84615384615384615</v>
      </c>
      <c r="M41" s="46">
        <f>'Master File FMCG Team'!BO211</f>
        <v>0</v>
      </c>
      <c r="N41" s="46">
        <f>'Master File FMCG Team'!BP211</f>
        <v>0</v>
      </c>
      <c r="O41" s="8">
        <f>'Master File FMCG Team'!S211</f>
        <v>0</v>
      </c>
      <c r="P41" s="8">
        <f>'Master File FMCG Team'!CH211</f>
        <v>0</v>
      </c>
      <c r="Q41" s="11">
        <f>'Master File FMCG Team'!T211</f>
        <v>0</v>
      </c>
      <c r="R41" s="11">
        <f ca="1">'Master File FMCG Team'!CI211</f>
        <v>0</v>
      </c>
      <c r="S41" s="11" t="str">
        <f t="shared" ca="1" si="1"/>
        <v>🔴 Critical</v>
      </c>
      <c r="T41" s="11"/>
    </row>
    <row r="42" spans="1:20" ht="19.95" hidden="1" customHeight="1">
      <c r="A42" s="42" t="str">
        <f>'Master File FMCG Team'!A213</f>
        <v>RSM</v>
      </c>
      <c r="B42" s="43" t="str">
        <f>'Master File FMCG Team'!C213</f>
        <v>North-A</v>
      </c>
      <c r="C42" s="44" t="str">
        <f>'Master File FMCG Team'!D213</f>
        <v>NTH-A Lahore</v>
      </c>
      <c r="D42" s="43" t="str">
        <f>'Master File FMCG Team'!H213</f>
        <v>Moeen Zafar</v>
      </c>
      <c r="E42" s="8">
        <f>'Master File FMCG Team'!O213</f>
        <v>20</v>
      </c>
      <c r="F42" s="14">
        <f>'Master File FMCG Team'!P213</f>
        <v>3</v>
      </c>
      <c r="G42" s="14">
        <f t="shared" si="3"/>
        <v>6</v>
      </c>
      <c r="H42" s="45">
        <f>'Master File FMCG Team'!AH213</f>
        <v>10</v>
      </c>
      <c r="I42" s="8">
        <f>'Master File FMCG Team'!AI213</f>
        <v>11</v>
      </c>
      <c r="J42" s="8">
        <f>'Master File FMCG Team'!BA213</f>
        <v>157</v>
      </c>
      <c r="K42" s="11">
        <f>'Master File FMCG Team'!R213</f>
        <v>17</v>
      </c>
      <c r="L42" s="11">
        <f ca="1">'Master File FMCG Team'!BB213</f>
        <v>0.71040723981900455</v>
      </c>
      <c r="M42" s="46">
        <f>'Master File FMCG Team'!BO213</f>
        <v>447</v>
      </c>
      <c r="N42" s="46">
        <f>'Master File FMCG Team'!BP213</f>
        <v>1</v>
      </c>
      <c r="O42" s="8">
        <f>'Master File FMCG Team'!S213</f>
        <v>1</v>
      </c>
      <c r="P42" s="8">
        <f>'Master File FMCG Team'!CH213</f>
        <v>2927</v>
      </c>
      <c r="Q42" s="11">
        <f>'Master File FMCG Team'!T213</f>
        <v>12</v>
      </c>
      <c r="R42" s="11">
        <f ca="1">'Master File FMCG Team'!CI213</f>
        <v>13.244343891402716</v>
      </c>
      <c r="S42" s="11" t="str">
        <f t="shared" ca="1" si="1"/>
        <v>🔴 Critical</v>
      </c>
      <c r="T42" s="11"/>
    </row>
    <row r="43" spans="1:20" ht="19.95" hidden="1" customHeight="1">
      <c r="A43" s="37" t="str">
        <f>'Master File FMCG Team'!A219</f>
        <v>ASM</v>
      </c>
      <c r="B43" s="38" t="str">
        <f>'Master File FMCG Team'!C219</f>
        <v>North-B</v>
      </c>
      <c r="C43" s="39" t="str">
        <f>'Master File FMCG Team'!D219</f>
        <v>SIALKOT-1</v>
      </c>
      <c r="D43" s="38" t="str">
        <f>'Master File FMCG Team'!H219</f>
        <v>IJAZ TABASSUM</v>
      </c>
      <c r="E43" s="28">
        <f>'Master File FMCG Team'!O219</f>
        <v>4</v>
      </c>
      <c r="F43" s="63">
        <f>'Master File FMCG Team'!P219</f>
        <v>0</v>
      </c>
      <c r="G43" s="63">
        <f t="shared" si="3"/>
        <v>0</v>
      </c>
      <c r="H43" s="40">
        <f>'Master File FMCG Team'!AH219</f>
        <v>4</v>
      </c>
      <c r="I43" s="28">
        <f>'Master File FMCG Team'!AI219</f>
        <v>4</v>
      </c>
      <c r="J43" s="28">
        <f>'Master File FMCG Team'!BA219</f>
        <v>48</v>
      </c>
      <c r="K43" s="29">
        <f>'Master File FMCG Team'!R219</f>
        <v>4</v>
      </c>
      <c r="L43" s="29">
        <f ca="1">'Master File FMCG Team'!BB219</f>
        <v>0.92307692307692313</v>
      </c>
      <c r="M43" s="41">
        <f>'Master File FMCG Team'!BO219</f>
        <v>79</v>
      </c>
      <c r="N43" s="41">
        <f>'Master File FMCG Team'!BP219</f>
        <v>0</v>
      </c>
      <c r="O43" s="28">
        <f>'Master File FMCG Team'!S219</f>
        <v>0</v>
      </c>
      <c r="P43" s="28">
        <f>'Master File FMCG Team'!CH219</f>
        <v>803</v>
      </c>
      <c r="Q43" s="29">
        <f>'Master File FMCG Team'!T219</f>
        <v>3</v>
      </c>
      <c r="R43" s="29">
        <f ca="1">'Master File FMCG Team'!CI219</f>
        <v>15.442307692307692</v>
      </c>
      <c r="S43" s="29" t="str">
        <f t="shared" ca="1" si="1"/>
        <v>🟡 Needs Improvement</v>
      </c>
      <c r="T43" s="29"/>
    </row>
    <row r="44" spans="1:20" ht="19.95" hidden="1" customHeight="1">
      <c r="A44" s="37" t="str">
        <f>'Master File FMCG Team'!A225</f>
        <v>ASM</v>
      </c>
      <c r="B44" s="38" t="str">
        <f>'Master File FMCG Team'!C225</f>
        <v>North-B</v>
      </c>
      <c r="C44" s="39" t="str">
        <f>'Master File FMCG Team'!D225</f>
        <v>GUJRAT-1</v>
      </c>
      <c r="D44" s="38" t="str">
        <f>'Master File FMCG Team'!H225</f>
        <v>SY. GOHAR RAZA</v>
      </c>
      <c r="E44" s="28">
        <f>'Master File FMCG Team'!O225</f>
        <v>3</v>
      </c>
      <c r="F44" s="63">
        <f>'Master File FMCG Team'!P225</f>
        <v>0</v>
      </c>
      <c r="G44" s="63">
        <f t="shared" si="3"/>
        <v>0</v>
      </c>
      <c r="H44" s="40">
        <f>'Master File FMCG Team'!AH225</f>
        <v>3</v>
      </c>
      <c r="I44" s="28">
        <f>'Master File FMCG Team'!AI225</f>
        <v>3</v>
      </c>
      <c r="J44" s="28">
        <f>'Master File FMCG Team'!BA225</f>
        <v>36</v>
      </c>
      <c r="K44" s="29">
        <f>'Master File FMCG Team'!R225</f>
        <v>3</v>
      </c>
      <c r="L44" s="29">
        <f ca="1">'Master File FMCG Team'!BB225</f>
        <v>0.92307692307692302</v>
      </c>
      <c r="M44" s="41">
        <f>'Master File FMCG Team'!BO225</f>
        <v>0</v>
      </c>
      <c r="N44" s="41">
        <f>'Master File FMCG Team'!BP225</f>
        <v>32</v>
      </c>
      <c r="O44" s="28">
        <f>'Master File FMCG Team'!S225</f>
        <v>2</v>
      </c>
      <c r="P44" s="28">
        <f>'Master File FMCG Team'!CH225</f>
        <v>574</v>
      </c>
      <c r="Q44" s="29">
        <f>'Master File FMCG Team'!T225</f>
        <v>3</v>
      </c>
      <c r="R44" s="29">
        <f ca="1">'Master File FMCG Team'!CI225</f>
        <v>14.717948717948717</v>
      </c>
      <c r="S44" s="29" t="str">
        <f t="shared" ca="1" si="1"/>
        <v>🔴 Critical</v>
      </c>
      <c r="T44" s="29"/>
    </row>
    <row r="45" spans="1:20" ht="19.95" hidden="1" customHeight="1">
      <c r="A45" s="37" t="str">
        <f>'Master File FMCG Team'!A232</f>
        <v>ASM</v>
      </c>
      <c r="B45" s="38" t="str">
        <f>'Master File FMCG Team'!C232</f>
        <v>North-B</v>
      </c>
      <c r="C45" s="39" t="str">
        <f>'Master File FMCG Team'!D232</f>
        <v>GUJRANWALA-1</v>
      </c>
      <c r="D45" s="38" t="str">
        <f>'Master File FMCG Team'!H232</f>
        <v>VACANT ASM-GUJ-01</v>
      </c>
      <c r="E45" s="28">
        <f>'Master File FMCG Team'!O232</f>
        <v>4</v>
      </c>
      <c r="F45" s="63">
        <f>'Master File FMCG Team'!P232</f>
        <v>1</v>
      </c>
      <c r="G45" s="63">
        <f t="shared" si="3"/>
        <v>1</v>
      </c>
      <c r="H45" s="40">
        <f>'Master File FMCG Team'!AH232</f>
        <v>2</v>
      </c>
      <c r="I45" s="28">
        <f>'Master File FMCG Team'!AI232</f>
        <v>2</v>
      </c>
      <c r="J45" s="28">
        <f>'Master File FMCG Team'!BA232</f>
        <v>38</v>
      </c>
      <c r="K45" s="29">
        <f>'Master File FMCG Team'!R232</f>
        <v>4</v>
      </c>
      <c r="L45" s="29">
        <f ca="1">'Master File FMCG Team'!BB232</f>
        <v>0.97435897435897434</v>
      </c>
      <c r="M45" s="41">
        <f>'Master File FMCG Team'!BO232</f>
        <v>45</v>
      </c>
      <c r="N45" s="41">
        <f>'Master File FMCG Team'!BP232</f>
        <v>0</v>
      </c>
      <c r="O45" s="28">
        <f>'Master File FMCG Team'!S232</f>
        <v>0</v>
      </c>
      <c r="P45" s="28">
        <f>'Master File FMCG Team'!CH232</f>
        <v>697</v>
      </c>
      <c r="Q45" s="29">
        <f>'Master File FMCG Team'!T232</f>
        <v>2</v>
      </c>
      <c r="R45" s="29">
        <f ca="1">'Master File FMCG Team'!CI232</f>
        <v>17.871794871794872</v>
      </c>
      <c r="S45" s="29" t="str">
        <f t="shared" ca="1" si="1"/>
        <v>🟡 Needs Improvement</v>
      </c>
      <c r="T45" s="29"/>
    </row>
    <row r="46" spans="1:20" ht="19.95" hidden="1" customHeight="1">
      <c r="A46" s="37" t="str">
        <f>'Master File FMCG Team'!A239</f>
        <v>ASM</v>
      </c>
      <c r="B46" s="38" t="str">
        <f>'Master File FMCG Team'!C239</f>
        <v>North-B</v>
      </c>
      <c r="C46" s="39" t="str">
        <f>'Master File FMCG Team'!D239</f>
        <v>GUJRANWALA-2</v>
      </c>
      <c r="D46" s="38" t="str">
        <f>'Master File FMCG Team'!H239</f>
        <v>WAQAS ALI</v>
      </c>
      <c r="E46" s="28">
        <f>'Master File FMCG Team'!O239</f>
        <v>4</v>
      </c>
      <c r="F46" s="63">
        <f>'Master File FMCG Team'!P239</f>
        <v>0</v>
      </c>
      <c r="G46" s="63">
        <f t="shared" si="3"/>
        <v>0</v>
      </c>
      <c r="H46" s="40">
        <f>'Master File FMCG Team'!AH239</f>
        <v>4</v>
      </c>
      <c r="I46" s="28">
        <f>'Master File FMCG Team'!AI239</f>
        <v>4</v>
      </c>
      <c r="J46" s="28">
        <f>'Master File FMCG Team'!BA239</f>
        <v>46</v>
      </c>
      <c r="K46" s="29">
        <f>'Master File FMCG Team'!R239</f>
        <v>4</v>
      </c>
      <c r="L46" s="29">
        <f ca="1">'Master File FMCG Team'!BB239</f>
        <v>0.88461538461538458</v>
      </c>
      <c r="M46" s="41">
        <f>'Master File FMCG Team'!BO239</f>
        <v>77</v>
      </c>
      <c r="N46" s="41">
        <f>'Master File FMCG Team'!BP239</f>
        <v>0</v>
      </c>
      <c r="O46" s="28">
        <f>'Master File FMCG Team'!S239</f>
        <v>0</v>
      </c>
      <c r="P46" s="28">
        <f>'Master File FMCG Team'!CH239</f>
        <v>500</v>
      </c>
      <c r="Q46" s="29">
        <f>'Master File FMCG Team'!T239</f>
        <v>4</v>
      </c>
      <c r="R46" s="29">
        <f ca="1">'Master File FMCG Team'!CI239</f>
        <v>9.615384615384615</v>
      </c>
      <c r="S46" s="29" t="str">
        <f t="shared" ca="1" si="1"/>
        <v>🔴 Critical</v>
      </c>
      <c r="T46" s="29"/>
    </row>
    <row r="47" spans="1:20" ht="19.95" hidden="1" customHeight="1">
      <c r="A47" s="37" t="str">
        <f>'Master File FMCG Team'!A240</f>
        <v>TE</v>
      </c>
      <c r="B47" s="38" t="str">
        <f>'Master File FMCG Team'!C240</f>
        <v>North-B</v>
      </c>
      <c r="C47" s="39" t="str">
        <f>'Master File FMCG Team'!D240</f>
        <v>Gujranwala-3</v>
      </c>
      <c r="D47" s="38" t="str">
        <f>'Master File FMCG Team'!H240</f>
        <v>VACANT (TE-GJW-01)</v>
      </c>
      <c r="E47" s="28">
        <f>'Master File FMCG Team'!O240</f>
        <v>1</v>
      </c>
      <c r="F47" s="63">
        <f>'Master File FMCG Team'!P240</f>
        <v>1</v>
      </c>
      <c r="G47" s="63">
        <f t="shared" si="3"/>
        <v>0</v>
      </c>
      <c r="H47" s="40">
        <f>'Master File FMCG Team'!AH240</f>
        <v>0</v>
      </c>
      <c r="I47" s="28">
        <f>'Master File FMCG Team'!AI240</f>
        <v>0</v>
      </c>
      <c r="J47" s="28">
        <f>'Master File FMCG Team'!BA240</f>
        <v>5</v>
      </c>
      <c r="K47" s="29">
        <f>'Master File FMCG Team'!R240</f>
        <v>1</v>
      </c>
      <c r="L47" s="29">
        <f ca="1">'Master File FMCG Team'!BB240</f>
        <v>0</v>
      </c>
      <c r="M47" s="41">
        <f>'Master File FMCG Team'!BO240</f>
        <v>0</v>
      </c>
      <c r="N47" s="41">
        <f>'Master File FMCG Team'!BP240</f>
        <v>0</v>
      </c>
      <c r="O47" s="28">
        <f>'Master File FMCG Team'!S240</f>
        <v>0</v>
      </c>
      <c r="P47" s="28">
        <f>'Master File FMCG Team'!CH240</f>
        <v>0</v>
      </c>
      <c r="Q47" s="29">
        <f>'Master File FMCG Team'!T240</f>
        <v>0</v>
      </c>
      <c r="R47" s="29">
        <f ca="1">'Master File FMCG Team'!CI240</f>
        <v>0</v>
      </c>
      <c r="S47" s="29" t="str">
        <f t="shared" ca="1" si="1"/>
        <v>🔴 Critical</v>
      </c>
      <c r="T47" s="29"/>
    </row>
    <row r="48" spans="1:20" ht="19.95" hidden="1" customHeight="1">
      <c r="A48" s="42" t="str">
        <f>'Master File FMCG Team'!A242</f>
        <v>RSM</v>
      </c>
      <c r="B48" s="43" t="str">
        <f>'Master File FMCG Team'!C242</f>
        <v>North-B</v>
      </c>
      <c r="C48" s="44" t="str">
        <f>'Master File FMCG Team'!D242</f>
        <v>NTH-B Gujranwala</v>
      </c>
      <c r="D48" s="43" t="str">
        <f>'Master File FMCG Team'!H242</f>
        <v>Noman Ashfaq</v>
      </c>
      <c r="E48" s="8">
        <f>'Master File FMCG Team'!O242</f>
        <v>16</v>
      </c>
      <c r="F48" s="14">
        <f>'Master File FMCG Team'!P242</f>
        <v>2</v>
      </c>
      <c r="G48" s="14">
        <f t="shared" si="3"/>
        <v>1</v>
      </c>
      <c r="H48" s="45">
        <f>'Master File FMCG Team'!AH242</f>
        <v>13</v>
      </c>
      <c r="I48" s="8">
        <f>'Master File FMCG Team'!AI242</f>
        <v>13</v>
      </c>
      <c r="J48" s="8">
        <f>'Master File FMCG Team'!BA242</f>
        <v>173</v>
      </c>
      <c r="K48" s="11">
        <f>'Master File FMCG Team'!R242</f>
        <v>16</v>
      </c>
      <c r="L48" s="11">
        <f ca="1">'Master File FMCG Team'!BB242</f>
        <v>0.95054945054945061</v>
      </c>
      <c r="M48" s="46">
        <f>'Master File FMCG Team'!BO242</f>
        <v>201</v>
      </c>
      <c r="N48" s="46">
        <f>'Master File FMCG Team'!BP242</f>
        <v>32</v>
      </c>
      <c r="O48" s="8">
        <f>'Master File FMCG Team'!S242</f>
        <v>2</v>
      </c>
      <c r="P48" s="8">
        <f>'Master File FMCG Team'!CH242</f>
        <v>2574</v>
      </c>
      <c r="Q48" s="11">
        <f>'Master File FMCG Team'!T242</f>
        <v>12</v>
      </c>
      <c r="R48" s="11">
        <f ca="1">'Master File FMCG Team'!CI242</f>
        <v>14.142857142857142</v>
      </c>
      <c r="S48" s="11" t="str">
        <f t="shared" ca="1" si="1"/>
        <v>🔴 Critical</v>
      </c>
      <c r="T48" s="11"/>
    </row>
    <row r="49" spans="1:20" ht="19.95" hidden="1" customHeight="1">
      <c r="A49" s="37" t="str">
        <f>'Master File FMCG Team'!A249</f>
        <v>ASM</v>
      </c>
      <c r="B49" s="38" t="str">
        <f>'Master File FMCG Team'!C249</f>
        <v>North-C</v>
      </c>
      <c r="C49" s="39" t="str">
        <f>'Master File FMCG Team'!D249</f>
        <v>KASUR-1</v>
      </c>
      <c r="D49" s="38" t="str">
        <f>'Master File FMCG Team'!H249</f>
        <v>GHULAM RASOOL</v>
      </c>
      <c r="E49" s="28">
        <f>'Master File FMCG Team'!O249</f>
        <v>4</v>
      </c>
      <c r="F49" s="63">
        <f>'Master File FMCG Team'!P249</f>
        <v>0</v>
      </c>
      <c r="G49" s="63">
        <f t="shared" si="3"/>
        <v>0</v>
      </c>
      <c r="H49" s="40">
        <f>'Master File FMCG Team'!AH249</f>
        <v>4</v>
      </c>
      <c r="I49" s="28">
        <f>'Master File FMCG Team'!AI249</f>
        <v>4</v>
      </c>
      <c r="J49" s="28">
        <f>'Master File FMCG Team'!BA249</f>
        <v>48</v>
      </c>
      <c r="K49" s="29">
        <f>'Master File FMCG Team'!R249</f>
        <v>4</v>
      </c>
      <c r="L49" s="29">
        <f ca="1">'Master File FMCG Team'!BB249</f>
        <v>0.92307692307692313</v>
      </c>
      <c r="M49" s="41">
        <f>'Master File FMCG Team'!BO249</f>
        <v>136</v>
      </c>
      <c r="N49" s="41">
        <f>'Master File FMCG Team'!BP249</f>
        <v>31</v>
      </c>
      <c r="O49" s="28">
        <f>'Master File FMCG Team'!S249</f>
        <v>3</v>
      </c>
      <c r="P49" s="28">
        <f>'Master File FMCG Team'!CH249</f>
        <v>1443</v>
      </c>
      <c r="Q49" s="29">
        <f>'Master File FMCG Team'!T249</f>
        <v>4</v>
      </c>
      <c r="R49" s="29">
        <f ca="1">'Master File FMCG Team'!CI249</f>
        <v>27.75</v>
      </c>
      <c r="S49" s="29" t="str">
        <f t="shared" ca="1" si="1"/>
        <v>🟡 Needs Improvement</v>
      </c>
      <c r="T49" s="29"/>
    </row>
    <row r="50" spans="1:20" ht="19.95" hidden="1" customHeight="1">
      <c r="A50" s="37" t="str">
        <f>'Master File FMCG Team'!A256</f>
        <v>ASM</v>
      </c>
      <c r="B50" s="38" t="str">
        <f>'Master File FMCG Team'!C256</f>
        <v>North-C</v>
      </c>
      <c r="C50" s="39" t="str">
        <f>'Master File FMCG Team'!D256</f>
        <v>OKARA-1</v>
      </c>
      <c r="D50" s="38" t="str">
        <f>'Master File FMCG Team'!H256</f>
        <v>VACANT OKR ASM</v>
      </c>
      <c r="E50" s="28">
        <f>'Master File FMCG Team'!O256</f>
        <v>4</v>
      </c>
      <c r="F50" s="63">
        <f>'Master File FMCG Team'!P256</f>
        <v>0</v>
      </c>
      <c r="G50" s="63">
        <f t="shared" si="3"/>
        <v>0</v>
      </c>
      <c r="H50" s="40">
        <f>'Master File FMCG Team'!AH256</f>
        <v>4</v>
      </c>
      <c r="I50" s="28">
        <f>'Master File FMCG Team'!AI256</f>
        <v>4</v>
      </c>
      <c r="J50" s="28">
        <f>'Master File FMCG Team'!BA256</f>
        <v>48</v>
      </c>
      <c r="K50" s="29">
        <f>'Master File FMCG Team'!R256</f>
        <v>4</v>
      </c>
      <c r="L50" s="29">
        <f ca="1">'Master File FMCG Team'!BB256</f>
        <v>0.92307692307692313</v>
      </c>
      <c r="M50" s="41">
        <f>'Master File FMCG Team'!BO256</f>
        <v>152</v>
      </c>
      <c r="N50" s="41">
        <f>'Master File FMCG Team'!BP256</f>
        <v>0</v>
      </c>
      <c r="O50" s="28">
        <f>'Master File FMCG Team'!S256</f>
        <v>0</v>
      </c>
      <c r="P50" s="28">
        <f>'Master File FMCG Team'!CH256</f>
        <v>1368</v>
      </c>
      <c r="Q50" s="29">
        <f>'Master File FMCG Team'!T256</f>
        <v>4</v>
      </c>
      <c r="R50" s="29">
        <f ca="1">'Master File FMCG Team'!CI256</f>
        <v>26.307692307692307</v>
      </c>
      <c r="S50" s="29" t="str">
        <f t="shared" ca="1" si="1"/>
        <v>🟡 Needs Improvement</v>
      </c>
      <c r="T50" s="29"/>
    </row>
    <row r="51" spans="1:20" ht="19.95" hidden="1" customHeight="1">
      <c r="A51" s="37" t="str">
        <f>'Master File FMCG Team'!A263</f>
        <v>ASM</v>
      </c>
      <c r="B51" s="38" t="str">
        <f>'Master File FMCG Team'!C263</f>
        <v>North-C</v>
      </c>
      <c r="C51" s="39" t="str">
        <f>'Master File FMCG Team'!D263</f>
        <v>SAHIWAL-1</v>
      </c>
      <c r="D51" s="38" t="str">
        <f>'Master File FMCG Team'!H263</f>
        <v>M. SARFARZ</v>
      </c>
      <c r="E51" s="28">
        <f>'Master File FMCG Team'!O263</f>
        <v>4</v>
      </c>
      <c r="F51" s="63">
        <f>'Master File FMCG Team'!P263</f>
        <v>0</v>
      </c>
      <c r="G51" s="63">
        <f t="shared" si="3"/>
        <v>0</v>
      </c>
      <c r="H51" s="40">
        <f>'Master File FMCG Team'!AH263</f>
        <v>4</v>
      </c>
      <c r="I51" s="28">
        <f>'Master File FMCG Team'!AI263</f>
        <v>4</v>
      </c>
      <c r="J51" s="28">
        <f>'Master File FMCG Team'!BA263</f>
        <v>47</v>
      </c>
      <c r="K51" s="29">
        <f>'Master File FMCG Team'!R263</f>
        <v>4</v>
      </c>
      <c r="L51" s="29">
        <f ca="1">'Master File FMCG Team'!BB263</f>
        <v>0.90384615384615385</v>
      </c>
      <c r="M51" s="41">
        <f>'Master File FMCG Team'!BO263</f>
        <v>154</v>
      </c>
      <c r="N51" s="41">
        <f>'Master File FMCG Team'!BP263</f>
        <v>0</v>
      </c>
      <c r="O51" s="28">
        <f>'Master File FMCG Team'!S263</f>
        <v>0</v>
      </c>
      <c r="P51" s="28">
        <f>'Master File FMCG Team'!CH263</f>
        <v>1219</v>
      </c>
      <c r="Q51" s="29">
        <f>'Master File FMCG Team'!T263</f>
        <v>4</v>
      </c>
      <c r="R51" s="29">
        <f ca="1">'Master File FMCG Team'!CI263</f>
        <v>23.442307692307693</v>
      </c>
      <c r="S51" s="29" t="str">
        <f t="shared" ca="1" si="1"/>
        <v>🟡 Needs Improvement</v>
      </c>
      <c r="T51" s="29"/>
    </row>
    <row r="52" spans="1:20" ht="19.95" hidden="1" customHeight="1">
      <c r="A52" s="37" t="str">
        <f>'Master File FMCG Team'!A270</f>
        <v>ASM</v>
      </c>
      <c r="B52" s="38" t="str">
        <f>'Master File FMCG Team'!C270</f>
        <v>North-C</v>
      </c>
      <c r="C52" s="39" t="str">
        <f>'Master File FMCG Team'!D270</f>
        <v>BAHAWALNAGAR-1</v>
      </c>
      <c r="D52" s="38" t="str">
        <f>'Master File FMCG Team'!H270</f>
        <v>NASIR BASHIR</v>
      </c>
      <c r="E52" s="28">
        <f>'Master File FMCG Team'!O270</f>
        <v>4</v>
      </c>
      <c r="F52" s="63">
        <f>'Master File FMCG Team'!P270</f>
        <v>0</v>
      </c>
      <c r="G52" s="63">
        <f t="shared" si="3"/>
        <v>0</v>
      </c>
      <c r="H52" s="40">
        <f>'Master File FMCG Team'!AH270</f>
        <v>4</v>
      </c>
      <c r="I52" s="28">
        <f>'Master File FMCG Team'!AI270</f>
        <v>4</v>
      </c>
      <c r="J52" s="28">
        <f>'Master File FMCG Team'!BA270</f>
        <v>46</v>
      </c>
      <c r="K52" s="29">
        <f>'Master File FMCG Team'!R270</f>
        <v>4</v>
      </c>
      <c r="L52" s="29">
        <f ca="1">'Master File FMCG Team'!BB270</f>
        <v>0.88461538461538458</v>
      </c>
      <c r="M52" s="41">
        <f>'Master File FMCG Team'!BO270</f>
        <v>9</v>
      </c>
      <c r="N52" s="41">
        <f>'Master File FMCG Team'!BP270</f>
        <v>0</v>
      </c>
      <c r="O52" s="28">
        <f>'Master File FMCG Team'!S270</f>
        <v>0</v>
      </c>
      <c r="P52" s="28">
        <f>'Master File FMCG Team'!CH270</f>
        <v>441</v>
      </c>
      <c r="Q52" s="29">
        <f>'Master File FMCG Team'!T270</f>
        <v>3</v>
      </c>
      <c r="R52" s="29">
        <f ca="1">'Master File FMCG Team'!CI270</f>
        <v>8.4807692307692299</v>
      </c>
      <c r="S52" s="29" t="str">
        <f t="shared" ca="1" si="1"/>
        <v>🔴 Critical</v>
      </c>
      <c r="T52" s="29"/>
    </row>
    <row r="53" spans="1:20" ht="19.95" hidden="1" customHeight="1">
      <c r="A53" s="42" t="str">
        <f>'Master File FMCG Team'!A273</f>
        <v>RSM</v>
      </c>
      <c r="B53" s="43" t="str">
        <f>'Master File FMCG Team'!C273</f>
        <v>North-C</v>
      </c>
      <c r="C53" s="44" t="str">
        <f>'Master File FMCG Team'!D273</f>
        <v>NTH-C Okara</v>
      </c>
      <c r="D53" s="43" t="str">
        <f>'Master File FMCG Team'!H273</f>
        <v>Naqash Afzal</v>
      </c>
      <c r="E53" s="8">
        <f>'Master File FMCG Team'!O273</f>
        <v>16</v>
      </c>
      <c r="F53" s="14">
        <f>'Master File FMCG Team'!P273</f>
        <v>0</v>
      </c>
      <c r="G53" s="14">
        <f t="shared" si="3"/>
        <v>0</v>
      </c>
      <c r="H53" s="45">
        <f>'Master File FMCG Team'!AH273</f>
        <v>16</v>
      </c>
      <c r="I53" s="8">
        <f>'Master File FMCG Team'!AI273</f>
        <v>16</v>
      </c>
      <c r="J53" s="8">
        <f>'Master File FMCG Team'!BA273</f>
        <v>189</v>
      </c>
      <c r="K53" s="11">
        <f>'Master File FMCG Team'!R273</f>
        <v>16</v>
      </c>
      <c r="L53" s="11">
        <f ca="1">'Master File FMCG Team'!BB273</f>
        <v>0.90865384615384615</v>
      </c>
      <c r="M53" s="46">
        <f>'Master File FMCG Team'!BO273</f>
        <v>451</v>
      </c>
      <c r="N53" s="46">
        <f>'Master File FMCG Team'!BP273</f>
        <v>31</v>
      </c>
      <c r="O53" s="8">
        <f>'Master File FMCG Team'!S273</f>
        <v>3</v>
      </c>
      <c r="P53" s="8">
        <f>'Master File FMCG Team'!CH273</f>
        <v>4471</v>
      </c>
      <c r="Q53" s="11">
        <f>'Master File FMCG Team'!T273</f>
        <v>15</v>
      </c>
      <c r="R53" s="11">
        <f ca="1">'Master File FMCG Team'!CI273</f>
        <v>21.495192307692307</v>
      </c>
      <c r="S53" s="11" t="str">
        <f t="shared" ca="1" si="1"/>
        <v>🟡 Needs Improvement</v>
      </c>
      <c r="T53" s="11"/>
    </row>
    <row r="54" spans="1:20" ht="19.95" hidden="1" customHeight="1">
      <c r="A54" s="37" t="str">
        <f>'Master File FMCG Team'!A280</f>
        <v>ASM</v>
      </c>
      <c r="B54" s="38" t="str">
        <f>'Master File FMCG Team'!C280</f>
        <v>North-B</v>
      </c>
      <c r="C54" s="39" t="str">
        <f>'Master File FMCG Team'!D280</f>
        <v>JHELUM-1</v>
      </c>
      <c r="D54" s="38" t="str">
        <f>'Master File FMCG Team'!H280</f>
        <v>EHSAN AFZAL</v>
      </c>
      <c r="E54" s="28">
        <f>'Master File FMCG Team'!O280</f>
        <v>4</v>
      </c>
      <c r="F54" s="63">
        <f>'Master File FMCG Team'!P280</f>
        <v>0</v>
      </c>
      <c r="G54" s="63">
        <f>E54-I54-F54</f>
        <v>0</v>
      </c>
      <c r="H54" s="40">
        <f>'Master File FMCG Team'!AH280</f>
        <v>2</v>
      </c>
      <c r="I54" s="28">
        <f>'Master File FMCG Team'!AI280</f>
        <v>4</v>
      </c>
      <c r="J54" s="28">
        <f>'Master File FMCG Team'!BA280</f>
        <v>44</v>
      </c>
      <c r="K54" s="29">
        <f>'Master File FMCG Team'!R280</f>
        <v>4</v>
      </c>
      <c r="L54" s="29">
        <f ca="1">'Master File FMCG Team'!BB280</f>
        <v>0.84615384615384615</v>
      </c>
      <c r="M54" s="41">
        <f>'Master File FMCG Team'!BO280</f>
        <v>86</v>
      </c>
      <c r="N54" s="41">
        <f>'Master File FMCG Team'!BP280</f>
        <v>1</v>
      </c>
      <c r="O54" s="28">
        <f>'Master File FMCG Team'!S280</f>
        <v>1</v>
      </c>
      <c r="P54" s="28">
        <f>'Master File FMCG Team'!CH280</f>
        <v>1539</v>
      </c>
      <c r="Q54" s="29">
        <f>'Master File FMCG Team'!T280</f>
        <v>4</v>
      </c>
      <c r="R54" s="29">
        <f ca="1">'Master File FMCG Team'!CI280</f>
        <v>29.596153846153847</v>
      </c>
      <c r="S54" s="29" t="str">
        <f ca="1">IF(R54&gt;=30,"🟢 Excellent",IF(R54&gt;=15,"🟡 Needs Improvement","🔴 Critical"))</f>
        <v>🟡 Needs Improvement</v>
      </c>
      <c r="T54" s="29"/>
    </row>
    <row r="55" spans="1:20" ht="19.95" hidden="1" customHeight="1">
      <c r="A55" s="37" t="str">
        <f>'Master File FMCG Team'!A288</f>
        <v>ASM</v>
      </c>
      <c r="B55" s="38" t="str">
        <f>'Master File FMCG Team'!C288</f>
        <v>North-D</v>
      </c>
      <c r="C55" s="39" t="str">
        <f>'Master File FMCG Team'!D288</f>
        <v>ISLAMABAD-1</v>
      </c>
      <c r="D55" s="38" t="str">
        <f>'Master File FMCG Team'!H288</f>
        <v>SHAFQAT ZAMAN</v>
      </c>
      <c r="E55" s="28">
        <f>'Master File FMCG Team'!O288</f>
        <v>5</v>
      </c>
      <c r="F55" s="63">
        <f>'Master File FMCG Team'!P288</f>
        <v>0</v>
      </c>
      <c r="G55" s="63">
        <f t="shared" si="3"/>
        <v>0</v>
      </c>
      <c r="H55" s="40">
        <f>'Master File FMCG Team'!AH288</f>
        <v>3</v>
      </c>
      <c r="I55" s="28">
        <f>'Master File FMCG Team'!AI288</f>
        <v>5</v>
      </c>
      <c r="J55" s="28">
        <f>'Master File FMCG Team'!BA288</f>
        <v>41</v>
      </c>
      <c r="K55" s="29">
        <f>'Master File FMCG Team'!R288</f>
        <v>5</v>
      </c>
      <c r="L55" s="29">
        <f ca="1">'Master File FMCG Team'!BB288</f>
        <v>0.63076923076923075</v>
      </c>
      <c r="M55" s="41">
        <f>'Master File FMCG Team'!BO288</f>
        <v>81</v>
      </c>
      <c r="N55" s="41">
        <f>'Master File FMCG Team'!BP288</f>
        <v>15</v>
      </c>
      <c r="O55" s="28">
        <f>'Master File FMCG Team'!S288</f>
        <v>3</v>
      </c>
      <c r="P55" s="28">
        <f>'Master File FMCG Team'!CH288</f>
        <v>1308</v>
      </c>
      <c r="Q55" s="29">
        <f>'Master File FMCG Team'!T288</f>
        <v>5</v>
      </c>
      <c r="R55" s="29">
        <f ca="1">'Master File FMCG Team'!CI288</f>
        <v>20.123076923076923</v>
      </c>
      <c r="S55" s="29" t="str">
        <f t="shared" ca="1" si="1"/>
        <v>🟡 Needs Improvement</v>
      </c>
      <c r="T55" s="29"/>
    </row>
    <row r="56" spans="1:20" ht="19.95" hidden="1" customHeight="1">
      <c r="A56" s="37" t="str">
        <f>'Master File FMCG Team'!A296</f>
        <v>ASM</v>
      </c>
      <c r="B56" s="38" t="str">
        <f>'Master File FMCG Team'!C296</f>
        <v>North-D</v>
      </c>
      <c r="C56" s="39" t="str">
        <f>'Master File FMCG Team'!D296</f>
        <v>RAWALPINDI-1</v>
      </c>
      <c r="D56" s="38" t="str">
        <f>'Master File FMCG Team'!H296</f>
        <v>GHULAM ABBAS</v>
      </c>
      <c r="E56" s="28">
        <f>'Master File FMCG Team'!O296</f>
        <v>5</v>
      </c>
      <c r="F56" s="63">
        <f>'Master File FMCG Team'!P296</f>
        <v>1</v>
      </c>
      <c r="G56" s="63">
        <f t="shared" si="3"/>
        <v>1</v>
      </c>
      <c r="H56" s="40">
        <f>'Master File FMCG Team'!AH296</f>
        <v>4</v>
      </c>
      <c r="I56" s="28">
        <f>'Master File FMCG Team'!AI296</f>
        <v>3</v>
      </c>
      <c r="J56" s="28">
        <f>'Master File FMCG Team'!BA296</f>
        <v>46</v>
      </c>
      <c r="K56" s="29">
        <f>'Master File FMCG Team'!R296</f>
        <v>5</v>
      </c>
      <c r="L56" s="29">
        <f ca="1">'Master File FMCG Team'!BB296</f>
        <v>0.88461538461538458</v>
      </c>
      <c r="M56" s="41">
        <f>'Master File FMCG Team'!BO296</f>
        <v>105</v>
      </c>
      <c r="N56" s="41">
        <f>'Master File FMCG Team'!BP296</f>
        <v>0</v>
      </c>
      <c r="O56" s="28">
        <f>'Master File FMCG Team'!S296</f>
        <v>0</v>
      </c>
      <c r="P56" s="28">
        <f>'Master File FMCG Team'!CH296</f>
        <v>1144</v>
      </c>
      <c r="Q56" s="29">
        <f>'Master File FMCG Team'!T296</f>
        <v>5</v>
      </c>
      <c r="R56" s="29">
        <f ca="1">'Master File FMCG Team'!CI296</f>
        <v>22</v>
      </c>
      <c r="S56" s="29" t="str">
        <f t="shared" ca="1" si="1"/>
        <v>🟡 Needs Improvement</v>
      </c>
      <c r="T56" s="29"/>
    </row>
    <row r="57" spans="1:20" ht="19.95" hidden="1" customHeight="1">
      <c r="A57" s="37" t="str">
        <f>'Master File FMCG Team'!A300</f>
        <v>CM</v>
      </c>
      <c r="B57" s="38" t="str">
        <f>'Master File FMCG Team'!C300</f>
        <v>North-D</v>
      </c>
      <c r="C57" s="39" t="str">
        <f>'Master File FMCG Team'!D300</f>
        <v>NTH-D ISLAMABAD</v>
      </c>
      <c r="D57" s="38" t="str">
        <f>'Master File FMCG Team'!H300</f>
        <v>Altaf Hussain (CM RWP)</v>
      </c>
      <c r="E57" s="28">
        <f>'Master File FMCG Team'!O300</f>
        <v>3</v>
      </c>
      <c r="F57" s="63">
        <f>'Master File FMCG Team'!P300</f>
        <v>0</v>
      </c>
      <c r="G57" s="63">
        <f t="shared" si="3"/>
        <v>0</v>
      </c>
      <c r="H57" s="40">
        <f>'Master File FMCG Team'!AH300</f>
        <v>3</v>
      </c>
      <c r="I57" s="28">
        <f>'Master File FMCG Team'!AI300</f>
        <v>3</v>
      </c>
      <c r="J57" s="28">
        <f>'Master File FMCG Team'!BA300</f>
        <v>34</v>
      </c>
      <c r="K57" s="29">
        <f>'Master File FMCG Team'!R300</f>
        <v>3</v>
      </c>
      <c r="L57" s="29">
        <f ca="1">'Master File FMCG Team'!BB300</f>
        <v>0.87179487179487181</v>
      </c>
      <c r="M57" s="41">
        <f>'Master File FMCG Team'!BO300</f>
        <v>7</v>
      </c>
      <c r="N57" s="41">
        <f>'Master File FMCG Team'!BP300</f>
        <v>9</v>
      </c>
      <c r="O57" s="28">
        <f>'Master File FMCG Team'!S300</f>
        <v>2</v>
      </c>
      <c r="P57" s="28">
        <f>'Master File FMCG Team'!CH300</f>
        <v>58</v>
      </c>
      <c r="Q57" s="29">
        <f>'Master File FMCG Team'!T300</f>
        <v>3</v>
      </c>
      <c r="R57" s="29">
        <f ca="1">'Master File FMCG Team'!CI300</f>
        <v>1.4871794871794872</v>
      </c>
      <c r="S57" s="29" t="str">
        <f t="shared" ca="1" si="1"/>
        <v>🔴 Critical</v>
      </c>
      <c r="T57" s="29"/>
    </row>
    <row r="58" spans="1:20" ht="19.95" hidden="1" customHeight="1">
      <c r="A58" s="37" t="str">
        <f>'Master File FMCG Team'!A301</f>
        <v>TE</v>
      </c>
      <c r="B58" s="38" t="str">
        <f>'Master File FMCG Team'!C301</f>
        <v>North-D</v>
      </c>
      <c r="C58" s="39" t="str">
        <f>'Master File FMCG Team'!D301</f>
        <v>NTH-D ISLAMABAD</v>
      </c>
      <c r="D58" s="38" t="str">
        <f>'Master File FMCG Team'!H301</f>
        <v>SAEED SALEEM (TE-RWP-01)</v>
      </c>
      <c r="E58" s="28">
        <f>'Master File FMCG Team'!O301</f>
        <v>1</v>
      </c>
      <c r="F58" s="63">
        <f>'Master File FMCG Team'!P301</f>
        <v>0</v>
      </c>
      <c r="G58" s="63">
        <f t="shared" si="3"/>
        <v>0</v>
      </c>
      <c r="H58" s="40">
        <f>'Master File FMCG Team'!AH301</f>
        <v>1</v>
      </c>
      <c r="I58" s="28">
        <f>'Master File FMCG Team'!AI301</f>
        <v>1</v>
      </c>
      <c r="J58" s="28">
        <f>'Master File FMCG Team'!BA301</f>
        <v>13</v>
      </c>
      <c r="K58" s="29">
        <f>'Master File FMCG Team'!R301</f>
        <v>1</v>
      </c>
      <c r="L58" s="29">
        <f ca="1">'Master File FMCG Team'!BB301</f>
        <v>1</v>
      </c>
      <c r="M58" s="41">
        <f>'Master File FMCG Team'!BO301</f>
        <v>5</v>
      </c>
      <c r="N58" s="41">
        <f>'Master File FMCG Team'!BP301</f>
        <v>0</v>
      </c>
      <c r="O58" s="28">
        <f>'Master File FMCG Team'!S301</f>
        <v>0</v>
      </c>
      <c r="P58" s="28">
        <f>'Master File FMCG Team'!CH301</f>
        <v>26</v>
      </c>
      <c r="Q58" s="29">
        <f>'Master File FMCG Team'!T301</f>
        <v>1</v>
      </c>
      <c r="R58" s="29">
        <f ca="1">'Master File FMCG Team'!CI301</f>
        <v>2</v>
      </c>
      <c r="S58" s="29" t="str">
        <f t="shared" ca="1" si="1"/>
        <v>🔴 Critical</v>
      </c>
      <c r="T58" s="29"/>
    </row>
    <row r="59" spans="1:20" ht="19.95" hidden="1" customHeight="1">
      <c r="A59" s="42" t="str">
        <f>'Master File FMCG Team'!A303</f>
        <v>RSM</v>
      </c>
      <c r="B59" s="43" t="str">
        <f>'Master File FMCG Team'!C303</f>
        <v>North-D</v>
      </c>
      <c r="C59" s="44" t="str">
        <f>'Master File FMCG Team'!D303</f>
        <v>NTH-D Islamabad</v>
      </c>
      <c r="D59" s="43" t="str">
        <f>'Master File FMCG Team'!H303</f>
        <v>Azeem Abbas</v>
      </c>
      <c r="E59" s="8">
        <f>'Master File FMCG Team'!O303</f>
        <v>18</v>
      </c>
      <c r="F59" s="14">
        <f>'Master File FMCG Team'!P303</f>
        <v>1</v>
      </c>
      <c r="G59" s="14">
        <f t="shared" si="3"/>
        <v>1</v>
      </c>
      <c r="H59" s="45">
        <f>'Master File FMCG Team'!AH303</f>
        <v>13</v>
      </c>
      <c r="I59" s="8">
        <f>'Master File FMCG Team'!AI303</f>
        <v>16</v>
      </c>
      <c r="J59" s="8">
        <f>'Master File FMCG Team'!BA303</f>
        <v>178</v>
      </c>
      <c r="K59" s="11">
        <f>'Master File FMCG Team'!R303</f>
        <v>18</v>
      </c>
      <c r="L59" s="11">
        <f ca="1">'Master File FMCG Team'!BB303</f>
        <v>0.80542986425339358</v>
      </c>
      <c r="M59" s="46">
        <f>'Master File FMCG Team'!BO303</f>
        <v>284</v>
      </c>
      <c r="N59" s="46">
        <f>'Master File FMCG Team'!BP303</f>
        <v>25</v>
      </c>
      <c r="O59" s="8">
        <f>'Master File FMCG Team'!S303</f>
        <v>6</v>
      </c>
      <c r="P59" s="8">
        <f>'Master File FMCG Team'!CH303</f>
        <v>4075</v>
      </c>
      <c r="Q59" s="11">
        <f>'Master File FMCG Team'!T303</f>
        <v>18</v>
      </c>
      <c r="R59" s="11">
        <f ca="1">'Master File FMCG Team'!CI303</f>
        <v>18.43891402714932</v>
      </c>
      <c r="S59" s="11" t="str">
        <f t="shared" ca="1" si="1"/>
        <v>🟡 Needs Improvement</v>
      </c>
      <c r="T59" s="11"/>
    </row>
    <row r="60" spans="1:20" ht="19.95" hidden="1" customHeight="1">
      <c r="A60" s="37" t="str">
        <f>'Master File FMCG Team'!A311</f>
        <v>ASM</v>
      </c>
      <c r="B60" s="38" t="str">
        <f>'Master File FMCG Team'!C311</f>
        <v>North-E</v>
      </c>
      <c r="C60" s="39" t="str">
        <f>'Master File FMCG Team'!D311</f>
        <v>SARGODHA-1</v>
      </c>
      <c r="D60" s="38" t="str">
        <f>'Master File FMCG Team'!H311</f>
        <v>ADNAN SAJID</v>
      </c>
      <c r="E60" s="28">
        <f>'Master File FMCG Team'!O311</f>
        <v>5</v>
      </c>
      <c r="F60" s="63">
        <f>'Master File FMCG Team'!P311</f>
        <v>0</v>
      </c>
      <c r="G60" s="63">
        <f t="shared" si="3"/>
        <v>0</v>
      </c>
      <c r="H60" s="40">
        <f>'Master File FMCG Team'!AH311</f>
        <v>5</v>
      </c>
      <c r="I60" s="28">
        <f>'Master File FMCG Team'!AI311</f>
        <v>5</v>
      </c>
      <c r="J60" s="28">
        <f>'Master File FMCG Team'!BA311</f>
        <v>60</v>
      </c>
      <c r="K60" s="29">
        <f>'Master File FMCG Team'!R311</f>
        <v>5</v>
      </c>
      <c r="L60" s="29">
        <f ca="1">'Master File FMCG Team'!BB311</f>
        <v>0.92307692307692302</v>
      </c>
      <c r="M60" s="41">
        <f>'Master File FMCG Team'!BO311</f>
        <v>21</v>
      </c>
      <c r="N60" s="41">
        <f>'Master File FMCG Team'!BP311</f>
        <v>28</v>
      </c>
      <c r="O60" s="28">
        <f>'Master File FMCG Team'!S311</f>
        <v>2</v>
      </c>
      <c r="P60" s="28">
        <f>'Master File FMCG Team'!CH311</f>
        <v>1091</v>
      </c>
      <c r="Q60" s="29">
        <f>'Master File FMCG Team'!T311</f>
        <v>5</v>
      </c>
      <c r="R60" s="29">
        <f ca="1">'Master File FMCG Team'!CI311</f>
        <v>16.784615384615385</v>
      </c>
      <c r="S60" s="29" t="str">
        <f t="shared" ca="1" si="1"/>
        <v>🟡 Needs Improvement</v>
      </c>
      <c r="T60" s="29"/>
    </row>
    <row r="61" spans="1:20" ht="19.95" hidden="1" customHeight="1">
      <c r="A61" s="37" t="str">
        <f>'Master File FMCG Team'!A319</f>
        <v>ASM</v>
      </c>
      <c r="B61" s="38" t="str">
        <f>'Master File FMCG Team'!C319</f>
        <v>North-E</v>
      </c>
      <c r="C61" s="39" t="str">
        <f>'Master File FMCG Team'!D319</f>
        <v>PESHAWAR-1</v>
      </c>
      <c r="D61" s="38" t="str">
        <f>'Master File FMCG Team'!H319</f>
        <v>SARDAR WARIS ALI KHAN</v>
      </c>
      <c r="E61" s="28">
        <f>'Master File FMCG Team'!O319</f>
        <v>5</v>
      </c>
      <c r="F61" s="28">
        <f>'Master File FMCG Team'!P319</f>
        <v>0</v>
      </c>
      <c r="G61" s="63">
        <f t="shared" si="3"/>
        <v>2</v>
      </c>
      <c r="H61" s="40">
        <f>'Master File FMCG Team'!AH319</f>
        <v>4</v>
      </c>
      <c r="I61" s="28">
        <f>'Master File FMCG Team'!AI319</f>
        <v>3</v>
      </c>
      <c r="J61" s="28">
        <f>'Master File FMCG Team'!BA319</f>
        <v>48</v>
      </c>
      <c r="K61" s="29">
        <f>'Master File FMCG Team'!R319</f>
        <v>5</v>
      </c>
      <c r="L61" s="29">
        <f ca="1">'Master File FMCG Team'!BB319</f>
        <v>0.7384615384615385</v>
      </c>
      <c r="M61" s="41">
        <f>'Master File FMCG Team'!BO319</f>
        <v>126</v>
      </c>
      <c r="N61" s="41">
        <f>'Master File FMCG Team'!BP319</f>
        <v>6</v>
      </c>
      <c r="O61" s="28">
        <f>'Master File FMCG Team'!S319</f>
        <v>2</v>
      </c>
      <c r="P61" s="28">
        <f>'Master File FMCG Team'!CH319</f>
        <v>1309</v>
      </c>
      <c r="Q61" s="29">
        <f>'Master File FMCG Team'!T319</f>
        <v>4</v>
      </c>
      <c r="R61" s="29">
        <f ca="1">'Master File FMCG Team'!CI319</f>
        <v>20.138461538461538</v>
      </c>
      <c r="S61" s="29" t="str">
        <f t="shared" ca="1" si="1"/>
        <v>🟡 Needs Improvement</v>
      </c>
      <c r="T61" s="29"/>
    </row>
    <row r="62" spans="1:20" ht="19.95" hidden="1" customHeight="1">
      <c r="A62" s="37" t="str">
        <f>'Master File FMCG Team'!A322</f>
        <v>CM</v>
      </c>
      <c r="B62" s="38" t="str">
        <f>'Master File FMCG Team'!C322</f>
        <v>North-E</v>
      </c>
      <c r="C62" s="39" t="str">
        <f>'Master File FMCG Team'!D322</f>
        <v>NTH-E PESHAWAR</v>
      </c>
      <c r="D62" s="38" t="str">
        <f>'Master File FMCG Team'!H322</f>
        <v>Daniyal Hussain (CM PSH)</v>
      </c>
      <c r="E62" s="28">
        <f>'Master File FMCG Team'!O322</f>
        <v>2</v>
      </c>
      <c r="F62" s="63">
        <f>'Master File FMCG Team'!P322</f>
        <v>0</v>
      </c>
      <c r="G62" s="63">
        <f t="shared" ref="G62" si="9">E62-I62-F62</f>
        <v>1</v>
      </c>
      <c r="H62" s="40">
        <f>'Master File FMCG Team'!AH322</f>
        <v>2</v>
      </c>
      <c r="I62" s="28">
        <f>'Master File FMCG Team'!AI322</f>
        <v>1</v>
      </c>
      <c r="J62" s="28">
        <f>'Master File FMCG Team'!BA322</f>
        <v>24</v>
      </c>
      <c r="K62" s="29">
        <f>'Master File FMCG Team'!R322</f>
        <v>2</v>
      </c>
      <c r="L62" s="29">
        <f ca="1">'Master File FMCG Team'!BB322</f>
        <v>0.92307692307692313</v>
      </c>
      <c r="M62" s="41">
        <f>'Master File FMCG Team'!BO322</f>
        <v>24</v>
      </c>
      <c r="N62" s="41">
        <f>'Master File FMCG Team'!BP322</f>
        <v>0</v>
      </c>
      <c r="O62" s="28">
        <f>'Master File FMCG Team'!S322</f>
        <v>0</v>
      </c>
      <c r="P62" s="28">
        <f>'Master File FMCG Team'!CH322</f>
        <v>145</v>
      </c>
      <c r="Q62" s="29">
        <f>'Master File FMCG Team'!T322</f>
        <v>2</v>
      </c>
      <c r="R62" s="29">
        <f ca="1">'Master File FMCG Team'!CI322</f>
        <v>5.5769230769230766</v>
      </c>
      <c r="S62" s="29" t="str">
        <f t="shared" ref="S62" ca="1" si="10">IF(R62&gt;=30,"🟢 Excellent",IF(R62&gt;=15,"🟡 Needs Improvement","🔴 Critical"))</f>
        <v>🔴 Critical</v>
      </c>
      <c r="T62" s="29"/>
    </row>
    <row r="63" spans="1:20" ht="19.95" hidden="1" customHeight="1">
      <c r="A63" s="37" t="str">
        <f>'Master File FMCG Team'!A328</f>
        <v>ASM</v>
      </c>
      <c r="B63" s="38" t="str">
        <f>'Master File FMCG Team'!C328</f>
        <v>North-E</v>
      </c>
      <c r="C63" s="39" t="str">
        <f>'Master File FMCG Team'!D328</f>
        <v>DERA ISMAIL KHAN</v>
      </c>
      <c r="D63" s="38" t="str">
        <f>'Master File FMCG Team'!H328</f>
        <v>M. ALI NAWAZ</v>
      </c>
      <c r="E63" s="28">
        <f>'Master File FMCG Team'!O328</f>
        <v>4</v>
      </c>
      <c r="F63" s="63">
        <f>'Master File FMCG Team'!P328</f>
        <v>0</v>
      </c>
      <c r="G63" s="63">
        <f t="shared" si="3"/>
        <v>0</v>
      </c>
      <c r="H63" s="40">
        <f>'Master File FMCG Team'!AH328</f>
        <v>4</v>
      </c>
      <c r="I63" s="28">
        <f>'Master File FMCG Team'!AI328</f>
        <v>4</v>
      </c>
      <c r="J63" s="28">
        <f>'Master File FMCG Team'!BA328</f>
        <v>48</v>
      </c>
      <c r="K63" s="29">
        <f>'Master File FMCG Team'!R328</f>
        <v>4</v>
      </c>
      <c r="L63" s="29">
        <f ca="1">'Master File FMCG Team'!BB328</f>
        <v>0.92307692307692313</v>
      </c>
      <c r="M63" s="41">
        <f>'Master File FMCG Team'!BO328</f>
        <v>156</v>
      </c>
      <c r="N63" s="41">
        <f>'Master File FMCG Team'!BP328</f>
        <v>7</v>
      </c>
      <c r="O63" s="28">
        <f>'Master File FMCG Team'!S328</f>
        <v>2</v>
      </c>
      <c r="P63" s="28">
        <f>'Master File FMCG Team'!CH328</f>
        <v>1471</v>
      </c>
      <c r="Q63" s="29">
        <f>'Master File FMCG Team'!T328</f>
        <v>4</v>
      </c>
      <c r="R63" s="29">
        <f ca="1">'Master File FMCG Team'!CI328</f>
        <v>28.28846153846154</v>
      </c>
      <c r="S63" s="29" t="str">
        <f t="shared" ca="1" si="1"/>
        <v>🟡 Needs Improvement</v>
      </c>
      <c r="T63" s="29"/>
    </row>
    <row r="64" spans="1:20" ht="19.95" hidden="1" customHeight="1">
      <c r="A64" s="37" t="str">
        <f>'Master File FMCG Team'!A330</f>
        <v>TE</v>
      </c>
      <c r="B64" s="38" t="str">
        <f>'Master File FMCG Team'!C330</f>
        <v>North-E</v>
      </c>
      <c r="C64" s="39" t="str">
        <f>'Master File FMCG Team'!D330</f>
        <v>NTH-E PESHAWAR</v>
      </c>
      <c r="D64" s="38" t="str">
        <f>'Master File FMCG Team'!H330</f>
        <v>FAIZAN ALI (TE-PSH-01)</v>
      </c>
      <c r="E64" s="28">
        <f>'Master File FMCG Team'!O330</f>
        <v>1</v>
      </c>
      <c r="F64" s="63">
        <f>'Master File FMCG Team'!P330</f>
        <v>0</v>
      </c>
      <c r="G64" s="63">
        <f t="shared" si="3"/>
        <v>0</v>
      </c>
      <c r="H64" s="40">
        <f>'Master File FMCG Team'!AH330</f>
        <v>1</v>
      </c>
      <c r="I64" s="28">
        <f>'Master File FMCG Team'!AI330</f>
        <v>1</v>
      </c>
      <c r="J64" s="28">
        <f>'Master File FMCG Team'!BA330</f>
        <v>12</v>
      </c>
      <c r="K64" s="29">
        <f>'Master File FMCG Team'!R330</f>
        <v>1</v>
      </c>
      <c r="L64" s="29">
        <f ca="1">'Master File FMCG Team'!BB330</f>
        <v>0.92307692307692313</v>
      </c>
      <c r="M64" s="41">
        <f>'Master File FMCG Team'!BO330</f>
        <v>0</v>
      </c>
      <c r="N64" s="41">
        <f>'Master File FMCG Team'!BP330</f>
        <v>0</v>
      </c>
      <c r="O64" s="28">
        <f>'Master File FMCG Team'!S330</f>
        <v>0</v>
      </c>
      <c r="P64" s="28">
        <f>'Master File FMCG Team'!CH330</f>
        <v>27</v>
      </c>
      <c r="Q64" s="29">
        <f>'Master File FMCG Team'!T330</f>
        <v>1</v>
      </c>
      <c r="R64" s="29">
        <f ca="1">'Master File FMCG Team'!CI330</f>
        <v>2.0769230769230771</v>
      </c>
      <c r="S64" s="29" t="str">
        <f t="shared" ca="1" si="1"/>
        <v>🔴 Critical</v>
      </c>
      <c r="T64" s="29"/>
    </row>
    <row r="65" spans="1:20" ht="19.95" hidden="1" customHeight="1">
      <c r="A65" s="42" t="str">
        <f>'Master File FMCG Team'!A332</f>
        <v>RSM</v>
      </c>
      <c r="B65" s="43" t="str">
        <f>'Master File FMCG Team'!C332</f>
        <v>North-E</v>
      </c>
      <c r="C65" s="44" t="str">
        <f>'Master File FMCG Team'!D332</f>
        <v>NTH-E Peshawar</v>
      </c>
      <c r="D65" s="43" t="str">
        <f>'Master File FMCG Team'!H332</f>
        <v>Sajid Maqbool</v>
      </c>
      <c r="E65" s="8">
        <f>'Master File FMCG Team'!O332</f>
        <v>17</v>
      </c>
      <c r="F65" s="14">
        <f>'Master File FMCG Team'!P332</f>
        <v>0</v>
      </c>
      <c r="G65" s="14">
        <f t="shared" si="3"/>
        <v>3</v>
      </c>
      <c r="H65" s="45">
        <f>'Master File FMCG Team'!AH332</f>
        <v>16</v>
      </c>
      <c r="I65" s="8">
        <f>'Master File FMCG Team'!AI332</f>
        <v>14</v>
      </c>
      <c r="J65" s="8">
        <f>'Master File FMCG Team'!BA332</f>
        <v>192</v>
      </c>
      <c r="K65" s="11">
        <f>'Master File FMCG Team'!R332</f>
        <v>17</v>
      </c>
      <c r="L65" s="11">
        <f ca="1">'Master File FMCG Team'!BB332</f>
        <v>0.86877828054298645</v>
      </c>
      <c r="M65" s="46">
        <f>'Master File FMCG Team'!BO332</f>
        <v>327</v>
      </c>
      <c r="N65" s="46">
        <f>'Master File FMCG Team'!BP332</f>
        <v>41</v>
      </c>
      <c r="O65" s="8">
        <f>'Master File FMCG Team'!S332</f>
        <v>6</v>
      </c>
      <c r="P65" s="8">
        <f>'Master File FMCG Team'!CH332</f>
        <v>4043</v>
      </c>
      <c r="Q65" s="11">
        <f>'Master File FMCG Team'!T332</f>
        <v>16</v>
      </c>
      <c r="R65" s="11">
        <f ca="1">'Master File FMCG Team'!CI332</f>
        <v>18.294117647058822</v>
      </c>
      <c r="S65" s="11" t="str">
        <f t="shared" ca="1" si="1"/>
        <v>🟡 Needs Improvement</v>
      </c>
      <c r="T65" s="11"/>
    </row>
    <row r="66" spans="1:20" ht="19.95" hidden="1" customHeight="1">
      <c r="A66" s="37" t="str">
        <f>'Master File FMCG Team'!A339</f>
        <v>ASM</v>
      </c>
      <c r="B66" s="38" t="str">
        <f>'Master File FMCG Team'!C339</f>
        <v>North-F</v>
      </c>
      <c r="C66" s="39" t="str">
        <f>'Master File FMCG Team'!D339</f>
        <v>ABBOTTABAD-1</v>
      </c>
      <c r="D66" s="38" t="str">
        <f>'Master File FMCG Team'!H339</f>
        <v>NAVAID IQBAL</v>
      </c>
      <c r="E66" s="28">
        <f>'Master File FMCG Team'!O339</f>
        <v>4</v>
      </c>
      <c r="F66" s="63">
        <f>'Master File FMCG Team'!P339</f>
        <v>0</v>
      </c>
      <c r="G66" s="63">
        <f t="shared" si="3"/>
        <v>0</v>
      </c>
      <c r="H66" s="40">
        <f>'Master File FMCG Team'!AH339</f>
        <v>4</v>
      </c>
      <c r="I66" s="28">
        <f>'Master File FMCG Team'!AI339</f>
        <v>4</v>
      </c>
      <c r="J66" s="28">
        <f>'Master File FMCG Team'!BA339</f>
        <v>47</v>
      </c>
      <c r="K66" s="29">
        <f>'Master File FMCG Team'!R339</f>
        <v>4</v>
      </c>
      <c r="L66" s="29">
        <f ca="1">'Master File FMCG Team'!BB339</f>
        <v>0.90384615384615385</v>
      </c>
      <c r="M66" s="41">
        <f>'Master File FMCG Team'!BO339</f>
        <v>57</v>
      </c>
      <c r="N66" s="41">
        <f>'Master File FMCG Team'!BP339</f>
        <v>0</v>
      </c>
      <c r="O66" s="28">
        <f>'Master File FMCG Team'!S339</f>
        <v>0</v>
      </c>
      <c r="P66" s="28">
        <f>'Master File FMCG Team'!CH339</f>
        <v>957</v>
      </c>
      <c r="Q66" s="29">
        <f>'Master File FMCG Team'!T339</f>
        <v>3</v>
      </c>
      <c r="R66" s="29">
        <f ca="1">'Master File FMCG Team'!CI339</f>
        <v>18.403846153846153</v>
      </c>
      <c r="S66" s="29" t="str">
        <f t="shared" ca="1" si="1"/>
        <v>🟡 Needs Improvement</v>
      </c>
      <c r="T66" s="29"/>
    </row>
    <row r="67" spans="1:20" ht="19.95" hidden="1" customHeight="1">
      <c r="A67" s="37" t="s">
        <v>53</v>
      </c>
      <c r="B67" s="38" t="str">
        <f>'Master File FMCG Team'!C348</f>
        <v>North-F</v>
      </c>
      <c r="C67" s="39" t="str">
        <f>'Master File FMCG Team'!D348</f>
        <v>NTH-F MINGORA</v>
      </c>
      <c r="D67" s="38" t="str">
        <f>'Master File FMCG Team'!H348</f>
        <v>NTH-F- RSM - FMCG Unmapp</v>
      </c>
      <c r="E67" s="28">
        <f>'Master File FMCG Team'!O348</f>
        <v>6</v>
      </c>
      <c r="F67" s="63">
        <f>'Master File FMCG Team'!P348</f>
        <v>0</v>
      </c>
      <c r="G67" s="63">
        <f t="shared" si="3"/>
        <v>0</v>
      </c>
      <c r="H67" s="40">
        <f>'Master File FMCG Team'!AH348</f>
        <v>5</v>
      </c>
      <c r="I67" s="28">
        <f>'Master File FMCG Team'!AI348</f>
        <v>6</v>
      </c>
      <c r="J67" s="28">
        <f>'Master File FMCG Team'!BA348</f>
        <v>71</v>
      </c>
      <c r="K67" s="29">
        <f>'Master File FMCG Team'!R348</f>
        <v>6</v>
      </c>
      <c r="L67" s="29">
        <f ca="1">'Master File FMCG Team'!BB348</f>
        <v>0.91025641025641024</v>
      </c>
      <c r="M67" s="41">
        <f>'Master File FMCG Team'!BO348</f>
        <v>121</v>
      </c>
      <c r="N67" s="41">
        <f>'Master File FMCG Team'!BP348</f>
        <v>7</v>
      </c>
      <c r="O67" s="28">
        <f>'Master File FMCG Team'!S348</f>
        <v>3</v>
      </c>
      <c r="P67" s="28">
        <f>'Master File FMCG Team'!CH348</f>
        <v>1624</v>
      </c>
      <c r="Q67" s="29">
        <f>'Master File FMCG Team'!T348</f>
        <v>6</v>
      </c>
      <c r="R67" s="29">
        <f ca="1">'Master File FMCG Team'!CI348</f>
        <v>20.820512820512821</v>
      </c>
      <c r="S67" s="29" t="str">
        <f t="shared" ca="1" si="1"/>
        <v>🟡 Needs Improvement</v>
      </c>
      <c r="T67" s="29"/>
    </row>
    <row r="68" spans="1:20" ht="19.95" hidden="1" customHeight="1">
      <c r="A68" s="37" t="str">
        <f>'Master File FMCG Team'!A355</f>
        <v>ASM</v>
      </c>
      <c r="B68" s="38" t="str">
        <f>'Master File FMCG Team'!C355</f>
        <v>North-F</v>
      </c>
      <c r="C68" s="39" t="str">
        <f>'Master File FMCG Team'!D355</f>
        <v>MARDAN-1</v>
      </c>
      <c r="D68" s="38" t="str">
        <f>'Master File FMCG Team'!H355</f>
        <v>SAEED AHMED</v>
      </c>
      <c r="E68" s="28">
        <f>'Master File FMCG Team'!O355</f>
        <v>4</v>
      </c>
      <c r="F68" s="63">
        <f>'Master File FMCG Team'!P355</f>
        <v>0</v>
      </c>
      <c r="G68" s="63">
        <f t="shared" si="3"/>
        <v>0</v>
      </c>
      <c r="H68" s="40">
        <f>'Master File FMCG Team'!AH355</f>
        <v>3</v>
      </c>
      <c r="I68" s="28">
        <f>'Master File FMCG Team'!AI355</f>
        <v>4</v>
      </c>
      <c r="J68" s="28">
        <f>'Master File FMCG Team'!BA355</f>
        <v>40</v>
      </c>
      <c r="K68" s="29">
        <f>'Master File FMCG Team'!R355</f>
        <v>4</v>
      </c>
      <c r="L68" s="29">
        <f ca="1">'Master File FMCG Team'!BB355</f>
        <v>0.76923076923076927</v>
      </c>
      <c r="M68" s="41">
        <f>'Master File FMCG Team'!BO355</f>
        <v>28</v>
      </c>
      <c r="N68" s="41">
        <f>'Master File FMCG Team'!BP355</f>
        <v>0</v>
      </c>
      <c r="O68" s="28">
        <f>'Master File FMCG Team'!S355</f>
        <v>0</v>
      </c>
      <c r="P68" s="28">
        <f>'Master File FMCG Team'!CH355</f>
        <v>463</v>
      </c>
      <c r="Q68" s="29">
        <f>'Master File FMCG Team'!T355</f>
        <v>4</v>
      </c>
      <c r="R68" s="29">
        <f ca="1">'Master File FMCG Team'!CI355</f>
        <v>8.9038461538461533</v>
      </c>
      <c r="S68" s="29" t="str">
        <f t="shared" ca="1" si="1"/>
        <v>🔴 Critical</v>
      </c>
      <c r="T68" s="29"/>
    </row>
    <row r="69" spans="1:20" ht="19.95" hidden="1" customHeight="1">
      <c r="A69" s="37" t="str">
        <f>'Master File FMCG Team'!A340</f>
        <v>TE</v>
      </c>
      <c r="B69" s="38" t="str">
        <f>'Master File FMCG Team'!C340</f>
        <v>North-F</v>
      </c>
      <c r="C69" s="39" t="str">
        <f>'Master File FMCG Team'!D340</f>
        <v>NTH-F MINGORA</v>
      </c>
      <c r="D69" s="38" t="str">
        <f>'Master File FMCG Team'!H340</f>
        <v>IQBAL AHMAD KHAN (TE-MNG-01)</v>
      </c>
      <c r="E69" s="28">
        <f>'Master File FMCG Team'!O340</f>
        <v>1</v>
      </c>
      <c r="F69" s="63">
        <f>'Master File FMCG Team'!P340</f>
        <v>0</v>
      </c>
      <c r="G69" s="63">
        <f t="shared" ref="G69" si="11">E69-I69-F69</f>
        <v>0</v>
      </c>
      <c r="H69" s="40">
        <f>'Master File FMCG Team'!AH340</f>
        <v>1</v>
      </c>
      <c r="I69" s="28">
        <f>'Master File FMCG Team'!AI340</f>
        <v>1</v>
      </c>
      <c r="J69" s="28">
        <f>'Master File FMCG Team'!BA340</f>
        <v>12</v>
      </c>
      <c r="K69" s="29">
        <f>'Master File FMCG Team'!R340</f>
        <v>1</v>
      </c>
      <c r="L69" s="29">
        <f ca="1">'Master File FMCG Team'!BB340</f>
        <v>0.92307692307692313</v>
      </c>
      <c r="M69" s="41">
        <f>'Master File FMCG Team'!BO340</f>
        <v>17</v>
      </c>
      <c r="N69" s="41">
        <f>'Master File FMCG Team'!BP340</f>
        <v>3</v>
      </c>
      <c r="O69" s="28">
        <f>'Master File FMCG Team'!S340</f>
        <v>1</v>
      </c>
      <c r="P69" s="28">
        <f>'Master File FMCG Team'!CH340</f>
        <v>247</v>
      </c>
      <c r="Q69" s="29">
        <f>'Master File FMCG Team'!T340</f>
        <v>1</v>
      </c>
      <c r="R69" s="29">
        <f ca="1">'Master File FMCG Team'!CI340</f>
        <v>19</v>
      </c>
      <c r="S69" s="29" t="str">
        <f t="shared" ref="S69" ca="1" si="12">IF(R69&gt;=30,"🟢 Excellent",IF(R69&gt;=15,"🟡 Needs Improvement","🔴 Critical"))</f>
        <v>🟡 Needs Improvement</v>
      </c>
      <c r="T69" s="29"/>
    </row>
    <row r="70" spans="1:20" ht="19.95" hidden="1" customHeight="1">
      <c r="A70" s="42" t="str">
        <f>'Master File FMCG Team'!A357</f>
        <v>RSM</v>
      </c>
      <c r="B70" s="43" t="str">
        <f>'Master File FMCG Team'!C357</f>
        <v>North-F</v>
      </c>
      <c r="C70" s="44" t="str">
        <f>'Master File FMCG Team'!D357</f>
        <v>NTH-F Mingora</v>
      </c>
      <c r="D70" s="43" t="str">
        <f>'Master File FMCG Team'!H357</f>
        <v>LATIF KHAN</v>
      </c>
      <c r="E70" s="8">
        <f>'Master File FMCG Team'!O357</f>
        <v>14</v>
      </c>
      <c r="F70" s="14">
        <f>'Master File FMCG Team'!P357</f>
        <v>0</v>
      </c>
      <c r="G70" s="14">
        <f t="shared" si="3"/>
        <v>0</v>
      </c>
      <c r="H70" s="45">
        <f>'Master File FMCG Team'!AH357</f>
        <v>12</v>
      </c>
      <c r="I70" s="8">
        <f>'Master File FMCG Team'!AI357</f>
        <v>14</v>
      </c>
      <c r="J70" s="8">
        <f>'Master File FMCG Team'!BA357</f>
        <v>158</v>
      </c>
      <c r="K70" s="11">
        <f>'Master File FMCG Team'!R357</f>
        <v>14</v>
      </c>
      <c r="L70" s="11">
        <f ca="1">'Master File FMCG Team'!BB357</f>
        <v>0.86813186813186805</v>
      </c>
      <c r="M70" s="46">
        <f>'Master File FMCG Team'!BO357</f>
        <v>206</v>
      </c>
      <c r="N70" s="46">
        <f>'Master File FMCG Team'!BP357</f>
        <v>7</v>
      </c>
      <c r="O70" s="8">
        <f>'Master File FMCG Team'!S357</f>
        <v>3</v>
      </c>
      <c r="P70" s="8">
        <f>'Master File FMCG Team'!CH357</f>
        <v>3044</v>
      </c>
      <c r="Q70" s="11">
        <f>'Master File FMCG Team'!T357</f>
        <v>13</v>
      </c>
      <c r="R70" s="11">
        <f ca="1">'Master File FMCG Team'!CI357</f>
        <v>16.725274725274726</v>
      </c>
      <c r="S70" s="11" t="str">
        <f t="shared" ca="1" si="1"/>
        <v>🟡 Needs Improvement</v>
      </c>
      <c r="T70" s="11"/>
    </row>
    <row r="71" spans="1:20" ht="19.95" hidden="1" customHeight="1">
      <c r="A71" s="47" t="str">
        <f>'Master File FMCG Team'!A359</f>
        <v>DGM</v>
      </c>
      <c r="B71" s="48" t="str">
        <f>'Master File FMCG Team'!C359</f>
        <v>North</v>
      </c>
      <c r="C71" s="49" t="str">
        <f>'Master File FMCG Team'!D359</f>
        <v>NTH Lahore</v>
      </c>
      <c r="D71" s="48" t="str">
        <f>'Master File FMCG Team'!H359</f>
        <v>NADEEM AHMED KHAN</v>
      </c>
      <c r="E71" s="9">
        <f>'Master File FMCG Team'!O359</f>
        <v>101</v>
      </c>
      <c r="F71" s="15">
        <f>'Master File FMCG Team'!P359</f>
        <v>6</v>
      </c>
      <c r="G71" s="15">
        <f t="shared" si="3"/>
        <v>11</v>
      </c>
      <c r="H71" s="50">
        <f>'Master File FMCG Team'!AH359</f>
        <v>80</v>
      </c>
      <c r="I71" s="9">
        <f>'Master File FMCG Team'!AI359</f>
        <v>84</v>
      </c>
      <c r="J71" s="9">
        <f>'Master File FMCG Team'!BA359</f>
        <v>1047</v>
      </c>
      <c r="K71" s="12">
        <f>'Master File FMCG Team'!R359</f>
        <v>98</v>
      </c>
      <c r="L71" s="12">
        <f ca="1">'Master File FMCG Team'!BB359</f>
        <v>0.84777327935222668</v>
      </c>
      <c r="M71" s="51">
        <f>'Master File FMCG Team'!BO359</f>
        <v>1916</v>
      </c>
      <c r="N71" s="51">
        <f>'Master File FMCG Team'!BP359</f>
        <v>137</v>
      </c>
      <c r="O71" s="9">
        <f>'Master File FMCG Team'!S359</f>
        <v>21</v>
      </c>
      <c r="P71" s="9">
        <f>'Master File FMCG Team'!CH359</f>
        <v>21134</v>
      </c>
      <c r="Q71" s="12">
        <f>'Master File FMCG Team'!T359</f>
        <v>86</v>
      </c>
      <c r="R71" s="12">
        <f ca="1">'Master File FMCG Team'!CI359</f>
        <v>17.112550607287449</v>
      </c>
      <c r="S71" s="12" t="str">
        <f t="shared" ca="1" si="1"/>
        <v>🟡 Needs Improvement</v>
      </c>
      <c r="T71" s="12"/>
    </row>
    <row r="72" spans="1:20" ht="19.95" hidden="1" customHeight="1">
      <c r="A72" s="52" t="str">
        <f>'Master File FMCG Team'!A361</f>
        <v>HOD</v>
      </c>
      <c r="B72" s="53" t="str">
        <f>'Master File FMCG Team'!C361</f>
        <v>National</v>
      </c>
      <c r="C72" s="54" t="str">
        <f>'Master File FMCG Team'!D361</f>
        <v>National</v>
      </c>
      <c r="D72" s="53" t="str">
        <f>'Master File FMCG Team'!H361</f>
        <v>NATIONAL</v>
      </c>
      <c r="E72" s="10">
        <f>'Master File FMCG Team'!O361</f>
        <v>207</v>
      </c>
      <c r="F72" s="16">
        <f>'Master File FMCG Team'!P361</f>
        <v>11</v>
      </c>
      <c r="G72" s="16">
        <f t="shared" si="3"/>
        <v>23</v>
      </c>
      <c r="H72" s="55">
        <f>'Master File FMCG Team'!AH361</f>
        <v>173</v>
      </c>
      <c r="I72" s="10">
        <f>'Master File FMCG Team'!AI361</f>
        <v>173</v>
      </c>
      <c r="J72" s="10">
        <f>'Master File FMCG Team'!BA361</f>
        <v>2189</v>
      </c>
      <c r="K72" s="13">
        <f>'Master File FMCG Team'!R361</f>
        <v>199</v>
      </c>
      <c r="L72" s="13">
        <f ca="1">'Master File FMCG Team'!BB361</f>
        <v>0.85910518053375196</v>
      </c>
      <c r="M72" s="56">
        <f>'Master File FMCG Team'!BO361</f>
        <v>4399</v>
      </c>
      <c r="N72" s="56">
        <f>'Master File FMCG Team'!BP361</f>
        <v>186</v>
      </c>
      <c r="O72" s="10">
        <f>'Master File FMCG Team'!S361</f>
        <v>30</v>
      </c>
      <c r="P72" s="10">
        <f>'Master File FMCG Team'!CH361</f>
        <v>44680</v>
      </c>
      <c r="Q72" s="13">
        <f>'Master File FMCG Team'!T361</f>
        <v>176</v>
      </c>
      <c r="R72" s="13">
        <f ca="1">'Master File FMCG Team'!CI361</f>
        <v>17.535321821036106</v>
      </c>
      <c r="S72" s="13" t="str">
        <f t="shared" ca="1" si="1"/>
        <v>🟡 Needs Improvement</v>
      </c>
      <c r="T72" s="13"/>
    </row>
    <row r="73" spans="1:20" hidden="1"/>
  </sheetData>
  <autoFilter ref="A3:AHV73" xr:uid="{3D132F31-5729-40CA-8E81-04C0B09DCB27}">
    <filterColumn colId="2">
      <filters>
        <filter val="Karachi-1"/>
        <filter val="Karachi-2"/>
        <filter val="Karachi-3"/>
        <filter val="Karachi-4"/>
        <filter val="KARACHI-5"/>
        <filter val="Karachi-6"/>
        <filter val="Karachi-7"/>
        <filter val="STH Karachi"/>
        <filter val="STH-A Karachi"/>
      </filters>
    </filterColumn>
  </autoFilter>
  <mergeCells count="6">
    <mergeCell ref="A1:G2"/>
    <mergeCell ref="H2:L2"/>
    <mergeCell ref="T1:T3"/>
    <mergeCell ref="H1:L1"/>
    <mergeCell ref="M2:S2"/>
    <mergeCell ref="M1:S1"/>
  </mergeCells>
  <printOptions horizontalCentered="1" verticalCentered="1"/>
  <pageMargins left="0.17" right="0.17" top="0.34" bottom="0.28999999999999998" header="0.3" footer="0.3"/>
  <pageSetup paperSize="9" scale="64" fitToHeight="0" orientation="landscape" r:id="rId1"/>
  <rowBreaks count="1" manualBreakCount="1">
    <brk id="36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FECC-E47C-4129-B2D8-9A9D2602191C}">
  <sheetPr>
    <tabColor rgb="FF00B0F0"/>
    <pageSetUpPr fitToPage="1"/>
  </sheetPr>
  <dimension ref="A1:AHO59"/>
  <sheetViews>
    <sheetView view="pageBreakPreview" zoomScaleNormal="80" zoomScaleSheetLayoutView="100" workbookViewId="0">
      <pane xSplit="8" ySplit="3" topLeftCell="I115" activePane="bottomRight" state="frozen"/>
      <selection pane="topRight" activeCell="O1" sqref="O1"/>
      <selection pane="bottomLeft" activeCell="A4" sqref="A4"/>
      <selection pane="bottomRight" activeCell="I4" sqref="I4"/>
    </sheetView>
  </sheetViews>
  <sheetFormatPr defaultRowHeight="14.4"/>
  <cols>
    <col min="1" max="1" width="10.5546875" bestFit="1" customWidth="1"/>
    <col min="2" max="2" width="9.109375" bestFit="1" customWidth="1"/>
    <col min="3" max="3" width="20" style="1" bestFit="1" customWidth="1"/>
    <col min="4" max="4" width="24" bestFit="1" customWidth="1"/>
    <col min="5" max="5" width="6.21875" customWidth="1"/>
    <col min="6" max="6" width="11.21875" bestFit="1" customWidth="1"/>
    <col min="7" max="7" width="8.21875" hidden="1" customWidth="1"/>
    <col min="8" max="8" width="9.77734375" bestFit="1" customWidth="1"/>
    <col min="9" max="9" width="12.77734375" bestFit="1" customWidth="1"/>
    <col min="10" max="10" width="13.21875" bestFit="1" customWidth="1"/>
    <col min="11" max="11" width="12.77734375" bestFit="1" customWidth="1"/>
    <col min="12" max="12" width="13.21875" bestFit="1" customWidth="1"/>
    <col min="13" max="13" width="19.44140625" customWidth="1"/>
    <col min="14" max="14" width="11.33203125" customWidth="1"/>
    <col min="15" max="16" width="10.44140625" customWidth="1"/>
    <col min="17" max="22" width="8.88671875" customWidth="1"/>
    <col min="23" max="23" width="11.33203125" customWidth="1"/>
    <col min="24" max="24" width="12" customWidth="1"/>
    <col min="25" max="25" width="12.44140625" customWidth="1"/>
    <col min="26" max="26" width="14.5546875" customWidth="1"/>
    <col min="27" max="27" width="15.33203125" customWidth="1"/>
    <col min="28" max="31" width="13.77734375" customWidth="1"/>
    <col min="32" max="32" width="12.44140625" customWidth="1"/>
    <col min="33" max="33" width="12.77734375" customWidth="1"/>
    <col min="34" max="34" width="11.44140625" customWidth="1"/>
    <col min="35" max="35" width="11.77734375" customWidth="1"/>
    <col min="36" max="36" width="10.6640625" customWidth="1"/>
    <col min="37" max="38" width="12.44140625" customWidth="1"/>
    <col min="39" max="39" width="12.77734375" customWidth="1"/>
    <col min="40" max="40" width="12.6640625" customWidth="1"/>
    <col min="41" max="41" width="12.21875" customWidth="1"/>
    <col min="42" max="42" width="11.109375" customWidth="1"/>
    <col min="43" max="44" width="12.44140625" customWidth="1"/>
    <col min="45" max="45" width="12.77734375" customWidth="1"/>
    <col min="46" max="46" width="12.6640625" customWidth="1"/>
    <col min="47" max="47" width="12.21875" customWidth="1"/>
    <col min="48" max="48" width="11.77734375" customWidth="1"/>
    <col min="49" max="49" width="10.77734375" customWidth="1"/>
    <col min="50" max="50" width="10.109375" customWidth="1"/>
    <col min="51" max="51" width="9.6640625" customWidth="1"/>
    <col min="52" max="52" width="13" customWidth="1"/>
    <col min="53" max="54" width="11.77734375" customWidth="1"/>
    <col min="55" max="55" width="12.6640625" customWidth="1"/>
    <col min="56" max="56" width="10.109375" customWidth="1"/>
    <col min="57" max="57" width="9.6640625" customWidth="1"/>
    <col min="58" max="58" width="13" customWidth="1"/>
    <col min="59" max="60" width="11.77734375" customWidth="1"/>
    <col min="61" max="61" width="10.77734375" customWidth="1"/>
    <col min="62" max="62" width="10.109375" customWidth="1"/>
    <col min="63" max="63" width="9.6640625" customWidth="1"/>
    <col min="64" max="64" width="11.6640625" customWidth="1"/>
    <col min="65" max="68" width="11.44140625" customWidth="1"/>
    <col min="69" max="69" width="11.6640625" customWidth="1"/>
    <col min="70" max="70" width="11.44140625" customWidth="1"/>
    <col min="71" max="71" width="11" customWidth="1"/>
    <col min="72" max="72" width="12.44140625" customWidth="1"/>
    <col min="73" max="73" width="10.77734375" customWidth="1"/>
    <col min="74" max="74" width="10.44140625" customWidth="1"/>
    <col min="75" max="75" width="9.77734375" customWidth="1"/>
    <col min="76" max="76" width="11.6640625" customWidth="1"/>
    <col min="77" max="77" width="11.44140625" customWidth="1"/>
    <col min="78" max="78" width="16.109375" customWidth="1"/>
    <col min="79" max="79" width="10.77734375" customWidth="1"/>
    <col min="80" max="80" width="10.44140625" customWidth="1"/>
    <col min="81" max="81" width="9.77734375" customWidth="1"/>
    <col min="82" max="83" width="11.21875" customWidth="1"/>
    <col min="84" max="84" width="10.21875" customWidth="1"/>
    <col min="85" max="90" width="11.21875" customWidth="1"/>
    <col min="91" max="93" width="11.109375" customWidth="1"/>
    <col min="94" max="96" width="12.44140625" customWidth="1"/>
    <col min="97" max="98" width="10" customWidth="1"/>
    <col min="99" max="104" width="13.33203125" customWidth="1"/>
    <col min="105" max="109" width="8.88671875" customWidth="1"/>
    <col min="110" max="110" width="13" customWidth="1"/>
    <col min="111" max="111" width="15.6640625" customWidth="1"/>
    <col min="112" max="119" width="8.88671875" customWidth="1"/>
    <col min="120" max="120" width="9.109375" customWidth="1"/>
    <col min="121" max="121" width="43.33203125" customWidth="1"/>
    <col min="122" max="122" width="15.33203125" customWidth="1"/>
    <col min="123" max="123" width="14.88671875" customWidth="1"/>
    <col min="124" max="124" width="15.33203125" customWidth="1"/>
    <col min="125" max="125" width="14.33203125" customWidth="1"/>
    <col min="126" max="126" width="14.88671875" customWidth="1"/>
    <col min="127" max="127" width="14.33203125" customWidth="1"/>
    <col min="128" max="128" width="14.88671875" customWidth="1"/>
    <col min="129" max="129" width="14" customWidth="1"/>
    <col min="130" max="130" width="14.88671875" customWidth="1"/>
    <col min="131" max="131" width="13.6640625" customWidth="1"/>
    <col min="132" max="132" width="14.33203125" customWidth="1"/>
    <col min="133" max="133" width="15.33203125" customWidth="1"/>
    <col min="134" max="134" width="14.33203125" customWidth="1"/>
    <col min="135" max="135" width="14.88671875" customWidth="1"/>
    <col min="136" max="136" width="14.33203125" customWidth="1"/>
    <col min="137" max="137" width="14.88671875" customWidth="1"/>
    <col min="138" max="138" width="14" customWidth="1"/>
    <col min="139" max="139" width="14.88671875" customWidth="1"/>
    <col min="140" max="140" width="13.6640625" customWidth="1"/>
    <col min="141" max="141" width="14.33203125" customWidth="1"/>
    <col min="142" max="142" width="15.33203125" customWidth="1"/>
    <col min="143" max="143" width="14.33203125" customWidth="1"/>
    <col min="144" max="144" width="14.88671875" customWidth="1"/>
    <col min="145" max="145" width="14.33203125" customWidth="1"/>
    <col min="146" max="146" width="14.88671875" customWidth="1"/>
    <col min="147" max="147" width="14" customWidth="1"/>
    <col min="148" max="148" width="14.88671875" customWidth="1"/>
    <col min="149" max="149" width="13.6640625" customWidth="1"/>
    <col min="150" max="150" width="14.33203125" customWidth="1"/>
    <col min="151" max="151" width="15.33203125" customWidth="1"/>
    <col min="152" max="152" width="14.33203125" customWidth="1"/>
    <col min="153" max="153" width="14.88671875" customWidth="1"/>
    <col min="154" max="154" width="14.33203125" customWidth="1"/>
    <col min="155" max="155" width="14.88671875" customWidth="1"/>
    <col min="156" max="156" width="14" customWidth="1"/>
    <col min="157" max="157" width="14.88671875" customWidth="1"/>
    <col min="158" max="158" width="13.6640625" customWidth="1"/>
    <col min="159" max="159" width="14.33203125" customWidth="1"/>
    <col min="160" max="160" width="15.33203125" customWidth="1"/>
    <col min="161" max="161" width="14.33203125" customWidth="1"/>
    <col min="162" max="162" width="14.88671875" customWidth="1"/>
    <col min="163" max="163" width="14.33203125" customWidth="1"/>
    <col min="164" max="164" width="14.88671875" customWidth="1"/>
    <col min="165" max="165" width="14" customWidth="1"/>
    <col min="166" max="166" width="14.88671875" customWidth="1"/>
    <col min="167" max="167" width="13.6640625" customWidth="1"/>
    <col min="168" max="168" width="14.33203125" customWidth="1"/>
    <col min="169" max="169" width="15.33203125" customWidth="1"/>
    <col min="170" max="170" width="14.33203125" customWidth="1"/>
    <col min="171" max="171" width="14.88671875" customWidth="1"/>
    <col min="172" max="172" width="14.33203125" customWidth="1"/>
    <col min="173" max="173" width="14.88671875" customWidth="1"/>
    <col min="174" max="174" width="14" customWidth="1"/>
    <col min="175" max="175" width="14.88671875" customWidth="1"/>
    <col min="176" max="176" width="13.6640625" customWidth="1"/>
    <col min="177" max="177" width="14.33203125" customWidth="1"/>
    <col min="178" max="178" width="15.33203125" customWidth="1"/>
    <col min="179" max="179" width="9.109375" customWidth="1"/>
    <col min="180" max="180" width="16.44140625" bestFit="1" customWidth="1"/>
    <col min="181" max="182" width="13.33203125" customWidth="1"/>
    <col min="183" max="183" width="9.109375" customWidth="1"/>
    <col min="184" max="184" width="47.5546875" customWidth="1"/>
    <col min="185" max="185" width="13.6640625" customWidth="1"/>
    <col min="186" max="186" width="13" customWidth="1"/>
    <col min="187" max="187" width="13.44140625" customWidth="1"/>
    <col min="188" max="188" width="10" customWidth="1"/>
    <col min="189" max="189" width="13.6640625" customWidth="1"/>
    <col min="190" max="190" width="14.6640625" customWidth="1"/>
    <col min="191" max="191" width="14.21875" customWidth="1"/>
    <col min="192" max="192" width="13.88671875" customWidth="1"/>
    <col min="193" max="193" width="12.21875" customWidth="1"/>
    <col min="194" max="194" width="14.21875" customWidth="1"/>
    <col min="195" max="195" width="14.6640625" customWidth="1"/>
    <col min="196" max="196" width="13.6640625" customWidth="1"/>
    <col min="197" max="197" width="13" customWidth="1"/>
    <col min="198" max="201" width="12" customWidth="1"/>
    <col min="202" max="202" width="13.88671875" customWidth="1"/>
    <col min="203" max="204" width="13" customWidth="1"/>
    <col min="205" max="205" width="10.44140625" customWidth="1"/>
    <col min="206" max="207" width="13.44140625" customWidth="1"/>
    <col min="208" max="208" width="13.6640625" customWidth="1"/>
    <col min="209" max="209" width="12.6640625" customWidth="1"/>
    <col min="210" max="211" width="11.77734375" customWidth="1"/>
    <col min="212" max="212" width="8.77734375" customWidth="1"/>
    <col min="213" max="213" width="9.21875" customWidth="1"/>
    <col min="214" max="214" width="14.21875" customWidth="1"/>
    <col min="215" max="215" width="13.44140625" customWidth="1"/>
    <col min="216" max="216" width="13" customWidth="1"/>
    <col min="217" max="217" width="10.44140625" customWidth="1"/>
    <col min="218" max="219" width="13.44140625" customWidth="1"/>
    <col min="220" max="220" width="13.6640625" customWidth="1"/>
    <col min="221" max="221" width="13" customWidth="1"/>
    <col min="222" max="225" width="12" customWidth="1"/>
    <col min="226" max="226" width="13.88671875" customWidth="1"/>
    <col min="227" max="227" width="13.44140625" customWidth="1"/>
    <col min="228" max="228" width="12.21875" customWidth="1"/>
    <col min="229" max="229" width="10.44140625" customWidth="1"/>
    <col min="230" max="231" width="13.44140625" customWidth="1"/>
    <col min="232" max="232" width="13.6640625" customWidth="1"/>
    <col min="233" max="233" width="13" customWidth="1"/>
    <col min="234" max="237" width="12" customWidth="1"/>
    <col min="238" max="238" width="14.33203125" customWidth="1"/>
    <col min="239" max="240" width="13.44140625" customWidth="1"/>
    <col min="241" max="241" width="12" customWidth="1"/>
    <col min="242" max="242" width="13" customWidth="1"/>
    <col min="243" max="243" width="14.33203125" customWidth="1"/>
    <col min="244" max="244" width="13.6640625" customWidth="1"/>
    <col min="245" max="249" width="12" customWidth="1"/>
    <col min="250" max="250" width="19.6640625" customWidth="1"/>
    <col min="251" max="254" width="12" customWidth="1"/>
    <col min="255" max="255" width="12.6640625" customWidth="1"/>
    <col min="256" max="256" width="13.6640625" customWidth="1"/>
    <col min="257" max="261" width="12" customWidth="1"/>
    <col min="262" max="262" width="15" customWidth="1"/>
    <col min="263" max="267" width="12" customWidth="1"/>
    <col min="268" max="268" width="13.6640625" customWidth="1"/>
    <col min="269" max="273" width="12" customWidth="1"/>
    <col min="274" max="274" width="14.44140625" customWidth="1"/>
    <col min="275" max="279" width="12" customWidth="1"/>
    <col min="280" max="280" width="13.6640625" customWidth="1"/>
    <col min="281" max="285" width="12" customWidth="1"/>
    <col min="286" max="286" width="14.109375" customWidth="1"/>
    <col min="287" max="291" width="12" customWidth="1"/>
    <col min="292" max="292" width="13.6640625" customWidth="1"/>
    <col min="293" max="297" width="12" customWidth="1"/>
    <col min="298" max="299" width="14.44140625" customWidth="1"/>
    <col min="300" max="300" width="13.77734375" customWidth="1"/>
    <col min="301" max="302" width="12" customWidth="1"/>
    <col min="303" max="303" width="13" customWidth="1"/>
    <col min="304" max="304" width="13.6640625" customWidth="1"/>
    <col min="305" max="306" width="14" customWidth="1"/>
    <col min="307" max="307" width="13.6640625" customWidth="1"/>
    <col min="308" max="309" width="10.6640625" customWidth="1"/>
    <col min="310" max="310" width="15.109375" customWidth="1"/>
    <col min="311" max="311" width="15.44140625" customWidth="1"/>
    <col min="312" max="312" width="14.5546875" customWidth="1"/>
    <col min="313" max="313" width="12" customWidth="1"/>
    <col min="314" max="315" width="15.109375" customWidth="1"/>
    <col min="316" max="316" width="13.6640625" customWidth="1"/>
    <col min="317" max="317" width="12.33203125" customWidth="1"/>
    <col min="318" max="318" width="11.33203125" customWidth="1"/>
    <col min="319" max="319" width="12.33203125" customWidth="1"/>
    <col min="320" max="321" width="10" customWidth="1"/>
    <col min="322" max="322" width="15.88671875" customWidth="1"/>
    <col min="323" max="323" width="12.6640625" customWidth="1"/>
    <col min="324" max="324" width="13.6640625" customWidth="1"/>
    <col min="325" max="325" width="11.33203125" customWidth="1"/>
    <col min="326" max="326" width="12.33203125" customWidth="1"/>
    <col min="327" max="328" width="13.6640625" customWidth="1"/>
    <col min="329" max="329" width="17.88671875" customWidth="1"/>
    <col min="330" max="330" width="18.44140625" customWidth="1"/>
    <col min="331" max="338" width="11.33203125" customWidth="1"/>
    <col min="339" max="343" width="8.88671875" customWidth="1"/>
    <col min="344" max="368" width="11.33203125" customWidth="1"/>
    <col min="369" max="369" width="14" bestFit="1" customWidth="1"/>
    <col min="370" max="370" width="14" customWidth="1"/>
    <col min="371" max="371" width="16.33203125" bestFit="1" customWidth="1"/>
    <col min="372" max="373" width="30.88671875" customWidth="1"/>
    <col min="384" max="384" width="35.6640625" bestFit="1" customWidth="1"/>
    <col min="385" max="393" width="20.77734375" customWidth="1"/>
    <col min="394" max="394" width="24.21875" customWidth="1"/>
    <col min="395" max="395" width="23.21875" customWidth="1"/>
    <col min="396" max="396" width="20.77734375" customWidth="1"/>
    <col min="403" max="403" width="72.44140625" customWidth="1"/>
    <col min="404" max="405" width="18.5546875" customWidth="1"/>
    <col min="406" max="406" width="10.33203125" customWidth="1"/>
    <col min="407" max="408" width="18.5546875" bestFit="1" customWidth="1"/>
    <col min="409" max="409" width="9.88671875" customWidth="1"/>
    <col min="410" max="411" width="17.88671875" customWidth="1"/>
    <col min="412" max="412" width="9.109375" bestFit="1" customWidth="1"/>
    <col min="413" max="414" width="17.6640625" customWidth="1"/>
    <col min="415" max="415" width="9.109375" bestFit="1" customWidth="1"/>
    <col min="416" max="417" width="17.5546875" customWidth="1"/>
    <col min="418" max="418" width="10" bestFit="1" customWidth="1"/>
    <col min="419" max="420" width="17.44140625" customWidth="1"/>
    <col min="421" max="421" width="13.109375" bestFit="1" customWidth="1"/>
    <col min="422" max="423" width="18.21875" customWidth="1"/>
    <col min="424" max="424" width="13.109375" bestFit="1" customWidth="1"/>
    <col min="425" max="426" width="18.44140625" customWidth="1"/>
    <col min="427" max="427" width="11.5546875" bestFit="1" customWidth="1"/>
    <col min="428" max="429" width="17.21875" customWidth="1"/>
    <col min="430" max="430" width="11.5546875" bestFit="1" customWidth="1"/>
    <col min="431" max="432" width="18" customWidth="1"/>
    <col min="433" max="433" width="11.5546875" bestFit="1" customWidth="1"/>
    <col min="434" max="434" width="17.33203125" customWidth="1"/>
    <col min="435" max="435" width="17.44140625" customWidth="1"/>
    <col min="436" max="436" width="11.5546875" bestFit="1" customWidth="1"/>
    <col min="437" max="438" width="18.21875" customWidth="1"/>
    <col min="439" max="439" width="11.5546875" bestFit="1" customWidth="1"/>
    <col min="440" max="440" width="21.44140625" customWidth="1"/>
    <col min="441" max="441" width="20.77734375" customWidth="1"/>
    <col min="442" max="442" width="20.21875" customWidth="1"/>
    <col min="443" max="443" width="13.109375" customWidth="1"/>
    <col min="444" max="444" width="21.33203125" customWidth="1"/>
    <col min="445" max="445" width="20.5546875" customWidth="1"/>
    <col min="446" max="446" width="19.88671875" customWidth="1"/>
    <col min="447" max="447" width="18.21875" customWidth="1"/>
    <col min="448" max="448" width="21.21875" customWidth="1"/>
    <col min="449" max="449" width="11.33203125" customWidth="1"/>
    <col min="450" max="450" width="21.5546875" customWidth="1"/>
    <col min="451" max="451" width="12.109375" customWidth="1"/>
    <col min="452" max="452" width="20.6640625" customWidth="1"/>
    <col min="453" max="453" width="9" customWidth="1"/>
    <col min="454" max="454" width="25.88671875" customWidth="1"/>
    <col min="455" max="455" width="23.21875" customWidth="1"/>
    <col min="456" max="456" width="9.6640625" bestFit="1" customWidth="1"/>
    <col min="457" max="458" width="9" bestFit="1" customWidth="1"/>
    <col min="460" max="461" width="13.6640625" customWidth="1"/>
    <col min="462" max="462" width="12.88671875" bestFit="1" customWidth="1"/>
    <col min="463" max="463" width="40.5546875" bestFit="1" customWidth="1"/>
    <col min="464" max="464" width="11.44140625" bestFit="1" customWidth="1"/>
    <col min="465" max="465" width="17.88671875" customWidth="1"/>
    <col min="466" max="466" width="34.5546875" customWidth="1"/>
    <col min="497" max="497" width="72.44140625" customWidth="1"/>
    <col min="498" max="499" width="18.5546875" customWidth="1"/>
    <col min="500" max="500" width="10.33203125" customWidth="1"/>
    <col min="501" max="502" width="18.6640625" bestFit="1" customWidth="1"/>
    <col min="503" max="503" width="9.88671875" customWidth="1"/>
    <col min="504" max="505" width="17.88671875" customWidth="1"/>
    <col min="506" max="506" width="9.109375" bestFit="1" customWidth="1"/>
    <col min="507" max="508" width="17.6640625" customWidth="1"/>
    <col min="509" max="509" width="9.109375" bestFit="1" customWidth="1"/>
    <col min="510" max="511" width="17.5546875" customWidth="1"/>
    <col min="512" max="512" width="10" bestFit="1" customWidth="1"/>
    <col min="513" max="514" width="17.44140625" customWidth="1"/>
    <col min="515" max="515" width="13.109375" bestFit="1" customWidth="1"/>
    <col min="516" max="517" width="18.21875" customWidth="1"/>
    <col min="518" max="518" width="13.109375" bestFit="1" customWidth="1"/>
    <col min="519" max="520" width="18.44140625" customWidth="1"/>
    <col min="521" max="521" width="11.5546875" bestFit="1" customWidth="1"/>
    <col min="522" max="523" width="17.21875" customWidth="1"/>
    <col min="524" max="524" width="8.5546875" customWidth="1"/>
    <col min="525" max="526" width="18" customWidth="1"/>
    <col min="527" max="527" width="10.109375" customWidth="1"/>
    <col min="528" max="528" width="17.33203125" customWidth="1"/>
    <col min="529" max="529" width="17.44140625" customWidth="1"/>
    <col min="530" max="530" width="11.5546875" bestFit="1" customWidth="1"/>
    <col min="531" max="532" width="18.21875" customWidth="1"/>
    <col min="533" max="533" width="11.6640625" bestFit="1" customWidth="1"/>
    <col min="534" max="534" width="21.44140625" customWidth="1"/>
    <col min="535" max="535" width="20.77734375" customWidth="1"/>
    <col min="536" max="536" width="20.21875" hidden="1" customWidth="1"/>
    <col min="537" max="537" width="13.109375" customWidth="1"/>
    <col min="538" max="538" width="21.33203125" hidden="1" customWidth="1"/>
    <col min="539" max="539" width="20.5546875" hidden="1" customWidth="1"/>
    <col min="540" max="540" width="19.88671875" hidden="1" customWidth="1"/>
    <col min="541" max="541" width="18.21875" hidden="1" customWidth="1"/>
    <col min="542" max="542" width="21.21875" hidden="1" customWidth="1"/>
    <col min="543" max="543" width="11.33203125" hidden="1" customWidth="1"/>
    <col min="544" max="544" width="21.5546875" hidden="1" customWidth="1"/>
    <col min="545" max="545" width="12.109375" hidden="1" customWidth="1"/>
    <col min="546" max="546" width="20.6640625" hidden="1" customWidth="1"/>
    <col min="547" max="547" width="9" hidden="1" customWidth="1"/>
    <col min="548" max="548" width="21.33203125" hidden="1" customWidth="1"/>
    <col min="549" max="549" width="20.5546875" hidden="1" customWidth="1"/>
    <col min="550" max="550" width="19.88671875" hidden="1" customWidth="1"/>
    <col min="551" max="551" width="18.21875" hidden="1" customWidth="1"/>
    <col min="552" max="552" width="21.21875" hidden="1" customWidth="1"/>
    <col min="553" max="553" width="11.33203125" hidden="1" customWidth="1"/>
    <col min="554" max="554" width="21.5546875" hidden="1" customWidth="1"/>
    <col min="555" max="555" width="12.109375" hidden="1" customWidth="1"/>
    <col min="556" max="556" width="20.6640625" hidden="1" customWidth="1"/>
    <col min="557" max="557" width="9" hidden="1" customWidth="1"/>
    <col min="558" max="558" width="25.88671875" customWidth="1"/>
    <col min="559" max="559" width="23.21875" customWidth="1"/>
    <col min="560" max="560" width="9.6640625" bestFit="1" customWidth="1"/>
    <col min="561" max="561" width="20.77734375" hidden="1" customWidth="1"/>
    <col min="562" max="562" width="20.21875" hidden="1" customWidth="1"/>
    <col min="563" max="563" width="10.109375" hidden="1" customWidth="1"/>
    <col min="564" max="564" width="9" hidden="1" customWidth="1"/>
    <col min="565" max="566" width="17.33203125" hidden="1" customWidth="1"/>
    <col min="567" max="567" width="9" hidden="1" customWidth="1"/>
    <col min="568" max="568" width="20.6640625" hidden="1" customWidth="1"/>
    <col min="569" max="569" width="23.6640625" hidden="1" customWidth="1"/>
    <col min="570" max="570" width="9.44140625" hidden="1" customWidth="1"/>
    <col min="571" max="571" width="20.77734375" hidden="1" customWidth="1"/>
    <col min="572" max="572" width="21" hidden="1" customWidth="1"/>
    <col min="573" max="573" width="11.109375" hidden="1" customWidth="1"/>
    <col min="574" max="574" width="22.109375" hidden="1" customWidth="1"/>
    <col min="575" max="575" width="21" hidden="1" customWidth="1"/>
    <col min="576" max="576" width="9" hidden="1" customWidth="1"/>
    <col min="577" max="578" width="20.5546875" hidden="1" customWidth="1"/>
    <col min="579" max="579" width="10.88671875" hidden="1" customWidth="1"/>
    <col min="580" max="580" width="13" customWidth="1"/>
    <col min="581" max="581" width="13.109375" customWidth="1"/>
    <col min="582" max="582" width="13.21875" customWidth="1"/>
    <col min="583" max="588" width="12" customWidth="1"/>
    <col min="589" max="596" width="9" bestFit="1" customWidth="1"/>
    <col min="598" max="599" width="13.6640625" customWidth="1"/>
    <col min="600" max="600" width="12.88671875" bestFit="1" customWidth="1"/>
    <col min="601" max="601" width="40.5546875" bestFit="1" customWidth="1"/>
    <col min="602" max="602" width="11.44140625" bestFit="1" customWidth="1"/>
    <col min="603" max="603" width="17.88671875" customWidth="1"/>
    <col min="604" max="604" width="34.5546875" customWidth="1"/>
    <col min="608" max="669" width="8.88671875" customWidth="1"/>
    <col min="670" max="670" width="45.88671875" customWidth="1"/>
    <col min="671" max="671" width="14.44140625" customWidth="1"/>
    <col min="672" max="672" width="33.21875" customWidth="1"/>
    <col min="673" max="673" width="34.109375" customWidth="1"/>
    <col min="674" max="674" width="24.109375" customWidth="1"/>
    <col min="675" max="675" width="25" customWidth="1"/>
    <col min="676" max="676" width="19" customWidth="1"/>
    <col min="677" max="677" width="23.109375" customWidth="1"/>
    <col min="678" max="679" width="23.33203125" customWidth="1"/>
    <col min="680" max="680" width="23" customWidth="1"/>
    <col min="681" max="692" width="22.33203125" customWidth="1"/>
    <col min="693" max="713" width="8.88671875" customWidth="1"/>
    <col min="714" max="714" width="32.88671875" customWidth="1"/>
    <col min="715" max="715" width="13.77734375" customWidth="1"/>
    <col min="716" max="724" width="20" customWidth="1"/>
    <col min="725" max="725" width="20.109375" customWidth="1"/>
    <col min="726" max="726" width="20.88671875" customWidth="1"/>
    <col min="727" max="728" width="20.109375" customWidth="1"/>
    <col min="729" max="746" width="8.88671875" customWidth="1"/>
    <col min="747" max="747" width="32.88671875" customWidth="1"/>
    <col min="748" max="748" width="13.77734375" customWidth="1"/>
    <col min="749" max="749" width="13.44140625" customWidth="1"/>
    <col min="750" max="750" width="15.33203125" customWidth="1"/>
    <col min="751" max="757" width="20" customWidth="1"/>
    <col min="758" max="758" width="15.33203125" customWidth="1"/>
    <col min="759" max="765" width="20" customWidth="1"/>
    <col min="766" max="766" width="15.33203125" customWidth="1"/>
    <col min="767" max="773" width="20" customWidth="1"/>
    <col min="774" max="774" width="15.33203125" customWidth="1"/>
    <col min="775" max="781" width="20" customWidth="1"/>
    <col min="782" max="782" width="20.109375" customWidth="1"/>
    <col min="783" max="783" width="20.88671875" customWidth="1"/>
    <col min="784" max="784" width="23.6640625" customWidth="1"/>
    <col min="785" max="794" width="8.88671875" customWidth="1"/>
    <col min="799" max="799" width="37.5546875" customWidth="1"/>
    <col min="800" max="801" width="18.5546875" customWidth="1"/>
    <col min="802" max="803" width="10.33203125" customWidth="1"/>
    <col min="804" max="804" width="18.6640625" bestFit="1" customWidth="1"/>
    <col min="805" max="805" width="20.109375" customWidth="1"/>
    <col min="806" max="806" width="10.33203125" customWidth="1"/>
    <col min="807" max="807" width="10.5546875" customWidth="1"/>
    <col min="808" max="809" width="15.109375" customWidth="1"/>
    <col min="810" max="811" width="10.33203125" customWidth="1"/>
    <col min="812" max="813" width="17.77734375" customWidth="1"/>
    <col min="814" max="815" width="10.33203125" customWidth="1"/>
    <col min="816" max="817" width="17.44140625" customWidth="1"/>
    <col min="818" max="819" width="10.33203125" customWidth="1"/>
    <col min="820" max="820" width="18.21875" customWidth="1"/>
    <col min="821" max="821" width="14.109375" customWidth="1"/>
    <col min="822" max="823" width="10.33203125" customWidth="1"/>
    <col min="824" max="824" width="11.5546875" bestFit="1" customWidth="1"/>
    <col min="825" max="825" width="17.21875" customWidth="1"/>
    <col min="826" max="827" width="10.33203125" customWidth="1"/>
    <col min="828" max="829" width="18" customWidth="1"/>
    <col min="830" max="831" width="10.33203125" customWidth="1"/>
    <col min="832" max="832" width="17.44140625" customWidth="1"/>
    <col min="833" max="833" width="11.5546875" bestFit="1" customWidth="1"/>
    <col min="834" max="835" width="10.33203125" customWidth="1"/>
    <col min="836" max="836" width="14.77734375" customWidth="1"/>
    <col min="837" max="837" width="17.109375" customWidth="1"/>
    <col min="838" max="839" width="10.33203125" customWidth="1"/>
    <col min="840" max="840" width="13.109375" customWidth="1"/>
    <col min="841" max="841" width="21.33203125" customWidth="1"/>
    <col min="842" max="843" width="10.33203125" customWidth="1"/>
    <col min="844" max="844" width="18.21875" customWidth="1"/>
    <col min="845" max="845" width="21.21875" customWidth="1"/>
    <col min="846" max="847" width="10.33203125" customWidth="1"/>
    <col min="848" max="848" width="12.109375" customWidth="1"/>
    <col min="849" max="849" width="20.6640625" customWidth="1"/>
    <col min="850" max="851" width="10.33203125" customWidth="1"/>
    <col min="852" max="852" width="20.5546875" customWidth="1"/>
    <col min="853" max="853" width="19.88671875" customWidth="1"/>
    <col min="854" max="855" width="10.33203125" customWidth="1"/>
    <col min="856" max="856" width="11.33203125" customWidth="1"/>
    <col min="857" max="857" width="21.5546875" customWidth="1"/>
    <col min="858" max="859" width="10.33203125" customWidth="1"/>
    <col min="860" max="860" width="15.44140625" customWidth="1"/>
    <col min="861" max="861" width="14.6640625" customWidth="1"/>
    <col min="862" max="862" width="10.33203125" customWidth="1"/>
    <col min="863" max="863" width="10.33203125" hidden="1" customWidth="1"/>
    <col min="864" max="864" width="20.77734375" hidden="1" customWidth="1"/>
    <col min="865" max="865" width="20.21875" hidden="1" customWidth="1"/>
    <col min="866" max="867" width="10.33203125" hidden="1" customWidth="1"/>
    <col min="868" max="869" width="17.33203125" customWidth="1"/>
    <col min="870" max="870" width="10.33203125" customWidth="1"/>
    <col min="871" max="871" width="10.33203125" hidden="1" customWidth="1"/>
    <col min="872" max="872" width="23.6640625" hidden="1" customWidth="1"/>
    <col min="873" max="873" width="9.44140625" hidden="1" customWidth="1"/>
    <col min="874" max="875" width="10.33203125" hidden="1" customWidth="1"/>
    <col min="876" max="876" width="11.109375" customWidth="1"/>
    <col min="877" max="877" width="22.109375" customWidth="1"/>
    <col min="878" max="878" width="10.33203125" customWidth="1"/>
    <col min="879" max="879" width="10.33203125" hidden="1" customWidth="1"/>
    <col min="880" max="881" width="20.5546875" hidden="1" customWidth="1"/>
    <col min="882" max="883" width="10.33203125" hidden="1" customWidth="1"/>
    <col min="884" max="884" width="13.109375" customWidth="1"/>
    <col min="885" max="885" width="13.21875" customWidth="1"/>
    <col min="886" max="886" width="10.33203125" customWidth="1"/>
    <col min="887" max="887" width="10.33203125" hidden="1" customWidth="1"/>
    <col min="888" max="889" width="12" hidden="1" customWidth="1"/>
    <col min="890" max="891" width="10.33203125" hidden="1" customWidth="1"/>
    <col min="892" max="893" width="18.21875" customWidth="1"/>
    <col min="894" max="894" width="10.33203125" customWidth="1"/>
    <col min="895" max="895" width="10.33203125" hidden="1" customWidth="1"/>
    <col min="896" max="896" width="21.33203125" hidden="1" customWidth="1"/>
    <col min="897" max="897" width="20.5546875" hidden="1" customWidth="1"/>
    <col min="898" max="898" width="10.33203125" hidden="1" customWidth="1"/>
    <col min="899" max="899" width="13.5546875" hidden="1" customWidth="1"/>
    <col min="900" max="900" width="21.33203125" customWidth="1"/>
    <col min="901" max="901" width="20.5546875" customWidth="1"/>
    <col min="902" max="902" width="10.33203125" customWidth="1"/>
    <col min="903" max="903" width="14.33203125" customWidth="1"/>
    <col min="904" max="906" width="20.5546875" customWidth="1"/>
    <col min="907" max="907" width="20.77734375" customWidth="1"/>
    <col min="908" max="908" width="20.21875" customWidth="1"/>
    <col min="909" max="909" width="10.109375" customWidth="1"/>
    <col min="910" max="910" width="9" customWidth="1"/>
    <col min="911" max="912" width="17.33203125" customWidth="1"/>
    <col min="913" max="913" width="9" customWidth="1"/>
    <col min="914" max="914" width="20.6640625" customWidth="1"/>
    <col min="915" max="915" width="23.6640625" customWidth="1"/>
    <col min="916" max="916" width="9.44140625" customWidth="1"/>
    <col min="917" max="917" width="20.77734375" customWidth="1"/>
    <col min="918" max="918" width="21" customWidth="1"/>
    <col min="919" max="919" width="11.109375" customWidth="1"/>
    <col min="920" max="920" width="22.109375" customWidth="1"/>
    <col min="921" max="921" width="21" customWidth="1"/>
    <col min="922" max="922" width="9" customWidth="1"/>
    <col min="923" max="924" width="20.5546875" customWidth="1"/>
    <col min="925" max="925" width="10.88671875" customWidth="1"/>
    <col min="926" max="926" width="13" customWidth="1"/>
    <col min="927" max="932" width="12" customWidth="1"/>
    <col min="933" max="937" width="9" bestFit="1" customWidth="1"/>
    <col min="938" max="938" width="10.88671875" customWidth="1"/>
    <col min="939" max="939" width="16.44140625" customWidth="1"/>
    <col min="940" max="940" width="19.5546875" customWidth="1"/>
    <col min="941" max="941" width="17.77734375" customWidth="1"/>
    <col min="942" max="942" width="11.21875" customWidth="1"/>
    <col min="944" max="945" width="13.6640625" customWidth="1"/>
    <col min="946" max="946" width="12.88671875" bestFit="1" customWidth="1"/>
    <col min="947" max="949" width="13.6640625" customWidth="1"/>
    <col min="950" max="950" width="40.5546875" bestFit="1" customWidth="1"/>
    <col min="951" max="951" width="11.44140625" bestFit="1" customWidth="1"/>
    <col min="952" max="952" width="17.88671875" customWidth="1"/>
    <col min="953" max="953" width="34.5546875" customWidth="1"/>
    <col min="15222" max="15222" width="12" bestFit="1" customWidth="1"/>
    <col min="15223" max="15223" width="14.44140625" bestFit="1" customWidth="1"/>
    <col min="15224" max="15224" width="12" bestFit="1" customWidth="1"/>
    <col min="15225" max="15225" width="14.44140625" bestFit="1" customWidth="1"/>
    <col min="15226" max="15226" width="12" bestFit="1" customWidth="1"/>
    <col min="15227" max="15227" width="14.44140625" bestFit="1" customWidth="1"/>
    <col min="15228" max="15228" width="12" bestFit="1" customWidth="1"/>
    <col min="15229" max="15229" width="14.44140625" bestFit="1" customWidth="1"/>
    <col min="15230" max="15230" width="12" bestFit="1" customWidth="1"/>
    <col min="15231" max="15231" width="14.44140625" bestFit="1" customWidth="1"/>
    <col min="15232" max="15232" width="12" bestFit="1" customWidth="1"/>
    <col min="15233" max="15233" width="14.44140625" bestFit="1" customWidth="1"/>
    <col min="15234" max="15234" width="12" bestFit="1" customWidth="1"/>
    <col min="15235" max="15235" width="14.44140625" bestFit="1" customWidth="1"/>
    <col min="15236" max="15236" width="12" bestFit="1" customWidth="1"/>
    <col min="15237" max="15237" width="14.44140625" bestFit="1" customWidth="1"/>
    <col min="15238" max="15238" width="12" bestFit="1" customWidth="1"/>
    <col min="15239" max="15239" width="14.44140625" bestFit="1" customWidth="1"/>
    <col min="15240" max="15240" width="12" bestFit="1" customWidth="1"/>
    <col min="15241" max="15241" width="14.44140625" bestFit="1" customWidth="1"/>
    <col min="15242" max="15242" width="12" bestFit="1" customWidth="1"/>
    <col min="15243" max="15243" width="14.44140625" bestFit="1" customWidth="1"/>
    <col min="15244" max="15244" width="12" bestFit="1" customWidth="1"/>
    <col min="15245" max="15245" width="14.44140625" bestFit="1" customWidth="1"/>
    <col min="15246" max="15249" width="14.88671875" bestFit="1" customWidth="1"/>
    <col min="15324" max="15324" width="9.33203125" bestFit="1" customWidth="1"/>
    <col min="15325" max="15325" width="47.5546875" bestFit="1" customWidth="1"/>
    <col min="15326" max="15326" width="16.88671875" bestFit="1" customWidth="1"/>
    <col min="15327" max="15327" width="16.33203125" bestFit="1" customWidth="1"/>
    <col min="15328" max="15328" width="16.88671875" bestFit="1" customWidth="1"/>
    <col min="15329" max="15329" width="15.88671875" bestFit="1" customWidth="1"/>
    <col min="15330" max="15330" width="16.33203125" bestFit="1" customWidth="1"/>
    <col min="15331" max="15331" width="15.88671875" bestFit="1" customWidth="1"/>
    <col min="15332" max="15332" width="16.33203125" bestFit="1" customWidth="1"/>
    <col min="15333" max="15333" width="15.44140625" bestFit="1" customWidth="1"/>
    <col min="15334" max="15334" width="16.33203125" bestFit="1" customWidth="1"/>
    <col min="15335" max="15335" width="15" bestFit="1" customWidth="1"/>
    <col min="15336" max="15336" width="15.88671875" bestFit="1" customWidth="1"/>
    <col min="15337" max="15337" width="16.88671875" bestFit="1" customWidth="1"/>
    <col min="15338" max="15338" width="14.6640625" bestFit="1" customWidth="1"/>
    <col min="15339" max="15339" width="15.109375" bestFit="1" customWidth="1"/>
    <col min="15340" max="15343" width="14.88671875" customWidth="1"/>
    <col min="15344" max="15344" width="13.109375" customWidth="1"/>
  </cols>
  <sheetData>
    <row r="1" spans="1:13" ht="26.4" customHeight="1" thickBot="1">
      <c r="A1" s="199" t="str">
        <f>'Managment Print'!A1</f>
        <v>FMCG Team – IKON MTD Call Performance Summary Till 14-Oct-2026</v>
      </c>
      <c r="B1" s="200"/>
      <c r="C1" s="200"/>
      <c r="D1" s="200"/>
      <c r="E1" s="200"/>
      <c r="F1" s="200"/>
      <c r="G1" s="200"/>
      <c r="H1" s="218"/>
      <c r="I1" s="209" t="str">
        <f>'Managment Print'!H1</f>
        <v>Attendance</v>
      </c>
      <c r="J1" s="210"/>
      <c r="K1" s="215" t="str">
        <f>'Managment Print'!M1</f>
        <v>Calls + Exception Other Calls</v>
      </c>
      <c r="L1" s="216"/>
      <c r="M1" s="206" t="str">
        <f>'Managment Print'!T1</f>
        <v>Comments</v>
      </c>
    </row>
    <row r="2" spans="1:13" ht="26.4" customHeight="1" thickBot="1">
      <c r="A2" s="201"/>
      <c r="B2" s="202"/>
      <c r="C2" s="202"/>
      <c r="D2" s="202"/>
      <c r="E2" s="202"/>
      <c r="F2" s="202"/>
      <c r="G2" s="202"/>
      <c r="H2" s="219"/>
      <c r="I2" s="220">
        <f>'Managment Print'!H2</f>
        <v>46309</v>
      </c>
      <c r="J2" s="221"/>
      <c r="K2" s="222">
        <f>'Managment Print'!M2</f>
        <v>46309</v>
      </c>
      <c r="L2" s="223"/>
      <c r="M2" s="207"/>
    </row>
    <row r="3" spans="1:13" ht="46.8" customHeight="1" thickBot="1">
      <c r="A3" s="18" t="str">
        <f>'Managment Print'!A3</f>
        <v>Legend</v>
      </c>
      <c r="B3" s="19" t="str">
        <f>'Managment Print'!B3</f>
        <v>Zone</v>
      </c>
      <c r="C3" s="19" t="str">
        <f>'Managment Print'!C3</f>
        <v>Region</v>
      </c>
      <c r="D3" s="20" t="str">
        <f>'Managment Print'!D3</f>
        <v>F.F Name</v>
      </c>
      <c r="E3" s="19" t="str">
        <f>'Managment Print'!E3</f>
        <v>Reps</v>
      </c>
      <c r="F3" s="21" t="str">
        <f>'Managment Print'!F3</f>
        <v># Of Vacant</v>
      </c>
      <c r="G3" s="21" t="str">
        <f>'Managment Print'!G3</f>
        <v>Not Used IKON Today</v>
      </c>
      <c r="H3" s="21" t="s">
        <v>839</v>
      </c>
      <c r="I3" s="22" t="str">
        <f>'Managment Print'!H3</f>
        <v># of Attn Yesterday</v>
      </c>
      <c r="J3" s="23" t="str">
        <f>'Managment Print'!I3</f>
        <v>Active SPOs Today</v>
      </c>
      <c r="K3" s="25" t="str">
        <f>'Managment Print'!M3</f>
        <v># of Calls Yesterday</v>
      </c>
      <c r="L3" s="24" t="str">
        <f>'Managment Print'!O3</f>
        <v>Active SPOs Today</v>
      </c>
      <c r="M3" s="208"/>
    </row>
    <row r="4" spans="1:13" ht="19.95" customHeight="1">
      <c r="A4" s="32" t="str">
        <f>'Managment Print'!A4</f>
        <v>ASM</v>
      </c>
      <c r="B4" s="33" t="str">
        <f>'Managment Print'!B4</f>
        <v>South-A</v>
      </c>
      <c r="C4" s="34" t="str">
        <f>'Managment Print'!C4</f>
        <v>Karachi-1</v>
      </c>
      <c r="D4" s="33" t="str">
        <f>'Managment Print'!D4</f>
        <v>M. WAQAR IQBAL</v>
      </c>
      <c r="E4" s="26">
        <f>'Managment Print'!E4</f>
        <v>5</v>
      </c>
      <c r="F4" s="62">
        <f>'Managment Print'!F4</f>
        <v>0</v>
      </c>
      <c r="G4" s="62">
        <f>'Managment Print'!G4</f>
        <v>1</v>
      </c>
      <c r="H4" s="62">
        <f>E4-J4</f>
        <v>1</v>
      </c>
      <c r="I4" s="35">
        <f>'Managment Print'!H4</f>
        <v>5</v>
      </c>
      <c r="J4" s="26">
        <f>'Managment Print'!I4</f>
        <v>4</v>
      </c>
      <c r="K4" s="36">
        <f>'Managment Print'!M4</f>
        <v>167</v>
      </c>
      <c r="L4" s="26">
        <f>'Managment Print'!N4</f>
        <v>0</v>
      </c>
      <c r="M4" s="27"/>
    </row>
    <row r="5" spans="1:13" ht="19.95" customHeight="1">
      <c r="A5" s="37" t="str">
        <f>'Managment Print'!A5</f>
        <v>ASM</v>
      </c>
      <c r="B5" s="38" t="str">
        <f>'Managment Print'!B5</f>
        <v>South-A</v>
      </c>
      <c r="C5" s="39" t="str">
        <f>'Managment Print'!C5</f>
        <v>Karachi-2</v>
      </c>
      <c r="D5" s="38" t="str">
        <f>'Managment Print'!D5</f>
        <v>WAQAR ABDUL RASHEED</v>
      </c>
      <c r="E5" s="28">
        <f>'Managment Print'!E5</f>
        <v>5</v>
      </c>
      <c r="F5" s="63">
        <f>'Managment Print'!F5</f>
        <v>0</v>
      </c>
      <c r="G5" s="63">
        <f>'Managment Print'!G5</f>
        <v>1</v>
      </c>
      <c r="H5" s="63">
        <f t="shared" ref="H5:H58" si="0">E5-J5</f>
        <v>1</v>
      </c>
      <c r="I5" s="40">
        <f>'Managment Print'!H5</f>
        <v>5</v>
      </c>
      <c r="J5" s="28">
        <f>'Managment Print'!I5</f>
        <v>4</v>
      </c>
      <c r="K5" s="41">
        <f>'Managment Print'!M5</f>
        <v>168</v>
      </c>
      <c r="L5" s="28">
        <f>'Managment Print'!N5</f>
        <v>0</v>
      </c>
      <c r="M5" s="29"/>
    </row>
    <row r="6" spans="1:13" ht="19.95" customHeight="1">
      <c r="A6" s="37" t="str">
        <f>'Managment Print'!A6</f>
        <v>ASM</v>
      </c>
      <c r="B6" s="38" t="str">
        <f>'Managment Print'!B6</f>
        <v>South-A</v>
      </c>
      <c r="C6" s="39" t="str">
        <f>'Managment Print'!C6</f>
        <v>Karachi-3</v>
      </c>
      <c r="D6" s="38" t="str">
        <f>'Managment Print'!D6</f>
        <v>SABAHAT KHAN SOORI</v>
      </c>
      <c r="E6" s="28">
        <f>'Managment Print'!E6</f>
        <v>6</v>
      </c>
      <c r="F6" s="63">
        <f>'Managment Print'!F6</f>
        <v>2</v>
      </c>
      <c r="G6" s="63">
        <f>'Managment Print'!G6</f>
        <v>0</v>
      </c>
      <c r="H6" s="63">
        <f t="shared" si="0"/>
        <v>2</v>
      </c>
      <c r="I6" s="40">
        <f>'Managment Print'!H6</f>
        <v>4</v>
      </c>
      <c r="J6" s="28">
        <f>'Managment Print'!I6</f>
        <v>4</v>
      </c>
      <c r="K6" s="41">
        <f>'Managment Print'!M6</f>
        <v>158</v>
      </c>
      <c r="L6" s="28">
        <f>'Managment Print'!N6</f>
        <v>0</v>
      </c>
      <c r="M6" s="29"/>
    </row>
    <row r="7" spans="1:13" ht="19.95" customHeight="1">
      <c r="A7" s="37" t="str">
        <f>'Managment Print'!A7</f>
        <v>ASM</v>
      </c>
      <c r="B7" s="38" t="str">
        <f>'Managment Print'!B7</f>
        <v>South-A</v>
      </c>
      <c r="C7" s="39" t="str">
        <f>'Managment Print'!C7</f>
        <v>Karachi-4</v>
      </c>
      <c r="D7" s="38" t="str">
        <f>'Managment Print'!D7</f>
        <v>M. DANISH</v>
      </c>
      <c r="E7" s="28">
        <f>'Managment Print'!E7</f>
        <v>6</v>
      </c>
      <c r="F7" s="63">
        <f>'Managment Print'!F7</f>
        <v>0</v>
      </c>
      <c r="G7" s="63">
        <f>'Managment Print'!G7</f>
        <v>0</v>
      </c>
      <c r="H7" s="63">
        <f t="shared" si="0"/>
        <v>0</v>
      </c>
      <c r="I7" s="40">
        <f>'Managment Print'!H7</f>
        <v>6</v>
      </c>
      <c r="J7" s="28">
        <f>'Managment Print'!I7</f>
        <v>6</v>
      </c>
      <c r="K7" s="41">
        <f>'Managment Print'!M7</f>
        <v>184</v>
      </c>
      <c r="L7" s="28">
        <f>'Managment Print'!N7</f>
        <v>0</v>
      </c>
      <c r="M7" s="29"/>
    </row>
    <row r="8" spans="1:13" ht="19.95" customHeight="1">
      <c r="A8" s="37" t="str">
        <f>'Managment Print'!A8</f>
        <v>ASM</v>
      </c>
      <c r="B8" s="38" t="str">
        <f>'Managment Print'!B8</f>
        <v>South-A</v>
      </c>
      <c r="C8" s="39" t="str">
        <f>'Managment Print'!C8</f>
        <v>KARACHI-5</v>
      </c>
      <c r="D8" s="38" t="str">
        <f>'Managment Print'!D8</f>
        <v>SY. HASSAN IQBAL ZAIDI</v>
      </c>
      <c r="E8" s="28">
        <f>'Managment Print'!E8</f>
        <v>5</v>
      </c>
      <c r="F8" s="63">
        <f>'Managment Print'!F8</f>
        <v>1</v>
      </c>
      <c r="G8" s="63">
        <f>'Managment Print'!G8</f>
        <v>0</v>
      </c>
      <c r="H8" s="63">
        <f t="shared" si="0"/>
        <v>1</v>
      </c>
      <c r="I8" s="40">
        <f>'Managment Print'!H8</f>
        <v>4</v>
      </c>
      <c r="J8" s="28">
        <f>'Managment Print'!I8</f>
        <v>4</v>
      </c>
      <c r="K8" s="41">
        <f>'Managment Print'!M8</f>
        <v>13</v>
      </c>
      <c r="L8" s="28">
        <f>'Managment Print'!N8</f>
        <v>0</v>
      </c>
      <c r="M8" s="29"/>
    </row>
    <row r="9" spans="1:13" ht="19.95" customHeight="1">
      <c r="A9" s="37" t="str">
        <f>'Managment Print'!A9</f>
        <v>CM</v>
      </c>
      <c r="B9" s="38" t="str">
        <f>'Managment Print'!B9</f>
        <v>South-A</v>
      </c>
      <c r="C9" s="39" t="str">
        <f>'Managment Print'!C9</f>
        <v>Karachi-6</v>
      </c>
      <c r="D9" s="38" t="str">
        <f>'Managment Print'!D9</f>
        <v>OWAIS ABID (CM-KHI-01)</v>
      </c>
      <c r="E9" s="28">
        <f>'Managment Print'!E9</f>
        <v>1</v>
      </c>
      <c r="F9" s="63">
        <f>'Managment Print'!F9</f>
        <v>0</v>
      </c>
      <c r="G9" s="63">
        <f>'Managment Print'!G9</f>
        <v>1</v>
      </c>
      <c r="H9" s="63">
        <f t="shared" si="0"/>
        <v>1</v>
      </c>
      <c r="I9" s="40">
        <f>'Managment Print'!H9</f>
        <v>0</v>
      </c>
      <c r="J9" s="28">
        <f>'Managment Print'!I9</f>
        <v>0</v>
      </c>
      <c r="K9" s="41">
        <f>'Managment Print'!M9</f>
        <v>0</v>
      </c>
      <c r="L9" s="28">
        <f>'Managment Print'!N9</f>
        <v>0</v>
      </c>
      <c r="M9" s="29"/>
    </row>
    <row r="10" spans="1:13" ht="19.95" customHeight="1">
      <c r="A10" s="42" t="str">
        <f>'Managment Print'!A11</f>
        <v>RSM</v>
      </c>
      <c r="B10" s="43" t="str">
        <f>'Managment Print'!B11</f>
        <v>South-A</v>
      </c>
      <c r="C10" s="44" t="str">
        <f>'Managment Print'!C11</f>
        <v>STH-A Karachi</v>
      </c>
      <c r="D10" s="43" t="str">
        <f>'Managment Print'!D11</f>
        <v>Khawaja Ghulam Nabi</v>
      </c>
      <c r="E10" s="8">
        <f>'Managment Print'!E11</f>
        <v>29</v>
      </c>
      <c r="F10" s="14">
        <f>'Managment Print'!F11</f>
        <v>3</v>
      </c>
      <c r="G10" s="14">
        <f>'Managment Print'!G11</f>
        <v>4</v>
      </c>
      <c r="H10" s="14">
        <f t="shared" si="0"/>
        <v>7</v>
      </c>
      <c r="I10" s="45">
        <f>'Managment Print'!H11</f>
        <v>25</v>
      </c>
      <c r="J10" s="8">
        <f>'Managment Print'!I11</f>
        <v>22</v>
      </c>
      <c r="K10" s="46">
        <f>'Managment Print'!M11</f>
        <v>690</v>
      </c>
      <c r="L10" s="8">
        <f>'Managment Print'!N11</f>
        <v>0</v>
      </c>
      <c r="M10" s="11"/>
    </row>
    <row r="11" spans="1:13" ht="19.95" customHeight="1">
      <c r="A11" s="37" t="str">
        <f>'Managment Print'!A12</f>
        <v>ASM</v>
      </c>
      <c r="B11" s="38" t="str">
        <f>'Managment Print'!B12</f>
        <v>South-B</v>
      </c>
      <c r="C11" s="39" t="str">
        <f>'Managment Print'!C12</f>
        <v>Hyderabad-1</v>
      </c>
      <c r="D11" s="38" t="str">
        <f>'Managment Print'!D12</f>
        <v>NADEEM FAROOQI</v>
      </c>
      <c r="E11" s="28">
        <f>'Managment Print'!E12</f>
        <v>6</v>
      </c>
      <c r="F11" s="63">
        <f>'Managment Print'!F12</f>
        <v>1</v>
      </c>
      <c r="G11" s="63">
        <f>'Managment Print'!G12</f>
        <v>1</v>
      </c>
      <c r="H11" s="63">
        <f t="shared" si="0"/>
        <v>2</v>
      </c>
      <c r="I11" s="40">
        <f>'Managment Print'!H12</f>
        <v>5</v>
      </c>
      <c r="J11" s="28">
        <f>'Managment Print'!I12</f>
        <v>4</v>
      </c>
      <c r="K11" s="41">
        <f>'Managment Print'!M12</f>
        <v>147</v>
      </c>
      <c r="L11" s="28">
        <f>'Managment Print'!N12</f>
        <v>12</v>
      </c>
      <c r="M11" s="29"/>
    </row>
    <row r="12" spans="1:13" ht="19.95" customHeight="1">
      <c r="A12" s="37" t="str">
        <f>'Managment Print'!A16</f>
        <v>ASM</v>
      </c>
      <c r="B12" s="38" t="str">
        <f>'Managment Print'!B16</f>
        <v>South-C</v>
      </c>
      <c r="C12" s="39" t="str">
        <f>'Managment Print'!C16</f>
        <v>NAWABSHAH-1</v>
      </c>
      <c r="D12" s="38" t="str">
        <f>'Managment Print'!D16</f>
        <v>FAISAL HASSAN</v>
      </c>
      <c r="E12" s="28">
        <f>'Managment Print'!E16</f>
        <v>6</v>
      </c>
      <c r="F12" s="63">
        <f>'Managment Print'!F16</f>
        <v>0</v>
      </c>
      <c r="G12" s="63">
        <f>'Managment Print'!G16</f>
        <v>0</v>
      </c>
      <c r="H12" s="63">
        <f t="shared" si="0"/>
        <v>0</v>
      </c>
      <c r="I12" s="40">
        <f>'Managment Print'!H16</f>
        <v>6</v>
      </c>
      <c r="J12" s="28">
        <f>'Managment Print'!I16</f>
        <v>6</v>
      </c>
      <c r="K12" s="41">
        <f>'Managment Print'!M16</f>
        <v>56</v>
      </c>
      <c r="L12" s="28">
        <f>'Managment Print'!N16</f>
        <v>5</v>
      </c>
      <c r="M12" s="29"/>
    </row>
    <row r="13" spans="1:13" ht="19.95" customHeight="1">
      <c r="A13" s="37" t="str">
        <f>'Managment Print'!A13</f>
        <v>ASM</v>
      </c>
      <c r="B13" s="38" t="str">
        <f>'Managment Print'!B13</f>
        <v>South-B</v>
      </c>
      <c r="C13" s="39" t="str">
        <f>'Managment Print'!C13</f>
        <v>MIRPUR KHAS-1</v>
      </c>
      <c r="D13" s="38" t="str">
        <f>'Managment Print'!D13</f>
        <v>KAMIL SARDAR</v>
      </c>
      <c r="E13" s="28">
        <f>'Managment Print'!E13</f>
        <v>4</v>
      </c>
      <c r="F13" s="63">
        <f>'Managment Print'!F13</f>
        <v>1</v>
      </c>
      <c r="G13" s="63">
        <f>'Managment Print'!G13</f>
        <v>0</v>
      </c>
      <c r="H13" s="63">
        <f t="shared" si="0"/>
        <v>1</v>
      </c>
      <c r="I13" s="40">
        <f>'Managment Print'!H13</f>
        <v>3</v>
      </c>
      <c r="J13" s="28">
        <f>'Managment Print'!I13</f>
        <v>3</v>
      </c>
      <c r="K13" s="41">
        <f>'Managment Print'!M13</f>
        <v>120</v>
      </c>
      <c r="L13" s="28">
        <f>'Managment Print'!N13</f>
        <v>9</v>
      </c>
      <c r="M13" s="29"/>
    </row>
    <row r="14" spans="1:13" ht="19.95" customHeight="1">
      <c r="A14" s="42" t="str">
        <f>'Managment Print'!A15</f>
        <v>RSM</v>
      </c>
      <c r="B14" s="43" t="str">
        <f>'Managment Print'!B15</f>
        <v>South-B</v>
      </c>
      <c r="C14" s="44" t="str">
        <f>'Managment Print'!C15</f>
        <v>STH-B Hyderabad</v>
      </c>
      <c r="D14" s="43" t="str">
        <f>'Managment Print'!D15</f>
        <v>Vacant RSM</v>
      </c>
      <c r="E14" s="8">
        <f>'Managment Print'!E15</f>
        <v>11</v>
      </c>
      <c r="F14" s="14">
        <f>'Managment Print'!F15</f>
        <v>2</v>
      </c>
      <c r="G14" s="14">
        <f>'Managment Print'!G15</f>
        <v>1</v>
      </c>
      <c r="H14" s="14">
        <f t="shared" si="0"/>
        <v>3</v>
      </c>
      <c r="I14" s="45">
        <f>'Managment Print'!H15</f>
        <v>9</v>
      </c>
      <c r="J14" s="8">
        <f>'Managment Print'!I15</f>
        <v>8</v>
      </c>
      <c r="K14" s="46">
        <f>'Managment Print'!M15</f>
        <v>267</v>
      </c>
      <c r="L14" s="8">
        <f>'Managment Print'!N15</f>
        <v>21</v>
      </c>
      <c r="M14" s="11"/>
    </row>
    <row r="15" spans="1:13" ht="19.95" customHeight="1">
      <c r="A15" s="37" t="str">
        <f>'Managment Print'!A17</f>
        <v>ASM</v>
      </c>
      <c r="B15" s="38" t="str">
        <f>'Managment Print'!B17</f>
        <v>South-C</v>
      </c>
      <c r="C15" s="39" t="str">
        <f>'Managment Print'!C17</f>
        <v>QUETTA-1</v>
      </c>
      <c r="D15" s="38" t="str">
        <f>'Managment Print'!D17</f>
        <v>M. YOUSUF</v>
      </c>
      <c r="E15" s="28">
        <f>'Managment Print'!E17</f>
        <v>5</v>
      </c>
      <c r="F15" s="63">
        <f>'Managment Print'!F17</f>
        <v>0</v>
      </c>
      <c r="G15" s="63">
        <f>'Managment Print'!G17</f>
        <v>0</v>
      </c>
      <c r="H15" s="63">
        <f t="shared" si="0"/>
        <v>0</v>
      </c>
      <c r="I15" s="40">
        <f>'Managment Print'!H17</f>
        <v>4</v>
      </c>
      <c r="J15" s="28">
        <f>'Managment Print'!I17</f>
        <v>5</v>
      </c>
      <c r="K15" s="41">
        <f>'Managment Print'!M17</f>
        <v>113</v>
      </c>
      <c r="L15" s="28">
        <f>'Managment Print'!N17</f>
        <v>0</v>
      </c>
      <c r="M15" s="29"/>
    </row>
    <row r="16" spans="1:13" ht="19.95" customHeight="1">
      <c r="A16" s="37" t="str">
        <f>'Managment Print'!A18</f>
        <v>ASM</v>
      </c>
      <c r="B16" s="38" t="str">
        <f>'Managment Print'!B18</f>
        <v>South-C</v>
      </c>
      <c r="C16" s="39" t="str">
        <f>'Managment Print'!C18</f>
        <v>SUKKUR-1</v>
      </c>
      <c r="D16" s="38" t="str">
        <f>'Managment Print'!D18</f>
        <v>KASHIF ANSARI</v>
      </c>
      <c r="E16" s="28">
        <f>'Managment Print'!E18</f>
        <v>5</v>
      </c>
      <c r="F16" s="63">
        <f>'Managment Print'!F18</f>
        <v>0</v>
      </c>
      <c r="G16" s="63">
        <f>'Managment Print'!G18</f>
        <v>1</v>
      </c>
      <c r="H16" s="63">
        <f t="shared" si="0"/>
        <v>1</v>
      </c>
      <c r="I16" s="40">
        <f>'Managment Print'!H18</f>
        <v>4</v>
      </c>
      <c r="J16" s="28">
        <f>'Managment Print'!I18</f>
        <v>4</v>
      </c>
      <c r="K16" s="41">
        <f>'Managment Print'!M18</f>
        <v>80</v>
      </c>
      <c r="L16" s="28">
        <f>'Managment Print'!N18</f>
        <v>0</v>
      </c>
      <c r="M16" s="29"/>
    </row>
    <row r="17" spans="1:13" ht="19.95" customHeight="1">
      <c r="A17" s="37" t="str">
        <f>'Managment Print'!A19</f>
        <v>ASM</v>
      </c>
      <c r="B17" s="38" t="str">
        <f>'Managment Print'!B19</f>
        <v>South-C</v>
      </c>
      <c r="C17" s="39" t="str">
        <f>'Managment Print'!C19</f>
        <v>LARKANA-1</v>
      </c>
      <c r="D17" s="38" t="str">
        <f>'Managment Print'!D19</f>
        <v>IMRAN KHAN SOOMRO</v>
      </c>
      <c r="E17" s="28">
        <f>'Managment Print'!E19</f>
        <v>5</v>
      </c>
      <c r="F17" s="63">
        <f>'Managment Print'!F19</f>
        <v>0</v>
      </c>
      <c r="G17" s="63">
        <f>'Managment Print'!G19</f>
        <v>1</v>
      </c>
      <c r="H17" s="63">
        <f t="shared" si="0"/>
        <v>1</v>
      </c>
      <c r="I17" s="40">
        <f>'Managment Print'!H19</f>
        <v>2</v>
      </c>
      <c r="J17" s="28">
        <f>'Managment Print'!I19</f>
        <v>4</v>
      </c>
      <c r="K17" s="41">
        <f>'Managment Print'!M19</f>
        <v>52</v>
      </c>
      <c r="L17" s="28">
        <f>'Managment Print'!N19</f>
        <v>0</v>
      </c>
      <c r="M17" s="29"/>
    </row>
    <row r="18" spans="1:13" ht="19.95" customHeight="1">
      <c r="A18" s="42" t="str">
        <f>'Managment Print'!A20</f>
        <v>RSM</v>
      </c>
      <c r="B18" s="43" t="str">
        <f>'Managment Print'!B20</f>
        <v>South-C</v>
      </c>
      <c r="C18" s="44" t="str">
        <f>'Managment Print'!C20</f>
        <v>STH-C Sukkur</v>
      </c>
      <c r="D18" s="43" t="str">
        <f>'Managment Print'!D20</f>
        <v>KASHIF ANSARI</v>
      </c>
      <c r="E18" s="8">
        <f>'Managment Print'!E20</f>
        <v>22</v>
      </c>
      <c r="F18" s="14">
        <f>'Managment Print'!F20</f>
        <v>0</v>
      </c>
      <c r="G18" s="14">
        <f>'Managment Print'!G20</f>
        <v>2</v>
      </c>
      <c r="H18" s="14">
        <f t="shared" si="0"/>
        <v>2</v>
      </c>
      <c r="I18" s="45">
        <f>'Managment Print'!H20</f>
        <v>17</v>
      </c>
      <c r="J18" s="8">
        <f>'Managment Print'!I20</f>
        <v>20</v>
      </c>
      <c r="K18" s="46">
        <f>'Managment Print'!M20</f>
        <v>301</v>
      </c>
      <c r="L18" s="8">
        <f>'Managment Print'!N20</f>
        <v>5</v>
      </c>
      <c r="M18" s="11"/>
    </row>
    <row r="19" spans="1:13" ht="19.95" customHeight="1">
      <c r="A19" s="37" t="str">
        <f>'Managment Print'!A21</f>
        <v>ASM</v>
      </c>
      <c r="B19" s="38" t="str">
        <f>'Managment Print'!B21</f>
        <v>South-D</v>
      </c>
      <c r="C19" s="39" t="str">
        <f>'Managment Print'!C21</f>
        <v>BAHAWALPUR-1</v>
      </c>
      <c r="D19" s="38" t="str">
        <f>'Managment Print'!D21</f>
        <v>NASEER AHMED</v>
      </c>
      <c r="E19" s="28">
        <f>'Managment Print'!E21</f>
        <v>4</v>
      </c>
      <c r="F19" s="63">
        <f>'Managment Print'!F21</f>
        <v>0</v>
      </c>
      <c r="G19" s="63">
        <f>'Managment Print'!G21</f>
        <v>1</v>
      </c>
      <c r="H19" s="63">
        <f t="shared" si="0"/>
        <v>1</v>
      </c>
      <c r="I19" s="40">
        <f>'Managment Print'!H21</f>
        <v>4</v>
      </c>
      <c r="J19" s="28">
        <f>'Managment Print'!I21</f>
        <v>3</v>
      </c>
      <c r="K19" s="41">
        <f>'Managment Print'!M21</f>
        <v>96</v>
      </c>
      <c r="L19" s="28">
        <f>'Managment Print'!N21</f>
        <v>0</v>
      </c>
      <c r="M19" s="29"/>
    </row>
    <row r="20" spans="1:13" ht="19.95" customHeight="1">
      <c r="A20" s="37" t="str">
        <f>'Managment Print'!A22</f>
        <v>ASM</v>
      </c>
      <c r="B20" s="38" t="str">
        <f>'Managment Print'!B22</f>
        <v>South-D</v>
      </c>
      <c r="C20" s="39" t="str">
        <f>'Managment Print'!C22</f>
        <v>RAHIMYAR KHAN-1</v>
      </c>
      <c r="D20" s="38" t="str">
        <f>'Managment Print'!D22</f>
        <v>SHAHZAD ASAD BILAL</v>
      </c>
      <c r="E20" s="28">
        <f>'Managment Print'!E22</f>
        <v>4</v>
      </c>
      <c r="F20" s="63">
        <f>'Managment Print'!F22</f>
        <v>0</v>
      </c>
      <c r="G20" s="63">
        <f>'Managment Print'!G22</f>
        <v>0</v>
      </c>
      <c r="H20" s="63">
        <f t="shared" si="0"/>
        <v>0</v>
      </c>
      <c r="I20" s="40">
        <f>'Managment Print'!H22</f>
        <v>4</v>
      </c>
      <c r="J20" s="28">
        <f>'Managment Print'!I22</f>
        <v>4</v>
      </c>
      <c r="K20" s="41">
        <f>'Managment Print'!M22</f>
        <v>126</v>
      </c>
      <c r="L20" s="28">
        <f>'Managment Print'!N22</f>
        <v>7</v>
      </c>
      <c r="M20" s="29"/>
    </row>
    <row r="21" spans="1:13" ht="19.95" customHeight="1">
      <c r="A21" s="37" t="str">
        <f>'Managment Print'!A23</f>
        <v>ASM</v>
      </c>
      <c r="B21" s="38" t="str">
        <f>'Managment Print'!B23</f>
        <v>South-D</v>
      </c>
      <c r="C21" s="39" t="str">
        <f>'Managment Print'!C23</f>
        <v>MULTAN-1</v>
      </c>
      <c r="D21" s="38" t="str">
        <f>'Managment Print'!D23</f>
        <v>ZILE HUSSAIN HASHMI</v>
      </c>
      <c r="E21" s="28">
        <f>'Managment Print'!E23</f>
        <v>5</v>
      </c>
      <c r="F21" s="63">
        <f>'Managment Print'!F23</f>
        <v>0</v>
      </c>
      <c r="G21" s="63">
        <f>'Managment Print'!G23</f>
        <v>1</v>
      </c>
      <c r="H21" s="63">
        <f t="shared" si="0"/>
        <v>1</v>
      </c>
      <c r="I21" s="40">
        <f>'Managment Print'!H23</f>
        <v>5</v>
      </c>
      <c r="J21" s="28">
        <f>'Managment Print'!I23</f>
        <v>4</v>
      </c>
      <c r="K21" s="41">
        <f>'Managment Print'!M23</f>
        <v>211</v>
      </c>
      <c r="L21" s="28">
        <f>'Managment Print'!N23</f>
        <v>0</v>
      </c>
      <c r="M21" s="29"/>
    </row>
    <row r="22" spans="1:13" ht="19.95" customHeight="1">
      <c r="A22" s="37" t="str">
        <f>'Managment Print'!A24</f>
        <v>ASM</v>
      </c>
      <c r="B22" s="38" t="str">
        <f>'Managment Print'!B24</f>
        <v>South-D</v>
      </c>
      <c r="C22" s="39" t="str">
        <f>'Managment Print'!C24</f>
        <v>MULTAN-2</v>
      </c>
      <c r="D22" s="38" t="str">
        <f>'Managment Print'!D24</f>
        <v>M. SHAHID JAVAID</v>
      </c>
      <c r="E22" s="28">
        <f>'Managment Print'!E24</f>
        <v>5</v>
      </c>
      <c r="F22" s="63">
        <f>'Managment Print'!F24</f>
        <v>0</v>
      </c>
      <c r="G22" s="63">
        <f>'Managment Print'!G24</f>
        <v>2</v>
      </c>
      <c r="H22" s="63">
        <f t="shared" si="0"/>
        <v>2</v>
      </c>
      <c r="I22" s="40">
        <f>'Managment Print'!H24</f>
        <v>5</v>
      </c>
      <c r="J22" s="28">
        <f>'Managment Print'!I24</f>
        <v>3</v>
      </c>
      <c r="K22" s="41">
        <f>'Managment Print'!M24</f>
        <v>196</v>
      </c>
      <c r="L22" s="28">
        <f>'Managment Print'!N24</f>
        <v>0</v>
      </c>
      <c r="M22" s="29"/>
    </row>
    <row r="23" spans="1:13" ht="19.95" customHeight="1">
      <c r="A23" s="37" t="str">
        <f>'Managment Print'!A25</f>
        <v>ASM</v>
      </c>
      <c r="B23" s="38" t="str">
        <f>'Managment Print'!B25</f>
        <v>South-D</v>
      </c>
      <c r="C23" s="39" t="str">
        <f>'Managment Print'!C25</f>
        <v>MULTAN-3</v>
      </c>
      <c r="D23" s="38" t="str">
        <f>'Managment Print'!D25</f>
        <v>MALIK NADEEM AHMED</v>
      </c>
      <c r="E23" s="28">
        <f>'Managment Print'!E25</f>
        <v>4</v>
      </c>
      <c r="F23" s="63">
        <f>'Managment Print'!F25</f>
        <v>0</v>
      </c>
      <c r="G23" s="63">
        <f>'Managment Print'!G25</f>
        <v>0</v>
      </c>
      <c r="H23" s="63">
        <f t="shared" si="0"/>
        <v>0</v>
      </c>
      <c r="I23" s="40">
        <f>'Managment Print'!H25</f>
        <v>3</v>
      </c>
      <c r="J23" s="28">
        <f>'Managment Print'!I25</f>
        <v>4</v>
      </c>
      <c r="K23" s="41">
        <f>'Managment Print'!M25</f>
        <v>139</v>
      </c>
      <c r="L23" s="28">
        <f>'Managment Print'!N25</f>
        <v>2</v>
      </c>
      <c r="M23" s="29"/>
    </row>
    <row r="24" spans="1:13" ht="19.95" customHeight="1">
      <c r="A24" s="37" t="str">
        <f>'Managment Print'!A29</f>
        <v>ASM</v>
      </c>
      <c r="B24" s="38" t="str">
        <f>'Managment Print'!B29</f>
        <v>South-E</v>
      </c>
      <c r="C24" s="39" t="str">
        <f>'Managment Print'!C29</f>
        <v>LAYYAH-1</v>
      </c>
      <c r="D24" s="38" t="str">
        <f>'Managment Print'!D29</f>
        <v>MUZAMIL BILAL</v>
      </c>
      <c r="E24" s="28">
        <f>'Managment Print'!E29</f>
        <v>4</v>
      </c>
      <c r="F24" s="63">
        <f>'Managment Print'!F29</f>
        <v>0</v>
      </c>
      <c r="G24" s="63">
        <f>'Managment Print'!G29</f>
        <v>0</v>
      </c>
      <c r="H24" s="63">
        <f t="shared" si="0"/>
        <v>0</v>
      </c>
      <c r="I24" s="40">
        <f>'Managment Print'!H29</f>
        <v>4</v>
      </c>
      <c r="J24" s="28">
        <f>'Managment Print'!I29</f>
        <v>4</v>
      </c>
      <c r="K24" s="41">
        <f>'Managment Print'!M29</f>
        <v>81</v>
      </c>
      <c r="L24" s="28">
        <f>'Managment Print'!N29</f>
        <v>0</v>
      </c>
      <c r="M24" s="29"/>
    </row>
    <row r="25" spans="1:13" ht="19.95" customHeight="1">
      <c r="A25" s="37" t="str">
        <f>'Managment Print'!A30</f>
        <v>ASM</v>
      </c>
      <c r="B25" s="38" t="str">
        <f>'Managment Print'!B30</f>
        <v>South-E</v>
      </c>
      <c r="C25" s="39" t="str">
        <f>'Managment Print'!C30</f>
        <v>FAISALABAD-1</v>
      </c>
      <c r="D25" s="38" t="str">
        <f>'Managment Print'!D30</f>
        <v>KAMRAN SHABBIR</v>
      </c>
      <c r="E25" s="28">
        <f>'Managment Print'!E30</f>
        <v>6</v>
      </c>
      <c r="F25" s="63">
        <f>'Managment Print'!F30</f>
        <v>0</v>
      </c>
      <c r="G25" s="63">
        <f>'Managment Print'!G30</f>
        <v>1</v>
      </c>
      <c r="H25" s="63">
        <f t="shared" si="0"/>
        <v>1</v>
      </c>
      <c r="I25" s="40">
        <f>'Managment Print'!H30</f>
        <v>6</v>
      </c>
      <c r="J25" s="28">
        <f>'Managment Print'!I30</f>
        <v>5</v>
      </c>
      <c r="K25" s="41">
        <f>'Managment Print'!M30</f>
        <v>219</v>
      </c>
      <c r="L25" s="28">
        <f>'Managment Print'!N30</f>
        <v>14</v>
      </c>
      <c r="M25" s="29"/>
    </row>
    <row r="26" spans="1:13" ht="19.95" customHeight="1">
      <c r="A26" s="37" t="str">
        <f>'Managment Print'!A33</f>
        <v>CM</v>
      </c>
      <c r="B26" s="38" t="str">
        <f>'Managment Print'!B33</f>
        <v>South-E</v>
      </c>
      <c r="C26" s="39" t="str">
        <f>'Managment Print'!C33</f>
        <v>FAISALABAD-4</v>
      </c>
      <c r="D26" s="38" t="str">
        <f>'Managment Print'!D33</f>
        <v>M. USMAN (CM-FSD-01)</v>
      </c>
      <c r="E26" s="28">
        <f>'Managment Print'!E33</f>
        <v>1</v>
      </c>
      <c r="F26" s="63">
        <f>'Managment Print'!F33</f>
        <v>0</v>
      </c>
      <c r="G26" s="63">
        <f>'Managment Print'!G33</f>
        <v>0</v>
      </c>
      <c r="H26" s="63">
        <f t="shared" si="0"/>
        <v>0</v>
      </c>
      <c r="I26" s="40">
        <f>'Managment Print'!H33</f>
        <v>1</v>
      </c>
      <c r="J26" s="28">
        <f>'Managment Print'!I33</f>
        <v>1</v>
      </c>
      <c r="K26" s="41">
        <f>'Managment Print'!M33</f>
        <v>0</v>
      </c>
      <c r="L26" s="28">
        <f>'Managment Print'!N33</f>
        <v>0</v>
      </c>
      <c r="M26" s="29"/>
    </row>
    <row r="27" spans="1:13" ht="19.95" customHeight="1">
      <c r="A27" s="42" t="str">
        <f>'Managment Print'!A35</f>
        <v>RSM</v>
      </c>
      <c r="B27" s="43" t="str">
        <f>'Managment Print'!B35</f>
        <v>South-E</v>
      </c>
      <c r="C27" s="44" t="str">
        <f>'Managment Print'!C35</f>
        <v>STH-E Faisalabad</v>
      </c>
      <c r="D27" s="43" t="str">
        <f>'Managment Print'!D35</f>
        <v>Kamran Zakir</v>
      </c>
      <c r="E27" s="8">
        <f>'Managment Print'!E35</f>
        <v>20</v>
      </c>
      <c r="F27" s="14">
        <f>'Managment Print'!F35</f>
        <v>0</v>
      </c>
      <c r="G27" s="14">
        <f>'Managment Print'!G35</f>
        <v>1</v>
      </c>
      <c r="H27" s="14">
        <f t="shared" si="0"/>
        <v>1</v>
      </c>
      <c r="I27" s="45">
        <f>'Managment Print'!H35</f>
        <v>19</v>
      </c>
      <c r="J27" s="8">
        <f>'Managment Print'!I35</f>
        <v>19</v>
      </c>
      <c r="K27" s="46">
        <f>'Managment Print'!M35</f>
        <v>457</v>
      </c>
      <c r="L27" s="8">
        <f>'Managment Print'!N35</f>
        <v>14</v>
      </c>
      <c r="M27" s="11"/>
    </row>
    <row r="28" spans="1:13" ht="19.95" customHeight="1">
      <c r="A28" s="47" t="str">
        <f>'Managment Print'!A36</f>
        <v>DGM</v>
      </c>
      <c r="B28" s="48" t="str">
        <f>'Managment Print'!B36</f>
        <v>South</v>
      </c>
      <c r="C28" s="49" t="str">
        <f>'Managment Print'!C36</f>
        <v>STH Karachi</v>
      </c>
      <c r="D28" s="48" t="str">
        <f>'Managment Print'!D36</f>
        <v>NASIR BAIG</v>
      </c>
      <c r="E28" s="9">
        <f>'Managment Print'!E36</f>
        <v>106</v>
      </c>
      <c r="F28" s="15">
        <f>'Managment Print'!F36</f>
        <v>5</v>
      </c>
      <c r="G28" s="15">
        <f>'Managment Print'!G36</f>
        <v>12</v>
      </c>
      <c r="H28" s="15">
        <f t="shared" si="0"/>
        <v>17</v>
      </c>
      <c r="I28" s="50">
        <f>'Managment Print'!H36</f>
        <v>93</v>
      </c>
      <c r="J28" s="9">
        <f>'Managment Print'!I36</f>
        <v>89</v>
      </c>
      <c r="K28" s="51">
        <f>'Managment Print'!M36</f>
        <v>2483</v>
      </c>
      <c r="L28" s="9">
        <f>'Managment Print'!N36</f>
        <v>49</v>
      </c>
      <c r="M28" s="12"/>
    </row>
    <row r="29" spans="1:13" ht="19.95" customHeight="1">
      <c r="A29" s="37" t="str">
        <f>'Managment Print'!A37</f>
        <v>ASM</v>
      </c>
      <c r="B29" s="38" t="str">
        <f>'Managment Print'!B37</f>
        <v>North-A</v>
      </c>
      <c r="C29" s="39" t="str">
        <f>'Managment Print'!C37</f>
        <v>LAHORE-1</v>
      </c>
      <c r="D29" s="38" t="str">
        <f>'Managment Print'!D37</f>
        <v>M. HASEEB</v>
      </c>
      <c r="E29" s="28">
        <f>'Managment Print'!E37</f>
        <v>5</v>
      </c>
      <c r="F29" s="63">
        <f>'Managment Print'!F37</f>
        <v>0</v>
      </c>
      <c r="G29" s="63">
        <f>'Managment Print'!G37</f>
        <v>1</v>
      </c>
      <c r="H29" s="63">
        <f t="shared" si="0"/>
        <v>1</v>
      </c>
      <c r="I29" s="40">
        <f>'Managment Print'!H37</f>
        <v>3</v>
      </c>
      <c r="J29" s="28">
        <f>'Managment Print'!I37</f>
        <v>4</v>
      </c>
      <c r="K29" s="41">
        <f>'Managment Print'!M37</f>
        <v>157</v>
      </c>
      <c r="L29" s="28">
        <f>'Managment Print'!N37</f>
        <v>1</v>
      </c>
      <c r="M29" s="29"/>
    </row>
    <row r="30" spans="1:13" ht="19.95" customHeight="1">
      <c r="A30" s="37" t="str">
        <f>'Managment Print'!A38</f>
        <v>ASM</v>
      </c>
      <c r="B30" s="38" t="str">
        <f>'Managment Print'!B38</f>
        <v>North-A</v>
      </c>
      <c r="C30" s="39" t="str">
        <f>'Managment Print'!C38</f>
        <v>LAHORE-2</v>
      </c>
      <c r="D30" s="38" t="str">
        <f>'Managment Print'!D38</f>
        <v>M. IMRAN IJAZ</v>
      </c>
      <c r="E30" s="28">
        <f>'Managment Print'!E38</f>
        <v>5</v>
      </c>
      <c r="F30" s="63">
        <f>'Managment Print'!F38</f>
        <v>2</v>
      </c>
      <c r="G30" s="63">
        <f>'Managment Print'!G38</f>
        <v>1</v>
      </c>
      <c r="H30" s="63">
        <f t="shared" si="0"/>
        <v>3</v>
      </c>
      <c r="I30" s="40">
        <f>'Managment Print'!H38</f>
        <v>2</v>
      </c>
      <c r="J30" s="28">
        <f>'Managment Print'!I38</f>
        <v>2</v>
      </c>
      <c r="K30" s="41">
        <f>'Managment Print'!M38</f>
        <v>86</v>
      </c>
      <c r="L30" s="28">
        <f>'Managment Print'!N38</f>
        <v>0</v>
      </c>
      <c r="M30" s="29"/>
    </row>
    <row r="31" spans="1:13" ht="19.95" customHeight="1">
      <c r="A31" s="37" t="str">
        <f>'Managment Print'!A39</f>
        <v>ASM</v>
      </c>
      <c r="B31" s="38" t="str">
        <f>'Managment Print'!B39</f>
        <v>North-A</v>
      </c>
      <c r="C31" s="39" t="str">
        <f>'Managment Print'!C39</f>
        <v>LAHORE-3</v>
      </c>
      <c r="D31" s="38" t="str">
        <f>'Managment Print'!D39</f>
        <v>AGHA ALI HAIDER</v>
      </c>
      <c r="E31" s="28">
        <f>'Managment Print'!E39</f>
        <v>5</v>
      </c>
      <c r="F31" s="63">
        <f>'Managment Print'!F39</f>
        <v>1</v>
      </c>
      <c r="G31" s="63">
        <f>'Managment Print'!G39</f>
        <v>0</v>
      </c>
      <c r="H31" s="63">
        <f t="shared" si="0"/>
        <v>1</v>
      </c>
      <c r="I31" s="40">
        <f>'Managment Print'!H39</f>
        <v>4</v>
      </c>
      <c r="J31" s="28">
        <f>'Managment Print'!I39</f>
        <v>4</v>
      </c>
      <c r="K31" s="41">
        <f>'Managment Print'!M39</f>
        <v>166</v>
      </c>
      <c r="L31" s="28">
        <f>'Managment Print'!N39</f>
        <v>0</v>
      </c>
      <c r="M31" s="29"/>
    </row>
    <row r="32" spans="1:13" ht="19.95" customHeight="1">
      <c r="A32" s="37" t="str">
        <f>'Managment Print'!A40</f>
        <v>CM</v>
      </c>
      <c r="B32" s="38" t="str">
        <f>'Managment Print'!B40</f>
        <v>North-A</v>
      </c>
      <c r="C32" s="39" t="str">
        <f>'Managment Print'!C40</f>
        <v>LAHORE-6</v>
      </c>
      <c r="D32" s="38" t="str">
        <f>'Managment Print'!D40</f>
        <v>Sy. Salman Zaidi (CM LHR)</v>
      </c>
      <c r="E32" s="28">
        <f>'Managment Print'!E40</f>
        <v>2</v>
      </c>
      <c r="F32" s="63">
        <f>'Managment Print'!F40</f>
        <v>0</v>
      </c>
      <c r="G32" s="63">
        <f>'Managment Print'!G40</f>
        <v>2</v>
      </c>
      <c r="H32" s="63">
        <f t="shared" si="0"/>
        <v>2</v>
      </c>
      <c r="I32" s="40">
        <f>'Managment Print'!H40</f>
        <v>0</v>
      </c>
      <c r="J32" s="28">
        <f>'Managment Print'!I40</f>
        <v>0</v>
      </c>
      <c r="K32" s="41">
        <f>'Managment Print'!M40</f>
        <v>0</v>
      </c>
      <c r="L32" s="28">
        <f>'Managment Print'!N40</f>
        <v>0</v>
      </c>
      <c r="M32" s="29"/>
    </row>
    <row r="33" spans="1:13" ht="19.95" customHeight="1">
      <c r="A33" s="42" t="str">
        <f>'Managment Print'!A42</f>
        <v>RSM</v>
      </c>
      <c r="B33" s="43" t="str">
        <f>'Managment Print'!B42</f>
        <v>North-A</v>
      </c>
      <c r="C33" s="44" t="str">
        <f>'Managment Print'!C42</f>
        <v>NTH-A Lahore</v>
      </c>
      <c r="D33" s="43" t="str">
        <f>'Managment Print'!D42</f>
        <v>Moeen Zafar</v>
      </c>
      <c r="E33" s="8">
        <f>'Managment Print'!E42</f>
        <v>20</v>
      </c>
      <c r="F33" s="14">
        <f>'Managment Print'!F42</f>
        <v>3</v>
      </c>
      <c r="G33" s="14">
        <f>'Managment Print'!G42</f>
        <v>6</v>
      </c>
      <c r="H33" s="14">
        <f t="shared" si="0"/>
        <v>9</v>
      </c>
      <c r="I33" s="45">
        <f>'Managment Print'!H42</f>
        <v>10</v>
      </c>
      <c r="J33" s="8">
        <f>'Managment Print'!I42</f>
        <v>11</v>
      </c>
      <c r="K33" s="46">
        <f>'Managment Print'!M42</f>
        <v>447</v>
      </c>
      <c r="L33" s="8">
        <f>'Managment Print'!N42</f>
        <v>1</v>
      </c>
      <c r="M33" s="11"/>
    </row>
    <row r="34" spans="1:13" ht="19.95" customHeight="1">
      <c r="A34" s="37" t="str">
        <f>'Managment Print'!A43</f>
        <v>ASM</v>
      </c>
      <c r="B34" s="38" t="str">
        <f>'Managment Print'!B43</f>
        <v>North-B</v>
      </c>
      <c r="C34" s="39" t="str">
        <f>'Managment Print'!C43</f>
        <v>SIALKOT-1</v>
      </c>
      <c r="D34" s="38" t="str">
        <f>'Managment Print'!D43</f>
        <v>IJAZ TABASSUM</v>
      </c>
      <c r="E34" s="28">
        <f>'Managment Print'!E43</f>
        <v>4</v>
      </c>
      <c r="F34" s="63">
        <f>'Managment Print'!F43</f>
        <v>0</v>
      </c>
      <c r="G34" s="63">
        <f>'Managment Print'!G43</f>
        <v>0</v>
      </c>
      <c r="H34" s="63">
        <f t="shared" si="0"/>
        <v>0</v>
      </c>
      <c r="I34" s="40">
        <f>'Managment Print'!H43</f>
        <v>4</v>
      </c>
      <c r="J34" s="28">
        <f>'Managment Print'!I43</f>
        <v>4</v>
      </c>
      <c r="K34" s="41">
        <f>'Managment Print'!M43</f>
        <v>79</v>
      </c>
      <c r="L34" s="28">
        <f>'Managment Print'!N43</f>
        <v>0</v>
      </c>
      <c r="M34" s="29"/>
    </row>
    <row r="35" spans="1:13" ht="19.95" customHeight="1">
      <c r="A35" s="37" t="str">
        <f>'Managment Print'!A54</f>
        <v>ASM</v>
      </c>
      <c r="B35" s="38" t="str">
        <f>'Managment Print'!B54</f>
        <v>North-B</v>
      </c>
      <c r="C35" s="39" t="str">
        <f>'Managment Print'!C54</f>
        <v>JHELUM-1</v>
      </c>
      <c r="D35" s="38" t="str">
        <f>'Managment Print'!D54</f>
        <v>EHSAN AFZAL</v>
      </c>
      <c r="E35" s="28">
        <f>'Managment Print'!E54</f>
        <v>4</v>
      </c>
      <c r="F35" s="63">
        <f>'Managment Print'!F54</f>
        <v>0</v>
      </c>
      <c r="G35" s="63">
        <f>'Managment Print'!G54</f>
        <v>0</v>
      </c>
      <c r="H35" s="63">
        <f t="shared" si="0"/>
        <v>0</v>
      </c>
      <c r="I35" s="40">
        <f>'Managment Print'!H54</f>
        <v>2</v>
      </c>
      <c r="J35" s="28">
        <f>'Managment Print'!I54</f>
        <v>4</v>
      </c>
      <c r="K35" s="41">
        <f>'Managment Print'!M54</f>
        <v>86</v>
      </c>
      <c r="L35" s="28">
        <f>'Managment Print'!N54</f>
        <v>1</v>
      </c>
      <c r="M35" s="29"/>
    </row>
    <row r="36" spans="1:13" ht="19.95" customHeight="1">
      <c r="A36" s="37" t="str">
        <f>'Managment Print'!A44</f>
        <v>ASM</v>
      </c>
      <c r="B36" s="38" t="str">
        <f>'Managment Print'!B44</f>
        <v>North-B</v>
      </c>
      <c r="C36" s="39" t="str">
        <f>'Managment Print'!C44</f>
        <v>GUJRAT-1</v>
      </c>
      <c r="D36" s="38" t="str">
        <f>'Managment Print'!D44</f>
        <v>SY. GOHAR RAZA</v>
      </c>
      <c r="E36" s="28">
        <f>'Managment Print'!E44</f>
        <v>3</v>
      </c>
      <c r="F36" s="63">
        <f>'Managment Print'!F44</f>
        <v>0</v>
      </c>
      <c r="G36" s="63">
        <f>'Managment Print'!G44</f>
        <v>0</v>
      </c>
      <c r="H36" s="63">
        <f t="shared" si="0"/>
        <v>0</v>
      </c>
      <c r="I36" s="40">
        <f>'Managment Print'!H44</f>
        <v>3</v>
      </c>
      <c r="J36" s="28">
        <f>'Managment Print'!I44</f>
        <v>3</v>
      </c>
      <c r="K36" s="41">
        <f>'Managment Print'!M44</f>
        <v>0</v>
      </c>
      <c r="L36" s="28">
        <f>'Managment Print'!N44</f>
        <v>32</v>
      </c>
      <c r="M36" s="29"/>
    </row>
    <row r="37" spans="1:13" ht="19.95" customHeight="1">
      <c r="A37" s="37" t="str">
        <f>'Managment Print'!A45</f>
        <v>ASM</v>
      </c>
      <c r="B37" s="38" t="str">
        <f>'Managment Print'!B45</f>
        <v>North-B</v>
      </c>
      <c r="C37" s="39" t="str">
        <f>'Managment Print'!C45</f>
        <v>GUJRANWALA-1</v>
      </c>
      <c r="D37" s="38" t="str">
        <f>'Managment Print'!D45</f>
        <v>VACANT ASM-GUJ-01</v>
      </c>
      <c r="E37" s="28">
        <f>'Managment Print'!E45</f>
        <v>4</v>
      </c>
      <c r="F37" s="63">
        <f>'Managment Print'!F45</f>
        <v>1</v>
      </c>
      <c r="G37" s="63">
        <f>'Managment Print'!G45</f>
        <v>1</v>
      </c>
      <c r="H37" s="63">
        <f t="shared" si="0"/>
        <v>2</v>
      </c>
      <c r="I37" s="40">
        <f>'Managment Print'!H45</f>
        <v>2</v>
      </c>
      <c r="J37" s="28">
        <f>'Managment Print'!I45</f>
        <v>2</v>
      </c>
      <c r="K37" s="41">
        <f>'Managment Print'!M45</f>
        <v>45</v>
      </c>
      <c r="L37" s="28">
        <f>'Managment Print'!N45</f>
        <v>0</v>
      </c>
      <c r="M37" s="29"/>
    </row>
    <row r="38" spans="1:13" ht="19.95" customHeight="1">
      <c r="A38" s="37" t="str">
        <f>'Managment Print'!A46</f>
        <v>ASM</v>
      </c>
      <c r="B38" s="38" t="str">
        <f>'Managment Print'!B46</f>
        <v>North-B</v>
      </c>
      <c r="C38" s="39" t="str">
        <f>'Managment Print'!C46</f>
        <v>GUJRANWALA-2</v>
      </c>
      <c r="D38" s="38" t="str">
        <f>'Managment Print'!D46</f>
        <v>WAQAS ALI</v>
      </c>
      <c r="E38" s="28">
        <f>'Managment Print'!E46</f>
        <v>4</v>
      </c>
      <c r="F38" s="63">
        <f>'Managment Print'!F46</f>
        <v>0</v>
      </c>
      <c r="G38" s="63">
        <f>'Managment Print'!G46</f>
        <v>0</v>
      </c>
      <c r="H38" s="63">
        <f t="shared" si="0"/>
        <v>0</v>
      </c>
      <c r="I38" s="40">
        <f>'Managment Print'!H46</f>
        <v>4</v>
      </c>
      <c r="J38" s="28">
        <f>'Managment Print'!I46</f>
        <v>4</v>
      </c>
      <c r="K38" s="41">
        <f>'Managment Print'!M46</f>
        <v>77</v>
      </c>
      <c r="L38" s="28">
        <f>'Managment Print'!N46</f>
        <v>0</v>
      </c>
      <c r="M38" s="29"/>
    </row>
    <row r="39" spans="1:13" ht="19.95" customHeight="1">
      <c r="A39" s="42" t="str">
        <f>'Managment Print'!A48</f>
        <v>RSM</v>
      </c>
      <c r="B39" s="43" t="str">
        <f>'Managment Print'!B48</f>
        <v>North-B</v>
      </c>
      <c r="C39" s="44" t="str">
        <f>'Managment Print'!C48</f>
        <v>NTH-B Gujranwala</v>
      </c>
      <c r="D39" s="43" t="str">
        <f>'Managment Print'!D48</f>
        <v>Noman Ashfaq</v>
      </c>
      <c r="E39" s="8">
        <f>'Managment Print'!E48</f>
        <v>16</v>
      </c>
      <c r="F39" s="14">
        <f>'Managment Print'!F48</f>
        <v>2</v>
      </c>
      <c r="G39" s="14">
        <f>'Managment Print'!G48</f>
        <v>1</v>
      </c>
      <c r="H39" s="14">
        <f t="shared" si="0"/>
        <v>3</v>
      </c>
      <c r="I39" s="45">
        <f>'Managment Print'!H48</f>
        <v>13</v>
      </c>
      <c r="J39" s="8">
        <f>'Managment Print'!I48</f>
        <v>13</v>
      </c>
      <c r="K39" s="46">
        <f>'Managment Print'!M48</f>
        <v>201</v>
      </c>
      <c r="L39" s="8">
        <f>'Managment Print'!N48</f>
        <v>32</v>
      </c>
      <c r="M39" s="11"/>
    </row>
    <row r="40" spans="1:13" ht="19.95" customHeight="1">
      <c r="A40" s="37" t="str">
        <f>'Managment Print'!A49</f>
        <v>ASM</v>
      </c>
      <c r="B40" s="38" t="str">
        <f>'Managment Print'!B49</f>
        <v>North-C</v>
      </c>
      <c r="C40" s="39" t="str">
        <f>'Managment Print'!C49</f>
        <v>KASUR-1</v>
      </c>
      <c r="D40" s="38" t="str">
        <f>'Managment Print'!D49</f>
        <v>GHULAM RASOOL</v>
      </c>
      <c r="E40" s="28">
        <f>'Managment Print'!E49</f>
        <v>4</v>
      </c>
      <c r="F40" s="63">
        <f>'Managment Print'!F49</f>
        <v>0</v>
      </c>
      <c r="G40" s="63">
        <f>'Managment Print'!G49</f>
        <v>0</v>
      </c>
      <c r="H40" s="63">
        <f t="shared" si="0"/>
        <v>0</v>
      </c>
      <c r="I40" s="40">
        <f>'Managment Print'!H49</f>
        <v>4</v>
      </c>
      <c r="J40" s="28">
        <f>'Managment Print'!I49</f>
        <v>4</v>
      </c>
      <c r="K40" s="41">
        <f>'Managment Print'!M49</f>
        <v>136</v>
      </c>
      <c r="L40" s="28">
        <f>'Managment Print'!N49</f>
        <v>31</v>
      </c>
      <c r="M40" s="29"/>
    </row>
    <row r="41" spans="1:13" ht="19.95" customHeight="1">
      <c r="A41" s="37" t="str">
        <f>'Managment Print'!A50</f>
        <v>ASM</v>
      </c>
      <c r="B41" s="38" t="str">
        <f>'Managment Print'!B50</f>
        <v>North-C</v>
      </c>
      <c r="C41" s="39" t="str">
        <f>'Managment Print'!C50</f>
        <v>OKARA-1</v>
      </c>
      <c r="D41" s="38" t="str">
        <f>'Managment Print'!D50</f>
        <v>VACANT OKR ASM</v>
      </c>
      <c r="E41" s="28">
        <f>'Managment Print'!E50</f>
        <v>4</v>
      </c>
      <c r="F41" s="63">
        <f>'Managment Print'!F50</f>
        <v>0</v>
      </c>
      <c r="G41" s="63">
        <f>'Managment Print'!G50</f>
        <v>0</v>
      </c>
      <c r="H41" s="63">
        <f t="shared" si="0"/>
        <v>0</v>
      </c>
      <c r="I41" s="40">
        <f>'Managment Print'!H50</f>
        <v>4</v>
      </c>
      <c r="J41" s="28">
        <f>'Managment Print'!I50</f>
        <v>4</v>
      </c>
      <c r="K41" s="41">
        <f>'Managment Print'!M50</f>
        <v>152</v>
      </c>
      <c r="L41" s="28">
        <f>'Managment Print'!N50</f>
        <v>0</v>
      </c>
      <c r="M41" s="29"/>
    </row>
    <row r="42" spans="1:13" ht="19.95" customHeight="1">
      <c r="A42" s="37" t="str">
        <f>'Managment Print'!A51</f>
        <v>ASM</v>
      </c>
      <c r="B42" s="38" t="str">
        <f>'Managment Print'!B51</f>
        <v>North-C</v>
      </c>
      <c r="C42" s="39" t="str">
        <f>'Managment Print'!C51</f>
        <v>SAHIWAL-1</v>
      </c>
      <c r="D42" s="38" t="str">
        <f>'Managment Print'!D51</f>
        <v>M. SARFARZ</v>
      </c>
      <c r="E42" s="28">
        <f>'Managment Print'!E51</f>
        <v>4</v>
      </c>
      <c r="F42" s="63">
        <f>'Managment Print'!F51</f>
        <v>0</v>
      </c>
      <c r="G42" s="63">
        <f>'Managment Print'!G51</f>
        <v>0</v>
      </c>
      <c r="H42" s="63">
        <f t="shared" si="0"/>
        <v>0</v>
      </c>
      <c r="I42" s="40">
        <f>'Managment Print'!H51</f>
        <v>4</v>
      </c>
      <c r="J42" s="28">
        <f>'Managment Print'!I51</f>
        <v>4</v>
      </c>
      <c r="K42" s="41">
        <f>'Managment Print'!M51</f>
        <v>154</v>
      </c>
      <c r="L42" s="28">
        <f>'Managment Print'!N51</f>
        <v>0</v>
      </c>
      <c r="M42" s="29"/>
    </row>
    <row r="43" spans="1:13" ht="19.95" customHeight="1">
      <c r="A43" s="37" t="str">
        <f>'Managment Print'!A52</f>
        <v>ASM</v>
      </c>
      <c r="B43" s="38" t="str">
        <f>'Managment Print'!B52</f>
        <v>North-C</v>
      </c>
      <c r="C43" s="39" t="str">
        <f>'Managment Print'!C52</f>
        <v>BAHAWALNAGAR-1</v>
      </c>
      <c r="D43" s="38" t="str">
        <f>'Managment Print'!D52</f>
        <v>NASIR BASHIR</v>
      </c>
      <c r="E43" s="28">
        <f>'Managment Print'!E52</f>
        <v>4</v>
      </c>
      <c r="F43" s="63">
        <f>'Managment Print'!F52</f>
        <v>0</v>
      </c>
      <c r="G43" s="63">
        <f>'Managment Print'!G52</f>
        <v>0</v>
      </c>
      <c r="H43" s="63">
        <f t="shared" si="0"/>
        <v>0</v>
      </c>
      <c r="I43" s="40">
        <f>'Managment Print'!H52</f>
        <v>4</v>
      </c>
      <c r="J43" s="28">
        <f>'Managment Print'!I52</f>
        <v>4</v>
      </c>
      <c r="K43" s="41">
        <f>'Managment Print'!M52</f>
        <v>9</v>
      </c>
      <c r="L43" s="28">
        <f>'Managment Print'!N52</f>
        <v>0</v>
      </c>
      <c r="M43" s="29"/>
    </row>
    <row r="44" spans="1:13" ht="19.95" customHeight="1">
      <c r="A44" s="42" t="str">
        <f>'Managment Print'!A53</f>
        <v>RSM</v>
      </c>
      <c r="B44" s="43" t="str">
        <f>'Managment Print'!B53</f>
        <v>North-C</v>
      </c>
      <c r="C44" s="44" t="str">
        <f>'Managment Print'!C53</f>
        <v>NTH-C Okara</v>
      </c>
      <c r="D44" s="43" t="str">
        <f>'Managment Print'!D53</f>
        <v>Naqash Afzal</v>
      </c>
      <c r="E44" s="8">
        <f>'Managment Print'!E53</f>
        <v>16</v>
      </c>
      <c r="F44" s="14">
        <f>'Managment Print'!F53</f>
        <v>0</v>
      </c>
      <c r="G44" s="14">
        <f>'Managment Print'!G53</f>
        <v>0</v>
      </c>
      <c r="H44" s="14">
        <f t="shared" si="0"/>
        <v>0</v>
      </c>
      <c r="I44" s="45">
        <f>'Managment Print'!H53</f>
        <v>16</v>
      </c>
      <c r="J44" s="8">
        <f>'Managment Print'!I53</f>
        <v>16</v>
      </c>
      <c r="K44" s="46">
        <f>'Managment Print'!M53</f>
        <v>451</v>
      </c>
      <c r="L44" s="8">
        <f>'Managment Print'!N53</f>
        <v>31</v>
      </c>
      <c r="M44" s="11"/>
    </row>
    <row r="45" spans="1:13" ht="19.95" customHeight="1">
      <c r="A45" s="37" t="str">
        <f>'Managment Print'!A55</f>
        <v>ASM</v>
      </c>
      <c r="B45" s="38" t="str">
        <f>'Managment Print'!B55</f>
        <v>North-D</v>
      </c>
      <c r="C45" s="39" t="str">
        <f>'Managment Print'!C55</f>
        <v>ISLAMABAD-1</v>
      </c>
      <c r="D45" s="38" t="str">
        <f>'Managment Print'!D55</f>
        <v>SHAFQAT ZAMAN</v>
      </c>
      <c r="E45" s="28">
        <f>'Managment Print'!E55</f>
        <v>5</v>
      </c>
      <c r="F45" s="63">
        <f>'Managment Print'!F55</f>
        <v>0</v>
      </c>
      <c r="G45" s="63">
        <f>'Managment Print'!G55</f>
        <v>0</v>
      </c>
      <c r="H45" s="63">
        <f t="shared" si="0"/>
        <v>0</v>
      </c>
      <c r="I45" s="40">
        <f>'Managment Print'!H55</f>
        <v>3</v>
      </c>
      <c r="J45" s="28">
        <f>'Managment Print'!I55</f>
        <v>5</v>
      </c>
      <c r="K45" s="41">
        <f>'Managment Print'!M55</f>
        <v>81</v>
      </c>
      <c r="L45" s="28">
        <f>'Managment Print'!N55</f>
        <v>15</v>
      </c>
      <c r="M45" s="29"/>
    </row>
    <row r="46" spans="1:13" ht="19.95" customHeight="1">
      <c r="A46" s="37" t="str">
        <f>'Managment Print'!A56</f>
        <v>ASM</v>
      </c>
      <c r="B46" s="38" t="str">
        <f>'Managment Print'!B56</f>
        <v>North-D</v>
      </c>
      <c r="C46" s="39" t="str">
        <f>'Managment Print'!C56</f>
        <v>RAWALPINDI-1</v>
      </c>
      <c r="D46" s="38" t="str">
        <f>'Managment Print'!D56</f>
        <v>GHULAM ABBAS</v>
      </c>
      <c r="E46" s="28">
        <f>'Managment Print'!E56</f>
        <v>5</v>
      </c>
      <c r="F46" s="63">
        <f>'Managment Print'!F56</f>
        <v>1</v>
      </c>
      <c r="G46" s="63">
        <f>'Managment Print'!G56</f>
        <v>1</v>
      </c>
      <c r="H46" s="63">
        <f t="shared" si="0"/>
        <v>2</v>
      </c>
      <c r="I46" s="40">
        <f>'Managment Print'!H56</f>
        <v>4</v>
      </c>
      <c r="J46" s="28">
        <f>'Managment Print'!I56</f>
        <v>3</v>
      </c>
      <c r="K46" s="41">
        <f>'Managment Print'!M56</f>
        <v>105</v>
      </c>
      <c r="L46" s="28">
        <f>'Managment Print'!N56</f>
        <v>0</v>
      </c>
      <c r="M46" s="29"/>
    </row>
    <row r="47" spans="1:13" ht="19.95" customHeight="1">
      <c r="A47" s="37" t="str">
        <f>'Managment Print'!A57</f>
        <v>CM</v>
      </c>
      <c r="B47" s="38" t="str">
        <f>'Managment Print'!B57</f>
        <v>North-D</v>
      </c>
      <c r="C47" s="39" t="str">
        <f>'Managment Print'!C57</f>
        <v>NTH-D ISLAMABAD</v>
      </c>
      <c r="D47" s="38" t="str">
        <f>'Managment Print'!D57</f>
        <v>Altaf Hussain (CM RWP)</v>
      </c>
      <c r="E47" s="28">
        <f>'Managment Print'!E57</f>
        <v>3</v>
      </c>
      <c r="F47" s="63">
        <f>'Managment Print'!F57</f>
        <v>0</v>
      </c>
      <c r="G47" s="63">
        <f>'Managment Print'!G57</f>
        <v>0</v>
      </c>
      <c r="H47" s="63">
        <f t="shared" si="0"/>
        <v>0</v>
      </c>
      <c r="I47" s="40">
        <f>'Managment Print'!H57</f>
        <v>3</v>
      </c>
      <c r="J47" s="28">
        <f>'Managment Print'!I57</f>
        <v>3</v>
      </c>
      <c r="K47" s="41">
        <f>'Managment Print'!M57</f>
        <v>7</v>
      </c>
      <c r="L47" s="28">
        <f>'Managment Print'!N57</f>
        <v>9</v>
      </c>
      <c r="M47" s="29"/>
    </row>
    <row r="48" spans="1:13" ht="19.95" customHeight="1">
      <c r="A48" s="42" t="str">
        <f>'Managment Print'!A59</f>
        <v>RSM</v>
      </c>
      <c r="B48" s="43" t="str">
        <f>'Managment Print'!B59</f>
        <v>North-D</v>
      </c>
      <c r="C48" s="44" t="str">
        <f>'Managment Print'!C59</f>
        <v>NTH-D Islamabad</v>
      </c>
      <c r="D48" s="43" t="str">
        <f>'Managment Print'!D59</f>
        <v>Azeem Abbas</v>
      </c>
      <c r="E48" s="8">
        <f>'Managment Print'!E59</f>
        <v>18</v>
      </c>
      <c r="F48" s="14">
        <f>'Managment Print'!F59</f>
        <v>1</v>
      </c>
      <c r="G48" s="14">
        <f>'Managment Print'!G59</f>
        <v>1</v>
      </c>
      <c r="H48" s="14">
        <f t="shared" si="0"/>
        <v>2</v>
      </c>
      <c r="I48" s="45">
        <f>'Managment Print'!H59</f>
        <v>13</v>
      </c>
      <c r="J48" s="8">
        <f>'Managment Print'!I59</f>
        <v>16</v>
      </c>
      <c r="K48" s="46">
        <f>'Managment Print'!M59</f>
        <v>284</v>
      </c>
      <c r="L48" s="8">
        <f>'Managment Print'!N59</f>
        <v>25</v>
      </c>
      <c r="M48" s="11"/>
    </row>
    <row r="49" spans="1:13" ht="19.95" customHeight="1">
      <c r="A49" s="37" t="str">
        <f>'Managment Print'!A60</f>
        <v>ASM</v>
      </c>
      <c r="B49" s="38" t="str">
        <f>'Managment Print'!B60</f>
        <v>North-E</v>
      </c>
      <c r="C49" s="39" t="str">
        <f>'Managment Print'!C60</f>
        <v>SARGODHA-1</v>
      </c>
      <c r="D49" s="38" t="str">
        <f>'Managment Print'!D60</f>
        <v>ADNAN SAJID</v>
      </c>
      <c r="E49" s="28">
        <f>'Managment Print'!E60</f>
        <v>5</v>
      </c>
      <c r="F49" s="63">
        <f>'Managment Print'!F60</f>
        <v>0</v>
      </c>
      <c r="G49" s="63">
        <f>'Managment Print'!G60</f>
        <v>0</v>
      </c>
      <c r="H49" s="63">
        <f t="shared" si="0"/>
        <v>0</v>
      </c>
      <c r="I49" s="40">
        <f>'Managment Print'!H60</f>
        <v>5</v>
      </c>
      <c r="J49" s="28">
        <f>'Managment Print'!I60</f>
        <v>5</v>
      </c>
      <c r="K49" s="41">
        <f>'Managment Print'!M60</f>
        <v>21</v>
      </c>
      <c r="L49" s="28">
        <f>'Managment Print'!N60</f>
        <v>28</v>
      </c>
      <c r="M49" s="29"/>
    </row>
    <row r="50" spans="1:13" ht="19.95" customHeight="1">
      <c r="A50" s="37" t="str">
        <f>'Managment Print'!A61</f>
        <v>ASM</v>
      </c>
      <c r="B50" s="38" t="str">
        <f>'Managment Print'!B61</f>
        <v>North-E</v>
      </c>
      <c r="C50" s="39" t="str">
        <f>'Managment Print'!C61</f>
        <v>PESHAWAR-1</v>
      </c>
      <c r="D50" s="38" t="str">
        <f>'Managment Print'!D61</f>
        <v>SARDAR WARIS ALI KHAN</v>
      </c>
      <c r="E50" s="28">
        <f>'Managment Print'!E61</f>
        <v>5</v>
      </c>
      <c r="F50" s="63">
        <f>'Managment Print'!F61</f>
        <v>0</v>
      </c>
      <c r="G50" s="63">
        <f>'Managment Print'!G61</f>
        <v>2</v>
      </c>
      <c r="H50" s="63">
        <f t="shared" si="0"/>
        <v>2</v>
      </c>
      <c r="I50" s="40">
        <f>'Managment Print'!H61</f>
        <v>4</v>
      </c>
      <c r="J50" s="28">
        <f>'Managment Print'!I61</f>
        <v>3</v>
      </c>
      <c r="K50" s="41">
        <f>'Managment Print'!M61</f>
        <v>126</v>
      </c>
      <c r="L50" s="28">
        <f>'Managment Print'!N61</f>
        <v>6</v>
      </c>
      <c r="M50" s="29"/>
    </row>
    <row r="51" spans="1:13" ht="19.95" customHeight="1">
      <c r="A51" s="37" t="str">
        <f>'Managment Print'!A63</f>
        <v>ASM</v>
      </c>
      <c r="B51" s="38" t="str">
        <f>'Managment Print'!B63</f>
        <v>North-E</v>
      </c>
      <c r="C51" s="39" t="str">
        <f>'Managment Print'!C63</f>
        <v>DERA ISMAIL KHAN</v>
      </c>
      <c r="D51" s="38" t="str">
        <f>'Managment Print'!D63</f>
        <v>M. ALI NAWAZ</v>
      </c>
      <c r="E51" s="28">
        <f>'Managment Print'!E63</f>
        <v>4</v>
      </c>
      <c r="F51" s="63">
        <f>'Managment Print'!F63</f>
        <v>0</v>
      </c>
      <c r="G51" s="63">
        <f>'Managment Print'!G63</f>
        <v>0</v>
      </c>
      <c r="H51" s="63">
        <f t="shared" si="0"/>
        <v>0</v>
      </c>
      <c r="I51" s="40">
        <f>'Managment Print'!H63</f>
        <v>4</v>
      </c>
      <c r="J51" s="28">
        <f>'Managment Print'!I63</f>
        <v>4</v>
      </c>
      <c r="K51" s="41">
        <f>'Managment Print'!M63</f>
        <v>156</v>
      </c>
      <c r="L51" s="28">
        <f>'Managment Print'!N63</f>
        <v>7</v>
      </c>
      <c r="M51" s="29"/>
    </row>
    <row r="52" spans="1:13" ht="19.95" customHeight="1">
      <c r="A52" s="42" t="str">
        <f>'Managment Print'!A65</f>
        <v>RSM</v>
      </c>
      <c r="B52" s="43" t="str">
        <f>'Managment Print'!B65</f>
        <v>North-E</v>
      </c>
      <c r="C52" s="44" t="str">
        <f>'Managment Print'!C65</f>
        <v>NTH-E Peshawar</v>
      </c>
      <c r="D52" s="43" t="str">
        <f>'Managment Print'!D65</f>
        <v>Sajid Maqbool</v>
      </c>
      <c r="E52" s="8">
        <f>'Managment Print'!E65</f>
        <v>17</v>
      </c>
      <c r="F52" s="14">
        <f>'Managment Print'!F65</f>
        <v>0</v>
      </c>
      <c r="G52" s="14">
        <f>'Managment Print'!G65</f>
        <v>3</v>
      </c>
      <c r="H52" s="14">
        <f t="shared" si="0"/>
        <v>3</v>
      </c>
      <c r="I52" s="45">
        <f>'Managment Print'!H65</f>
        <v>16</v>
      </c>
      <c r="J52" s="8">
        <f>'Managment Print'!I65</f>
        <v>14</v>
      </c>
      <c r="K52" s="46">
        <f>'Managment Print'!M65</f>
        <v>327</v>
      </c>
      <c r="L52" s="8">
        <f>'Managment Print'!N65</f>
        <v>41</v>
      </c>
      <c r="M52" s="11"/>
    </row>
    <row r="53" spans="1:13" ht="19.95" customHeight="1">
      <c r="A53" s="37" t="str">
        <f>'Managment Print'!A66</f>
        <v>ASM</v>
      </c>
      <c r="B53" s="38" t="str">
        <f>'Managment Print'!B66</f>
        <v>North-F</v>
      </c>
      <c r="C53" s="39" t="str">
        <f>'Managment Print'!C66</f>
        <v>ABBOTTABAD-1</v>
      </c>
      <c r="D53" s="38" t="str">
        <f>'Managment Print'!D66</f>
        <v>NAVAID IQBAL</v>
      </c>
      <c r="E53" s="28">
        <f>'Managment Print'!E66</f>
        <v>4</v>
      </c>
      <c r="F53" s="63">
        <f>'Managment Print'!F66</f>
        <v>0</v>
      </c>
      <c r="G53" s="63">
        <f>'Managment Print'!G66</f>
        <v>0</v>
      </c>
      <c r="H53" s="63">
        <f t="shared" si="0"/>
        <v>0</v>
      </c>
      <c r="I53" s="40">
        <f>'Managment Print'!H66</f>
        <v>4</v>
      </c>
      <c r="J53" s="28">
        <f>'Managment Print'!I66</f>
        <v>4</v>
      </c>
      <c r="K53" s="41">
        <f>'Managment Print'!M66</f>
        <v>57</v>
      </c>
      <c r="L53" s="28">
        <f>'Managment Print'!N66</f>
        <v>0</v>
      </c>
      <c r="M53" s="29"/>
    </row>
    <row r="54" spans="1:13" ht="19.95" customHeight="1">
      <c r="A54" s="37" t="str">
        <f>'Managment Print'!A67</f>
        <v>ASM</v>
      </c>
      <c r="B54" s="38" t="str">
        <f>'Managment Print'!B67</f>
        <v>North-F</v>
      </c>
      <c r="C54" s="39" t="str">
        <f>'Managment Print'!C67</f>
        <v>NTH-F MINGORA</v>
      </c>
      <c r="D54" s="38" t="str">
        <f>'Managment Print'!D67</f>
        <v>NTH-F- RSM - FMCG Unmapp</v>
      </c>
      <c r="E54" s="28">
        <f>'Managment Print'!E67</f>
        <v>6</v>
      </c>
      <c r="F54" s="63">
        <f>'Managment Print'!F67</f>
        <v>0</v>
      </c>
      <c r="G54" s="63">
        <f>'Managment Print'!G67</f>
        <v>0</v>
      </c>
      <c r="H54" s="63">
        <f t="shared" si="0"/>
        <v>0</v>
      </c>
      <c r="I54" s="40">
        <f>'Managment Print'!H67</f>
        <v>5</v>
      </c>
      <c r="J54" s="28">
        <f>'Managment Print'!I67</f>
        <v>6</v>
      </c>
      <c r="K54" s="41">
        <f>'Managment Print'!M67</f>
        <v>121</v>
      </c>
      <c r="L54" s="28">
        <f>'Managment Print'!N67</f>
        <v>7</v>
      </c>
      <c r="M54" s="29"/>
    </row>
    <row r="55" spans="1:13" ht="19.95" customHeight="1">
      <c r="A55" s="37" t="str">
        <f>'Managment Print'!A68</f>
        <v>ASM</v>
      </c>
      <c r="B55" s="38" t="str">
        <f>'Managment Print'!B68</f>
        <v>North-F</v>
      </c>
      <c r="C55" s="39" t="str">
        <f>'Managment Print'!C68</f>
        <v>MARDAN-1</v>
      </c>
      <c r="D55" s="38" t="str">
        <f>'Managment Print'!D68</f>
        <v>SAEED AHMED</v>
      </c>
      <c r="E55" s="28">
        <f>'Managment Print'!E68</f>
        <v>4</v>
      </c>
      <c r="F55" s="63">
        <f>'Managment Print'!F68</f>
        <v>0</v>
      </c>
      <c r="G55" s="63">
        <f>'Managment Print'!G68</f>
        <v>0</v>
      </c>
      <c r="H55" s="63">
        <f t="shared" si="0"/>
        <v>0</v>
      </c>
      <c r="I55" s="40">
        <f>'Managment Print'!H68</f>
        <v>3</v>
      </c>
      <c r="J55" s="28">
        <f>'Managment Print'!I68</f>
        <v>4</v>
      </c>
      <c r="K55" s="41">
        <f>'Managment Print'!M68</f>
        <v>28</v>
      </c>
      <c r="L55" s="28">
        <f>'Managment Print'!N68</f>
        <v>0</v>
      </c>
      <c r="M55" s="29"/>
    </row>
    <row r="56" spans="1:13" ht="19.95" customHeight="1">
      <c r="A56" s="42" t="str">
        <f>'Managment Print'!A70</f>
        <v>RSM</v>
      </c>
      <c r="B56" s="43" t="str">
        <f>'Managment Print'!B70</f>
        <v>North-F</v>
      </c>
      <c r="C56" s="44" t="str">
        <f>'Managment Print'!C70</f>
        <v>NTH-F Mingora</v>
      </c>
      <c r="D56" s="43" t="str">
        <f>'Managment Print'!D70</f>
        <v>LATIF KHAN</v>
      </c>
      <c r="E56" s="8">
        <f>'Managment Print'!E70</f>
        <v>14</v>
      </c>
      <c r="F56" s="14">
        <f>'Managment Print'!F70</f>
        <v>0</v>
      </c>
      <c r="G56" s="14">
        <f>'Managment Print'!G70</f>
        <v>0</v>
      </c>
      <c r="H56" s="14">
        <f t="shared" si="0"/>
        <v>0</v>
      </c>
      <c r="I56" s="45">
        <f>'Managment Print'!H70</f>
        <v>12</v>
      </c>
      <c r="J56" s="8">
        <f>'Managment Print'!I70</f>
        <v>14</v>
      </c>
      <c r="K56" s="46">
        <f>'Managment Print'!M70</f>
        <v>206</v>
      </c>
      <c r="L56" s="8">
        <f>'Managment Print'!N70</f>
        <v>7</v>
      </c>
      <c r="M56" s="11"/>
    </row>
    <row r="57" spans="1:13" ht="19.95" customHeight="1">
      <c r="A57" s="47" t="str">
        <f>'Managment Print'!A71</f>
        <v>DGM</v>
      </c>
      <c r="B57" s="48" t="str">
        <f>'Managment Print'!B71</f>
        <v>North</v>
      </c>
      <c r="C57" s="49" t="str">
        <f>'Managment Print'!C71</f>
        <v>NTH Lahore</v>
      </c>
      <c r="D57" s="48" t="str">
        <f>'Managment Print'!D71</f>
        <v>NADEEM AHMED KHAN</v>
      </c>
      <c r="E57" s="9">
        <f>'Managment Print'!E71</f>
        <v>101</v>
      </c>
      <c r="F57" s="15">
        <f>'Managment Print'!F71</f>
        <v>6</v>
      </c>
      <c r="G57" s="15">
        <f>'Managment Print'!G71</f>
        <v>11</v>
      </c>
      <c r="H57" s="15">
        <f t="shared" si="0"/>
        <v>17</v>
      </c>
      <c r="I57" s="50">
        <f>'Managment Print'!H71</f>
        <v>80</v>
      </c>
      <c r="J57" s="9">
        <f>'Managment Print'!I71</f>
        <v>84</v>
      </c>
      <c r="K57" s="51">
        <f>'Managment Print'!M71</f>
        <v>1916</v>
      </c>
      <c r="L57" s="9">
        <f>'Managment Print'!N71</f>
        <v>137</v>
      </c>
      <c r="M57" s="12"/>
    </row>
    <row r="58" spans="1:13" ht="19.95" customHeight="1">
      <c r="A58" s="52" t="str">
        <f>'Managment Print'!A72</f>
        <v>HOD</v>
      </c>
      <c r="B58" s="53" t="str">
        <f>'Managment Print'!B72</f>
        <v>National</v>
      </c>
      <c r="C58" s="54" t="str">
        <f>'Managment Print'!C72</f>
        <v>National</v>
      </c>
      <c r="D58" s="53" t="str">
        <f>'Managment Print'!D72</f>
        <v>NATIONAL</v>
      </c>
      <c r="E58" s="10">
        <f>'Managment Print'!E72</f>
        <v>207</v>
      </c>
      <c r="F58" s="16">
        <f>'Managment Print'!F72</f>
        <v>11</v>
      </c>
      <c r="G58" s="16">
        <f>'Managment Print'!G72</f>
        <v>23</v>
      </c>
      <c r="H58" s="16">
        <f t="shared" si="0"/>
        <v>34</v>
      </c>
      <c r="I58" s="55">
        <f>'Managment Print'!H72</f>
        <v>173</v>
      </c>
      <c r="J58" s="10">
        <f>'Managment Print'!I72</f>
        <v>173</v>
      </c>
      <c r="K58" s="56">
        <f>'Managment Print'!M72</f>
        <v>4399</v>
      </c>
      <c r="L58" s="10">
        <f>'Managment Print'!N72</f>
        <v>186</v>
      </c>
      <c r="M58" s="13"/>
    </row>
    <row r="59" spans="1:13" ht="19.95" hidden="1" customHeight="1">
      <c r="A59" s="57" t="str">
        <f>'Master File FMCG Team'!A362</f>
        <v>CM</v>
      </c>
      <c r="B59" s="58" t="str">
        <f>'Master File FMCG Team'!C362</f>
        <v>National</v>
      </c>
      <c r="C59" s="59" t="str">
        <f>'Master File FMCG Team'!D362</f>
        <v>National</v>
      </c>
      <c r="D59" s="58" t="str">
        <f>'Master File FMCG Team'!H362</f>
        <v>CHANNEL MANAGER + W/SPO</v>
      </c>
      <c r="E59" s="30">
        <f>'Master File FMCG Team'!O362</f>
        <v>6</v>
      </c>
      <c r="F59" s="64"/>
      <c r="G59" s="64" t="e">
        <f>E59-#REF!</f>
        <v>#REF!</v>
      </c>
      <c r="H59" s="17">
        <f>'Master File FMCG Team'!U362</f>
        <v>5</v>
      </c>
      <c r="I59" s="60">
        <f>'Master File FMCG Team'!AP362</f>
        <v>0</v>
      </c>
      <c r="J59" s="30">
        <f>'Master File FMCG Team'!Q362</f>
        <v>4</v>
      </c>
      <c r="K59" s="61">
        <f>'Master File FMCG Team'!BW362</f>
        <v>0</v>
      </c>
      <c r="L59" s="30">
        <f>'Master File FMCG Team'!S362</f>
        <v>1</v>
      </c>
      <c r="M59" s="31"/>
    </row>
  </sheetData>
  <autoFilter ref="A3:AHO59" xr:uid="{3D132F31-5729-40CA-8E81-04C0B09DCB27}"/>
  <mergeCells count="6">
    <mergeCell ref="A1:H2"/>
    <mergeCell ref="I1:J1"/>
    <mergeCell ref="K1:L1"/>
    <mergeCell ref="M1:M3"/>
    <mergeCell ref="I2:J2"/>
    <mergeCell ref="K2:L2"/>
  </mergeCells>
  <printOptions horizontalCentered="1" verticalCentered="1"/>
  <pageMargins left="0.17" right="0.17" top="0.34" bottom="0.28999999999999998" header="0.3" footer="0.3"/>
  <pageSetup paperSize="9" scale="89" fitToHeight="0" orientation="landscape" r:id="rId1"/>
  <rowBreaks count="1" manualBreakCount="1">
    <brk id="39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Master File FMCG Team</vt:lpstr>
      <vt:lpstr>Managment Print</vt:lpstr>
      <vt:lpstr>Today</vt:lpstr>
      <vt:lpstr>'Managment Print'!Print_Area</vt:lpstr>
      <vt:lpstr>Today!Print_Area</vt:lpstr>
      <vt:lpstr>'Managment Print'!Print_Titles</vt:lpstr>
      <vt:lpstr>Today!Print_Titles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Sattar</dc:creator>
  <cp:lastModifiedBy>Intern MIS</cp:lastModifiedBy>
  <cp:lastPrinted>2026-07-20T07:40:33Z</cp:lastPrinted>
  <dcterms:created xsi:type="dcterms:W3CDTF">2026-06-19T15:19:11Z</dcterms:created>
  <dcterms:modified xsi:type="dcterms:W3CDTF">2026-10-15T12:07:15Z</dcterms:modified>
</cp:coreProperties>
</file>