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InternMIS\Desktop\Sohaib\Ikon Call Management System\data\"/>
    </mc:Choice>
  </mc:AlternateContent>
  <xr:revisionPtr revIDLastSave="0" documentId="13_ncr:1_{2631E4E6-2BB4-4DA1-8D27-541259401F5C}" xr6:coauthVersionLast="47" xr6:coauthVersionMax="47" xr10:uidLastSave="{00000000-0000-0000-0000-000000000000}"/>
  <bookViews>
    <workbookView minimized="1" xWindow="24" yWindow="24" windowWidth="23016" windowHeight="12336" xr2:uid="{1DD0978C-1D8F-42BF-A107-648F80D0B7AA}"/>
  </bookViews>
  <sheets>
    <sheet name="FMCG EXC CALLS" sheetId="3" r:id="rId1"/>
    <sheet name="Pharma Temp" sheetId="1" r:id="rId2"/>
    <sheet name="FMCG CUST CALL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2" i="1" l="1"/>
  <c r="K3" i="3" l="1"/>
  <c r="K2" i="3"/>
  <c r="K3" i="1"/>
</calcChain>
</file>

<file path=xl/sharedStrings.xml><?xml version="1.0" encoding="utf-8"?>
<sst xmlns="http://schemas.openxmlformats.org/spreadsheetml/2006/main" count="133" uniqueCount="49">
  <si>
    <t>FF.Id</t>
  </si>
  <si>
    <t>FF.Name</t>
  </si>
  <si>
    <t>Team</t>
  </si>
  <si>
    <t>Month</t>
  </si>
  <si>
    <t>Call Date</t>
  </si>
  <si>
    <t>Manager</t>
  </si>
  <si>
    <t>Base Town</t>
  </si>
  <si>
    <t>PMDC</t>
  </si>
  <si>
    <t>Doctorname</t>
  </si>
  <si>
    <t>CallType</t>
  </si>
  <si>
    <t>WW</t>
  </si>
  <si>
    <t>LNG</t>
  </si>
  <si>
    <t>LAT</t>
  </si>
  <si>
    <t>Total Sum of NOOFCALLS</t>
  </si>
  <si>
    <t>Total Sum of NOOFPRODUCTS</t>
  </si>
  <si>
    <t>GeoMeter Range</t>
  </si>
  <si>
    <t>0310001</t>
  </si>
  <si>
    <t>VACANT (PHR-KHI-01)</t>
  </si>
  <si>
    <t>Pharma</t>
  </si>
  <si>
    <t>Jul-26</t>
  </si>
  <si>
    <t>01-JUL-2026</t>
  </si>
  <si>
    <t>VACANT ASM-KHI-01</t>
  </si>
  <si>
    <t>KARACHI</t>
  </si>
  <si>
    <t>--</t>
  </si>
  <si>
    <t>PRESENT AT SCHEDULE MORNING</t>
  </si>
  <si>
    <t>EXCEPTION</t>
  </si>
  <si>
    <t>Individual</t>
  </si>
  <si>
    <t>67.0622483333333</t>
  </si>
  <si>
    <t>24.9923083333333</t>
  </si>
  <si>
    <t>In Range</t>
  </si>
  <si>
    <t>Call Nature</t>
  </si>
  <si>
    <t>67.0622666666667</t>
  </si>
  <si>
    <t>24.992325</t>
  </si>
  <si>
    <t>Customer Name</t>
  </si>
  <si>
    <t>Order</t>
  </si>
  <si>
    <t>Rejection</t>
  </si>
  <si>
    <t>FMCG Team 01</t>
  </si>
  <si>
    <t>0114001</t>
  </si>
  <si>
    <t>SY. HUZAIFA ALI (KHI-01)</t>
  </si>
  <si>
    <t>04-JUL-2026</t>
  </si>
  <si>
    <t>M. WAQAR IQBAL</t>
  </si>
  <si>
    <t>SHADMAN TOWN - A.M SUPER STORE</t>
  </si>
  <si>
    <t>SPO</t>
  </si>
  <si>
    <t>CALL</t>
  </si>
  <si>
    <t>ShopClosed</t>
  </si>
  <si>
    <t>-</t>
  </si>
  <si>
    <t>SHADMAN TOWN - ABDULLAH GS</t>
  </si>
  <si>
    <t>FMCG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</si>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</sst>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b/>
      <sz val="9"/>
      <color rgb="FF111111"/>
      <name val="Open Sans"/>
      <family val="2"/>
    </font>
    <font>
      <sz val="9"/>
      <color rgb="FF111111"/>
      <name val="Open Sans"/>
      <family val="2"/>
    </font>
  </fonts>
  <fills count="4">
    <fill>
      <patternFill patternType="none"/>
    </fill>
    <fill>
      <patternFill patternType="gray125"/>
    </fill>
    <fill>
      <patternFill patternType="solid">
        <fgColor rgb="FFF7F7F7"/>
        <bgColor rgb="FFF7F7F7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310CEE0-F6D5-4A7F-ACA2-54E4827417E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D0AD1-180C-4797-BDD7-86D17897EF97}">
  <dimension ref="A1:Q3"/>
  <sheetViews>
    <sheetView tabSelected="1" workbookViewId="0">
      <selection activeCell="O7" sqref="O7"/>
    </sheetView>
  </sheetViews>
  <sheetFormatPr defaultRowHeight="13.8"/>
  <sheetData>
    <row r="1" spans="1:17">
      <c r="A1" s="1" t="s">
        <v>2</v>
      </c>
      <c r="B1" s="1" t="s">
        <v>0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30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2" t="s">
        <v>47</v>
      </c>
      <c r="B2" s="2" t="s">
        <v>16</v>
      </c>
      <c r="C2" s="2" t="s">
        <v>17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tr">
        <f>IF(TRIM(J2)="Call","Provider Calls",IF(TRIM(J2)="Exception",IF(OR(TRIM(I2)="PRESENT AT SCHEDULE MORNING",TRIM(I2)="PRESENT AT SCHEDULE EVENING"),"Attendance",IF(OR(TRIM(I2)="NON MANDATORY LEAVE",TRIM(I2)="MANDATORY LEAVE",TRIM(I2)="SHORT LEAVE"),"LEAVE","Others Exc Calls")),""))</f>
        <v>Attendance</v>
      </c>
      <c r="L2" s="2" t="s">
        <v>26</v>
      </c>
      <c r="M2" s="2" t="s">
        <v>27</v>
      </c>
      <c r="N2" s="2" t="s">
        <v>28</v>
      </c>
      <c r="O2" s="3">
        <v>1</v>
      </c>
      <c r="P2" s="3">
        <v>1</v>
      </c>
      <c r="Q2" s="3" t="s">
        <v>29</v>
      </c>
    </row>
    <row r="3" spans="1:17">
      <c r="A3" s="2" t="s">
        <v>47</v>
      </c>
      <c r="B3" s="2" t="s">
        <v>16</v>
      </c>
      <c r="C3" s="2" t="s">
        <v>17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  <c r="I3" s="2" t="s">
        <v>24</v>
      </c>
      <c r="J3" s="2" t="s">
        <v>25</v>
      </c>
      <c r="K3" s="2" t="str">
        <f t="shared" ref="K3" si="0">IF(TRIM(J3)="Call","Provider Calls",IF(TRIM(J3)="Exception",IF(OR(TRIM(I3)="PRESENT AT SCHEDULE MORNING",TRIM(I3)="PRESENT AT SCHEDULE EVENING"),"Attendance",IF(OR(TRIM(I3)="NON MANDATORY LEAVE",TRIM(I3)="MANDATORY LEAVE",TRIM(I3)="SHORT LEAVE"),"LEAVE","Others Exc Calls")),""))</f>
        <v>Attendance</v>
      </c>
      <c r="L3" s="2" t="s">
        <v>26</v>
      </c>
      <c r="M3" s="2" t="s">
        <v>31</v>
      </c>
      <c r="N3" s="2" t="s">
        <v>32</v>
      </c>
      <c r="O3" s="3">
        <v>1</v>
      </c>
      <c r="P3" s="3">
        <v>1</v>
      </c>
      <c r="Q3" s="3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17BCA-0218-446E-B9C3-255DA18EA1A2}">
  <dimension ref="A1:Q14"/>
  <sheetViews>
    <sheetView workbookViewId="0">
      <selection activeCell="D21" sqref="D21"/>
    </sheetView>
  </sheetViews>
  <sheetFormatPr defaultRowHeight="13.8"/>
  <cols>
    <col min="1" max="1" width="7" bestFit="1" customWidth="1"/>
    <col min="2" max="2" width="8" bestFit="1" customWidth="1"/>
    <col min="3" max="3" width="17.69921875" bestFit="1" customWidth="1"/>
    <col min="4" max="4" width="6.59765625" bestFit="1" customWidth="1"/>
    <col min="5" max="5" width="10.69921875" bestFit="1" customWidth="1"/>
    <col min="6" max="6" width="16.8984375" bestFit="1" customWidth="1"/>
    <col min="7" max="7" width="9.8984375" bestFit="1" customWidth="1"/>
    <col min="8" max="8" width="5.8984375" bestFit="1" customWidth="1"/>
    <col min="9" max="9" width="27.69921875" bestFit="1" customWidth="1"/>
    <col min="10" max="10" width="9.69921875" bestFit="1" customWidth="1"/>
    <col min="11" max="11" width="10.69921875" bestFit="1" customWidth="1"/>
    <col min="12" max="12" width="8.59765625" bestFit="1" customWidth="1"/>
    <col min="13" max="14" width="16.59765625" bestFit="1" customWidth="1"/>
    <col min="15" max="15" width="22.09765625" bestFit="1" customWidth="1"/>
    <col min="16" max="16" width="26.19921875" bestFit="1" customWidth="1"/>
    <col min="17" max="17" width="15" bestFit="1" customWidth="1"/>
  </cols>
  <sheetData>
    <row r="1" spans="1:17">
      <c r="A1" s="1" t="s">
        <v>2</v>
      </c>
      <c r="B1" s="1" t="s">
        <v>0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30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2" t="s">
        <v>18</v>
      </c>
      <c r="B2" s="2" t="s">
        <v>16</v>
      </c>
      <c r="C2" s="2" t="s">
        <v>17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tr">
        <f>IF(TRIM(J2)="Call","Provider Calls",IF(TRIM(J2)="Exception",IF(OR(TRIM(I2)="PRESENT AT SCHEDULE MORNING",TRIM(I2)="PRESENT AT SCHEDULE EVENING"),"Attendance",IF(OR(TRIM(I2)="NON MANDATORY LEAVE",TRIM(I2)="MANDATORY LEAVE",TRIM(I2)="SHORT LEAVE"),"LEAVE","Others Exc Calls")),""))</f>
        <v>Attendance</v>
      </c>
      <c r="L2" s="2" t="s">
        <v>26</v>
      </c>
      <c r="M2" s="2" t="s">
        <v>27</v>
      </c>
      <c r="N2" s="2" t="s">
        <v>28</v>
      </c>
      <c r="O2" s="3">
        <v>1</v>
      </c>
      <c r="P2" s="3">
        <v>1</v>
      </c>
      <c r="Q2" s="3" t="s">
        <v>29</v>
      </c>
    </row>
    <row r="3" spans="1:17">
      <c r="A3" s="2" t="s">
        <v>18</v>
      </c>
      <c r="B3" s="2" t="s">
        <v>16</v>
      </c>
      <c r="C3" s="2" t="s">
        <v>17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  <c r="I3" s="2" t="s">
        <v>24</v>
      </c>
      <c r="J3" s="2" t="s">
        <v>25</v>
      </c>
      <c r="K3" s="2" t="str">
        <f t="shared" ref="K3" si="0">IF(TRIM(J3)="Call","Provider Calls",IF(TRIM(J3)="Exception",IF(OR(TRIM(I3)="PRESENT AT SCHEDULE MORNING",TRIM(I3)="PRESENT AT SCHEDULE EVENING"),"Attendance",IF(OR(TRIM(I3)="NON MANDATORY LEAVE",TRIM(I3)="MANDATORY LEAVE",TRIM(I3)="SHORT LEAVE"),"LEAVE","Others Exc Calls")),""))</f>
        <v>Attendance</v>
      </c>
      <c r="L3" s="2" t="s">
        <v>26</v>
      </c>
      <c r="M3" s="2" t="s">
        <v>31</v>
      </c>
      <c r="N3" s="2" t="s">
        <v>32</v>
      </c>
      <c r="O3" s="3">
        <v>1</v>
      </c>
      <c r="P3" s="3">
        <v>1</v>
      </c>
      <c r="Q3" s="3" t="s">
        <v>29</v>
      </c>
    </row>
    <row r="14" spans="1:17">
      <c r="H14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963DD-1FBA-4945-9EAE-B8B1DCA9ABF7}">
  <dimension ref="A1:P3"/>
  <sheetViews>
    <sheetView workbookViewId="0">
      <selection activeCell="H21" sqref="H21"/>
    </sheetView>
  </sheetViews>
  <sheetFormatPr defaultRowHeight="13.8"/>
  <cols>
    <col min="1" max="1" width="12.796875" bestFit="1" customWidth="1"/>
    <col min="2" max="2" width="8" bestFit="1" customWidth="1"/>
    <col min="3" max="3" width="20" bestFit="1" customWidth="1"/>
    <col min="4" max="4" width="6.59765625" bestFit="1" customWidth="1"/>
    <col min="5" max="5" width="10.69921875" bestFit="1" customWidth="1"/>
    <col min="6" max="6" width="14.69921875" bestFit="1" customWidth="1"/>
    <col min="7" max="7" width="9.8984375" bestFit="1" customWidth="1"/>
    <col min="8" max="8" width="30.3984375" bestFit="1" customWidth="1"/>
    <col min="9" max="9" width="4.296875" bestFit="1" customWidth="1"/>
    <col min="10" max="10" width="8.19921875" bestFit="1" customWidth="1"/>
    <col min="11" max="11" width="10" bestFit="1" customWidth="1"/>
    <col min="12" max="12" width="9" bestFit="1" customWidth="1"/>
    <col min="13" max="13" width="4.3984375" bestFit="1" customWidth="1"/>
    <col min="14" max="14" width="4" bestFit="1" customWidth="1"/>
    <col min="15" max="15" width="22.09765625" bestFit="1" customWidth="1"/>
    <col min="16" max="16" width="15" bestFit="1" customWidth="1"/>
  </cols>
  <sheetData>
    <row r="1" spans="1:16">
      <c r="A1" s="1" t="s">
        <v>2</v>
      </c>
      <c r="B1" s="1" t="s">
        <v>0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33</v>
      </c>
      <c r="I1" s="1" t="s">
        <v>10</v>
      </c>
      <c r="J1" s="1" t="s">
        <v>9</v>
      </c>
      <c r="K1" s="1" t="s">
        <v>34</v>
      </c>
      <c r="L1" s="1" t="s">
        <v>35</v>
      </c>
      <c r="M1" s="1" t="s">
        <v>11</v>
      </c>
      <c r="N1" s="1" t="s">
        <v>12</v>
      </c>
      <c r="O1" s="1" t="s">
        <v>13</v>
      </c>
      <c r="P1" s="1" t="s">
        <v>15</v>
      </c>
    </row>
    <row r="2" spans="1:16">
      <c r="A2" s="2" t="s">
        <v>36</v>
      </c>
      <c r="B2" s="2" t="s">
        <v>37</v>
      </c>
      <c r="C2" s="2" t="s">
        <v>38</v>
      </c>
      <c r="D2" s="2" t="s">
        <v>19</v>
      </c>
      <c r="E2" s="2" t="s">
        <v>39</v>
      </c>
      <c r="F2" s="2" t="s">
        <v>40</v>
      </c>
      <c r="G2" s="2" t="s">
        <v>22</v>
      </c>
      <c r="H2" s="2" t="s">
        <v>41</v>
      </c>
      <c r="I2" s="2" t="s">
        <v>42</v>
      </c>
      <c r="J2" s="2" t="s">
        <v>43</v>
      </c>
      <c r="K2" s="2" t="s">
        <v>44</v>
      </c>
      <c r="L2" s="2" t="s">
        <v>45</v>
      </c>
      <c r="M2" s="2"/>
      <c r="N2" s="2"/>
      <c r="O2" s="3">
        <v>1</v>
      </c>
      <c r="P2" s="3" t="s">
        <v>29</v>
      </c>
    </row>
    <row r="3" spans="1:16">
      <c r="A3" s="2" t="s">
        <v>36</v>
      </c>
      <c r="B3" s="2" t="s">
        <v>37</v>
      </c>
      <c r="C3" s="2" t="s">
        <v>38</v>
      </c>
      <c r="D3" s="2" t="s">
        <v>19</v>
      </c>
      <c r="E3" s="2" t="s">
        <v>39</v>
      </c>
      <c r="F3" s="2" t="s">
        <v>40</v>
      </c>
      <c r="G3" s="2" t="s">
        <v>22</v>
      </c>
      <c r="H3" s="2" t="s">
        <v>46</v>
      </c>
      <c r="I3" s="2" t="s">
        <v>42</v>
      </c>
      <c r="J3" s="2" t="s">
        <v>43</v>
      </c>
      <c r="K3" s="2" t="s">
        <v>44</v>
      </c>
      <c r="L3" s="2" t="s">
        <v>45</v>
      </c>
      <c r="M3" s="2"/>
      <c r="N3" s="2"/>
      <c r="O3" s="3">
        <v>1</v>
      </c>
      <c r="P3" s="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FMCG EXC CALLS</vt:lpstr>
      <vt:lpstr>Pharma Temp</vt:lpstr>
      <vt:lpstr>FMCG CUST CALLS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Shahzaib Sattar</dc:creator>
  <cp:lastModifiedBy>Intern MIS</cp:lastModifiedBy>
  <dcterms:created xsi:type="dcterms:W3CDTF">2026-10-14T08:46:04Z</dcterms:created>
  <dcterms:modified xsi:type="dcterms:W3CDTF">2026-10-15T12:07:17Z</dcterms:modified>
</cp:coreProperties>
</file>